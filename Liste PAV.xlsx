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ngonde/Downloads/"/>
    </mc:Choice>
  </mc:AlternateContent>
  <xr:revisionPtr revIDLastSave="0" documentId="8_{9ACCC8DA-F1F9-0148-8EB1-AAAFA17E0D5D}" xr6:coauthVersionLast="47" xr6:coauthVersionMax="47" xr10:uidLastSave="{00000000-0000-0000-0000-000000000000}"/>
  <bookViews>
    <workbookView xWindow="1500" yWindow="1400" windowWidth="27640" windowHeight="16680" xr2:uid="{5DA664A1-39C7-A444-8818-CA5FC0068862}"/>
  </bookViews>
  <sheets>
    <sheet name="Feuil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0" i="1" l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<sst xmlns="http://schemas.openxmlformats.org/spreadsheetml/2006/main" count="1787" uniqueCount="1082">
  <si>
    <t>Liste des PAV - Dénomination interne</t>
  </si>
  <si>
    <t>CAV</t>
  </si>
  <si>
    <t>Adresse</t>
  </si>
  <si>
    <t>Complément d'adresse</t>
  </si>
  <si>
    <t>Code postal</t>
  </si>
  <si>
    <t>Ville</t>
  </si>
  <si>
    <t>Latitude (degré décimaux)</t>
  </si>
  <si>
    <t>Longitude (degré décimaux)</t>
  </si>
  <si>
    <t>Communauté de communes</t>
  </si>
  <si>
    <t>Surface</t>
  </si>
  <si>
    <t>Reference Refashion</t>
  </si>
  <si>
    <t>Entité détentrice</t>
  </si>
  <si>
    <t>Rue des Bernardines</t>
  </si>
  <si>
    <t>Devant les ateliers municipaux</t>
  </si>
  <si>
    <t>Notre-Dame-De-Bondeville</t>
  </si>
  <si>
    <t>49.4907799</t>
  </si>
  <si>
    <t>1.0424471</t>
  </si>
  <si>
    <t>Métropole Rouen Normandie</t>
  </si>
  <si>
    <t>Publique</t>
  </si>
  <si>
    <t>Solidarité Textiles</t>
  </si>
  <si>
    <t>8 Rue De Fontenelle</t>
  </si>
  <si>
    <t>Déville-Lès-Rouen</t>
  </si>
  <si>
    <t>49.4762554</t>
  </si>
  <si>
    <t>1.0525354</t>
  </si>
  <si>
    <t>34 Rue De Verdun</t>
  </si>
  <si>
    <t>1 Avenue Jacques Chastellain</t>
  </si>
  <si>
    <t>Ile Lacroix</t>
  </si>
  <si>
    <t>Rouen</t>
  </si>
  <si>
    <t>49.4311553</t>
  </si>
  <si>
    <t>1.1022802</t>
  </si>
  <si>
    <t xml:space="preserve">Rue Masson </t>
  </si>
  <si>
    <t>Place de la république</t>
  </si>
  <si>
    <t>Oissel</t>
  </si>
  <si>
    <t>49.340531</t>
  </si>
  <si>
    <t>1.094681</t>
  </si>
  <si>
    <t>2019_LCE1</t>
  </si>
  <si>
    <t>Lions Club Elbeuf</t>
  </si>
  <si>
    <t>6 Avenue Du Général De Gaulle</t>
  </si>
  <si>
    <t>Centre Commercial Saint Julien</t>
  </si>
  <si>
    <t>49.3383041</t>
  </si>
  <si>
    <t>1.0831592</t>
  </si>
  <si>
    <t>Parking CC</t>
  </si>
  <si>
    <t>2019_LCE2</t>
  </si>
  <si>
    <t>2 Chemin des devises</t>
  </si>
  <si>
    <t>Croisement avec Rue des canadiens</t>
  </si>
  <si>
    <t>Sotteville-Sous-Le-Val</t>
  </si>
  <si>
    <t>49.3183323</t>
  </si>
  <si>
    <t>1.1233006</t>
  </si>
  <si>
    <t>2019_LCE3</t>
  </si>
  <si>
    <t>Rue Jean Jaures</t>
  </si>
  <si>
    <t>Place de la Poste</t>
  </si>
  <si>
    <t>Tourville-La-Rivière</t>
  </si>
  <si>
    <t>49.2971761</t>
  </si>
  <si>
    <t>1.0160943</t>
  </si>
  <si>
    <t>2019_LCE4</t>
  </si>
  <si>
    <t>36 Avenue de Versailles</t>
  </si>
  <si>
    <t>Canteleu</t>
  </si>
  <si>
    <t>49.446971</t>
  </si>
  <si>
    <t>1.035878</t>
  </si>
  <si>
    <t>Privée - Habitat 76</t>
  </si>
  <si>
    <t>2019_N1</t>
  </si>
  <si>
    <t>4 rue du Docteur Galouen</t>
  </si>
  <si>
    <t>Sotteville-Lès-Rouen</t>
  </si>
  <si>
    <t>49.400325</t>
  </si>
  <si>
    <t>1.080932</t>
  </si>
  <si>
    <t>2019_N10</t>
  </si>
  <si>
    <t>19 rue Marius Vallée</t>
  </si>
  <si>
    <t>Face au gymnase</t>
  </si>
  <si>
    <t>2019_N11</t>
  </si>
  <si>
    <t>7 Rue Alexandre Dumas</t>
  </si>
  <si>
    <t>49.4438684</t>
  </si>
  <si>
    <t>1.0322824</t>
  </si>
  <si>
    <t>2019_N2</t>
  </si>
  <si>
    <t>1 Avenue Charles Gounod</t>
  </si>
  <si>
    <t>En face du collège</t>
  </si>
  <si>
    <t>49.4544441</t>
  </si>
  <si>
    <t>1.0323677</t>
  </si>
  <si>
    <t>2019_N3</t>
  </si>
  <si>
    <t>57 avenue des Canadiens</t>
  </si>
  <si>
    <t>Angle rue L. Antier</t>
  </si>
  <si>
    <t>Le Petit-Quevilly</t>
  </si>
  <si>
    <t>2019_N4</t>
  </si>
  <si>
    <t>136 avenue des Martyrs de la Résistance</t>
  </si>
  <si>
    <t>Angle rue du Maréchal Galliéni</t>
  </si>
  <si>
    <t>2019_N5</t>
  </si>
  <si>
    <t>44 Place Pierre Mendès France</t>
  </si>
  <si>
    <t>Parking Coccinelle</t>
  </si>
  <si>
    <t>Petit-Couronne</t>
  </si>
  <si>
    <t>49.3884892</t>
  </si>
  <si>
    <t>1.0376402</t>
  </si>
  <si>
    <t>2019_N7</t>
  </si>
  <si>
    <t>220 Rue Du 14 Juillet</t>
  </si>
  <si>
    <t>Croisement rue du Pommeret</t>
  </si>
  <si>
    <t>49.3838783</t>
  </si>
  <si>
    <t>1.028463</t>
  </si>
  <si>
    <t>2019_N8</t>
  </si>
  <si>
    <t>103 rue Pierre Mendès-France</t>
  </si>
  <si>
    <t>Parking Immeuble Habitat 76</t>
  </si>
  <si>
    <t>49.4139236</t>
  </si>
  <si>
    <t>1.0927764</t>
  </si>
  <si>
    <t>2019_N9</t>
  </si>
  <si>
    <t>541 Chemin du Mesnil-Esnard</t>
  </si>
  <si>
    <t>Parking de la crèche - Ecole Maternelle</t>
  </si>
  <si>
    <t>Amfreville-La-Mi-Voie</t>
  </si>
  <si>
    <t>49.4021325</t>
  </si>
  <si>
    <t>1.1314687</t>
  </si>
  <si>
    <t>TLC_00017920</t>
  </si>
  <si>
    <t>Centre commercial du Mesnil Roux</t>
  </si>
  <si>
    <t>Parking Carrefour en face du Feu Vert</t>
  </si>
  <si>
    <t>Barentin</t>
  </si>
  <si>
    <t>49.53551416050364</t>
  </si>
  <si>
    <t>0.9655591899352833</t>
  </si>
  <si>
    <t>TLC_00017922</t>
  </si>
  <si>
    <t>23 Rue Camille Saint Saens</t>
  </si>
  <si>
    <t>Parking du Stade des Hautes Haies</t>
  </si>
  <si>
    <t>Bonsecours</t>
  </si>
  <si>
    <t>49.42201</t>
  </si>
  <si>
    <t>1.1299639</t>
  </si>
  <si>
    <t>TLC_00017924</t>
  </si>
  <si>
    <t>60 Impasse de la Grande Mare</t>
  </si>
  <si>
    <t>Boos</t>
  </si>
  <si>
    <t>49.3897847</t>
  </si>
  <si>
    <t>1.2007032</t>
  </si>
  <si>
    <t>TLC_00017925</t>
  </si>
  <si>
    <t>98 Rue Sadi Carnot</t>
  </si>
  <si>
    <t>Face à la Mairie</t>
  </si>
  <si>
    <t>Darnétal</t>
  </si>
  <si>
    <t>49.4406483</t>
  </si>
  <si>
    <t>1.144694</t>
  </si>
  <si>
    <t>TLC_00017927</t>
  </si>
  <si>
    <t>1 Rue de Préaux</t>
  </si>
  <si>
    <t>Rond Point de la Girafe - Face à boulangerie</t>
  </si>
  <si>
    <t>49.4493106</t>
  </si>
  <si>
    <t>1.1513028</t>
  </si>
  <si>
    <t>TLC_00017928</t>
  </si>
  <si>
    <t>51 Rue de la République</t>
  </si>
  <si>
    <t>Devant Créapolis</t>
  </si>
  <si>
    <t>49.473328</t>
  </si>
  <si>
    <t>1.041946</t>
  </si>
  <si>
    <t>TLC_00017929</t>
  </si>
  <si>
    <t>340 Route de Dieppe</t>
  </si>
  <si>
    <t>Parking Salle communale (Mairie)</t>
  </si>
  <si>
    <t>49.4691713</t>
  </si>
  <si>
    <t>1.0516405</t>
  </si>
  <si>
    <t>TLC_00017930</t>
  </si>
  <si>
    <t>962 Rue Pierre Curie</t>
  </si>
  <si>
    <t>Cimetière</t>
  </si>
  <si>
    <t>Franqueville-Saint-Pierre</t>
  </si>
  <si>
    <t>49.4064014</t>
  </si>
  <si>
    <t>1.1781562</t>
  </si>
  <si>
    <t>TLC_00017931</t>
  </si>
  <si>
    <t>9 rue du Stade</t>
  </si>
  <si>
    <t>Salle polyvalente - Ecole</t>
  </si>
  <si>
    <t>Hénouville</t>
  </si>
  <si>
    <t>49.4796359</t>
  </si>
  <si>
    <t>0.9594667</t>
  </si>
  <si>
    <t>TLC_00017932</t>
  </si>
  <si>
    <t>140 Rue Louis Pasteur</t>
  </si>
  <si>
    <t>Près des Jardins ouvriers</t>
  </si>
  <si>
    <t>Houppeville</t>
  </si>
  <si>
    <t>49.5095306</t>
  </si>
  <si>
    <t>1.0702444</t>
  </si>
  <si>
    <t>TLC_00017933</t>
  </si>
  <si>
    <t>3 Route de Dieppe</t>
  </si>
  <si>
    <t>Parking Intermarché</t>
  </si>
  <si>
    <t>Isneauville</t>
  </si>
  <si>
    <t>49.5024921</t>
  </si>
  <si>
    <t>1.1504061</t>
  </si>
  <si>
    <t>TLC_00017934</t>
  </si>
  <si>
    <t>10 Rue Louis Lesouef</t>
  </si>
  <si>
    <t>Parking face à Renault</t>
  </si>
  <si>
    <t>Malaunay</t>
  </si>
  <si>
    <t>49.5224944</t>
  </si>
  <si>
    <t>1.0376784</t>
  </si>
  <si>
    <t>TLC_00017938</t>
  </si>
  <si>
    <t>5 Rue des Perets</t>
  </si>
  <si>
    <t>Parking de l'école</t>
  </si>
  <si>
    <t>Le Mesnil-Esnard</t>
  </si>
  <si>
    <t>49.411191</t>
  </si>
  <si>
    <t>1.134608</t>
  </si>
  <si>
    <t>TLC_00017939</t>
  </si>
  <si>
    <t>3 Rue Gontran Pailhès</t>
  </si>
  <si>
    <t>Carrefour Market</t>
  </si>
  <si>
    <t>49.4074142</t>
  </si>
  <si>
    <t>1.1528802</t>
  </si>
  <si>
    <t>TLC_00017940</t>
  </si>
  <si>
    <t>Centre Commercial La Vatine</t>
  </si>
  <si>
    <t>Parking Carrefour</t>
  </si>
  <si>
    <t>Mont-Saint-Aignan</t>
  </si>
  <si>
    <t>49.469906696445484</t>
  </si>
  <si>
    <t>1.0914162455078147</t>
  </si>
  <si>
    <t>TLC_00017941</t>
  </si>
  <si>
    <t>693 rue des Reservoirs</t>
  </si>
  <si>
    <t>Déchetterie - 9h30 / 11h45</t>
  </si>
  <si>
    <t>Montville</t>
  </si>
  <si>
    <t>49.5379517</t>
  </si>
  <si>
    <t>1.0999617</t>
  </si>
  <si>
    <t>TLC_00017942</t>
  </si>
  <si>
    <t>1 Sentier des Jumelles</t>
  </si>
  <si>
    <t>49.5405801</t>
  </si>
  <si>
    <t>1.0634101</t>
  </si>
  <si>
    <t>TLC_00017943</t>
  </si>
  <si>
    <t>90 rue des longs Vallons</t>
  </si>
  <si>
    <t>49.4839336</t>
  </si>
  <si>
    <t>1.0494244</t>
  </si>
  <si>
    <t>TLC_00017944</t>
  </si>
  <si>
    <t>31 Route de Belaitre</t>
  </si>
  <si>
    <t>Parking Verger et Gite de Belaitre</t>
  </si>
  <si>
    <t>Quevillon</t>
  </si>
  <si>
    <t>49.424576</t>
  </si>
  <si>
    <t>0.955078</t>
  </si>
  <si>
    <t>TLC_00017945</t>
  </si>
  <si>
    <t>11 Rue de Cailly</t>
  </si>
  <si>
    <t>Parking du Cimetière</t>
  </si>
  <si>
    <t>Quincampoix</t>
  </si>
  <si>
    <t>49.5145259</t>
  </si>
  <si>
    <t>1.1705615</t>
  </si>
  <si>
    <t>TLC_00017946</t>
  </si>
  <si>
    <t>64 Boulevard d'Orléans</t>
  </si>
  <si>
    <t>En face du Coccinelle</t>
  </si>
  <si>
    <t>TLC_00017948</t>
  </si>
  <si>
    <t>127 Rue de l'Eglise</t>
  </si>
  <si>
    <t>Saint-Aubin-Epinay</t>
  </si>
  <si>
    <t>49.4217741</t>
  </si>
  <si>
    <t>1.1770492</t>
  </si>
  <si>
    <t>TLC_00017950</t>
  </si>
  <si>
    <t>35 Rue de Verdun</t>
  </si>
  <si>
    <t>Entre la Mairie et l'Eglise</t>
  </si>
  <si>
    <t>Saint-Jacques-Sur-Darnétal</t>
  </si>
  <si>
    <t>49.4400478</t>
  </si>
  <si>
    <t>1.2027215</t>
  </si>
  <si>
    <t>TLC_00017951</t>
  </si>
  <si>
    <t>76 rue des Sources</t>
  </si>
  <si>
    <t>Parking Mairie</t>
  </si>
  <si>
    <t>Saint-Léger-Du-Bourg-Denis</t>
  </si>
  <si>
    <t>49.43243</t>
  </si>
  <si>
    <t>1.157459</t>
  </si>
  <si>
    <t>TLC_00017952</t>
  </si>
  <si>
    <t>62 Route de l'Abbaye</t>
  </si>
  <si>
    <t>Au fond du parking</t>
  </si>
  <si>
    <t>Saint-Martin-De-Boscherville</t>
  </si>
  <si>
    <t>49.4486164</t>
  </si>
  <si>
    <t>0.9677917</t>
  </si>
  <si>
    <t>TLC_00017953</t>
  </si>
  <si>
    <t>1377 Route de la Vallée</t>
  </si>
  <si>
    <t>Parking a coté de la Mairie</t>
  </si>
  <si>
    <t>Saint-Martin-Du-Vivier</t>
  </si>
  <si>
    <t>49.4675439</t>
  </si>
  <si>
    <t>1.1616814</t>
  </si>
  <si>
    <t>TLC_00017954</t>
  </si>
  <si>
    <t>240 Rue de la Paix</t>
  </si>
  <si>
    <t>Saint-Pierre-De-Varengeville</t>
  </si>
  <si>
    <t>49.5016503</t>
  </si>
  <si>
    <t>0.9217114</t>
  </si>
  <si>
    <t>TLC_00017955</t>
  </si>
  <si>
    <t>Avenue Gustave Picard</t>
  </si>
  <si>
    <t>49.32821531917378</t>
  </si>
  <si>
    <t>1.0973494076568802</t>
  </si>
  <si>
    <t>TLC_00017956</t>
  </si>
  <si>
    <t>365 Rue Denis Papin</t>
  </si>
  <si>
    <t>Parking Carrefour Market</t>
  </si>
  <si>
    <t>Le Trait</t>
  </si>
  <si>
    <t>49.4829822</t>
  </si>
  <si>
    <t>0.8071803</t>
  </si>
  <si>
    <t>TLC_00017957</t>
  </si>
  <si>
    <t>133 rue de l'Eglise</t>
  </si>
  <si>
    <t>Parking en face de l'Espace WAPALLERIA</t>
  </si>
  <si>
    <t>La Vaupalière</t>
  </si>
  <si>
    <t>49.4895761</t>
  </si>
  <si>
    <t>0.9990714</t>
  </si>
  <si>
    <t>TLC_00017958</t>
  </si>
  <si>
    <t>106 rue Paul Cezanne</t>
  </si>
  <si>
    <t>Le Grand-Quevilly</t>
  </si>
  <si>
    <t>49.4022886</t>
  </si>
  <si>
    <t>1.0432186</t>
  </si>
  <si>
    <t>TLC_00050598</t>
  </si>
  <si>
    <t>Rue du Froc aux Moines</t>
  </si>
  <si>
    <t>Stade de Foot</t>
  </si>
  <si>
    <t>La Neuville-Chant-d'Oisel</t>
  </si>
  <si>
    <t>49.368749062688885</t>
  </si>
  <si>
    <t>1.2451182344627432</t>
  </si>
  <si>
    <t>TLC_00050599</t>
  </si>
  <si>
    <t>321 Rue des broches</t>
  </si>
  <si>
    <t>49.4321409</t>
  </si>
  <si>
    <t>1.1461591</t>
  </si>
  <si>
    <t>TLC_00050601</t>
  </si>
  <si>
    <t>1 Rue de la République</t>
  </si>
  <si>
    <t>Allée derrière la pharmacie</t>
  </si>
  <si>
    <t>Yainville</t>
  </si>
  <si>
    <t>49.4540569</t>
  </si>
  <si>
    <t>0.8300998</t>
  </si>
  <si>
    <t>TLC_00050602</t>
  </si>
  <si>
    <t>Mairie</t>
  </si>
  <si>
    <t>Pôle Déchets</t>
  </si>
  <si>
    <t>Ymare</t>
  </si>
  <si>
    <t>49.3503139</t>
  </si>
  <si>
    <t>1.1778794</t>
  </si>
  <si>
    <t>TLC_00050603</t>
  </si>
  <si>
    <t>2701 route de Bourg Achard</t>
  </si>
  <si>
    <t>Déchetterie</t>
  </si>
  <si>
    <t>Anneville-Ambourville</t>
  </si>
  <si>
    <t>49.4331906</t>
  </si>
  <si>
    <t>0.892609</t>
  </si>
  <si>
    <t>Privée - Déchetterie</t>
  </si>
  <si>
    <t>TLC_00055640</t>
  </si>
  <si>
    <t>8 rue des canadiens</t>
  </si>
  <si>
    <t>Parking Salle Jacques Anquetil</t>
  </si>
  <si>
    <t>Belbeuf</t>
  </si>
  <si>
    <t>49.388972</t>
  </si>
  <si>
    <t>1.140556</t>
  </si>
  <si>
    <t>TLC_00055641</t>
  </si>
  <si>
    <t>2001 rue Herbeuse</t>
  </si>
  <si>
    <t>Déchetterie - 9h / 12h - 14h / 17h30</t>
  </si>
  <si>
    <t>Bois-Guillaume</t>
  </si>
  <si>
    <t>TLC_00055642</t>
  </si>
  <si>
    <t>Rue des Canadiens</t>
  </si>
  <si>
    <t>Déchetterie Boos - D91 vers Saint-Aubin-Celloville</t>
  </si>
  <si>
    <t>49.3757041412845</t>
  </si>
  <si>
    <t>1.18180979092406</t>
  </si>
  <si>
    <t>TLC_00055643</t>
  </si>
  <si>
    <t>5 impasse du Maupas</t>
  </si>
  <si>
    <t>Déchetterie Hameau les Monts 9h-12h / 13h30-17h30</t>
  </si>
  <si>
    <t>Duclair</t>
  </si>
  <si>
    <t>49.4908143</t>
  </si>
  <si>
    <t>0.8668575</t>
  </si>
  <si>
    <t>TLC_00055644</t>
  </si>
  <si>
    <t>81 Route de la Fontaine</t>
  </si>
  <si>
    <t>Parking Salle des fêtes</t>
  </si>
  <si>
    <t>Fontaine-sous-Préaux</t>
  </si>
  <si>
    <t>49.4845001</t>
  </si>
  <si>
    <t>1.1655718</t>
  </si>
  <si>
    <t>TLC_00055645</t>
  </si>
  <si>
    <t>Chemin du Vaudin</t>
  </si>
  <si>
    <t>Quévreville-La-Poterie</t>
  </si>
  <si>
    <t>49.35613833102769</t>
  </si>
  <si>
    <t>1.1879760402282624</t>
  </si>
  <si>
    <t>TLC_00055646</t>
  </si>
  <si>
    <t>3 Rue du Bas</t>
  </si>
  <si>
    <t>Parking Place Maurice Alexandre</t>
  </si>
  <si>
    <t>Sahurs</t>
  </si>
  <si>
    <t>49.357756</t>
  </si>
  <si>
    <t>0.943662</t>
  </si>
  <si>
    <t>TLC_00055647</t>
  </si>
  <si>
    <t>15 Route de Sahurs</t>
  </si>
  <si>
    <t>Parking près de la mairie</t>
  </si>
  <si>
    <t>Saint-Pierre-De-Manneville</t>
  </si>
  <si>
    <t>49.390736</t>
  </si>
  <si>
    <t>0.9316159</t>
  </si>
  <si>
    <t>TLC_00055648</t>
  </si>
  <si>
    <t>Boulevard Industriel</t>
  </si>
  <si>
    <t>Déchetterie LE TRAIT</t>
  </si>
  <si>
    <t>49.486032792820005</t>
  </si>
  <si>
    <t>0.7935174407226686</t>
  </si>
  <si>
    <t>TLC_00055649</t>
  </si>
  <si>
    <t>2 Rue Henri Chivé</t>
  </si>
  <si>
    <t>Val-De-La-Haye</t>
  </si>
  <si>
    <t>49.3776629</t>
  </si>
  <si>
    <t>1.0022928</t>
  </si>
  <si>
    <t>TLC_00055650</t>
  </si>
  <si>
    <t>438 Chemin du Gord</t>
  </si>
  <si>
    <t>Déchetterie - 9h / 12h - 14h 17h00</t>
  </si>
  <si>
    <t>49.4266815</t>
  </si>
  <si>
    <t>1.038447</t>
  </si>
  <si>
    <t>TLC_00055774</t>
  </si>
  <si>
    <t>5 Allée de la Côté Mutel</t>
  </si>
  <si>
    <t>Déchetterie - 9h / 12h - 14h - 17h30</t>
  </si>
  <si>
    <t>Grand-Couronne</t>
  </si>
  <si>
    <t>49.3667909</t>
  </si>
  <si>
    <t>1.0150717</t>
  </si>
  <si>
    <t>TLC_00055775</t>
  </si>
  <si>
    <t>627 Rue de la Chaussée</t>
  </si>
  <si>
    <t>Caudebec-lès-Elbeuf</t>
  </si>
  <si>
    <t>49.2908071</t>
  </si>
  <si>
    <t>1.0306552</t>
  </si>
  <si>
    <t>TLC_00055776</t>
  </si>
  <si>
    <t>Rue Marie-Louise et Raymond Boucher</t>
  </si>
  <si>
    <t>Déchetterie de Cléon - 10h / 18h</t>
  </si>
  <si>
    <t>Cléon</t>
  </si>
  <si>
    <t>49.31915735339666</t>
  </si>
  <si>
    <t>1.0562184915405437</t>
  </si>
  <si>
    <t>TLC_00055777</t>
  </si>
  <si>
    <t>47 Rue de Seine</t>
  </si>
  <si>
    <t>Déchetterie - 9h / 12h - 14h / 17h</t>
  </si>
  <si>
    <t>Saint-Étienne-du-Rouvray</t>
  </si>
  <si>
    <t>49.3703846</t>
  </si>
  <si>
    <t>1.1109495</t>
  </si>
  <si>
    <t>TLC_00055778</t>
  </si>
  <si>
    <t>1 Quai du Pré aux loups</t>
  </si>
  <si>
    <t>Dechetterie - 8h30 / 18h30</t>
  </si>
  <si>
    <t>49.434978814830345</t>
  </si>
  <si>
    <t>1.1034501640708916</t>
  </si>
  <si>
    <t>TLC_00055780</t>
  </si>
  <si>
    <t>8 Sente de la Ravine</t>
  </si>
  <si>
    <t>49.4450289</t>
  </si>
  <si>
    <t>1.160058</t>
  </si>
  <si>
    <t>TLC_00055781</t>
  </si>
  <si>
    <t>18 Impasse Barbet</t>
  </si>
  <si>
    <t>49.4590316</t>
  </si>
  <si>
    <t>1.0477964</t>
  </si>
  <si>
    <t>TLC_00055782</t>
  </si>
  <si>
    <t>Côte de la Valette</t>
  </si>
  <si>
    <t>Déchetterie de Maromme - 8h30 /18h30</t>
  </si>
  <si>
    <t>Saint-Jean-du-Cardonnay</t>
  </si>
  <si>
    <t>49.487386476098955</t>
  </si>
  <si>
    <t>1.0248914560668787</t>
  </si>
  <si>
    <t>TLC_00055783</t>
  </si>
  <si>
    <t>86 rue de la Voix Maline</t>
  </si>
  <si>
    <t>A coté de la colonne à verre</t>
  </si>
  <si>
    <t>49.511496</t>
  </si>
  <si>
    <t>1.087103</t>
  </si>
  <si>
    <t>TLC_00061072</t>
  </si>
  <si>
    <t>31 Rue André Le Nosle</t>
  </si>
  <si>
    <t>49.4946399</t>
  </si>
  <si>
    <t>1.1446697</t>
  </si>
  <si>
    <t>TLC_00061073</t>
  </si>
  <si>
    <t>20 Impasse Des Prés Verts</t>
  </si>
  <si>
    <t>Parking Centre De Loisirs Les Pépinières</t>
  </si>
  <si>
    <t>Roncherolles-Sur-Le-Vivier</t>
  </si>
  <si>
    <t>49.4642576</t>
  </si>
  <si>
    <t>1.1791064</t>
  </si>
  <si>
    <t>TLC_00061074</t>
  </si>
  <si>
    <t>37 Rue Edouard Branly</t>
  </si>
  <si>
    <t>49.4419378</t>
  </si>
  <si>
    <t>1.1433416</t>
  </si>
  <si>
    <t>TLC_00061075</t>
  </si>
  <si>
    <t>33 Rue du Roule</t>
  </si>
  <si>
    <t>49.438313</t>
  </si>
  <si>
    <t>1.1668016</t>
  </si>
  <si>
    <t>TLC_00061076</t>
  </si>
  <si>
    <t>260 rue du Docteur Gallouen</t>
  </si>
  <si>
    <t>Parking de la salle des fêtes</t>
  </si>
  <si>
    <t>Les Authieux-Sur-Le-Port-Saint-Ouen</t>
  </si>
  <si>
    <t>49.3408846</t>
  </si>
  <si>
    <t>1.1328675</t>
  </si>
  <si>
    <t>TLC_00061734</t>
  </si>
  <si>
    <t>8 rue de l'Eglise</t>
  </si>
  <si>
    <t>Place Poullard</t>
  </si>
  <si>
    <t>Hautot-Sur-Seine</t>
  </si>
  <si>
    <t>49.3603847</t>
  </si>
  <si>
    <t>0.9783553</t>
  </si>
  <si>
    <t>TLC_00062951</t>
  </si>
  <si>
    <t>26 Rue Michel Corroy</t>
  </si>
  <si>
    <t>Place Du Québec</t>
  </si>
  <si>
    <t>49.4017997</t>
  </si>
  <si>
    <t>1.057087</t>
  </si>
  <si>
    <t>TLC_00067688</t>
  </si>
  <si>
    <t>41 Avenue J. F. Kennedy</t>
  </si>
  <si>
    <t>49.4080799</t>
  </si>
  <si>
    <t>1.0544188</t>
  </si>
  <si>
    <t>TLC_00067689</t>
  </si>
  <si>
    <t>132 Rue de la République</t>
  </si>
  <si>
    <t>Centre Marx Dormoy</t>
  </si>
  <si>
    <t>49.4136846</t>
  </si>
  <si>
    <t>1.0342013</t>
  </si>
  <si>
    <t>TLC_00067690</t>
  </si>
  <si>
    <t>79 Chemin des Coquelicots</t>
  </si>
  <si>
    <t>Moulineaux</t>
  </si>
  <si>
    <t>49.3427399</t>
  </si>
  <si>
    <t>0.9664346</t>
  </si>
  <si>
    <t>TLC_00067691</t>
  </si>
  <si>
    <t xml:space="preserve">111 Allée des Lauriers </t>
  </si>
  <si>
    <t>La Bouille</t>
  </si>
  <si>
    <t>49.35053640212772</t>
  </si>
  <si>
    <t>0.9335095079345601</t>
  </si>
  <si>
    <t>TLC_00067692</t>
  </si>
  <si>
    <t>26 Rue de Freneuse</t>
  </si>
  <si>
    <t>Croisement ruelle Arthus</t>
  </si>
  <si>
    <t>Saint-Aubin-Lès-Elbeuf</t>
  </si>
  <si>
    <t>49.2994624</t>
  </si>
  <si>
    <t>1.0403029</t>
  </si>
  <si>
    <t>TLC_00067693</t>
  </si>
  <si>
    <t>1049 Rue de la Villette</t>
  </si>
  <si>
    <t>49.282711</t>
  </si>
  <si>
    <t>1.035268</t>
  </si>
  <si>
    <t>TLC_00067694</t>
  </si>
  <si>
    <t>318 Rue Antoine de Saint Exupery</t>
  </si>
  <si>
    <t>49.276142</t>
  </si>
  <si>
    <t>1.0267816</t>
  </si>
  <si>
    <t>TLC_00067695</t>
  </si>
  <si>
    <t>856 Rue Emile Zola</t>
  </si>
  <si>
    <t>49.2815389</t>
  </si>
  <si>
    <t>1.0204458</t>
  </si>
  <si>
    <t>TLC_00067696</t>
  </si>
  <si>
    <t>8 Rue Lenormand</t>
  </si>
  <si>
    <t>49.284012</t>
  </si>
  <si>
    <t>1.0126363</t>
  </si>
  <si>
    <t>TLC_00067697</t>
  </si>
  <si>
    <t>25 rue François Mitterrand</t>
  </si>
  <si>
    <t>49.397001</t>
  </si>
  <si>
    <t>1.1257119</t>
  </si>
  <si>
    <t>TLC_00075628</t>
  </si>
  <si>
    <t>2 rue Edouard Branly</t>
  </si>
  <si>
    <t>49.4412967</t>
  </si>
  <si>
    <t>1.1414569</t>
  </si>
  <si>
    <t>TLC_02852146</t>
  </si>
  <si>
    <t>28 rue de Ronnenberg</t>
  </si>
  <si>
    <t>Face au Relais Dellard - Parking de droite</t>
  </si>
  <si>
    <t>49.480997</t>
  </si>
  <si>
    <t>0.875153</t>
  </si>
  <si>
    <t>TLC_02852147</t>
  </si>
  <si>
    <t>30 rue des Fusillés</t>
  </si>
  <si>
    <t>Croisement rue Frete</t>
  </si>
  <si>
    <t>La Londe</t>
  </si>
  <si>
    <t>49.3063384</t>
  </si>
  <si>
    <t>0.9602677</t>
  </si>
  <si>
    <t>TLC_02852242</t>
  </si>
  <si>
    <t>28 rue du Poste</t>
  </si>
  <si>
    <t>Suivre "Résidence Perelles" - Sur le parking</t>
  </si>
  <si>
    <t>Gouy</t>
  </si>
  <si>
    <t>49.3534984</t>
  </si>
  <si>
    <t>1.1474265</t>
  </si>
  <si>
    <t>TLC_02852243</t>
  </si>
  <si>
    <t>13 Rue de Rouen</t>
  </si>
  <si>
    <t>D 938 sortie ELBEUF</t>
  </si>
  <si>
    <t>Elbeuf</t>
  </si>
  <si>
    <t>49.2938423</t>
  </si>
  <si>
    <t>0.9962223</t>
  </si>
  <si>
    <t>Privée</t>
  </si>
  <si>
    <t>TLC_02853222</t>
  </si>
  <si>
    <t>26 Rue Leveillé</t>
  </si>
  <si>
    <t>49.2844764</t>
  </si>
  <si>
    <t>1.0063901</t>
  </si>
  <si>
    <t>TLC_02853223</t>
  </si>
  <si>
    <t>2 rue Jean Jaures</t>
  </si>
  <si>
    <t>Sous le pont Jean Jaurès</t>
  </si>
  <si>
    <t>49.2919875</t>
  </si>
  <si>
    <t>1.009519</t>
  </si>
  <si>
    <t>TLC_02853224</t>
  </si>
  <si>
    <t>67 rue Galbois</t>
  </si>
  <si>
    <t>Parking à coté des écoles</t>
  </si>
  <si>
    <t>Saint-Pierre-Lès-Elbeuf</t>
  </si>
  <si>
    <t>49.2712549</t>
  </si>
  <si>
    <t>1.049438</t>
  </si>
  <si>
    <t>TLC_02853225</t>
  </si>
  <si>
    <t>Route de Pont de l'Arche</t>
  </si>
  <si>
    <t>En face L'Auto E.Leclerc</t>
  </si>
  <si>
    <t>49.290625826596894</t>
  </si>
  <si>
    <t>1.0378892518066296</t>
  </si>
  <si>
    <t>TLC_02853226</t>
  </si>
  <si>
    <t>625 rue du Puits Mérot</t>
  </si>
  <si>
    <t>Parking Leader Price / Face à la mairie</t>
  </si>
  <si>
    <t>49.2761596</t>
  </si>
  <si>
    <t>1.0432253</t>
  </si>
  <si>
    <t>TLC_02853227</t>
  </si>
  <si>
    <t>20 Espace Foudriots</t>
  </si>
  <si>
    <t>Derrière La Poste</t>
  </si>
  <si>
    <t>49.3027597</t>
  </si>
  <si>
    <t>1.0127645</t>
  </si>
  <si>
    <t>TLC_02853228</t>
  </si>
  <si>
    <t>5 rue Pierre Saint Georges</t>
  </si>
  <si>
    <t>Gare de Saint Aubin</t>
  </si>
  <si>
    <t>49.3027374</t>
  </si>
  <si>
    <t>1.0089665</t>
  </si>
  <si>
    <t>TLC_02853229</t>
  </si>
  <si>
    <t>83 rue Alain Colas</t>
  </si>
  <si>
    <t>Parking Leader Price</t>
  </si>
  <si>
    <t>49.30898629499202</t>
  </si>
  <si>
    <t>1.0371775086677637</t>
  </si>
  <si>
    <t>TLC_02853230</t>
  </si>
  <si>
    <t>Rue du Docteur Villers</t>
  </si>
  <si>
    <t>CHI - Parking usagers</t>
  </si>
  <si>
    <t>49.30416367931222</t>
  </si>
  <si>
    <t>1.0422025843391358</t>
  </si>
  <si>
    <t>TLC_02853231</t>
  </si>
  <si>
    <t>67 Rue de Strasbourg</t>
  </si>
  <si>
    <t>Place de l'Assemblée</t>
  </si>
  <si>
    <t>49.2916303</t>
  </si>
  <si>
    <t>1.0284224</t>
  </si>
  <si>
    <t>TLC_02853232</t>
  </si>
  <si>
    <t>22 Route du Neubourg</t>
  </si>
  <si>
    <t>Derrière le Manoir Saint-Nicolas</t>
  </si>
  <si>
    <t>La Saussaye</t>
  </si>
  <si>
    <t>49.260836</t>
  </si>
  <si>
    <t>0.9767508</t>
  </si>
  <si>
    <t>TLC_02853233</t>
  </si>
  <si>
    <t>Route de Neuboug</t>
  </si>
  <si>
    <t>Parking Cimetière</t>
  </si>
  <si>
    <t>Saint-Pierre-des-Fleurs</t>
  </si>
  <si>
    <t>TLC_02853234</t>
  </si>
  <si>
    <t>40 rue des Canadiens</t>
  </si>
  <si>
    <t>Face à la Mairie</t>
  </si>
  <si>
    <t>Saint-Ouen-du-Tilleul</t>
  </si>
  <si>
    <t>49.2949586</t>
  </si>
  <si>
    <t>0.9503699</t>
  </si>
  <si>
    <t>TLC_02853235</t>
  </si>
  <si>
    <t>590 rue Adolphe Marie</t>
  </si>
  <si>
    <t>49.3021885</t>
  </si>
  <si>
    <t>0.950701</t>
  </si>
  <si>
    <t>TLC_02853236</t>
  </si>
  <si>
    <t>7 Rue du Neubourg</t>
  </si>
  <si>
    <t>Carrefour Market - Station Service</t>
  </si>
  <si>
    <t>49.285096</t>
  </si>
  <si>
    <t>1.0099438</t>
  </si>
  <si>
    <t>TLC_02853237</t>
  </si>
  <si>
    <t>26 Rue de Rouen</t>
  </si>
  <si>
    <t>Orival</t>
  </si>
  <si>
    <t>49.2972863</t>
  </si>
  <si>
    <t>0.9944486</t>
  </si>
  <si>
    <t>TLC_02853238</t>
  </si>
  <si>
    <t>CHI  rue du docteur Villers</t>
  </si>
  <si>
    <t>entrée des urgences</t>
  </si>
  <si>
    <t>TLC_02853239</t>
  </si>
  <si>
    <t>73 A rue du Général de Gaulle</t>
  </si>
  <si>
    <t>Devant l'Association</t>
  </si>
  <si>
    <t>Le Houlme</t>
  </si>
  <si>
    <t>49.501335</t>
  </si>
  <si>
    <t>1.042073</t>
  </si>
  <si>
    <t>TLC_02995133</t>
  </si>
  <si>
    <t>4 rue Côte aux Blancs</t>
  </si>
  <si>
    <t>Freneuse</t>
  </si>
  <si>
    <t>49.3130842</t>
  </si>
  <si>
    <t>1.0789846</t>
  </si>
  <si>
    <t>TLC_02995403</t>
  </si>
  <si>
    <t>510 Rue du Dr Duvrac</t>
  </si>
  <si>
    <t>Parking Loic Gréaume</t>
  </si>
  <si>
    <t>Bourg-Achard</t>
  </si>
  <si>
    <t>49.3593819</t>
  </si>
  <si>
    <t>0.8181938</t>
  </si>
  <si>
    <t>TLC_02996076</t>
  </si>
  <si>
    <t>Lions Club Louviers</t>
  </si>
  <si>
    <t>18 Rue Maryse Bastié</t>
  </si>
  <si>
    <t>Parking école Maryse Bastié</t>
  </si>
  <si>
    <t>49.4103894</t>
  </si>
  <si>
    <t>1.0566569</t>
  </si>
  <si>
    <t>TLC_02996116</t>
  </si>
  <si>
    <t>1 Rue Joseph-Jérome De Lalande</t>
  </si>
  <si>
    <t>Parking</t>
  </si>
  <si>
    <t>49.4062043</t>
  </si>
  <si>
    <t>1.0636446</t>
  </si>
  <si>
    <t>TLC_02996117</t>
  </si>
  <si>
    <t>3 route de Louviers</t>
  </si>
  <si>
    <t>Quatremare</t>
  </si>
  <si>
    <t>49.1854483</t>
  </si>
  <si>
    <t>1.0824028</t>
  </si>
  <si>
    <t>TLC_02996118</t>
  </si>
  <si>
    <t>1674 rue Blingue</t>
  </si>
  <si>
    <t>Romilly-sur-Andelle</t>
  </si>
  <si>
    <t>49.3276351</t>
  </si>
  <si>
    <t>1.2530567</t>
  </si>
  <si>
    <t>TLC_02996119</t>
  </si>
  <si>
    <t>2 rue Saint-Jean</t>
  </si>
  <si>
    <t>CHU - Dans l'enceinte de l'Hôpital - Parking</t>
  </si>
  <si>
    <t>Louviers</t>
  </si>
  <si>
    <t>49.211441967209545</t>
  </si>
  <si>
    <t>1.1766511509956334</t>
  </si>
  <si>
    <t>TLC_02996120</t>
  </si>
  <si>
    <t>30 Rue de l'Eglise</t>
  </si>
  <si>
    <t>Salle des fêtes</t>
  </si>
  <si>
    <t>Pitres</t>
  </si>
  <si>
    <t>49.3185296</t>
  </si>
  <si>
    <t>1.2295495</t>
  </si>
  <si>
    <t>TLC_02996122</t>
  </si>
  <si>
    <t>72 rue de Martainville</t>
  </si>
  <si>
    <t>49.4386581</t>
  </si>
  <si>
    <t>1.1036246</t>
  </si>
  <si>
    <t>TLC_02996123</t>
  </si>
  <si>
    <t>27 Rue Verte</t>
  </si>
  <si>
    <t>Gare</t>
  </si>
  <si>
    <t>49.4487775</t>
  </si>
  <si>
    <t>1.0931311</t>
  </si>
  <si>
    <t>TLC_02996124</t>
  </si>
  <si>
    <t>35 rue Orbe</t>
  </si>
  <si>
    <t>Près de Franprix</t>
  </si>
  <si>
    <t>49.4431433</t>
  </si>
  <si>
    <t>1.1041131</t>
  </si>
  <si>
    <t>TLC_02996125</t>
  </si>
  <si>
    <t>25 rue de la Poterne</t>
  </si>
  <si>
    <t>Entrée escalier Parking</t>
  </si>
  <si>
    <t>49.4435782</t>
  </si>
  <si>
    <t>1.0926687</t>
  </si>
  <si>
    <t>TLC_02996126</t>
  </si>
  <si>
    <t>19 rue du Général Giraud</t>
  </si>
  <si>
    <t>49.4414885</t>
  </si>
  <si>
    <t>1.0865305</t>
  </si>
  <si>
    <t>TLC_02996127</t>
  </si>
  <si>
    <t>27 rue Saint-Sever</t>
  </si>
  <si>
    <t>Cours Clémenceau</t>
  </si>
  <si>
    <t>TLC_02996129</t>
  </si>
  <si>
    <t>2 rue Blaise Pascal</t>
  </si>
  <si>
    <t>Angle rue d'Elbeuf</t>
  </si>
  <si>
    <t>49.428497</t>
  </si>
  <si>
    <t>1.084405</t>
  </si>
  <si>
    <t>TLC_02996130</t>
  </si>
  <si>
    <t>77 rue Méridienne</t>
  </si>
  <si>
    <t>Angle Rue Octave Crutel</t>
  </si>
  <si>
    <t>49.4250071</t>
  </si>
  <si>
    <t>1.0843887</t>
  </si>
  <si>
    <t>TLC_02996131</t>
  </si>
  <si>
    <t>9 rue Pierre Forfait</t>
  </si>
  <si>
    <t>Angle Place de Lattre de Tassigny</t>
  </si>
  <si>
    <t>49.43754</t>
  </si>
  <si>
    <t>1.0807013</t>
  </si>
  <si>
    <t>TLC_02996133</t>
  </si>
  <si>
    <t xml:space="preserve">12 Rue de la Mairie </t>
  </si>
  <si>
    <t>Ruelle Atelier Municipal - Salle des Fêtes</t>
  </si>
  <si>
    <t>Saint-Aubin-Celloville</t>
  </si>
  <si>
    <t>49.364568</t>
  </si>
  <si>
    <t>1.155796</t>
  </si>
  <si>
    <t>TLC_02996134</t>
  </si>
  <si>
    <t>137 Route de Darnétal</t>
  </si>
  <si>
    <t>49.440485</t>
  </si>
  <si>
    <t>1.1264055</t>
  </si>
  <si>
    <t>TLC_02997388</t>
  </si>
  <si>
    <t>2 Rue François Couperin</t>
  </si>
  <si>
    <t>Parking Eglise Sainte-Claire</t>
  </si>
  <si>
    <t>49.4477877</t>
  </si>
  <si>
    <t>1.1406381</t>
  </si>
  <si>
    <t>TLC_02997389</t>
  </si>
  <si>
    <t>Rue du Chanoine Maubec</t>
  </si>
  <si>
    <t>Angle Ferdinand Marrou - Derrière le Coccinelle</t>
  </si>
  <si>
    <t>49.45720248268819</t>
  </si>
  <si>
    <t>1.1296958227538978</t>
  </si>
  <si>
    <t>TLC_02997390</t>
  </si>
  <si>
    <t>9021 Rue du Canal</t>
  </si>
  <si>
    <t>Derrière la Station Service</t>
  </si>
  <si>
    <t>Bapeaume-Lès-Rouen</t>
  </si>
  <si>
    <t>49.4584663</t>
  </si>
  <si>
    <t>1.0438016</t>
  </si>
  <si>
    <t>TLC_03198773</t>
  </si>
  <si>
    <t>10 rue aux Juifs</t>
  </si>
  <si>
    <t>49.4373767</t>
  </si>
  <si>
    <t>1.1484635</t>
  </si>
  <si>
    <t>TLC_03198774</t>
  </si>
  <si>
    <t>1 Rue du Mesnil</t>
  </si>
  <si>
    <t>Devant le terrain de tennis</t>
  </si>
  <si>
    <t>Monterolier</t>
  </si>
  <si>
    <t>49.6276563</t>
  </si>
  <si>
    <t>1.3446324</t>
  </si>
  <si>
    <t>TLC_03198776</t>
  </si>
  <si>
    <t>29 Impasse de la Gare</t>
  </si>
  <si>
    <t>Face crèperie</t>
  </si>
  <si>
    <t>Neufchatel-en-Bray</t>
  </si>
  <si>
    <t>49.7334807</t>
  </si>
  <si>
    <t>1.4359706</t>
  </si>
  <si>
    <t>TLC_03198777</t>
  </si>
  <si>
    <t xml:space="preserve">709 Grande Rue </t>
  </si>
  <si>
    <t>Côté Eglise</t>
  </si>
  <si>
    <t>Rocquemont</t>
  </si>
  <si>
    <t>49.603358</t>
  </si>
  <si>
    <t>1.284158</t>
  </si>
  <si>
    <t>TLC_03198778</t>
  </si>
  <si>
    <t>479 rue de la Gare</t>
  </si>
  <si>
    <t>Parking Gare</t>
  </si>
  <si>
    <t>Sommery</t>
  </si>
  <si>
    <t>49.6298681</t>
  </si>
  <si>
    <t>1.4354724</t>
  </si>
  <si>
    <t>TLC_03198779</t>
  </si>
  <si>
    <t xml:space="preserve">212 Rue du Sansonnet </t>
  </si>
  <si>
    <t>Parking derrière Centre Commercial du Chapitre</t>
  </si>
  <si>
    <t>Bihorel</t>
  </si>
  <si>
    <t>49.4694847</t>
  </si>
  <si>
    <t>1.1423773</t>
  </si>
  <si>
    <t>TLC_03200840</t>
  </si>
  <si>
    <t>15 Rue Philibert Caux</t>
  </si>
  <si>
    <t>En face de l'école Ste Victrice</t>
  </si>
  <si>
    <t>49.4591153</t>
  </si>
  <si>
    <t>1.1144951</t>
  </si>
  <si>
    <t>TLC_03200841</t>
  </si>
  <si>
    <t>2 rue du Collège</t>
  </si>
  <si>
    <t>Parking de la Piscine</t>
  </si>
  <si>
    <t>Pont-Saint-Pierre</t>
  </si>
  <si>
    <t>49.3372127</t>
  </si>
  <si>
    <t>1.2742826</t>
  </si>
  <si>
    <t>TLC_03267579</t>
  </si>
  <si>
    <t>19 Rue des Prés</t>
  </si>
  <si>
    <t>Parking Leclerc</t>
  </si>
  <si>
    <t>Incarville</t>
  </si>
  <si>
    <t>49.2372353</t>
  </si>
  <si>
    <t>1.1808578</t>
  </si>
  <si>
    <t>TLC_03267581</t>
  </si>
  <si>
    <t>318 rue Delamare Deboutteville</t>
  </si>
  <si>
    <t>Fontaine le Bourg</t>
  </si>
  <si>
    <t>49.5616059</t>
  </si>
  <si>
    <t>1.1605071</t>
  </si>
  <si>
    <t>TLC_03267833</t>
  </si>
  <si>
    <t>34 Rue de Verdun</t>
  </si>
  <si>
    <t>Parking de la Piscine Transat</t>
  </si>
  <si>
    <t>49.459388</t>
  </si>
  <si>
    <t>1.1233008</t>
  </si>
  <si>
    <t>TLC_03267896</t>
  </si>
  <si>
    <t>59 Rue Pierre Bérégovoy</t>
  </si>
  <si>
    <t>49.4226399</t>
  </si>
  <si>
    <t>1.08954</t>
  </si>
  <si>
    <t>TLC_03269153</t>
  </si>
  <si>
    <t>36 rue Léon Salva</t>
  </si>
  <si>
    <t>Angle rue Garibaldi</t>
  </si>
  <si>
    <t>49.4200766</t>
  </si>
  <si>
    <t>1.0907488</t>
  </si>
  <si>
    <t>TLC_03269154</t>
  </si>
  <si>
    <t>30 avenue du 14 juillet</t>
  </si>
  <si>
    <t>Parking Stade Sottevillais</t>
  </si>
  <si>
    <t>49.406198</t>
  </si>
  <si>
    <t>1.0982421</t>
  </si>
  <si>
    <t>TLC_03269155</t>
  </si>
  <si>
    <t>27 Boulevard André Siegfried</t>
  </si>
  <si>
    <t>49.4574649</t>
  </si>
  <si>
    <t>1.0640513</t>
  </si>
  <si>
    <t>TLC_03269156</t>
  </si>
  <si>
    <t>4 Rue Paul Eluard</t>
  </si>
  <si>
    <t>Hôpital Psychiatrique</t>
  </si>
  <si>
    <t>49.39488192605717</t>
  </si>
  <si>
    <t>1.0941487999694788</t>
  </si>
  <si>
    <t>TLC_03337475</t>
  </si>
  <si>
    <t>87 rue Jean Macé</t>
  </si>
  <si>
    <t>Croisement rue Francois Mitterand</t>
  </si>
  <si>
    <t>49.4242357</t>
  </si>
  <si>
    <t>1.0626464</t>
  </si>
  <si>
    <t>TLC_03338407</t>
  </si>
  <si>
    <t>152 rue Gambetta</t>
  </si>
  <si>
    <t>Croisement rue Paul Langevin - Près école de musique</t>
  </si>
  <si>
    <t>49.4141603</t>
  </si>
  <si>
    <t>1.0666575</t>
  </si>
  <si>
    <t>TLC_03338408</t>
  </si>
  <si>
    <t>132 rue du Président Kennedy</t>
  </si>
  <si>
    <t>Croisement rue de la République</t>
  </si>
  <si>
    <t>49.4316933</t>
  </si>
  <si>
    <t>1.0670571</t>
  </si>
  <si>
    <t>TLC_03338409</t>
  </si>
  <si>
    <t>2 rue de l'Eure</t>
  </si>
  <si>
    <t>Parking Eglise</t>
  </si>
  <si>
    <t>Martot</t>
  </si>
  <si>
    <t>49.297138</t>
  </si>
  <si>
    <t>1.0650021</t>
  </si>
  <si>
    <t>TLC_03342991</t>
  </si>
  <si>
    <t>Entrée EHPAD</t>
  </si>
  <si>
    <t>49.30401280525894</t>
  </si>
  <si>
    <t>1.041674189163202</t>
  </si>
  <si>
    <t>TLC_03342992</t>
  </si>
  <si>
    <t>135 rue du Madrillet</t>
  </si>
  <si>
    <t>Bâtiment AFPA</t>
  </si>
  <si>
    <t>49.3909564</t>
  </si>
  <si>
    <t>1.0731051</t>
  </si>
  <si>
    <t>TLC_03479474</t>
  </si>
  <si>
    <t>17 Chaussée Saint-Georges</t>
  </si>
  <si>
    <t>Dechetterie</t>
  </si>
  <si>
    <t>49.447552278510685</t>
  </si>
  <si>
    <t>0.9579646815147447</t>
  </si>
  <si>
    <t>TLC_03548667</t>
  </si>
  <si>
    <t>49 Boulevard de Verdun</t>
  </si>
  <si>
    <t>Au pied du Monumental</t>
  </si>
  <si>
    <t>49.4454662</t>
  </si>
  <si>
    <t>1.108453</t>
  </si>
  <si>
    <t>TLC_10142500</t>
  </si>
  <si>
    <t>19 rue Charles de Beaurepaire</t>
  </si>
  <si>
    <t>Angle Côte de Neufchâtel</t>
  </si>
  <si>
    <t>49.4524778</t>
  </si>
  <si>
    <t>1.0981059</t>
  </si>
  <si>
    <t>TLC_10142600</t>
  </si>
  <si>
    <t>14 Place du Boulingrin</t>
  </si>
  <si>
    <t>Angle Rampe Beauvoisine</t>
  </si>
  <si>
    <t>49.4473698</t>
  </si>
  <si>
    <t>1.1064779</t>
  </si>
  <si>
    <t>TLC_10142800</t>
  </si>
  <si>
    <t>86 Boulevard de l'Yser</t>
  </si>
  <si>
    <t>49.44734459362683</t>
  </si>
  <si>
    <t>1.0954728324888219</t>
  </si>
  <si>
    <t>TLC_10142900</t>
  </si>
  <si>
    <t>44 Boulevard de la Marne</t>
  </si>
  <si>
    <t>Angle Rampe Bouvreuil</t>
  </si>
  <si>
    <t>49.4469485</t>
  </si>
  <si>
    <t>1.0920252</t>
  </si>
  <si>
    <t>TLC_10143000</t>
  </si>
  <si>
    <t>59 Rue Crevier</t>
  </si>
  <si>
    <t>Angle rue d'Herbouville</t>
  </si>
  <si>
    <t>49.449081</t>
  </si>
  <si>
    <t>1.086073</t>
  </si>
  <si>
    <t>TLC_10143500</t>
  </si>
  <si>
    <t>65 Rue Saint Maur</t>
  </si>
  <si>
    <t>Angle rue Maladrerie</t>
  </si>
  <si>
    <t>49.4513399</t>
  </si>
  <si>
    <t>1.0878016</t>
  </si>
  <si>
    <t>TLC_10143600</t>
  </si>
  <si>
    <t>Rue Sénard</t>
  </si>
  <si>
    <t>En face du 13 rue sénard</t>
  </si>
  <si>
    <t>TLC_10143700</t>
  </si>
  <si>
    <t>15 Rue Tabouret</t>
  </si>
  <si>
    <t>Angle rue de la Cavée St Gervais</t>
  </si>
  <si>
    <t>49.449783</t>
  </si>
  <si>
    <t>1.0840698</t>
  </si>
  <si>
    <t>TLC_10143900</t>
  </si>
  <si>
    <t>3 Place Eglise Saint Gervais</t>
  </si>
  <si>
    <t>49.4493018</t>
  </si>
  <si>
    <t>1.0820767</t>
  </si>
  <si>
    <t>TLC_10144000</t>
  </si>
  <si>
    <t>23 rue Guillaume d'Estouteville</t>
  </si>
  <si>
    <t>49.452936</t>
  </si>
  <si>
    <t>1.0699945</t>
  </si>
  <si>
    <t>TLC_10144100</t>
  </si>
  <si>
    <t>84 Rue du Renard</t>
  </si>
  <si>
    <t>Ecole Achille Lefort</t>
  </si>
  <si>
    <t>49.448144</t>
  </si>
  <si>
    <t>1.080758</t>
  </si>
  <si>
    <t>TLC_10144300</t>
  </si>
  <si>
    <t>43 Rue Stanislas Girardin</t>
  </si>
  <si>
    <t>Angle rue A. Flaubert</t>
  </si>
  <si>
    <t>49.4472438</t>
  </si>
  <si>
    <t>1.0805579</t>
  </si>
  <si>
    <t>TLC_10144400</t>
  </si>
  <si>
    <t>1 Place de la Madeleine</t>
  </si>
  <si>
    <t>Angle rue Constantine</t>
  </si>
  <si>
    <t>49.4455345</t>
  </si>
  <si>
    <t>1.0788793</t>
  </si>
  <si>
    <t>TLC_10144500</t>
  </si>
  <si>
    <t>29 Rue George d'Ambroise</t>
  </si>
  <si>
    <t>Angle rue Duguay Trouin</t>
  </si>
  <si>
    <t>49.4430129</t>
  </si>
  <si>
    <t>1.0808909</t>
  </si>
  <si>
    <t>TLC_10144600</t>
  </si>
  <si>
    <t>79 Rue Amédée Dormoy</t>
  </si>
  <si>
    <t>A coté de l'entrée Intermarché</t>
  </si>
  <si>
    <t>49.4499497</t>
  </si>
  <si>
    <t>1.0665611</t>
  </si>
  <si>
    <t>TLC_10144700</t>
  </si>
  <si>
    <t>145 Boulevard Jean Jaurès</t>
  </si>
  <si>
    <t>Face au n°306</t>
  </si>
  <si>
    <t>49.4527917</t>
  </si>
  <si>
    <t>1.058519</t>
  </si>
  <si>
    <t>TLC_10144800</t>
  </si>
  <si>
    <t>2 rue du Loup</t>
  </si>
  <si>
    <t>49.453197</t>
  </si>
  <si>
    <t>1.05537</t>
  </si>
  <si>
    <t>TLC_10144900</t>
  </si>
  <si>
    <t>2 Rue de Binche</t>
  </si>
  <si>
    <t>Parking école Delbos</t>
  </si>
  <si>
    <t>Maromme</t>
  </si>
  <si>
    <t>49.474356</t>
  </si>
  <si>
    <t>1.0413057</t>
  </si>
  <si>
    <t>TLC_12137790</t>
  </si>
  <si>
    <t>13 Route de Duclair</t>
  </si>
  <si>
    <t>Parking Signa</t>
  </si>
  <si>
    <t>49.478762680186776</t>
  </si>
  <si>
    <t>1.023723836245729</t>
  </si>
  <si>
    <t>TLC_12137800</t>
  </si>
  <si>
    <t>752 Rue Alphonse Calais</t>
  </si>
  <si>
    <t>Parking Camping-car</t>
  </si>
  <si>
    <t>Jumièges</t>
  </si>
  <si>
    <t>49.4304292</t>
  </si>
  <si>
    <t>0.8143114</t>
  </si>
  <si>
    <t>TLC_12137810</t>
  </si>
  <si>
    <t>119 Route de Duclair</t>
  </si>
  <si>
    <t>Après le croisement Rue de l'église à coté des bacs à verre</t>
  </si>
  <si>
    <t>Saint-Paër</t>
  </si>
  <si>
    <t>49.5155313</t>
  </si>
  <si>
    <t>0.880296</t>
  </si>
  <si>
    <t>TLC_12137820</t>
  </si>
  <si>
    <t>1061 rue du Village</t>
  </si>
  <si>
    <t>Près de l'église</t>
  </si>
  <si>
    <t>Berville-sur-Seine</t>
  </si>
  <si>
    <t>49.473411</t>
  </si>
  <si>
    <t>0.903698</t>
  </si>
  <si>
    <t>TLC_12137830</t>
  </si>
  <si>
    <t>300 rue de l’Ecole</t>
  </si>
  <si>
    <t>En face du cimetière</t>
  </si>
  <si>
    <t>Bardouville</t>
  </si>
  <si>
    <t>49.43626</t>
  </si>
  <si>
    <t>0.927723</t>
  </si>
  <si>
    <t>TLC_12137840</t>
  </si>
  <si>
    <t>14 Route de Saint Paër</t>
  </si>
  <si>
    <t>Sainte-Marguerite-sur-Duclair</t>
  </si>
  <si>
    <t>49.508078</t>
  </si>
  <si>
    <t>0.8399526</t>
  </si>
  <si>
    <t>TLC_12137850</t>
  </si>
  <si>
    <t>4 Rue des Bouleaux</t>
  </si>
  <si>
    <t>Suivre panneau "Foyer des Jeunes"</t>
  </si>
  <si>
    <t>Ardouval</t>
  </si>
  <si>
    <t>49.746722</t>
  </si>
  <si>
    <t>1.273509</t>
  </si>
  <si>
    <t>TLC_12138010</t>
  </si>
  <si>
    <t>989 Route de l'Eglise</t>
  </si>
  <si>
    <t>Pommereval</t>
  </si>
  <si>
    <t>49.740456</t>
  </si>
  <si>
    <t>1.319002</t>
  </si>
  <si>
    <t>TLC_12138030</t>
  </si>
  <si>
    <t>2 bis Chemin du Cimetière</t>
  </si>
  <si>
    <t>Bellencombre</t>
  </si>
  <si>
    <t>49.7067743</t>
  </si>
  <si>
    <t>1.2251442</t>
  </si>
  <si>
    <t>TLC_12138040</t>
  </si>
  <si>
    <t>77 Place de l'Eglise</t>
  </si>
  <si>
    <t>En face de l'église - Parking au fond</t>
  </si>
  <si>
    <t>Cottevrard</t>
  </si>
  <si>
    <t>49.6318038</t>
  </si>
  <si>
    <t>1.2212548</t>
  </si>
  <si>
    <t>TLC_12138060</t>
  </si>
  <si>
    <t>159 Rue des Forges</t>
  </si>
  <si>
    <t>Bosc Le Hard</t>
  </si>
  <si>
    <t>49.6290962</t>
  </si>
  <si>
    <t>1.1776388</t>
  </si>
  <si>
    <t>TLC_12138070</t>
  </si>
  <si>
    <t>520 rue du Prieuré</t>
  </si>
  <si>
    <t>Etoutteville</t>
  </si>
  <si>
    <t>49.6758125</t>
  </si>
  <si>
    <t>0.7899252</t>
  </si>
  <si>
    <t>TLC_12138080</t>
  </si>
  <si>
    <t>156 Rue de la Gare</t>
  </si>
  <si>
    <t>Face à la gare</t>
  </si>
  <si>
    <t>Motteville</t>
  </si>
  <si>
    <t>49.6372744</t>
  </si>
  <si>
    <t>0.8497941</t>
  </si>
  <si>
    <t>TLC_12138090</t>
  </si>
  <si>
    <t>1 Rue de l'Eglise</t>
  </si>
  <si>
    <t>Intersection Rue de l'Ecole</t>
  </si>
  <si>
    <t>Flamanville</t>
  </si>
  <si>
    <t>49.63501511998083</t>
  </si>
  <si>
    <t>0.8386936533035305</t>
  </si>
  <si>
    <t>TLC_12138100</t>
  </si>
  <si>
    <t>55 rue du Centre</t>
  </si>
  <si>
    <t>A côté du garage et bacs verre</t>
  </si>
  <si>
    <t>Cideville</t>
  </si>
  <si>
    <t>49.6154562</t>
  </si>
  <si>
    <t>0.8944882</t>
  </si>
  <si>
    <t>TLC_12138110</t>
  </si>
  <si>
    <t>3 Place Bernard Alexandre</t>
  </si>
  <si>
    <t>Yerville</t>
  </si>
  <si>
    <t>49.669995</t>
  </si>
  <si>
    <t>0.8992293</t>
  </si>
  <si>
    <t>TLC_12138120</t>
  </si>
  <si>
    <t>25 rue de la Mare des Champs</t>
  </si>
  <si>
    <t>Entrée parking communal</t>
  </si>
  <si>
    <t>Vibeuf</t>
  </si>
  <si>
    <t>49.693223</t>
  </si>
  <si>
    <t>0.9027505</t>
  </si>
  <si>
    <t>TLC_12138130</t>
  </si>
  <si>
    <t>229 Rue Saint Julien</t>
  </si>
  <si>
    <t>Angle rue Parmentier</t>
  </si>
  <si>
    <t>49.425260390877064</t>
  </si>
  <si>
    <t>1.0725975521148579</t>
  </si>
  <si>
    <t>TLC_20050200</t>
  </si>
  <si>
    <t>238 Rue Saint Julien</t>
  </si>
  <si>
    <t>Angle Rue Jacquard</t>
  </si>
  <si>
    <t>TLC_20050300</t>
  </si>
  <si>
    <t>2 Rue du Mail</t>
  </si>
  <si>
    <t>Angle Boulevard de l'Europe</t>
  </si>
  <si>
    <t>49.4287093</t>
  </si>
  <si>
    <t>1.0930389</t>
  </si>
  <si>
    <t>TLC_20050400</t>
  </si>
  <si>
    <t>2 Rue Roger Bésus</t>
  </si>
  <si>
    <t>Centre Charlotte Delbo</t>
  </si>
  <si>
    <t>49.4233886</t>
  </si>
  <si>
    <t>1.0706877</t>
  </si>
  <si>
    <t>TLC_20050500</t>
  </si>
  <si>
    <t>46 Rue Desseaux</t>
  </si>
  <si>
    <t>Proche bac verre</t>
  </si>
  <si>
    <t>49.4325742</t>
  </si>
  <si>
    <t>1.0912983</t>
  </si>
  <si>
    <t>TLC_20050800</t>
  </si>
  <si>
    <t>11 Rue Antheaume</t>
  </si>
  <si>
    <t>Résidence Vallon Saint Hilaire</t>
  </si>
  <si>
    <t>49.4448577</t>
  </si>
  <si>
    <t>1.1168911</t>
  </si>
  <si>
    <t>TLC_20050900</t>
  </si>
  <si>
    <t>49 Rue de Bihorel</t>
  </si>
  <si>
    <t>Angle rue Jouvenet</t>
  </si>
  <si>
    <t>49.4498315</t>
  </si>
  <si>
    <t>1.1035948</t>
  </si>
  <si>
    <t>TLC_20051000</t>
  </si>
  <si>
    <t>Avenue des Martyrs</t>
  </si>
  <si>
    <t>Angle rue Linné</t>
  </si>
  <si>
    <t>TLC_20051100</t>
  </si>
  <si>
    <t>37 Rue de l'Enseigne Renaud</t>
  </si>
  <si>
    <t>Angle Chemin de l'école Jules Ferry</t>
  </si>
  <si>
    <t>49.4349673</t>
  </si>
  <si>
    <t>1.123745</t>
  </si>
  <si>
    <t>TLC_20051300</t>
  </si>
  <si>
    <t>10 Rue Moise</t>
  </si>
  <si>
    <t>49.451788</t>
  </si>
  <si>
    <t>1.064157</t>
  </si>
  <si>
    <t>TLC_20051500</t>
  </si>
  <si>
    <t>41 Rue des Canadiens</t>
  </si>
  <si>
    <t>49.4524062</t>
  </si>
  <si>
    <t>1.118665</t>
  </si>
  <si>
    <t>TLC_20051600</t>
  </si>
  <si>
    <t>5 place Saint Hilaire</t>
  </si>
  <si>
    <t>Rond point Saint Hilaire</t>
  </si>
  <si>
    <t>49.4423987</t>
  </si>
  <si>
    <t>1.1122919</t>
  </si>
  <si>
    <t>TLC_20051700</t>
  </si>
  <si>
    <t>53 rue Desseaux</t>
  </si>
  <si>
    <t>Resto du Cœur</t>
  </si>
  <si>
    <t>49.4318405</t>
  </si>
  <si>
    <t>1.0917689</t>
  </si>
  <si>
    <t>TLC_42723800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</si>
</sst>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vertical="top" wrapText="1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2" fillId="0" borderId="5" xfId="0" applyFont="1" applyBorder="1"/>
    <xf numFmtId="0" fontId="0" fillId="0" borderId="5" xfId="0" applyBorder="1" applyAlignment="1">
      <alignment horizontal="center"/>
    </xf>
    <xf numFmtId="0" fontId="3" fillId="0" borderId="8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341065</xdr:colOff>
      <xdr:row>0</xdr:row>
      <xdr:rowOff>4696</xdr:rowOff>
    </xdr:from>
    <xdr:to>
      <xdr:col>1</xdr:col>
      <xdr:colOff>0</xdr:colOff>
      <xdr:row>0</xdr:row>
      <xdr:rowOff>4696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86E335AB-6472-4B4A-A2AE-55F44028CA91}"/>
            </a:ext>
          </a:extLst>
        </xdr:cNvPr>
        <xdr:cNvGrpSpPr/>
      </xdr:nvGrpSpPr>
      <xdr:grpSpPr>
        <a:xfrm>
          <a:off x="341065" y="4696"/>
          <a:ext cx="5627935" cy="0"/>
          <a:chOff x="392353" y="1973196"/>
          <a:chExt cx="4375521" cy="352197"/>
        </a:xfrm>
      </xdr:grpSpPr>
      <xdr:sp macro="" textlink="">
        <xdr:nvSpPr>
          <xdr:cNvPr id="4" name="Rectangle : avec coin rogné 3">
            <a:extLst>
              <a:ext uri="{FF2B5EF4-FFF2-40B4-BE49-F238E27FC236}">
                <a16:creationId xmlns:a16="http://schemas.microsoft.com/office/drawing/2014/main" id="{784B26B2-B8E7-9B02-4B38-7DDC9AB921D6}"/>
              </a:ext>
            </a:extLst>
          </xdr:cNvPr>
          <xdr:cNvSpPr/>
        </xdr:nvSpPr>
        <xdr:spPr>
          <a:xfrm flipH="1">
            <a:off x="1376624" y="1975582"/>
            <a:ext cx="2400300" cy="172800"/>
          </a:xfrm>
          <a:prstGeom prst="snip1Rect">
            <a:avLst/>
          </a:prstGeom>
          <a:solidFill>
            <a:schemeClr val="accent2">
              <a:lumMod val="50000"/>
            </a:schemeClr>
          </a:solidFill>
          <a:ln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 b="0">
                <a:solidFill>
                  <a:schemeClr val="bg1"/>
                </a:solidFill>
              </a:rPr>
              <a:t>Affichage</a:t>
            </a:r>
            <a:r>
              <a:rPr lang="fr-FR" sz="900" b="0" baseline="0">
                <a:solidFill>
                  <a:schemeClr val="bg1"/>
                </a:solidFill>
              </a:rPr>
              <a:t> du calendrier</a:t>
            </a:r>
            <a:endParaRPr lang="fr-FR" sz="900" b="0">
              <a:solidFill>
                <a:schemeClr val="bg1"/>
              </a:solidFill>
            </a:endParaRPr>
          </a:p>
        </xdr:txBody>
      </xdr:sp>
      <xdr:sp macro="[1]!Focus_fevrier" textlink="">
        <xdr:nvSpPr>
          <xdr:cNvPr id="5" name="Rectangle 4">
            <a:extLst>
              <a:ext uri="{FF2B5EF4-FFF2-40B4-BE49-F238E27FC236}">
                <a16:creationId xmlns:a16="http://schemas.microsoft.com/office/drawing/2014/main" id="{A370E480-ED7B-69D5-14ED-2CC746514881}"/>
              </a:ext>
            </a:extLst>
          </xdr:cNvPr>
          <xdr:cNvSpPr/>
        </xdr:nvSpPr>
        <xdr:spPr>
          <a:xfrm>
            <a:off x="757383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02</a:t>
            </a:r>
            <a:endParaRPr lang="fr-FR" sz="800"/>
          </a:p>
        </xdr:txBody>
      </xdr:sp>
      <xdr:sp macro="[1]!Focus_mars" textlink="">
        <xdr:nvSpPr>
          <xdr:cNvPr id="6" name="Rectangle 5">
            <a:extLst>
              <a:ext uri="{FF2B5EF4-FFF2-40B4-BE49-F238E27FC236}">
                <a16:creationId xmlns:a16="http://schemas.microsoft.com/office/drawing/2014/main" id="{7A5DC8FB-2597-001F-0931-8EC564E207CD}"/>
              </a:ext>
            </a:extLst>
          </xdr:cNvPr>
          <xdr:cNvSpPr/>
        </xdr:nvSpPr>
        <xdr:spPr>
          <a:xfrm>
            <a:off x="1121913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03</a:t>
            </a:r>
            <a:endParaRPr lang="fr-FR" sz="800"/>
          </a:p>
        </xdr:txBody>
      </xdr:sp>
      <xdr:sp macro="[1]!Focus_avril" textlink="">
        <xdr:nvSpPr>
          <xdr:cNvPr id="7" name="Rectangle 6">
            <a:extLst>
              <a:ext uri="{FF2B5EF4-FFF2-40B4-BE49-F238E27FC236}">
                <a16:creationId xmlns:a16="http://schemas.microsoft.com/office/drawing/2014/main" id="{07E6E102-EFB4-F25B-E070-B0772EB237E7}"/>
              </a:ext>
            </a:extLst>
          </xdr:cNvPr>
          <xdr:cNvSpPr/>
        </xdr:nvSpPr>
        <xdr:spPr>
          <a:xfrm>
            <a:off x="1486940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04</a:t>
            </a:r>
            <a:endParaRPr lang="fr-FR" sz="800"/>
          </a:p>
        </xdr:txBody>
      </xdr:sp>
      <xdr:sp macro="[1]!Focus_mai" textlink="">
        <xdr:nvSpPr>
          <xdr:cNvPr id="8" name="Rectangle 7">
            <a:extLst>
              <a:ext uri="{FF2B5EF4-FFF2-40B4-BE49-F238E27FC236}">
                <a16:creationId xmlns:a16="http://schemas.microsoft.com/office/drawing/2014/main" id="{CF75900C-691C-878A-4BA9-C328E8B6CC40}"/>
              </a:ext>
            </a:extLst>
          </xdr:cNvPr>
          <xdr:cNvSpPr/>
        </xdr:nvSpPr>
        <xdr:spPr>
          <a:xfrm>
            <a:off x="1851468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05</a:t>
            </a:r>
            <a:endParaRPr lang="fr-FR" sz="800"/>
          </a:p>
        </xdr:txBody>
      </xdr:sp>
      <xdr:sp macro="[1]!Focus_juin" textlink="">
        <xdr:nvSpPr>
          <xdr:cNvPr id="9" name="Rectangle 8">
            <a:extLst>
              <a:ext uri="{FF2B5EF4-FFF2-40B4-BE49-F238E27FC236}">
                <a16:creationId xmlns:a16="http://schemas.microsoft.com/office/drawing/2014/main" id="{CD04E562-66F6-31FD-BE6B-4E03171FD8D4}"/>
              </a:ext>
            </a:extLst>
          </xdr:cNvPr>
          <xdr:cNvSpPr/>
        </xdr:nvSpPr>
        <xdr:spPr>
          <a:xfrm>
            <a:off x="2216498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06</a:t>
            </a:r>
            <a:endParaRPr lang="fr-FR" sz="800"/>
          </a:p>
        </xdr:txBody>
      </xdr:sp>
      <xdr:sp macro="[1]!Focus_juillet" textlink="">
        <xdr:nvSpPr>
          <xdr:cNvPr id="10" name="Rectangle 9">
            <a:extLst>
              <a:ext uri="{FF2B5EF4-FFF2-40B4-BE49-F238E27FC236}">
                <a16:creationId xmlns:a16="http://schemas.microsoft.com/office/drawing/2014/main" id="{1F6A1339-352C-3096-4B95-217F8418790D}"/>
              </a:ext>
            </a:extLst>
          </xdr:cNvPr>
          <xdr:cNvSpPr/>
        </xdr:nvSpPr>
        <xdr:spPr>
          <a:xfrm>
            <a:off x="2581528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07</a:t>
            </a:r>
            <a:endParaRPr lang="fr-FR" sz="800"/>
          </a:p>
        </xdr:txBody>
      </xdr:sp>
      <xdr:sp macro="[1]!Focus_aout" textlink="">
        <xdr:nvSpPr>
          <xdr:cNvPr id="11" name="Rectangle 10">
            <a:extLst>
              <a:ext uri="{FF2B5EF4-FFF2-40B4-BE49-F238E27FC236}">
                <a16:creationId xmlns:a16="http://schemas.microsoft.com/office/drawing/2014/main" id="{368E5B7F-D066-6A43-3858-1E42A2D91E77}"/>
              </a:ext>
            </a:extLst>
          </xdr:cNvPr>
          <xdr:cNvSpPr/>
        </xdr:nvSpPr>
        <xdr:spPr>
          <a:xfrm>
            <a:off x="2946056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08</a:t>
            </a:r>
            <a:endParaRPr lang="fr-FR" sz="800"/>
          </a:p>
        </xdr:txBody>
      </xdr:sp>
      <xdr:sp macro="[1]!Focus_septembre" textlink="">
        <xdr:nvSpPr>
          <xdr:cNvPr id="12" name="Rectangle 11">
            <a:extLst>
              <a:ext uri="{FF2B5EF4-FFF2-40B4-BE49-F238E27FC236}">
                <a16:creationId xmlns:a16="http://schemas.microsoft.com/office/drawing/2014/main" id="{5A1361BA-E21C-F965-37CF-93817FA83DDC}"/>
              </a:ext>
            </a:extLst>
          </xdr:cNvPr>
          <xdr:cNvSpPr/>
        </xdr:nvSpPr>
        <xdr:spPr>
          <a:xfrm>
            <a:off x="3311086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09</a:t>
            </a:r>
            <a:endParaRPr lang="fr-FR" sz="800"/>
          </a:p>
        </xdr:txBody>
      </xdr:sp>
      <xdr:sp macro="[1]!Focus_octobre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A7EBE3-5DC4-7D9D-1714-F72D941F4925}"/>
              </a:ext>
            </a:extLst>
          </xdr:cNvPr>
          <xdr:cNvSpPr/>
        </xdr:nvSpPr>
        <xdr:spPr>
          <a:xfrm>
            <a:off x="3675615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10</a:t>
            </a:r>
            <a:endParaRPr lang="fr-FR" sz="800"/>
          </a:p>
        </xdr:txBody>
      </xdr:sp>
      <xdr:sp macro="[1]!Focus_novembre" textlink="">
        <xdr:nvSpPr>
          <xdr:cNvPr id="14" name="Rectangle 13">
            <a:extLst>
              <a:ext uri="{FF2B5EF4-FFF2-40B4-BE49-F238E27FC236}">
                <a16:creationId xmlns:a16="http://schemas.microsoft.com/office/drawing/2014/main" id="{FCD0A6A3-DE5F-2DF5-482F-41E22DD6267B}"/>
              </a:ext>
            </a:extLst>
          </xdr:cNvPr>
          <xdr:cNvSpPr/>
        </xdr:nvSpPr>
        <xdr:spPr>
          <a:xfrm>
            <a:off x="4040646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11</a:t>
            </a:r>
            <a:endParaRPr lang="fr-FR" sz="800"/>
          </a:p>
        </xdr:txBody>
      </xdr:sp>
      <xdr:sp macro="[1]!Focus_janvier" textlink="">
        <xdr:nvSpPr>
          <xdr:cNvPr id="15" name="Rectangle 14">
            <a:extLst>
              <a:ext uri="{FF2B5EF4-FFF2-40B4-BE49-F238E27FC236}">
                <a16:creationId xmlns:a16="http://schemas.microsoft.com/office/drawing/2014/main" id="{C6C13D0F-138B-95CF-7145-B84261372C62}"/>
              </a:ext>
            </a:extLst>
          </xdr:cNvPr>
          <xdr:cNvSpPr/>
        </xdr:nvSpPr>
        <xdr:spPr>
          <a:xfrm>
            <a:off x="392353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01</a:t>
            </a:r>
            <a:endParaRPr lang="fr-FR" sz="800"/>
          </a:p>
        </xdr:txBody>
      </xdr:sp>
      <xdr:sp macro="[1]!Focus_decembre" textlink="">
        <xdr:nvSpPr>
          <xdr:cNvPr id="16" name="Rectangle 15">
            <a:extLst>
              <a:ext uri="{FF2B5EF4-FFF2-40B4-BE49-F238E27FC236}">
                <a16:creationId xmlns:a16="http://schemas.microsoft.com/office/drawing/2014/main" id="{8C951340-7D35-9EBC-F700-21C347C93439}"/>
              </a:ext>
            </a:extLst>
          </xdr:cNvPr>
          <xdr:cNvSpPr/>
        </xdr:nvSpPr>
        <xdr:spPr>
          <a:xfrm>
            <a:off x="4406110" y="2153943"/>
            <a:ext cx="360000" cy="171450"/>
          </a:xfrm>
          <a:prstGeom prst="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900"/>
              <a:t>12</a:t>
            </a:r>
            <a:endParaRPr lang="fr-FR" sz="800"/>
          </a:p>
        </xdr:txBody>
      </xdr:sp>
      <xdr:sp macro="[1]!Focus_RAZ" textlink="">
        <xdr:nvSpPr>
          <xdr:cNvPr id="17" name="Rectangle : avec coin rogné 16">
            <a:extLst>
              <a:ext uri="{FF2B5EF4-FFF2-40B4-BE49-F238E27FC236}">
                <a16:creationId xmlns:a16="http://schemas.microsoft.com/office/drawing/2014/main" id="{1C0F1CBE-61C7-2DE2-DD01-EEECD58BBDEC}"/>
              </a:ext>
            </a:extLst>
          </xdr:cNvPr>
          <xdr:cNvSpPr/>
        </xdr:nvSpPr>
        <xdr:spPr>
          <a:xfrm>
            <a:off x="3673474" y="1973933"/>
            <a:ext cx="1094400" cy="172800"/>
          </a:xfrm>
          <a:prstGeom prst="snip1Rect">
            <a:avLst/>
          </a:prstGeom>
          <a:ln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000" b="0">
                <a:solidFill>
                  <a:schemeClr val="bg1"/>
                </a:solidFill>
              </a:rPr>
              <a:t>Année complète</a:t>
            </a:r>
          </a:p>
        </xdr:txBody>
      </xdr:sp>
      <xdr:sp macro="[1]!Focus_RIEN" textlink="">
        <xdr:nvSpPr>
          <xdr:cNvPr id="18" name="Rectangle : avec coin rogné 17">
            <a:extLst>
              <a:ext uri="{FF2B5EF4-FFF2-40B4-BE49-F238E27FC236}">
                <a16:creationId xmlns:a16="http://schemas.microsoft.com/office/drawing/2014/main" id="{BE86B26A-AD31-95B3-0D65-0E22DFFA64FF}"/>
              </a:ext>
            </a:extLst>
          </xdr:cNvPr>
          <xdr:cNvSpPr/>
        </xdr:nvSpPr>
        <xdr:spPr>
          <a:xfrm flipH="1">
            <a:off x="392789" y="1973196"/>
            <a:ext cx="1094373" cy="172800"/>
          </a:xfrm>
          <a:prstGeom prst="snip1Rect">
            <a:avLst/>
          </a:prstGeom>
          <a:ln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fr-FR" sz="900" b="0">
                <a:solidFill>
                  <a:schemeClr val="bg1"/>
                </a:solidFill>
              </a:rPr>
              <a:t>Masquer l'année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brary/Containers/com.microsoft.Outlook/Data/tmp/Outlook%20Temp/Dashboard%202026.xlsm" TargetMode="External"/><Relationship Id="rId2" Type="http://schemas.openxmlformats.org/officeDocument/2006/relationships/externalLinkPath" Target="/Users/juliengonde/Library/Containers/com.microsoft.Outlook/Data/tmp/Outlook%20Temp/Dashboard%202026.xlsm" TargetMode="External"/><Relationship Id="rId1" Type="http://schemas.openxmlformats.org/officeDocument/2006/relationships/externalLinkPath" Target="/Users/juliengonde/Library/Containers/com.microsoft.Outlook/Data/tmp/Outlook%20Temp/Dashboard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urnéesCAV"/>
      <sheetName val="TournéesASS"/>
      <sheetName val="SaisiesT"/>
      <sheetName val="SortiesT"/>
      <sheetName val="InvT"/>
      <sheetName val="SaisiesP"/>
      <sheetName val="SortiesP"/>
      <sheetName val="Annuel"/>
      <sheetName val="InvP"/>
      <sheetName val="Sortants"/>
      <sheetName val="R_Tx"/>
      <sheetName val="R_P&amp;C"/>
      <sheetName val="R_€"/>
      <sheetName val="R_Cohérence"/>
      <sheetName val="M1"/>
      <sheetName val="M2"/>
      <sheetName val="M3"/>
      <sheetName val="M4"/>
      <sheetName val="M5"/>
      <sheetName val="LC"/>
    </sheetNames>
    <definedNames>
      <definedName name="Focus_aout"/>
      <definedName name="Focus_avril"/>
      <definedName name="Focus_decembre"/>
      <definedName name="Focus_fevrier"/>
      <definedName name="Focus_janvier"/>
      <definedName name="Focus_juillet"/>
      <definedName name="Focus_juin"/>
      <definedName name="Focus_mai"/>
      <definedName name="Focus_mars"/>
      <definedName name="Focus_novembre"/>
      <definedName name="Focus_octobre"/>
      <definedName name="Focus_RAZ"/>
      <definedName name="Focus_RIEN"/>
      <definedName name="Focus_septembr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B1B3-1EA0-F44B-B31A-4AE9B965495F}">
  <dimension ref="A1:L210"/>
  <sheetViews>
    <sheetView tabSelected="1" workbookViewId="0">
      <selection activeCell="A7" sqref="A7"/>
    </sheetView>
  </sheetViews>
  <sheetFormatPr baseColWidth="10" defaultRowHeight="16" x14ac:dyDescent="0.2"/>
  <cols>
    <col min="1" max="1" width="78.33203125" bestFit="1" customWidth="1"/>
    <col min="3" max="3" width="32.83203125" bestFit="1" customWidth="1"/>
    <col min="6" max="6" width="31.33203125" bestFit="1" customWidth="1"/>
    <col min="8" max="8" width="23.6640625" bestFit="1" customWidth="1"/>
    <col min="9" max="9" width="24.5" bestFit="1" customWidth="1"/>
    <col min="12" max="12" width="16.6640625" bestFit="1" customWidth="1"/>
    <col min="53" max="418" width="0" hidden="1" customWidth="1"/>
  </cols>
  <sheetData>
    <row r="1" spans="1:12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x14ac:dyDescent="0.2">
      <c r="A2" s="6" t="str">
        <f t="shared" ref="A2:A65" si="0">UPPER(F2)&amp;" - "&amp;C2&amp;IF(D2="",""," ("&amp;D2&amp;")")</f>
        <v>NOTRE-DAME-DE-BONDEVILLE - Rue des Bernardines (Devant les ateliers municipaux)</v>
      </c>
      <c r="B2" s="7">
        <f>COUNTA(#REF!)</f>
        <v>1</v>
      </c>
      <c r="C2" s="8" t="s">
        <v>12</v>
      </c>
      <c r="D2" s="9" t="s">
        <v>13</v>
      </c>
      <c r="E2" s="9">
        <v>76960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>
        <v>152</v>
      </c>
      <c r="L2" s="10" t="s">
        <v>19</v>
      </c>
    </row>
    <row r="3" spans="1:12" x14ac:dyDescent="0.2">
      <c r="A3" s="6" t="str">
        <f t="shared" si="0"/>
        <v>DÉVILLE-LÈS-ROUEN - 8 Rue De Fontenelle</v>
      </c>
      <c r="B3" s="7">
        <f>COUNTA(#REF!)</f>
        <v>1</v>
      </c>
      <c r="C3" s="11" t="s">
        <v>20</v>
      </c>
      <c r="D3" s="9"/>
      <c r="E3" s="9">
        <v>76250</v>
      </c>
      <c r="F3" s="9" t="s">
        <v>21</v>
      </c>
      <c r="G3" s="9" t="s">
        <v>22</v>
      </c>
      <c r="H3" s="9" t="s">
        <v>23</v>
      </c>
      <c r="I3" s="9" t="s">
        <v>17</v>
      </c>
      <c r="J3" s="9" t="s">
        <v>18</v>
      </c>
      <c r="K3" s="9">
        <v>168</v>
      </c>
      <c r="L3" s="10" t="s">
        <v>19</v>
      </c>
    </row>
    <row r="4" spans="1:12" x14ac:dyDescent="0.2">
      <c r="A4" s="12" t="str">
        <f t="shared" si="0"/>
        <v>DÉVILLE-LÈS-ROUEN - 34 Rue De Verdun</v>
      </c>
      <c r="B4" s="7">
        <f>COUNTA(#REF!)</f>
        <v>1</v>
      </c>
      <c r="C4" s="11" t="s">
        <v>24</v>
      </c>
      <c r="D4" s="9"/>
      <c r="E4" s="9">
        <v>76250</v>
      </c>
      <c r="F4" s="9" t="s">
        <v>21</v>
      </c>
      <c r="G4" s="9"/>
      <c r="H4" s="9"/>
      <c r="I4" s="9" t="s">
        <v>17</v>
      </c>
      <c r="J4" s="9" t="s">
        <v>18</v>
      </c>
      <c r="K4" s="9">
        <v>169</v>
      </c>
      <c r="L4" s="10" t="s">
        <v>19</v>
      </c>
    </row>
    <row r="5" spans="1:12" x14ac:dyDescent="0.2">
      <c r="A5" s="6" t="str">
        <f t="shared" si="0"/>
        <v>ROUEN - 1 Avenue Jacques Chastellain (Ile Lacroix)</v>
      </c>
      <c r="B5" s="7">
        <f>COUNTA(#REF!)</f>
        <v>1</v>
      </c>
      <c r="C5" s="11" t="s">
        <v>25</v>
      </c>
      <c r="D5" s="9" t="s">
        <v>26</v>
      </c>
      <c r="E5" s="9">
        <v>76000</v>
      </c>
      <c r="F5" s="9" t="s">
        <v>27</v>
      </c>
      <c r="G5" s="9" t="s">
        <v>28</v>
      </c>
      <c r="H5" s="9" t="s">
        <v>29</v>
      </c>
      <c r="I5" s="9" t="s">
        <v>17</v>
      </c>
      <c r="J5" s="9" t="s">
        <v>18</v>
      </c>
      <c r="K5" s="9">
        <v>170</v>
      </c>
      <c r="L5" s="10" t="s">
        <v>19</v>
      </c>
    </row>
    <row r="6" spans="1:12" x14ac:dyDescent="0.2">
      <c r="A6" s="6" t="str">
        <f t="shared" si="0"/>
        <v>OISSEL - Rue Masson  (Place de la république)</v>
      </c>
      <c r="B6" s="7">
        <f>COUNTA(#REF!)</f>
        <v>1</v>
      </c>
      <c r="C6" s="11" t="s">
        <v>30</v>
      </c>
      <c r="D6" s="9" t="s">
        <v>31</v>
      </c>
      <c r="E6" s="9">
        <v>76350</v>
      </c>
      <c r="F6" s="9" t="s">
        <v>32</v>
      </c>
      <c r="G6" s="9" t="s">
        <v>33</v>
      </c>
      <c r="H6" s="9" t="s">
        <v>34</v>
      </c>
      <c r="I6" s="9" t="s">
        <v>17</v>
      </c>
      <c r="J6" s="9" t="s">
        <v>18</v>
      </c>
      <c r="K6" s="9" t="s">
        <v>35</v>
      </c>
      <c r="L6" s="10" t="s">
        <v>36</v>
      </c>
    </row>
    <row r="7" spans="1:12" x14ac:dyDescent="0.2">
      <c r="A7" s="6" t="str">
        <f t="shared" si="0"/>
        <v>OISSEL - 6 Avenue Du Général De Gaulle (Centre Commercial Saint Julien)</v>
      </c>
      <c r="B7" s="7">
        <f>COUNTA(#REF!)</f>
        <v>1</v>
      </c>
      <c r="C7" s="11" t="s">
        <v>37</v>
      </c>
      <c r="D7" s="9" t="s">
        <v>38</v>
      </c>
      <c r="E7" s="9">
        <v>76350</v>
      </c>
      <c r="F7" s="9" t="s">
        <v>32</v>
      </c>
      <c r="G7" s="9" t="s">
        <v>39</v>
      </c>
      <c r="H7" s="9" t="s">
        <v>40</v>
      </c>
      <c r="I7" s="9" t="s">
        <v>17</v>
      </c>
      <c r="J7" s="9" t="s">
        <v>41</v>
      </c>
      <c r="K7" s="9" t="s">
        <v>42</v>
      </c>
      <c r="L7" s="10" t="s">
        <v>36</v>
      </c>
    </row>
    <row r="8" spans="1:12" x14ac:dyDescent="0.2">
      <c r="A8" s="6" t="str">
        <f t="shared" si="0"/>
        <v>SOTTEVILLE-SOUS-LE-VAL - 2 Chemin des devises (Croisement avec Rue des canadiens)</v>
      </c>
      <c r="B8" s="7">
        <f>COUNTA(#REF!)</f>
        <v>1</v>
      </c>
      <c r="C8" s="11" t="s">
        <v>43</v>
      </c>
      <c r="D8" s="9" t="s">
        <v>44</v>
      </c>
      <c r="E8" s="9">
        <v>76410</v>
      </c>
      <c r="F8" s="9" t="s">
        <v>45</v>
      </c>
      <c r="G8" s="9" t="s">
        <v>46</v>
      </c>
      <c r="H8" s="9" t="s">
        <v>47</v>
      </c>
      <c r="I8" s="9" t="s">
        <v>17</v>
      </c>
      <c r="J8" s="9" t="s">
        <v>18</v>
      </c>
      <c r="K8" s="9" t="s">
        <v>48</v>
      </c>
      <c r="L8" s="10" t="s">
        <v>36</v>
      </c>
    </row>
    <row r="9" spans="1:12" x14ac:dyDescent="0.2">
      <c r="A9" s="6" t="str">
        <f t="shared" si="0"/>
        <v>TOURVILLE-LA-RIVIÈRE - Rue Jean Jaures (Place de la Poste)</v>
      </c>
      <c r="B9" s="7">
        <f>COUNTA(#REF!)</f>
        <v>1</v>
      </c>
      <c r="C9" s="11" t="s">
        <v>49</v>
      </c>
      <c r="D9" s="9" t="s">
        <v>50</v>
      </c>
      <c r="E9" s="9">
        <v>76410</v>
      </c>
      <c r="F9" s="9" t="s">
        <v>51</v>
      </c>
      <c r="G9" s="9" t="s">
        <v>52</v>
      </c>
      <c r="H9" s="9" t="s">
        <v>53</v>
      </c>
      <c r="I9" s="9" t="s">
        <v>17</v>
      </c>
      <c r="J9" s="9" t="s">
        <v>18</v>
      </c>
      <c r="K9" s="9" t="s">
        <v>54</v>
      </c>
      <c r="L9" s="10" t="s">
        <v>36</v>
      </c>
    </row>
    <row r="10" spans="1:12" x14ac:dyDescent="0.2">
      <c r="A10" s="6" t="str">
        <f t="shared" si="0"/>
        <v>CANTELEU - 36 Avenue de Versailles</v>
      </c>
      <c r="B10" s="7">
        <f>COUNTA(#REF!)</f>
        <v>1</v>
      </c>
      <c r="C10" s="11" t="s">
        <v>55</v>
      </c>
      <c r="D10" s="9"/>
      <c r="E10" s="9">
        <v>76380</v>
      </c>
      <c r="F10" s="9" t="s">
        <v>56</v>
      </c>
      <c r="G10" s="9" t="s">
        <v>57</v>
      </c>
      <c r="H10" s="9" t="s">
        <v>58</v>
      </c>
      <c r="I10" s="9" t="s">
        <v>17</v>
      </c>
      <c r="J10" s="9" t="s">
        <v>59</v>
      </c>
      <c r="K10" s="9" t="s">
        <v>60</v>
      </c>
      <c r="L10" s="10" t="s">
        <v>19</v>
      </c>
    </row>
    <row r="11" spans="1:12" x14ac:dyDescent="0.2">
      <c r="A11" s="6" t="str">
        <f t="shared" si="0"/>
        <v>SOTTEVILLE-LÈS-ROUEN - 4 rue du Docteur Galouen</v>
      </c>
      <c r="B11" s="7">
        <f>COUNTA(#REF!)</f>
        <v>1</v>
      </c>
      <c r="C11" s="11" t="s">
        <v>61</v>
      </c>
      <c r="D11" s="9"/>
      <c r="E11" s="9">
        <v>76300</v>
      </c>
      <c r="F11" s="9" t="s">
        <v>62</v>
      </c>
      <c r="G11" s="9" t="s">
        <v>63</v>
      </c>
      <c r="H11" s="9" t="s">
        <v>64</v>
      </c>
      <c r="I11" s="9" t="s">
        <v>17</v>
      </c>
      <c r="J11" s="9" t="s">
        <v>59</v>
      </c>
      <c r="K11" s="9" t="s">
        <v>65</v>
      </c>
      <c r="L11" s="10" t="s">
        <v>19</v>
      </c>
    </row>
    <row r="12" spans="1:12" x14ac:dyDescent="0.2">
      <c r="A12" s="12" t="str">
        <f t="shared" si="0"/>
        <v>SOTTEVILLE-LÈS-ROUEN - 19 rue Marius Vallée (Face au gymnase)</v>
      </c>
      <c r="B12" s="7">
        <f>COUNTA(#REF!)</f>
        <v>1</v>
      </c>
      <c r="C12" s="11" t="s">
        <v>66</v>
      </c>
      <c r="D12" s="9" t="s">
        <v>67</v>
      </c>
      <c r="E12" s="9">
        <v>76300</v>
      </c>
      <c r="F12" s="9" t="s">
        <v>62</v>
      </c>
      <c r="G12" s="9"/>
      <c r="H12" s="9"/>
      <c r="I12" s="9" t="s">
        <v>17</v>
      </c>
      <c r="J12" s="9" t="s">
        <v>59</v>
      </c>
      <c r="K12" s="9" t="s">
        <v>68</v>
      </c>
      <c r="L12" s="10" t="s">
        <v>19</v>
      </c>
    </row>
    <row r="13" spans="1:12" x14ac:dyDescent="0.2">
      <c r="A13" s="6" t="str">
        <f t="shared" si="0"/>
        <v>CANTELEU - 7 Rue Alexandre Dumas</v>
      </c>
      <c r="B13" s="7">
        <f>COUNTA(#REF!)</f>
        <v>1</v>
      </c>
      <c r="C13" s="11" t="s">
        <v>69</v>
      </c>
      <c r="D13" s="9"/>
      <c r="E13" s="9">
        <v>76380</v>
      </c>
      <c r="F13" s="9" t="s">
        <v>56</v>
      </c>
      <c r="G13" s="9" t="s">
        <v>70</v>
      </c>
      <c r="H13" s="9" t="s">
        <v>71</v>
      </c>
      <c r="I13" s="9" t="s">
        <v>17</v>
      </c>
      <c r="J13" s="9" t="s">
        <v>59</v>
      </c>
      <c r="K13" s="9" t="s">
        <v>72</v>
      </c>
      <c r="L13" s="10" t="s">
        <v>19</v>
      </c>
    </row>
    <row r="14" spans="1:12" x14ac:dyDescent="0.2">
      <c r="A14" s="6" t="str">
        <f t="shared" si="0"/>
        <v>CANTELEU - 1 Avenue Charles Gounod (En face du collège)</v>
      </c>
      <c r="B14" s="7">
        <f>COUNTA(#REF!)</f>
        <v>1</v>
      </c>
      <c r="C14" s="11" t="s">
        <v>73</v>
      </c>
      <c r="D14" s="9" t="s">
        <v>74</v>
      </c>
      <c r="E14" s="9">
        <v>76380</v>
      </c>
      <c r="F14" s="9" t="s">
        <v>56</v>
      </c>
      <c r="G14" s="9" t="s">
        <v>75</v>
      </c>
      <c r="H14" s="9" t="s">
        <v>76</v>
      </c>
      <c r="I14" s="9" t="s">
        <v>17</v>
      </c>
      <c r="J14" s="9" t="s">
        <v>59</v>
      </c>
      <c r="K14" s="9" t="s">
        <v>77</v>
      </c>
      <c r="L14" s="10" t="s">
        <v>19</v>
      </c>
    </row>
    <row r="15" spans="1:12" x14ac:dyDescent="0.2">
      <c r="A15" s="12" t="str">
        <f t="shared" si="0"/>
        <v>LE PETIT-QUEVILLY - 57 avenue des Canadiens (Angle rue L. Antier)</v>
      </c>
      <c r="B15" s="7">
        <f>COUNTA(#REF!)</f>
        <v>1</v>
      </c>
      <c r="C15" s="8" t="s">
        <v>78</v>
      </c>
      <c r="D15" s="9" t="s">
        <v>79</v>
      </c>
      <c r="E15" s="9">
        <v>76140</v>
      </c>
      <c r="F15" s="9" t="s">
        <v>80</v>
      </c>
      <c r="G15" s="9"/>
      <c r="H15" s="9"/>
      <c r="I15" s="9" t="s">
        <v>17</v>
      </c>
      <c r="J15" s="9" t="s">
        <v>18</v>
      </c>
      <c r="K15" s="9" t="s">
        <v>81</v>
      </c>
      <c r="L15" s="10" t="s">
        <v>19</v>
      </c>
    </row>
    <row r="16" spans="1:12" x14ac:dyDescent="0.2">
      <c r="A16" s="12" t="str">
        <f t="shared" si="0"/>
        <v>LE PETIT-QUEVILLY - 136 avenue des Martyrs de la Résistance (Angle rue du Maréchal Galliéni)</v>
      </c>
      <c r="B16" s="7">
        <f>COUNTA(#REF!)</f>
        <v>1</v>
      </c>
      <c r="C16" s="8" t="s">
        <v>82</v>
      </c>
      <c r="D16" s="9" t="s">
        <v>83</v>
      </c>
      <c r="E16" s="9">
        <v>76140</v>
      </c>
      <c r="F16" s="9" t="s">
        <v>80</v>
      </c>
      <c r="G16" s="9"/>
      <c r="H16" s="9"/>
      <c r="I16" s="9" t="s">
        <v>17</v>
      </c>
      <c r="J16" s="9" t="s">
        <v>18</v>
      </c>
      <c r="K16" s="9" t="s">
        <v>84</v>
      </c>
      <c r="L16" s="10" t="s">
        <v>19</v>
      </c>
    </row>
    <row r="17" spans="1:12" x14ac:dyDescent="0.2">
      <c r="A17" s="6" t="str">
        <f t="shared" si="0"/>
        <v>PETIT-COURONNE - 44 Place Pierre Mendès France (Parking Coccinelle)</v>
      </c>
      <c r="B17" s="7">
        <f>COUNTA(#REF!)</f>
        <v>1</v>
      </c>
      <c r="C17" s="11" t="s">
        <v>85</v>
      </c>
      <c r="D17" s="9" t="s">
        <v>86</v>
      </c>
      <c r="E17" s="9">
        <v>76650</v>
      </c>
      <c r="F17" s="9" t="s">
        <v>87</v>
      </c>
      <c r="G17" s="9" t="s">
        <v>88</v>
      </c>
      <c r="H17" s="9" t="s">
        <v>89</v>
      </c>
      <c r="I17" s="9" t="s">
        <v>17</v>
      </c>
      <c r="J17" s="9" t="s">
        <v>41</v>
      </c>
      <c r="K17" s="9" t="s">
        <v>90</v>
      </c>
      <c r="L17" s="10" t="s">
        <v>19</v>
      </c>
    </row>
    <row r="18" spans="1:12" x14ac:dyDescent="0.2">
      <c r="A18" s="6" t="str">
        <f t="shared" si="0"/>
        <v>PETIT-COURONNE - 220 Rue Du 14 Juillet (Croisement rue du Pommeret)</v>
      </c>
      <c r="B18" s="7">
        <f>COUNTA(#REF!)</f>
        <v>1</v>
      </c>
      <c r="C18" s="11" t="s">
        <v>91</v>
      </c>
      <c r="D18" s="9" t="s">
        <v>92</v>
      </c>
      <c r="E18" s="9">
        <v>76650</v>
      </c>
      <c r="F18" s="9" t="s">
        <v>87</v>
      </c>
      <c r="G18" s="9" t="s">
        <v>93</v>
      </c>
      <c r="H18" s="9" t="s">
        <v>94</v>
      </c>
      <c r="I18" s="9" t="s">
        <v>17</v>
      </c>
      <c r="J18" s="9" t="s">
        <v>18</v>
      </c>
      <c r="K18" s="9" t="s">
        <v>95</v>
      </c>
      <c r="L18" s="10" t="s">
        <v>19</v>
      </c>
    </row>
    <row r="19" spans="1:12" x14ac:dyDescent="0.2">
      <c r="A19" s="6" t="str">
        <f t="shared" si="0"/>
        <v>SOTTEVILLE-LÈS-ROUEN - 103 rue Pierre Mendès-France (Parking Immeuble Habitat 76)</v>
      </c>
      <c r="B19" s="7">
        <f>COUNTA(#REF!)</f>
        <v>1</v>
      </c>
      <c r="C19" s="11" t="s">
        <v>96</v>
      </c>
      <c r="D19" s="9" t="s">
        <v>97</v>
      </c>
      <c r="E19" s="9">
        <v>76300</v>
      </c>
      <c r="F19" s="9" t="s">
        <v>62</v>
      </c>
      <c r="G19" s="9" t="s">
        <v>98</v>
      </c>
      <c r="H19" s="9" t="s">
        <v>99</v>
      </c>
      <c r="I19" s="9" t="s">
        <v>17</v>
      </c>
      <c r="J19" s="9" t="s">
        <v>59</v>
      </c>
      <c r="K19" s="9" t="s">
        <v>100</v>
      </c>
      <c r="L19" s="10" t="s">
        <v>19</v>
      </c>
    </row>
    <row r="20" spans="1:12" x14ac:dyDescent="0.2">
      <c r="A20" s="6" t="str">
        <f t="shared" si="0"/>
        <v>AMFREVILLE-LA-MI-VOIE - 541 Chemin du Mesnil-Esnard (Parking de la crèche - Ecole Maternelle)</v>
      </c>
      <c r="B20" s="7">
        <f>COUNTA(#REF!)</f>
        <v>1</v>
      </c>
      <c r="C20" s="11" t="s">
        <v>101</v>
      </c>
      <c r="D20" s="9" t="s">
        <v>102</v>
      </c>
      <c r="E20" s="9">
        <v>76920</v>
      </c>
      <c r="F20" s="9" t="s">
        <v>103</v>
      </c>
      <c r="G20" s="9" t="s">
        <v>104</v>
      </c>
      <c r="H20" s="9" t="s">
        <v>105</v>
      </c>
      <c r="I20" s="9" t="s">
        <v>17</v>
      </c>
      <c r="J20" s="9" t="s">
        <v>18</v>
      </c>
      <c r="K20" s="9" t="s">
        <v>106</v>
      </c>
      <c r="L20" s="10" t="s">
        <v>19</v>
      </c>
    </row>
    <row r="21" spans="1:12" x14ac:dyDescent="0.2">
      <c r="A21" s="6" t="str">
        <f t="shared" si="0"/>
        <v>BARENTIN - Centre commercial du Mesnil Roux (Parking Carrefour en face du Feu Vert)</v>
      </c>
      <c r="B21" s="7">
        <f>COUNTA(#REF!)</f>
        <v>1</v>
      </c>
      <c r="C21" s="11" t="s">
        <v>107</v>
      </c>
      <c r="D21" s="9" t="s">
        <v>108</v>
      </c>
      <c r="E21" s="9">
        <v>76360</v>
      </c>
      <c r="F21" s="9" t="s">
        <v>109</v>
      </c>
      <c r="G21" s="9" t="s">
        <v>110</v>
      </c>
      <c r="H21" s="9" t="s">
        <v>111</v>
      </c>
      <c r="I21" s="9"/>
      <c r="J21" s="9" t="s">
        <v>41</v>
      </c>
      <c r="K21" s="9" t="s">
        <v>112</v>
      </c>
      <c r="L21" s="10" t="s">
        <v>19</v>
      </c>
    </row>
    <row r="22" spans="1:12" x14ac:dyDescent="0.2">
      <c r="A22" s="6" t="str">
        <f t="shared" si="0"/>
        <v>BONSECOURS - 23 Rue Camille Saint Saens (Parking du Stade des Hautes Haies)</v>
      </c>
      <c r="B22" s="7">
        <f>COUNTA(#REF!)</f>
        <v>1</v>
      </c>
      <c r="C22" s="8" t="s">
        <v>113</v>
      </c>
      <c r="D22" s="9" t="s">
        <v>114</v>
      </c>
      <c r="E22" s="9">
        <v>76240</v>
      </c>
      <c r="F22" s="9" t="s">
        <v>115</v>
      </c>
      <c r="G22" s="9" t="s">
        <v>116</v>
      </c>
      <c r="H22" s="9" t="s">
        <v>117</v>
      </c>
      <c r="I22" s="9" t="s">
        <v>17</v>
      </c>
      <c r="J22" s="9" t="s">
        <v>18</v>
      </c>
      <c r="K22" s="9" t="s">
        <v>118</v>
      </c>
      <c r="L22" s="10" t="s">
        <v>19</v>
      </c>
    </row>
    <row r="23" spans="1:12" x14ac:dyDescent="0.2">
      <c r="A23" s="6" t="str">
        <f t="shared" si="0"/>
        <v>BOOS - 60 Impasse de la Grande Mare</v>
      </c>
      <c r="B23" s="7">
        <f>COUNTA(#REF!)</f>
        <v>1</v>
      </c>
      <c r="C23" s="8" t="s">
        <v>119</v>
      </c>
      <c r="D23" s="9"/>
      <c r="E23" s="9">
        <v>76520</v>
      </c>
      <c r="F23" s="9" t="s">
        <v>120</v>
      </c>
      <c r="G23" s="9" t="s">
        <v>121</v>
      </c>
      <c r="H23" s="9" t="s">
        <v>122</v>
      </c>
      <c r="I23" s="9" t="s">
        <v>17</v>
      </c>
      <c r="J23" s="9" t="s">
        <v>41</v>
      </c>
      <c r="K23" s="9" t="s">
        <v>123</v>
      </c>
      <c r="L23" s="10" t="s">
        <v>19</v>
      </c>
    </row>
    <row r="24" spans="1:12" x14ac:dyDescent="0.2">
      <c r="A24" s="6" t="str">
        <f t="shared" si="0"/>
        <v>DARNÉTAL - 98 Rue Sadi Carnot (Face à la Mairie)</v>
      </c>
      <c r="B24" s="7">
        <f>COUNTA(#REF!)</f>
        <v>1</v>
      </c>
      <c r="C24" s="11" t="s">
        <v>124</v>
      </c>
      <c r="D24" s="9" t="s">
        <v>125</v>
      </c>
      <c r="E24" s="9">
        <v>76160</v>
      </c>
      <c r="F24" s="9" t="s">
        <v>126</v>
      </c>
      <c r="G24" s="9" t="s">
        <v>127</v>
      </c>
      <c r="H24" s="9" t="s">
        <v>128</v>
      </c>
      <c r="I24" s="9" t="s">
        <v>17</v>
      </c>
      <c r="J24" s="9" t="s">
        <v>18</v>
      </c>
      <c r="K24" s="9" t="s">
        <v>129</v>
      </c>
      <c r="L24" s="10" t="s">
        <v>19</v>
      </c>
    </row>
    <row r="25" spans="1:12" x14ac:dyDescent="0.2">
      <c r="A25" s="6" t="str">
        <f t="shared" si="0"/>
        <v>DARNÉTAL - 1 Rue de Préaux (Rond Point de la Girafe - Face à boulangerie)</v>
      </c>
      <c r="B25" s="7">
        <f>COUNTA(#REF!)</f>
        <v>1</v>
      </c>
      <c r="C25" s="11" t="s">
        <v>130</v>
      </c>
      <c r="D25" s="9" t="s">
        <v>131</v>
      </c>
      <c r="E25" s="9">
        <v>76160</v>
      </c>
      <c r="F25" s="9" t="s">
        <v>126</v>
      </c>
      <c r="G25" s="9" t="s">
        <v>132</v>
      </c>
      <c r="H25" s="9" t="s">
        <v>133</v>
      </c>
      <c r="I25" s="9" t="s">
        <v>17</v>
      </c>
      <c r="J25" s="9" t="s">
        <v>18</v>
      </c>
      <c r="K25" s="9" t="s">
        <v>134</v>
      </c>
      <c r="L25" s="10" t="s">
        <v>19</v>
      </c>
    </row>
    <row r="26" spans="1:12" x14ac:dyDescent="0.2">
      <c r="A26" s="6" t="str">
        <f t="shared" si="0"/>
        <v>DÉVILLE-LÈS-ROUEN - 51 Rue de la République (Devant Créapolis)</v>
      </c>
      <c r="B26" s="7">
        <f>COUNTA(#REF!)</f>
        <v>1</v>
      </c>
      <c r="C26" s="11" t="s">
        <v>135</v>
      </c>
      <c r="D26" s="9" t="s">
        <v>136</v>
      </c>
      <c r="E26" s="9">
        <v>76250</v>
      </c>
      <c r="F26" s="9" t="s">
        <v>21</v>
      </c>
      <c r="G26" s="9" t="s">
        <v>137</v>
      </c>
      <c r="H26" s="9" t="s">
        <v>138</v>
      </c>
      <c r="I26" s="9" t="s">
        <v>17</v>
      </c>
      <c r="J26" s="9" t="s">
        <v>18</v>
      </c>
      <c r="K26" s="9" t="s">
        <v>139</v>
      </c>
      <c r="L26" s="10" t="s">
        <v>19</v>
      </c>
    </row>
    <row r="27" spans="1:12" x14ac:dyDescent="0.2">
      <c r="A27" s="6" t="str">
        <f t="shared" si="0"/>
        <v>DÉVILLE-LÈS-ROUEN - 340 Route de Dieppe (Parking Salle communale (Mairie))</v>
      </c>
      <c r="B27" s="7">
        <f>COUNTA(#REF!)</f>
        <v>1</v>
      </c>
      <c r="C27" s="11" t="s">
        <v>140</v>
      </c>
      <c r="D27" s="9" t="s">
        <v>141</v>
      </c>
      <c r="E27" s="9">
        <v>76250</v>
      </c>
      <c r="F27" s="9" t="s">
        <v>21</v>
      </c>
      <c r="G27" s="9" t="s">
        <v>142</v>
      </c>
      <c r="H27" s="9" t="s">
        <v>143</v>
      </c>
      <c r="I27" s="9" t="s">
        <v>17</v>
      </c>
      <c r="J27" s="9" t="s">
        <v>18</v>
      </c>
      <c r="K27" s="9" t="s">
        <v>144</v>
      </c>
      <c r="L27" s="10" t="s">
        <v>19</v>
      </c>
    </row>
    <row r="28" spans="1:12" x14ac:dyDescent="0.2">
      <c r="A28" s="6" t="str">
        <f t="shared" si="0"/>
        <v>FRANQUEVILLE-SAINT-PIERRE - 962 Rue Pierre Curie (Cimetière)</v>
      </c>
      <c r="B28" s="7">
        <f>COUNTA(#REF!)</f>
        <v>1</v>
      </c>
      <c r="C28" s="11" t="s">
        <v>145</v>
      </c>
      <c r="D28" s="9" t="s">
        <v>146</v>
      </c>
      <c r="E28" s="9">
        <v>76520</v>
      </c>
      <c r="F28" s="9" t="s">
        <v>147</v>
      </c>
      <c r="G28" s="9" t="s">
        <v>148</v>
      </c>
      <c r="H28" s="9" t="s">
        <v>149</v>
      </c>
      <c r="I28" s="9" t="s">
        <v>17</v>
      </c>
      <c r="J28" s="9" t="s">
        <v>18</v>
      </c>
      <c r="K28" s="9" t="s">
        <v>150</v>
      </c>
      <c r="L28" s="10" t="s">
        <v>19</v>
      </c>
    </row>
    <row r="29" spans="1:12" x14ac:dyDescent="0.2">
      <c r="A29" s="6" t="str">
        <f t="shared" si="0"/>
        <v>HÉNOUVILLE - 9 rue du Stade (Salle polyvalente - Ecole)</v>
      </c>
      <c r="B29" s="7">
        <f>COUNTA(#REF!)</f>
        <v>1</v>
      </c>
      <c r="C29" s="11" t="s">
        <v>151</v>
      </c>
      <c r="D29" s="9" t="s">
        <v>152</v>
      </c>
      <c r="E29" s="9">
        <v>76840</v>
      </c>
      <c r="F29" s="9" t="s">
        <v>153</v>
      </c>
      <c r="G29" s="9" t="s">
        <v>154</v>
      </c>
      <c r="H29" s="9" t="s">
        <v>155</v>
      </c>
      <c r="I29" s="9" t="s">
        <v>17</v>
      </c>
      <c r="J29" s="9" t="s">
        <v>18</v>
      </c>
      <c r="K29" s="9" t="s">
        <v>156</v>
      </c>
      <c r="L29" s="10" t="s">
        <v>19</v>
      </c>
    </row>
    <row r="30" spans="1:12" x14ac:dyDescent="0.2">
      <c r="A30" s="6" t="str">
        <f t="shared" si="0"/>
        <v>HOUPPEVILLE - 140 Rue Louis Pasteur (Près des Jardins ouvriers)</v>
      </c>
      <c r="B30" s="7">
        <f>COUNTA(#REF!)</f>
        <v>1</v>
      </c>
      <c r="C30" s="11" t="s">
        <v>157</v>
      </c>
      <c r="D30" s="9" t="s">
        <v>158</v>
      </c>
      <c r="E30" s="9">
        <v>76770</v>
      </c>
      <c r="F30" s="9" t="s">
        <v>159</v>
      </c>
      <c r="G30" s="9" t="s">
        <v>160</v>
      </c>
      <c r="H30" s="9" t="s">
        <v>161</v>
      </c>
      <c r="I30" s="9" t="s">
        <v>17</v>
      </c>
      <c r="J30" s="9" t="s">
        <v>18</v>
      </c>
      <c r="K30" s="9" t="s">
        <v>162</v>
      </c>
      <c r="L30" s="10" t="s">
        <v>19</v>
      </c>
    </row>
    <row r="31" spans="1:12" x14ac:dyDescent="0.2">
      <c r="A31" s="6" t="str">
        <f t="shared" si="0"/>
        <v>ISNEAUVILLE - 3 Route de Dieppe (Parking Intermarché)</v>
      </c>
      <c r="B31" s="7">
        <f>COUNTA(#REF!)</f>
        <v>1</v>
      </c>
      <c r="C31" s="11" t="s">
        <v>163</v>
      </c>
      <c r="D31" s="9" t="s">
        <v>164</v>
      </c>
      <c r="E31" s="9">
        <v>76230</v>
      </c>
      <c r="F31" s="9" t="s">
        <v>165</v>
      </c>
      <c r="G31" s="9" t="s">
        <v>166</v>
      </c>
      <c r="H31" s="9" t="s">
        <v>167</v>
      </c>
      <c r="I31" s="9" t="s">
        <v>17</v>
      </c>
      <c r="J31" s="9" t="s">
        <v>41</v>
      </c>
      <c r="K31" s="9" t="s">
        <v>168</v>
      </c>
      <c r="L31" s="10" t="s">
        <v>19</v>
      </c>
    </row>
    <row r="32" spans="1:12" x14ac:dyDescent="0.2">
      <c r="A32" s="6" t="str">
        <f t="shared" si="0"/>
        <v>MALAUNAY - 10 Rue Louis Lesouef (Parking face à Renault)</v>
      </c>
      <c r="B32" s="7">
        <f>COUNTA(#REF!)</f>
        <v>1</v>
      </c>
      <c r="C32" s="11" t="s">
        <v>169</v>
      </c>
      <c r="D32" s="9" t="s">
        <v>170</v>
      </c>
      <c r="E32" s="9">
        <v>76770</v>
      </c>
      <c r="F32" s="9" t="s">
        <v>171</v>
      </c>
      <c r="G32" s="9" t="s">
        <v>172</v>
      </c>
      <c r="H32" s="9" t="s">
        <v>173</v>
      </c>
      <c r="I32" s="9" t="s">
        <v>17</v>
      </c>
      <c r="J32" s="9" t="s">
        <v>18</v>
      </c>
      <c r="K32" s="9" t="s">
        <v>174</v>
      </c>
      <c r="L32" s="10" t="s">
        <v>19</v>
      </c>
    </row>
    <row r="33" spans="1:12" x14ac:dyDescent="0.2">
      <c r="A33" s="6" t="str">
        <f t="shared" si="0"/>
        <v>LE MESNIL-ESNARD - 5 Rue des Perets (Parking de l'école)</v>
      </c>
      <c r="B33" s="7">
        <f>COUNTA(#REF!)</f>
        <v>1</v>
      </c>
      <c r="C33" s="11" t="s">
        <v>175</v>
      </c>
      <c r="D33" s="9" t="s">
        <v>176</v>
      </c>
      <c r="E33" s="9">
        <v>76240</v>
      </c>
      <c r="F33" s="9" t="s">
        <v>177</v>
      </c>
      <c r="G33" s="9" t="s">
        <v>178</v>
      </c>
      <c r="H33" s="9" t="s">
        <v>179</v>
      </c>
      <c r="I33" s="9" t="s">
        <v>17</v>
      </c>
      <c r="J33" s="9" t="s">
        <v>18</v>
      </c>
      <c r="K33" s="9" t="s">
        <v>180</v>
      </c>
      <c r="L33" s="10" t="s">
        <v>19</v>
      </c>
    </row>
    <row r="34" spans="1:12" x14ac:dyDescent="0.2">
      <c r="A34" s="6" t="str">
        <f t="shared" si="0"/>
        <v>LE MESNIL-ESNARD - 3 Rue Gontran Pailhès (Carrefour Market)</v>
      </c>
      <c r="B34" s="7">
        <f>COUNTA(#REF!)</f>
        <v>1</v>
      </c>
      <c r="C34" s="11" t="s">
        <v>181</v>
      </c>
      <c r="D34" s="9" t="s">
        <v>182</v>
      </c>
      <c r="E34" s="9">
        <v>76240</v>
      </c>
      <c r="F34" s="9" t="s">
        <v>177</v>
      </c>
      <c r="G34" s="9" t="s">
        <v>183</v>
      </c>
      <c r="H34" s="9" t="s">
        <v>184</v>
      </c>
      <c r="I34" s="9" t="s">
        <v>17</v>
      </c>
      <c r="J34" s="9" t="s">
        <v>41</v>
      </c>
      <c r="K34" s="9" t="s">
        <v>185</v>
      </c>
      <c r="L34" s="10" t="s">
        <v>19</v>
      </c>
    </row>
    <row r="35" spans="1:12" x14ac:dyDescent="0.2">
      <c r="A35" s="6" t="str">
        <f t="shared" si="0"/>
        <v>MONT-SAINT-AIGNAN - Centre Commercial La Vatine (Parking Carrefour)</v>
      </c>
      <c r="B35" s="7">
        <f>COUNTA(#REF!)</f>
        <v>1</v>
      </c>
      <c r="C35" s="11" t="s">
        <v>186</v>
      </c>
      <c r="D35" s="9" t="s">
        <v>187</v>
      </c>
      <c r="E35" s="9">
        <v>76130</v>
      </c>
      <c r="F35" s="9" t="s">
        <v>188</v>
      </c>
      <c r="G35" s="9" t="s">
        <v>189</v>
      </c>
      <c r="H35" s="9" t="s">
        <v>190</v>
      </c>
      <c r="I35" s="9" t="s">
        <v>17</v>
      </c>
      <c r="J35" s="9" t="s">
        <v>41</v>
      </c>
      <c r="K35" s="9" t="s">
        <v>191</v>
      </c>
      <c r="L35" s="10" t="s">
        <v>19</v>
      </c>
    </row>
    <row r="36" spans="1:12" x14ac:dyDescent="0.2">
      <c r="A36" s="6" t="str">
        <f t="shared" si="0"/>
        <v>MONTVILLE - 693 rue des Reservoirs (Déchetterie - 9h30 / 11h45)</v>
      </c>
      <c r="B36" s="7">
        <f>COUNTA(#REF!)</f>
        <v>1</v>
      </c>
      <c r="C36" s="11" t="s">
        <v>192</v>
      </c>
      <c r="D36" s="9" t="s">
        <v>193</v>
      </c>
      <c r="E36" s="9">
        <v>76710</v>
      </c>
      <c r="F36" s="9" t="s">
        <v>194</v>
      </c>
      <c r="G36" s="9" t="s">
        <v>195</v>
      </c>
      <c r="H36" s="9" t="s">
        <v>196</v>
      </c>
      <c r="I36" s="9"/>
      <c r="J36" s="9" t="s">
        <v>18</v>
      </c>
      <c r="K36" s="9" t="s">
        <v>197</v>
      </c>
      <c r="L36" s="10" t="s">
        <v>19</v>
      </c>
    </row>
    <row r="37" spans="1:12" x14ac:dyDescent="0.2">
      <c r="A37" s="6" t="str">
        <f t="shared" si="0"/>
        <v>MONTVILLE - 1 Sentier des Jumelles (Parking Intermarché)</v>
      </c>
      <c r="B37" s="7">
        <f>COUNTA(#REF!)</f>
        <v>1</v>
      </c>
      <c r="C37" s="11" t="s">
        <v>198</v>
      </c>
      <c r="D37" s="9" t="s">
        <v>164</v>
      </c>
      <c r="E37" s="9">
        <v>76710</v>
      </c>
      <c r="F37" s="9" t="s">
        <v>194</v>
      </c>
      <c r="G37" s="9" t="s">
        <v>199</v>
      </c>
      <c r="H37" s="9" t="s">
        <v>200</v>
      </c>
      <c r="I37" s="9"/>
      <c r="J37" s="9" t="s">
        <v>41</v>
      </c>
      <c r="K37" s="9" t="s">
        <v>201</v>
      </c>
      <c r="L37" s="10" t="s">
        <v>19</v>
      </c>
    </row>
    <row r="38" spans="1:12" x14ac:dyDescent="0.2">
      <c r="A38" s="6" t="str">
        <f t="shared" si="0"/>
        <v>NOTRE-DAME-DE-BONDEVILLE - 90 rue des longs Vallons</v>
      </c>
      <c r="B38" s="7">
        <f>COUNTA(#REF!)</f>
        <v>1</v>
      </c>
      <c r="C38" s="8" t="s">
        <v>202</v>
      </c>
      <c r="D38" s="9"/>
      <c r="E38" s="9">
        <v>76960</v>
      </c>
      <c r="F38" s="9" t="s">
        <v>14</v>
      </c>
      <c r="G38" s="9" t="s">
        <v>203</v>
      </c>
      <c r="H38" s="9" t="s">
        <v>204</v>
      </c>
      <c r="I38" s="9" t="s">
        <v>17</v>
      </c>
      <c r="J38" s="9" t="s">
        <v>18</v>
      </c>
      <c r="K38" s="9" t="s">
        <v>205</v>
      </c>
      <c r="L38" s="10" t="s">
        <v>19</v>
      </c>
    </row>
    <row r="39" spans="1:12" x14ac:dyDescent="0.2">
      <c r="A39" s="6" t="str">
        <f t="shared" si="0"/>
        <v>QUEVILLON - 31 Route de Belaitre (Parking Verger et Gite de Belaitre)</v>
      </c>
      <c r="B39" s="7">
        <f>COUNTA(#REF!)</f>
        <v>1</v>
      </c>
      <c r="C39" s="11" t="s">
        <v>206</v>
      </c>
      <c r="D39" s="9" t="s">
        <v>207</v>
      </c>
      <c r="E39" s="9">
        <v>76840</v>
      </c>
      <c r="F39" s="9" t="s">
        <v>208</v>
      </c>
      <c r="G39" s="9" t="s">
        <v>209</v>
      </c>
      <c r="H39" s="9" t="s">
        <v>210</v>
      </c>
      <c r="I39" s="9" t="s">
        <v>17</v>
      </c>
      <c r="J39" s="9" t="s">
        <v>18</v>
      </c>
      <c r="K39" s="9" t="s">
        <v>211</v>
      </c>
      <c r="L39" s="10" t="s">
        <v>19</v>
      </c>
    </row>
    <row r="40" spans="1:12" x14ac:dyDescent="0.2">
      <c r="A40" s="6" t="str">
        <f t="shared" si="0"/>
        <v>QUINCAMPOIX - 11 Rue de Cailly (Parking du Cimetière)</v>
      </c>
      <c r="B40" s="7">
        <f>COUNTA(#REF!)</f>
        <v>1</v>
      </c>
      <c r="C40" s="11" t="s">
        <v>212</v>
      </c>
      <c r="D40" s="9" t="s">
        <v>213</v>
      </c>
      <c r="E40" s="9">
        <v>76230</v>
      </c>
      <c r="F40" s="9" t="s">
        <v>214</v>
      </c>
      <c r="G40" s="9" t="s">
        <v>215</v>
      </c>
      <c r="H40" s="9" t="s">
        <v>216</v>
      </c>
      <c r="I40" s="9"/>
      <c r="J40" s="9" t="s">
        <v>18</v>
      </c>
      <c r="K40" s="9" t="s">
        <v>217</v>
      </c>
      <c r="L40" s="10" t="s">
        <v>19</v>
      </c>
    </row>
    <row r="41" spans="1:12" x14ac:dyDescent="0.2">
      <c r="A41" s="12" t="str">
        <f t="shared" si="0"/>
        <v>ROUEN - 64 Boulevard d'Orléans (En face du Coccinelle)</v>
      </c>
      <c r="B41" s="7">
        <f>COUNTA(#REF!)</f>
        <v>1</v>
      </c>
      <c r="C41" s="11" t="s">
        <v>218</v>
      </c>
      <c r="D41" s="9" t="s">
        <v>219</v>
      </c>
      <c r="E41" s="9">
        <v>76000</v>
      </c>
      <c r="F41" s="9" t="s">
        <v>27</v>
      </c>
      <c r="G41" s="9"/>
      <c r="H41" s="9"/>
      <c r="I41" s="9" t="s">
        <v>17</v>
      </c>
      <c r="J41" s="9" t="s">
        <v>18</v>
      </c>
      <c r="K41" s="9" t="s">
        <v>220</v>
      </c>
      <c r="L41" s="10" t="s">
        <v>19</v>
      </c>
    </row>
    <row r="42" spans="1:12" x14ac:dyDescent="0.2">
      <c r="A42" s="6" t="str">
        <f t="shared" si="0"/>
        <v>SAINT-AUBIN-EPINAY - 127 Rue de l'Eglise (Parking de l'école)</v>
      </c>
      <c r="B42" s="7">
        <f>COUNTA(#REF!)</f>
        <v>1</v>
      </c>
      <c r="C42" s="11" t="s">
        <v>221</v>
      </c>
      <c r="D42" s="9" t="s">
        <v>176</v>
      </c>
      <c r="E42" s="9">
        <v>76160</v>
      </c>
      <c r="F42" s="9" t="s">
        <v>222</v>
      </c>
      <c r="G42" s="9" t="s">
        <v>223</v>
      </c>
      <c r="H42" s="9" t="s">
        <v>224</v>
      </c>
      <c r="I42" s="9" t="s">
        <v>17</v>
      </c>
      <c r="J42" s="9" t="s">
        <v>18</v>
      </c>
      <c r="K42" s="9" t="s">
        <v>225</v>
      </c>
      <c r="L42" s="10" t="s">
        <v>19</v>
      </c>
    </row>
    <row r="43" spans="1:12" x14ac:dyDescent="0.2">
      <c r="A43" s="6" t="str">
        <f t="shared" si="0"/>
        <v>SAINT-JACQUES-SUR-DARNÉTAL - 35 Rue de Verdun (Entre la Mairie et l'Eglise)</v>
      </c>
      <c r="B43" s="7">
        <f>COUNTA(#REF!)</f>
        <v>1</v>
      </c>
      <c r="C43" s="11" t="s">
        <v>226</v>
      </c>
      <c r="D43" s="9" t="s">
        <v>227</v>
      </c>
      <c r="E43" s="9">
        <v>76160</v>
      </c>
      <c r="F43" s="9" t="s">
        <v>228</v>
      </c>
      <c r="G43" s="9" t="s">
        <v>229</v>
      </c>
      <c r="H43" s="9" t="s">
        <v>230</v>
      </c>
      <c r="I43" s="9" t="s">
        <v>17</v>
      </c>
      <c r="J43" s="9" t="s">
        <v>18</v>
      </c>
      <c r="K43" s="9" t="s">
        <v>231</v>
      </c>
      <c r="L43" s="10" t="s">
        <v>19</v>
      </c>
    </row>
    <row r="44" spans="1:12" x14ac:dyDescent="0.2">
      <c r="A44" s="6" t="str">
        <f t="shared" si="0"/>
        <v>SAINT-LÉGER-DU-BOURG-DENIS - 76 rue des Sources (Parking Mairie)</v>
      </c>
      <c r="B44" s="7">
        <f>COUNTA(#REF!)</f>
        <v>1</v>
      </c>
      <c r="C44" s="11" t="s">
        <v>232</v>
      </c>
      <c r="D44" s="9" t="s">
        <v>233</v>
      </c>
      <c r="E44" s="9">
        <v>76160</v>
      </c>
      <c r="F44" s="9" t="s">
        <v>234</v>
      </c>
      <c r="G44" s="9" t="s">
        <v>235</v>
      </c>
      <c r="H44" s="9" t="s">
        <v>236</v>
      </c>
      <c r="I44" s="9" t="s">
        <v>17</v>
      </c>
      <c r="J44" s="9" t="s">
        <v>18</v>
      </c>
      <c r="K44" s="9" t="s">
        <v>237</v>
      </c>
      <c r="L44" s="10" t="s">
        <v>19</v>
      </c>
    </row>
    <row r="45" spans="1:12" x14ac:dyDescent="0.2">
      <c r="A45" s="6" t="str">
        <f t="shared" si="0"/>
        <v>SAINT-MARTIN-DE-BOSCHERVILLE - 62 Route de l'Abbaye (Au fond du parking)</v>
      </c>
      <c r="B45" s="7">
        <f>COUNTA(#REF!)</f>
        <v>1</v>
      </c>
      <c r="C45" s="11" t="s">
        <v>238</v>
      </c>
      <c r="D45" s="9" t="s">
        <v>239</v>
      </c>
      <c r="E45" s="9">
        <v>76840</v>
      </c>
      <c r="F45" s="9" t="s">
        <v>240</v>
      </c>
      <c r="G45" s="9" t="s">
        <v>241</v>
      </c>
      <c r="H45" s="9" t="s">
        <v>242</v>
      </c>
      <c r="I45" s="9" t="s">
        <v>17</v>
      </c>
      <c r="J45" s="9" t="s">
        <v>18</v>
      </c>
      <c r="K45" s="9" t="s">
        <v>243</v>
      </c>
      <c r="L45" s="10" t="s">
        <v>19</v>
      </c>
    </row>
    <row r="46" spans="1:12" x14ac:dyDescent="0.2">
      <c r="A46" s="6" t="str">
        <f t="shared" si="0"/>
        <v>SAINT-MARTIN-DU-VIVIER - 1377 Route de la Vallée (Parking a coté de la Mairie)</v>
      </c>
      <c r="B46" s="7">
        <f>COUNTA(#REF!)</f>
        <v>1</v>
      </c>
      <c r="C46" s="11" t="s">
        <v>244</v>
      </c>
      <c r="D46" s="9" t="s">
        <v>245</v>
      </c>
      <c r="E46" s="9">
        <v>76160</v>
      </c>
      <c r="F46" s="9" t="s">
        <v>246</v>
      </c>
      <c r="G46" s="9" t="s">
        <v>247</v>
      </c>
      <c r="H46" s="9" t="s">
        <v>248</v>
      </c>
      <c r="I46" s="9" t="s">
        <v>17</v>
      </c>
      <c r="J46" s="9" t="s">
        <v>18</v>
      </c>
      <c r="K46" s="9" t="s">
        <v>249</v>
      </c>
      <c r="L46" s="10" t="s">
        <v>19</v>
      </c>
    </row>
    <row r="47" spans="1:12" x14ac:dyDescent="0.2">
      <c r="A47" s="6" t="str">
        <f t="shared" si="0"/>
        <v>SAINT-PIERRE-DE-VARENGEVILLE - 240 Rue de la Paix (Parking du Cimetière)</v>
      </c>
      <c r="B47" s="7">
        <f>COUNTA(#REF!)</f>
        <v>1</v>
      </c>
      <c r="C47" s="11" t="s">
        <v>250</v>
      </c>
      <c r="D47" s="9" t="s">
        <v>213</v>
      </c>
      <c r="E47" s="9">
        <v>76480</v>
      </c>
      <c r="F47" s="9" t="s">
        <v>251</v>
      </c>
      <c r="G47" s="9" t="s">
        <v>252</v>
      </c>
      <c r="H47" s="9" t="s">
        <v>253</v>
      </c>
      <c r="I47" s="9" t="s">
        <v>17</v>
      </c>
      <c r="J47" s="9" t="s">
        <v>18</v>
      </c>
      <c r="K47" s="9" t="s">
        <v>254</v>
      </c>
      <c r="L47" s="10" t="s">
        <v>19</v>
      </c>
    </row>
    <row r="48" spans="1:12" x14ac:dyDescent="0.2">
      <c r="A48" s="6" t="str">
        <f t="shared" si="0"/>
        <v>TOURVILLE-LA-RIVIÈRE - Avenue Gustave Picard (Parking Carrefour)</v>
      </c>
      <c r="B48" s="7">
        <f>COUNTA(#REF!)</f>
        <v>1</v>
      </c>
      <c r="C48" s="11" t="s">
        <v>255</v>
      </c>
      <c r="D48" s="9" t="s">
        <v>187</v>
      </c>
      <c r="E48" s="9">
        <v>76410</v>
      </c>
      <c r="F48" s="9" t="s">
        <v>51</v>
      </c>
      <c r="G48" s="9" t="s">
        <v>256</v>
      </c>
      <c r="H48" s="9" t="s">
        <v>257</v>
      </c>
      <c r="I48" s="9" t="s">
        <v>17</v>
      </c>
      <c r="J48" s="9" t="s">
        <v>41</v>
      </c>
      <c r="K48" s="9" t="s">
        <v>258</v>
      </c>
      <c r="L48" s="10" t="s">
        <v>19</v>
      </c>
    </row>
    <row r="49" spans="1:12" x14ac:dyDescent="0.2">
      <c r="A49" s="6" t="str">
        <f t="shared" si="0"/>
        <v>LE TRAIT - 365 Rue Denis Papin (Parking Carrefour Market)</v>
      </c>
      <c r="B49" s="7">
        <f>COUNTA(#REF!)</f>
        <v>1</v>
      </c>
      <c r="C49" s="11" t="s">
        <v>259</v>
      </c>
      <c r="D49" s="9" t="s">
        <v>260</v>
      </c>
      <c r="E49" s="9">
        <v>76580</v>
      </c>
      <c r="F49" s="9" t="s">
        <v>261</v>
      </c>
      <c r="G49" s="9" t="s">
        <v>262</v>
      </c>
      <c r="H49" s="9" t="s">
        <v>263</v>
      </c>
      <c r="I49" s="9" t="s">
        <v>17</v>
      </c>
      <c r="J49" s="9" t="s">
        <v>41</v>
      </c>
      <c r="K49" s="9" t="s">
        <v>264</v>
      </c>
      <c r="L49" s="10" t="s">
        <v>19</v>
      </c>
    </row>
    <row r="50" spans="1:12" x14ac:dyDescent="0.2">
      <c r="A50" s="6" t="str">
        <f t="shared" si="0"/>
        <v>LA VAUPALIÈRE - 133 rue de l'Eglise (Parking en face de l'Espace WAPALLERIA)</v>
      </c>
      <c r="B50" s="7">
        <f>COUNTA(#REF!)</f>
        <v>1</v>
      </c>
      <c r="C50" s="11" t="s">
        <v>265</v>
      </c>
      <c r="D50" s="9" t="s">
        <v>266</v>
      </c>
      <c r="E50" s="9">
        <v>76150</v>
      </c>
      <c r="F50" s="9" t="s">
        <v>267</v>
      </c>
      <c r="G50" s="9" t="s">
        <v>268</v>
      </c>
      <c r="H50" s="9" t="s">
        <v>269</v>
      </c>
      <c r="I50" s="9"/>
      <c r="J50" s="9" t="s">
        <v>18</v>
      </c>
      <c r="K50" s="9" t="s">
        <v>270</v>
      </c>
      <c r="L50" s="10" t="s">
        <v>19</v>
      </c>
    </row>
    <row r="51" spans="1:12" x14ac:dyDescent="0.2">
      <c r="A51" s="6" t="str">
        <f t="shared" si="0"/>
        <v>LE GRAND-QUEVILLY - 106 rue Paul Cezanne</v>
      </c>
      <c r="B51" s="7">
        <f>COUNTA(#REF!)</f>
        <v>1</v>
      </c>
      <c r="C51" s="11" t="s">
        <v>271</v>
      </c>
      <c r="D51" s="9"/>
      <c r="E51" s="9">
        <v>76120</v>
      </c>
      <c r="F51" s="9" t="s">
        <v>272</v>
      </c>
      <c r="G51" s="9" t="s">
        <v>273</v>
      </c>
      <c r="H51" s="9" t="s">
        <v>274</v>
      </c>
      <c r="I51" s="9" t="s">
        <v>17</v>
      </c>
      <c r="J51" s="9" t="s">
        <v>18</v>
      </c>
      <c r="K51" s="9" t="s">
        <v>275</v>
      </c>
      <c r="L51" s="10" t="s">
        <v>19</v>
      </c>
    </row>
    <row r="52" spans="1:12" x14ac:dyDescent="0.2">
      <c r="A52" s="6" t="str">
        <f t="shared" si="0"/>
        <v>LA NEUVILLE-CHANT-D'OISEL - Rue du Froc aux Moines (Stade de Foot)</v>
      </c>
      <c r="B52" s="7">
        <f>COUNTA(#REF!)</f>
        <v>1</v>
      </c>
      <c r="C52" s="11" t="s">
        <v>276</v>
      </c>
      <c r="D52" s="9" t="s">
        <v>277</v>
      </c>
      <c r="E52" s="9">
        <v>76520</v>
      </c>
      <c r="F52" s="9" t="s">
        <v>278</v>
      </c>
      <c r="G52" s="9" t="s">
        <v>279</v>
      </c>
      <c r="H52" s="9" t="s">
        <v>280</v>
      </c>
      <c r="I52" s="9" t="s">
        <v>17</v>
      </c>
      <c r="J52" s="9" t="s">
        <v>18</v>
      </c>
      <c r="K52" s="9" t="s">
        <v>281</v>
      </c>
      <c r="L52" s="10" t="s">
        <v>19</v>
      </c>
    </row>
    <row r="53" spans="1:12" x14ac:dyDescent="0.2">
      <c r="A53" s="6" t="str">
        <f t="shared" si="0"/>
        <v>SAINT-LÉGER-DU-BOURG-DENIS - 321 Rue des broches</v>
      </c>
      <c r="B53" s="7">
        <f>COUNTA(#REF!)</f>
        <v>1</v>
      </c>
      <c r="C53" s="11" t="s">
        <v>282</v>
      </c>
      <c r="D53" s="9"/>
      <c r="E53" s="9">
        <v>76160</v>
      </c>
      <c r="F53" s="9" t="s">
        <v>234</v>
      </c>
      <c r="G53" s="9" t="s">
        <v>283</v>
      </c>
      <c r="H53" s="9" t="s">
        <v>284</v>
      </c>
      <c r="I53" s="9" t="s">
        <v>17</v>
      </c>
      <c r="J53" s="9" t="s">
        <v>18</v>
      </c>
      <c r="K53" s="9" t="s">
        <v>285</v>
      </c>
      <c r="L53" s="10" t="s">
        <v>19</v>
      </c>
    </row>
    <row r="54" spans="1:12" x14ac:dyDescent="0.2">
      <c r="A54" s="6" t="str">
        <f t="shared" si="0"/>
        <v>YAINVILLE - 1 Rue de la République (Allée derrière la pharmacie)</v>
      </c>
      <c r="B54" s="7">
        <f>COUNTA(#REF!)</f>
        <v>1</v>
      </c>
      <c r="C54" s="11" t="s">
        <v>286</v>
      </c>
      <c r="D54" s="9" t="s">
        <v>287</v>
      </c>
      <c r="E54" s="9">
        <v>76480</v>
      </c>
      <c r="F54" s="9" t="s">
        <v>288</v>
      </c>
      <c r="G54" s="9" t="s">
        <v>289</v>
      </c>
      <c r="H54" s="9" t="s">
        <v>290</v>
      </c>
      <c r="I54" s="9" t="s">
        <v>17</v>
      </c>
      <c r="J54" s="9" t="s">
        <v>18</v>
      </c>
      <c r="K54" s="9" t="s">
        <v>291</v>
      </c>
      <c r="L54" s="10" t="s">
        <v>19</v>
      </c>
    </row>
    <row r="55" spans="1:12" x14ac:dyDescent="0.2">
      <c r="A55" s="6" t="str">
        <f t="shared" si="0"/>
        <v>YMARE - Mairie (Pôle Déchets)</v>
      </c>
      <c r="B55" s="7">
        <f>COUNTA(#REF!)</f>
        <v>1</v>
      </c>
      <c r="C55" s="11" t="s">
        <v>292</v>
      </c>
      <c r="D55" s="9" t="s">
        <v>293</v>
      </c>
      <c r="E55" s="9">
        <v>76520</v>
      </c>
      <c r="F55" s="9" t="s">
        <v>294</v>
      </c>
      <c r="G55" s="9" t="s">
        <v>295</v>
      </c>
      <c r="H55" s="9" t="s">
        <v>296</v>
      </c>
      <c r="I55" s="9" t="s">
        <v>17</v>
      </c>
      <c r="J55" s="9" t="s">
        <v>18</v>
      </c>
      <c r="K55" s="9" t="s">
        <v>297</v>
      </c>
      <c r="L55" s="10" t="s">
        <v>19</v>
      </c>
    </row>
    <row r="56" spans="1:12" x14ac:dyDescent="0.2">
      <c r="A56" s="6" t="str">
        <f t="shared" si="0"/>
        <v>ANNEVILLE-AMBOURVILLE - 2701 route de Bourg Achard (Déchetterie)</v>
      </c>
      <c r="B56" s="7">
        <f>COUNTA(#REF!)</f>
        <v>1</v>
      </c>
      <c r="C56" s="11" t="s">
        <v>298</v>
      </c>
      <c r="D56" s="9" t="s">
        <v>299</v>
      </c>
      <c r="E56" s="9">
        <v>76480</v>
      </c>
      <c r="F56" s="9" t="s">
        <v>300</v>
      </c>
      <c r="G56" s="9" t="s">
        <v>301</v>
      </c>
      <c r="H56" s="9" t="s">
        <v>302</v>
      </c>
      <c r="I56" s="9" t="s">
        <v>17</v>
      </c>
      <c r="J56" s="9" t="s">
        <v>303</v>
      </c>
      <c r="K56" s="9" t="s">
        <v>304</v>
      </c>
      <c r="L56" s="10" t="s">
        <v>19</v>
      </c>
    </row>
    <row r="57" spans="1:12" x14ac:dyDescent="0.2">
      <c r="A57" s="6" t="str">
        <f t="shared" si="0"/>
        <v>BELBEUF - 8 rue des canadiens (Parking Salle Jacques Anquetil)</v>
      </c>
      <c r="B57" s="7">
        <f>COUNTA(#REF!)</f>
        <v>1</v>
      </c>
      <c r="C57" s="11" t="s">
        <v>305</v>
      </c>
      <c r="D57" s="9" t="s">
        <v>306</v>
      </c>
      <c r="E57" s="9">
        <v>76240</v>
      </c>
      <c r="F57" s="9" t="s">
        <v>307</v>
      </c>
      <c r="G57" s="9" t="s">
        <v>308</v>
      </c>
      <c r="H57" s="9" t="s">
        <v>309</v>
      </c>
      <c r="I57" s="9" t="s">
        <v>17</v>
      </c>
      <c r="J57" s="9" t="s">
        <v>18</v>
      </c>
      <c r="K57" s="9" t="s">
        <v>310</v>
      </c>
      <c r="L57" s="10" t="s">
        <v>19</v>
      </c>
    </row>
    <row r="58" spans="1:12" x14ac:dyDescent="0.2">
      <c r="A58" s="12" t="str">
        <f t="shared" si="0"/>
        <v>BOIS-GUILLAUME - 2001 rue Herbeuse (Déchetterie - 9h / 12h - 14h / 17h30)</v>
      </c>
      <c r="B58" s="7">
        <f>COUNTA(#REF!)</f>
        <v>1</v>
      </c>
      <c r="C58" s="11" t="s">
        <v>311</v>
      </c>
      <c r="D58" s="9" t="s">
        <v>312</v>
      </c>
      <c r="E58" s="9">
        <v>76230</v>
      </c>
      <c r="F58" s="9" t="s">
        <v>313</v>
      </c>
      <c r="G58" s="9"/>
      <c r="H58" s="9"/>
      <c r="I58" s="9" t="s">
        <v>17</v>
      </c>
      <c r="J58" s="9" t="s">
        <v>303</v>
      </c>
      <c r="K58" s="9" t="s">
        <v>314</v>
      </c>
      <c r="L58" s="10" t="s">
        <v>19</v>
      </c>
    </row>
    <row r="59" spans="1:12" x14ac:dyDescent="0.2">
      <c r="A59" s="6" t="str">
        <f t="shared" si="0"/>
        <v>BOOS - Rue des Canadiens (Déchetterie Boos - D91 vers Saint-Aubin-Celloville)</v>
      </c>
      <c r="B59" s="7">
        <f>COUNTA(#REF!)</f>
        <v>1</v>
      </c>
      <c r="C59" s="11" t="s">
        <v>315</v>
      </c>
      <c r="D59" s="9" t="s">
        <v>316</v>
      </c>
      <c r="E59" s="9">
        <v>76520</v>
      </c>
      <c r="F59" s="9" t="s">
        <v>120</v>
      </c>
      <c r="G59" s="9" t="s">
        <v>317</v>
      </c>
      <c r="H59" s="9" t="s">
        <v>318</v>
      </c>
      <c r="I59" s="9" t="s">
        <v>17</v>
      </c>
      <c r="J59" s="9" t="s">
        <v>303</v>
      </c>
      <c r="K59" s="9" t="s">
        <v>319</v>
      </c>
      <c r="L59" s="10" t="s">
        <v>19</v>
      </c>
    </row>
    <row r="60" spans="1:12" x14ac:dyDescent="0.2">
      <c r="A60" s="6" t="str">
        <f t="shared" si="0"/>
        <v>DUCLAIR - 5 impasse du Maupas (Déchetterie Hameau les Monts 9h-12h / 13h30-17h30)</v>
      </c>
      <c r="B60" s="7">
        <f>COUNTA(#REF!)</f>
        <v>1</v>
      </c>
      <c r="C60" s="11" t="s">
        <v>320</v>
      </c>
      <c r="D60" s="9" t="s">
        <v>321</v>
      </c>
      <c r="E60" s="9">
        <v>76480</v>
      </c>
      <c r="F60" s="9" t="s">
        <v>322</v>
      </c>
      <c r="G60" s="9" t="s">
        <v>323</v>
      </c>
      <c r="H60" s="9" t="s">
        <v>324</v>
      </c>
      <c r="I60" s="9" t="s">
        <v>17</v>
      </c>
      <c r="J60" s="9" t="s">
        <v>303</v>
      </c>
      <c r="K60" s="9" t="s">
        <v>325</v>
      </c>
      <c r="L60" s="10" t="s">
        <v>19</v>
      </c>
    </row>
    <row r="61" spans="1:12" x14ac:dyDescent="0.2">
      <c r="A61" s="6" t="str">
        <f t="shared" si="0"/>
        <v>FONTAINE-SOUS-PRÉAUX - 81 Route de la Fontaine (Parking Salle des fêtes)</v>
      </c>
      <c r="B61" s="7">
        <f>COUNTA(#REF!)</f>
        <v>1</v>
      </c>
      <c r="C61" s="11" t="s">
        <v>326</v>
      </c>
      <c r="D61" s="9" t="s">
        <v>327</v>
      </c>
      <c r="E61" s="9">
        <v>76160</v>
      </c>
      <c r="F61" s="9" t="s">
        <v>328</v>
      </c>
      <c r="G61" s="9" t="s">
        <v>329</v>
      </c>
      <c r="H61" s="9" t="s">
        <v>330</v>
      </c>
      <c r="I61" s="9" t="s">
        <v>17</v>
      </c>
      <c r="J61" s="9" t="s">
        <v>18</v>
      </c>
      <c r="K61" s="9" t="s">
        <v>331</v>
      </c>
      <c r="L61" s="10" t="s">
        <v>19</v>
      </c>
    </row>
    <row r="62" spans="1:12" x14ac:dyDescent="0.2">
      <c r="A62" s="6" t="str">
        <f t="shared" si="0"/>
        <v>QUÉVREVILLE-LA-POTERIE - Chemin du Vaudin (Parking Salle des fêtes)</v>
      </c>
      <c r="B62" s="7">
        <f>COUNTA(#REF!)</f>
        <v>1</v>
      </c>
      <c r="C62" s="11" t="s">
        <v>332</v>
      </c>
      <c r="D62" s="9" t="s">
        <v>327</v>
      </c>
      <c r="E62" s="9">
        <v>76520</v>
      </c>
      <c r="F62" s="9" t="s">
        <v>333</v>
      </c>
      <c r="G62" s="9" t="s">
        <v>334</v>
      </c>
      <c r="H62" s="9" t="s">
        <v>335</v>
      </c>
      <c r="I62" s="9" t="s">
        <v>17</v>
      </c>
      <c r="J62" s="9" t="s">
        <v>18</v>
      </c>
      <c r="K62" s="9" t="s">
        <v>336</v>
      </c>
      <c r="L62" s="10" t="s">
        <v>19</v>
      </c>
    </row>
    <row r="63" spans="1:12" x14ac:dyDescent="0.2">
      <c r="A63" s="6" t="str">
        <f t="shared" si="0"/>
        <v>SAHURS - 3 Rue du Bas (Parking Place Maurice Alexandre)</v>
      </c>
      <c r="B63" s="7">
        <f>COUNTA(#REF!)</f>
        <v>1</v>
      </c>
      <c r="C63" s="11" t="s">
        <v>337</v>
      </c>
      <c r="D63" s="9" t="s">
        <v>338</v>
      </c>
      <c r="E63" s="9">
        <v>76113</v>
      </c>
      <c r="F63" s="9" t="s">
        <v>339</v>
      </c>
      <c r="G63" s="9" t="s">
        <v>340</v>
      </c>
      <c r="H63" s="9" t="s">
        <v>341</v>
      </c>
      <c r="I63" s="9" t="s">
        <v>17</v>
      </c>
      <c r="J63" s="9" t="s">
        <v>18</v>
      </c>
      <c r="K63" s="9" t="s">
        <v>342</v>
      </c>
      <c r="L63" s="10" t="s">
        <v>19</v>
      </c>
    </row>
    <row r="64" spans="1:12" x14ac:dyDescent="0.2">
      <c r="A64" s="6" t="str">
        <f t="shared" si="0"/>
        <v>SAINT-PIERRE-DE-MANNEVILLE - 15 Route de Sahurs (Parking près de la mairie)</v>
      </c>
      <c r="B64" s="7">
        <f>COUNTA(#REF!)</f>
        <v>1</v>
      </c>
      <c r="C64" s="11" t="s">
        <v>343</v>
      </c>
      <c r="D64" s="9" t="s">
        <v>344</v>
      </c>
      <c r="E64" s="9">
        <v>76113</v>
      </c>
      <c r="F64" s="9" t="s">
        <v>345</v>
      </c>
      <c r="G64" s="9" t="s">
        <v>346</v>
      </c>
      <c r="H64" s="9" t="s">
        <v>347</v>
      </c>
      <c r="I64" s="9" t="s">
        <v>17</v>
      </c>
      <c r="J64" s="9" t="s">
        <v>18</v>
      </c>
      <c r="K64" s="9" t="s">
        <v>348</v>
      </c>
      <c r="L64" s="10" t="s">
        <v>19</v>
      </c>
    </row>
    <row r="65" spans="1:12" x14ac:dyDescent="0.2">
      <c r="A65" s="6" t="str">
        <f t="shared" si="0"/>
        <v>LE TRAIT - Boulevard Industriel (Déchetterie LE TRAIT)</v>
      </c>
      <c r="B65" s="7">
        <f>COUNTA(#REF!)</f>
        <v>1</v>
      </c>
      <c r="C65" s="11" t="s">
        <v>349</v>
      </c>
      <c r="D65" s="9" t="s">
        <v>350</v>
      </c>
      <c r="E65" s="9">
        <v>76580</v>
      </c>
      <c r="F65" s="9" t="s">
        <v>261</v>
      </c>
      <c r="G65" s="9" t="s">
        <v>351</v>
      </c>
      <c r="H65" s="9" t="s">
        <v>352</v>
      </c>
      <c r="I65" s="9" t="s">
        <v>17</v>
      </c>
      <c r="J65" s="9" t="s">
        <v>303</v>
      </c>
      <c r="K65" s="9" t="s">
        <v>353</v>
      </c>
      <c r="L65" s="10" t="s">
        <v>19</v>
      </c>
    </row>
    <row r="66" spans="1:12" x14ac:dyDescent="0.2">
      <c r="A66" s="6" t="str">
        <f t="shared" ref="A66:A129" si="1">UPPER(F66)&amp;" - "&amp;C66&amp;IF(D66="",""," ("&amp;D66&amp;")")</f>
        <v>VAL-DE-LA-HAYE - 2 Rue Henri Chivé</v>
      </c>
      <c r="B66" s="7">
        <f>COUNTA(#REF!)</f>
        <v>1</v>
      </c>
      <c r="C66" s="11" t="s">
        <v>354</v>
      </c>
      <c r="D66" s="9"/>
      <c r="E66" s="9">
        <v>76380</v>
      </c>
      <c r="F66" s="9" t="s">
        <v>355</v>
      </c>
      <c r="G66" s="9" t="s">
        <v>356</v>
      </c>
      <c r="H66" s="9" t="s">
        <v>357</v>
      </c>
      <c r="I66" s="9" t="s">
        <v>17</v>
      </c>
      <c r="J66" s="9" t="s">
        <v>18</v>
      </c>
      <c r="K66" s="9" t="s">
        <v>358</v>
      </c>
      <c r="L66" s="10" t="s">
        <v>19</v>
      </c>
    </row>
    <row r="67" spans="1:12" x14ac:dyDescent="0.2">
      <c r="A67" s="6" t="str">
        <f t="shared" si="1"/>
        <v>LE PETIT-QUEVILLY - 438 Chemin du Gord (Déchetterie - 9h / 12h - 14h 17h00)</v>
      </c>
      <c r="B67" s="7">
        <f>COUNTA(#REF!)</f>
        <v>1</v>
      </c>
      <c r="C67" s="11" t="s">
        <v>359</v>
      </c>
      <c r="D67" s="9" t="s">
        <v>360</v>
      </c>
      <c r="E67" s="9">
        <v>76140</v>
      </c>
      <c r="F67" s="9" t="s">
        <v>80</v>
      </c>
      <c r="G67" s="9" t="s">
        <v>361</v>
      </c>
      <c r="H67" s="9" t="s">
        <v>362</v>
      </c>
      <c r="I67" s="9" t="s">
        <v>17</v>
      </c>
      <c r="J67" s="9" t="s">
        <v>303</v>
      </c>
      <c r="K67" s="9" t="s">
        <v>363</v>
      </c>
      <c r="L67" s="10" t="s">
        <v>19</v>
      </c>
    </row>
    <row r="68" spans="1:12" x14ac:dyDescent="0.2">
      <c r="A68" s="6" t="str">
        <f t="shared" si="1"/>
        <v>GRAND-COURONNE - 5 Allée de la Côté Mutel (Déchetterie - 9h / 12h - 14h - 17h30)</v>
      </c>
      <c r="B68" s="7">
        <f>COUNTA(#REF!)</f>
        <v>1</v>
      </c>
      <c r="C68" s="11" t="s">
        <v>364</v>
      </c>
      <c r="D68" s="9" t="s">
        <v>365</v>
      </c>
      <c r="E68" s="9">
        <v>76530</v>
      </c>
      <c r="F68" s="9" t="s">
        <v>366</v>
      </c>
      <c r="G68" s="9" t="s">
        <v>367</v>
      </c>
      <c r="H68" s="9" t="s">
        <v>368</v>
      </c>
      <c r="I68" s="9" t="s">
        <v>17</v>
      </c>
      <c r="J68" s="9" t="s">
        <v>303</v>
      </c>
      <c r="K68" s="9" t="s">
        <v>369</v>
      </c>
      <c r="L68" s="10" t="s">
        <v>19</v>
      </c>
    </row>
    <row r="69" spans="1:12" x14ac:dyDescent="0.2">
      <c r="A69" s="6" t="str">
        <f t="shared" si="1"/>
        <v>CAUDEBEC-LÈS-ELBEUF - 627 Rue de la Chaussée (Déchetterie)</v>
      </c>
      <c r="B69" s="7">
        <f>COUNTA(#REF!)</f>
        <v>1</v>
      </c>
      <c r="C69" s="11" t="s">
        <v>370</v>
      </c>
      <c r="D69" s="9" t="s">
        <v>299</v>
      </c>
      <c r="E69" s="9">
        <v>76320</v>
      </c>
      <c r="F69" s="9" t="s">
        <v>371</v>
      </c>
      <c r="G69" s="9" t="s">
        <v>372</v>
      </c>
      <c r="H69" s="9" t="s">
        <v>373</v>
      </c>
      <c r="I69" s="9" t="s">
        <v>17</v>
      </c>
      <c r="J69" s="9" t="s">
        <v>303</v>
      </c>
      <c r="K69" s="9" t="s">
        <v>374</v>
      </c>
      <c r="L69" s="10" t="s">
        <v>19</v>
      </c>
    </row>
    <row r="70" spans="1:12" x14ac:dyDescent="0.2">
      <c r="A70" s="6" t="str">
        <f t="shared" si="1"/>
        <v>CLÉON - Rue Marie-Louise et Raymond Boucher (Déchetterie de Cléon - 10h / 18h)</v>
      </c>
      <c r="B70" s="7">
        <f>COUNTA(#REF!)</f>
        <v>1</v>
      </c>
      <c r="C70" s="11" t="s">
        <v>375</v>
      </c>
      <c r="D70" s="9" t="s">
        <v>376</v>
      </c>
      <c r="E70" s="9">
        <v>76410</v>
      </c>
      <c r="F70" s="9" t="s">
        <v>377</v>
      </c>
      <c r="G70" s="9" t="s">
        <v>378</v>
      </c>
      <c r="H70" s="9" t="s">
        <v>379</v>
      </c>
      <c r="I70" s="9" t="s">
        <v>17</v>
      </c>
      <c r="J70" s="9" t="s">
        <v>303</v>
      </c>
      <c r="K70" s="9" t="s">
        <v>380</v>
      </c>
      <c r="L70" s="10" t="s">
        <v>19</v>
      </c>
    </row>
    <row r="71" spans="1:12" x14ac:dyDescent="0.2">
      <c r="A71" s="6" t="str">
        <f t="shared" si="1"/>
        <v>SAINT-ÉTIENNE-DU-ROUVRAY - 47 Rue de Seine (Déchetterie - 9h / 12h - 14h / 17h)</v>
      </c>
      <c r="B71" s="7">
        <f>COUNTA(#REF!)</f>
        <v>1</v>
      </c>
      <c r="C71" s="11" t="s">
        <v>381</v>
      </c>
      <c r="D71" s="9" t="s">
        <v>382</v>
      </c>
      <c r="E71" s="9">
        <v>76800</v>
      </c>
      <c r="F71" s="9" t="s">
        <v>383</v>
      </c>
      <c r="G71" s="9" t="s">
        <v>384</v>
      </c>
      <c r="H71" s="9" t="s">
        <v>385</v>
      </c>
      <c r="I71" s="9" t="s">
        <v>17</v>
      </c>
      <c r="J71" s="9" t="s">
        <v>303</v>
      </c>
      <c r="K71" s="9" t="s">
        <v>386</v>
      </c>
      <c r="L71" s="10" t="s">
        <v>19</v>
      </c>
    </row>
    <row r="72" spans="1:12" x14ac:dyDescent="0.2">
      <c r="A72" s="6" t="str">
        <f t="shared" si="1"/>
        <v>ROUEN - 1 Quai du Pré aux loups (Dechetterie - 8h30 / 18h30)</v>
      </c>
      <c r="B72" s="7">
        <f>COUNTA(#REF!)</f>
        <v>1</v>
      </c>
      <c r="C72" s="11" t="s">
        <v>387</v>
      </c>
      <c r="D72" s="9" t="s">
        <v>388</v>
      </c>
      <c r="E72" s="9">
        <v>76000</v>
      </c>
      <c r="F72" s="9" t="s">
        <v>27</v>
      </c>
      <c r="G72" s="9" t="s">
        <v>389</v>
      </c>
      <c r="H72" s="9" t="s">
        <v>390</v>
      </c>
      <c r="I72" s="9" t="s">
        <v>17</v>
      </c>
      <c r="J72" s="9" t="s">
        <v>303</v>
      </c>
      <c r="K72" s="9" t="s">
        <v>391</v>
      </c>
      <c r="L72" s="10" t="s">
        <v>19</v>
      </c>
    </row>
    <row r="73" spans="1:12" x14ac:dyDescent="0.2">
      <c r="A73" s="6" t="str">
        <f t="shared" si="1"/>
        <v>DARNÉTAL - 8 Sente de la Ravine (Déchetterie)</v>
      </c>
      <c r="B73" s="7">
        <f>COUNTA(#REF!)</f>
        <v>1</v>
      </c>
      <c r="C73" s="11" t="s">
        <v>392</v>
      </c>
      <c r="D73" s="9" t="s">
        <v>299</v>
      </c>
      <c r="E73" s="9">
        <v>76160</v>
      </c>
      <c r="F73" s="9" t="s">
        <v>126</v>
      </c>
      <c r="G73" s="9" t="s">
        <v>393</v>
      </c>
      <c r="H73" s="9" t="s">
        <v>394</v>
      </c>
      <c r="I73" s="9" t="s">
        <v>17</v>
      </c>
      <c r="J73" s="9" t="s">
        <v>303</v>
      </c>
      <c r="K73" s="9" t="s">
        <v>395</v>
      </c>
      <c r="L73" s="10" t="s">
        <v>19</v>
      </c>
    </row>
    <row r="74" spans="1:12" x14ac:dyDescent="0.2">
      <c r="A74" s="6" t="str">
        <f t="shared" si="1"/>
        <v>DÉVILLE-LÈS-ROUEN - 18 Impasse Barbet (Déchetterie)</v>
      </c>
      <c r="B74" s="7">
        <f>COUNTA(#REF!)</f>
        <v>1</v>
      </c>
      <c r="C74" s="11" t="s">
        <v>396</v>
      </c>
      <c r="D74" s="9" t="s">
        <v>299</v>
      </c>
      <c r="E74" s="9">
        <v>76250</v>
      </c>
      <c r="F74" s="9" t="s">
        <v>21</v>
      </c>
      <c r="G74" s="9" t="s">
        <v>397</v>
      </c>
      <c r="H74" s="9" t="s">
        <v>398</v>
      </c>
      <c r="I74" s="9" t="s">
        <v>17</v>
      </c>
      <c r="J74" s="9" t="s">
        <v>303</v>
      </c>
      <c r="K74" s="9" t="s">
        <v>399</v>
      </c>
      <c r="L74" s="10" t="s">
        <v>19</v>
      </c>
    </row>
    <row r="75" spans="1:12" x14ac:dyDescent="0.2">
      <c r="A75" s="6" t="str">
        <f t="shared" si="1"/>
        <v>SAINT-JEAN-DU-CARDONNAY - Côte de la Valette (Déchetterie de Maromme - 8h30 /18h30)</v>
      </c>
      <c r="B75" s="7">
        <f>COUNTA(#REF!)</f>
        <v>1</v>
      </c>
      <c r="C75" s="11" t="s">
        <v>400</v>
      </c>
      <c r="D75" s="9" t="s">
        <v>401</v>
      </c>
      <c r="E75" s="9">
        <v>76150</v>
      </c>
      <c r="F75" s="9" t="s">
        <v>402</v>
      </c>
      <c r="G75" s="9" t="s">
        <v>403</v>
      </c>
      <c r="H75" s="9" t="s">
        <v>404</v>
      </c>
      <c r="I75" s="9" t="s">
        <v>17</v>
      </c>
      <c r="J75" s="9" t="s">
        <v>303</v>
      </c>
      <c r="K75" s="9" t="s">
        <v>405</v>
      </c>
      <c r="L75" s="10" t="s">
        <v>19</v>
      </c>
    </row>
    <row r="76" spans="1:12" x14ac:dyDescent="0.2">
      <c r="A76" s="6" t="str">
        <f t="shared" si="1"/>
        <v>HOUPPEVILLE - 86 rue de la Voix Maline (A coté de la colonne à verre)</v>
      </c>
      <c r="B76" s="7">
        <f>COUNTA(#REF!)</f>
        <v>1</v>
      </c>
      <c r="C76" s="11" t="s">
        <v>406</v>
      </c>
      <c r="D76" s="9" t="s">
        <v>407</v>
      </c>
      <c r="E76" s="9">
        <v>76770</v>
      </c>
      <c r="F76" s="9" t="s">
        <v>159</v>
      </c>
      <c r="G76" s="9" t="s">
        <v>408</v>
      </c>
      <c r="H76" s="9" t="s">
        <v>409</v>
      </c>
      <c r="I76" s="9" t="s">
        <v>17</v>
      </c>
      <c r="J76" s="9" t="s">
        <v>18</v>
      </c>
      <c r="K76" s="9" t="s">
        <v>410</v>
      </c>
      <c r="L76" s="10" t="s">
        <v>19</v>
      </c>
    </row>
    <row r="77" spans="1:12" x14ac:dyDescent="0.2">
      <c r="A77" s="6" t="str">
        <f t="shared" si="1"/>
        <v>ISNEAUVILLE - 31 Rue André Le Nosle</v>
      </c>
      <c r="B77" s="7">
        <f>COUNTA(#REF!)</f>
        <v>1</v>
      </c>
      <c r="C77" s="11" t="s">
        <v>411</v>
      </c>
      <c r="D77" s="9"/>
      <c r="E77" s="9">
        <v>76230</v>
      </c>
      <c r="F77" s="9" t="s">
        <v>165</v>
      </c>
      <c r="G77" s="9" t="s">
        <v>412</v>
      </c>
      <c r="H77" s="9" t="s">
        <v>413</v>
      </c>
      <c r="I77" s="9" t="s">
        <v>17</v>
      </c>
      <c r="J77" s="9" t="s">
        <v>18</v>
      </c>
      <c r="K77" s="9" t="s">
        <v>414</v>
      </c>
      <c r="L77" s="10" t="s">
        <v>19</v>
      </c>
    </row>
    <row r="78" spans="1:12" x14ac:dyDescent="0.2">
      <c r="A78" s="6" t="str">
        <f t="shared" si="1"/>
        <v>RONCHEROLLES-SUR-LE-VIVIER - 20 Impasse Des Prés Verts (Parking Centre De Loisirs Les Pépinières)</v>
      </c>
      <c r="B78" s="7">
        <f>COUNTA(#REF!)</f>
        <v>1</v>
      </c>
      <c r="C78" s="8" t="s">
        <v>415</v>
      </c>
      <c r="D78" s="9" t="s">
        <v>416</v>
      </c>
      <c r="E78" s="9">
        <v>76160</v>
      </c>
      <c r="F78" s="9" t="s">
        <v>417</v>
      </c>
      <c r="G78" s="9" t="s">
        <v>418</v>
      </c>
      <c r="H78" s="9" t="s">
        <v>419</v>
      </c>
      <c r="I78" s="9" t="s">
        <v>17</v>
      </c>
      <c r="J78" s="9" t="s">
        <v>18</v>
      </c>
      <c r="K78" s="9" t="s">
        <v>420</v>
      </c>
      <c r="L78" s="10" t="s">
        <v>19</v>
      </c>
    </row>
    <row r="79" spans="1:12" x14ac:dyDescent="0.2">
      <c r="A79" s="6" t="str">
        <f t="shared" si="1"/>
        <v>DARNÉTAL - 37 Rue Edouard Branly</v>
      </c>
      <c r="B79" s="7">
        <f>COUNTA(#REF!)</f>
        <v>1</v>
      </c>
      <c r="C79" s="11" t="s">
        <v>421</v>
      </c>
      <c r="D79" s="9"/>
      <c r="E79" s="9">
        <v>76160</v>
      </c>
      <c r="F79" s="9" t="s">
        <v>126</v>
      </c>
      <c r="G79" s="9" t="s">
        <v>422</v>
      </c>
      <c r="H79" s="9" t="s">
        <v>423</v>
      </c>
      <c r="I79" s="9" t="s">
        <v>17</v>
      </c>
      <c r="J79" s="9" t="s">
        <v>18</v>
      </c>
      <c r="K79" s="9" t="s">
        <v>424</v>
      </c>
      <c r="L79" s="10" t="s">
        <v>19</v>
      </c>
    </row>
    <row r="80" spans="1:12" x14ac:dyDescent="0.2">
      <c r="A80" s="6" t="str">
        <f t="shared" si="1"/>
        <v>DARNÉTAL - 33 Rue du Roule</v>
      </c>
      <c r="B80" s="7">
        <f>COUNTA(#REF!)</f>
        <v>1</v>
      </c>
      <c r="C80" s="11" t="s">
        <v>425</v>
      </c>
      <c r="D80" s="9"/>
      <c r="E80" s="9">
        <v>76160</v>
      </c>
      <c r="F80" s="9" t="s">
        <v>126</v>
      </c>
      <c r="G80" s="9" t="s">
        <v>426</v>
      </c>
      <c r="H80" s="9" t="s">
        <v>427</v>
      </c>
      <c r="I80" s="9" t="s">
        <v>17</v>
      </c>
      <c r="J80" s="9" t="s">
        <v>18</v>
      </c>
      <c r="K80" s="9" t="s">
        <v>428</v>
      </c>
      <c r="L80" s="10" t="s">
        <v>19</v>
      </c>
    </row>
    <row r="81" spans="1:12" x14ac:dyDescent="0.2">
      <c r="A81" s="6" t="str">
        <f t="shared" si="1"/>
        <v>LES AUTHIEUX-SUR-LE-PORT-SAINT-OUEN - 260 rue du Docteur Gallouen (Parking de la salle des fêtes)</v>
      </c>
      <c r="B81" s="7">
        <f>COUNTA(#REF!)</f>
        <v>1</v>
      </c>
      <c r="C81" s="11" t="s">
        <v>429</v>
      </c>
      <c r="D81" s="9" t="s">
        <v>430</v>
      </c>
      <c r="E81" s="9">
        <v>76520</v>
      </c>
      <c r="F81" s="9" t="s">
        <v>431</v>
      </c>
      <c r="G81" s="9" t="s">
        <v>432</v>
      </c>
      <c r="H81" s="9" t="s">
        <v>433</v>
      </c>
      <c r="I81" s="9" t="s">
        <v>17</v>
      </c>
      <c r="J81" s="9" t="s">
        <v>18</v>
      </c>
      <c r="K81" s="9" t="s">
        <v>434</v>
      </c>
      <c r="L81" s="10" t="s">
        <v>19</v>
      </c>
    </row>
    <row r="82" spans="1:12" x14ac:dyDescent="0.2">
      <c r="A82" s="6" t="str">
        <f t="shared" si="1"/>
        <v>HAUTOT-SUR-SEINE - 8 rue de l'Eglise (Place Poullard)</v>
      </c>
      <c r="B82" s="7">
        <f>COUNTA(#REF!)</f>
        <v>1</v>
      </c>
      <c r="C82" s="11" t="s">
        <v>435</v>
      </c>
      <c r="D82" s="9" t="s">
        <v>436</v>
      </c>
      <c r="E82" s="9">
        <v>76113</v>
      </c>
      <c r="F82" s="9" t="s">
        <v>437</v>
      </c>
      <c r="G82" s="9" t="s">
        <v>438</v>
      </c>
      <c r="H82" s="9" t="s">
        <v>439</v>
      </c>
      <c r="I82" s="9" t="s">
        <v>17</v>
      </c>
      <c r="J82" s="9" t="s">
        <v>18</v>
      </c>
      <c r="K82" s="9" t="s">
        <v>440</v>
      </c>
      <c r="L82" s="10" t="s">
        <v>19</v>
      </c>
    </row>
    <row r="83" spans="1:12" x14ac:dyDescent="0.2">
      <c r="A83" s="6" t="str">
        <f t="shared" si="1"/>
        <v>LE GRAND-QUEVILLY - 26 Rue Michel Corroy (Place Du Québec)</v>
      </c>
      <c r="B83" s="7">
        <f>COUNTA(#REF!)</f>
        <v>1</v>
      </c>
      <c r="C83" s="11" t="s">
        <v>441</v>
      </c>
      <c r="D83" s="9" t="s">
        <v>442</v>
      </c>
      <c r="E83" s="9">
        <v>76120</v>
      </c>
      <c r="F83" s="9" t="s">
        <v>272</v>
      </c>
      <c r="G83" s="9" t="s">
        <v>443</v>
      </c>
      <c r="H83" s="9" t="s">
        <v>444</v>
      </c>
      <c r="I83" s="9" t="s">
        <v>17</v>
      </c>
      <c r="J83" s="9" t="s">
        <v>18</v>
      </c>
      <c r="K83" s="9" t="s">
        <v>445</v>
      </c>
      <c r="L83" s="10" t="s">
        <v>19</v>
      </c>
    </row>
    <row r="84" spans="1:12" x14ac:dyDescent="0.2">
      <c r="A84" s="6" t="str">
        <f t="shared" si="1"/>
        <v>LE GRAND-QUEVILLY - 41 Avenue J. F. Kennedy</v>
      </c>
      <c r="B84" s="7">
        <f>COUNTA(#REF!)</f>
        <v>1</v>
      </c>
      <c r="C84" s="11" t="s">
        <v>446</v>
      </c>
      <c r="D84" s="9"/>
      <c r="E84" s="9">
        <v>76120</v>
      </c>
      <c r="F84" s="9" t="s">
        <v>272</v>
      </c>
      <c r="G84" s="9" t="s">
        <v>447</v>
      </c>
      <c r="H84" s="9" t="s">
        <v>448</v>
      </c>
      <c r="I84" s="9" t="s">
        <v>17</v>
      </c>
      <c r="J84" s="9" t="s">
        <v>18</v>
      </c>
      <c r="K84" s="9" t="s">
        <v>449</v>
      </c>
      <c r="L84" s="10" t="s">
        <v>19</v>
      </c>
    </row>
    <row r="85" spans="1:12" x14ac:dyDescent="0.2">
      <c r="A85" s="6" t="str">
        <f t="shared" si="1"/>
        <v>LE GRAND-QUEVILLY - 132 Rue de la République (Centre Marx Dormoy)</v>
      </c>
      <c r="B85" s="7">
        <f>COUNTA(#REF!)</f>
        <v>1</v>
      </c>
      <c r="C85" s="11" t="s">
        <v>450</v>
      </c>
      <c r="D85" s="9" t="s">
        <v>451</v>
      </c>
      <c r="E85" s="9">
        <v>76120</v>
      </c>
      <c r="F85" s="9" t="s">
        <v>272</v>
      </c>
      <c r="G85" s="9" t="s">
        <v>452</v>
      </c>
      <c r="H85" s="9" t="s">
        <v>453</v>
      </c>
      <c r="I85" s="9" t="s">
        <v>17</v>
      </c>
      <c r="J85" s="9" t="s">
        <v>18</v>
      </c>
      <c r="K85" s="9" t="s">
        <v>454</v>
      </c>
      <c r="L85" s="10" t="s">
        <v>19</v>
      </c>
    </row>
    <row r="86" spans="1:12" x14ac:dyDescent="0.2">
      <c r="A86" s="6" t="str">
        <f t="shared" si="1"/>
        <v>MOULINEAUX - 79 Chemin des Coquelicots</v>
      </c>
      <c r="B86" s="7">
        <f>COUNTA(#REF!)</f>
        <v>1</v>
      </c>
      <c r="C86" s="11" t="s">
        <v>455</v>
      </c>
      <c r="D86" s="9"/>
      <c r="E86" s="9">
        <v>76530</v>
      </c>
      <c r="F86" s="9" t="s">
        <v>456</v>
      </c>
      <c r="G86" s="9" t="s">
        <v>457</v>
      </c>
      <c r="H86" s="9" t="s">
        <v>458</v>
      </c>
      <c r="I86" s="9" t="s">
        <v>17</v>
      </c>
      <c r="J86" s="9" t="s">
        <v>18</v>
      </c>
      <c r="K86" s="9" t="s">
        <v>459</v>
      </c>
      <c r="L86" s="10" t="s">
        <v>19</v>
      </c>
    </row>
    <row r="87" spans="1:12" x14ac:dyDescent="0.2">
      <c r="A87" s="6" t="str">
        <f t="shared" si="1"/>
        <v xml:space="preserve">LA BOUILLE - 111 Allée des Lauriers </v>
      </c>
      <c r="B87" s="7">
        <f>COUNTA(#REF!)</f>
        <v>1</v>
      </c>
      <c r="C87" s="11" t="s">
        <v>460</v>
      </c>
      <c r="D87" s="9"/>
      <c r="E87" s="9">
        <v>76530</v>
      </c>
      <c r="F87" s="9" t="s">
        <v>461</v>
      </c>
      <c r="G87" s="9" t="s">
        <v>462</v>
      </c>
      <c r="H87" s="9" t="s">
        <v>463</v>
      </c>
      <c r="I87" s="9" t="s">
        <v>17</v>
      </c>
      <c r="J87" s="9" t="s">
        <v>18</v>
      </c>
      <c r="K87" s="9" t="s">
        <v>464</v>
      </c>
      <c r="L87" s="10" t="s">
        <v>19</v>
      </c>
    </row>
    <row r="88" spans="1:12" x14ac:dyDescent="0.2">
      <c r="A88" s="6" t="str">
        <f t="shared" si="1"/>
        <v>SAINT-AUBIN-LÈS-ELBEUF - 26 Rue de Freneuse (Croisement ruelle Arthus)</v>
      </c>
      <c r="B88" s="7">
        <f>COUNTA(#REF!)</f>
        <v>1</v>
      </c>
      <c r="C88" s="11" t="s">
        <v>465</v>
      </c>
      <c r="D88" s="9" t="s">
        <v>466</v>
      </c>
      <c r="E88" s="9">
        <v>76410</v>
      </c>
      <c r="F88" s="9" t="s">
        <v>467</v>
      </c>
      <c r="G88" s="9" t="s">
        <v>468</v>
      </c>
      <c r="H88" s="9" t="s">
        <v>469</v>
      </c>
      <c r="I88" s="9" t="s">
        <v>17</v>
      </c>
      <c r="J88" s="9" t="s">
        <v>18</v>
      </c>
      <c r="K88" s="9" t="s">
        <v>470</v>
      </c>
      <c r="L88" s="10" t="s">
        <v>19</v>
      </c>
    </row>
    <row r="89" spans="1:12" x14ac:dyDescent="0.2">
      <c r="A89" s="6" t="str">
        <f t="shared" si="1"/>
        <v>CAUDEBEC-LÈS-ELBEUF - 1049 Rue de la Villette</v>
      </c>
      <c r="B89" s="7">
        <f>COUNTA(#REF!)</f>
        <v>1</v>
      </c>
      <c r="C89" s="11" t="s">
        <v>471</v>
      </c>
      <c r="D89" s="9"/>
      <c r="E89" s="9">
        <v>76320</v>
      </c>
      <c r="F89" s="9" t="s">
        <v>371</v>
      </c>
      <c r="G89" s="9" t="s">
        <v>472</v>
      </c>
      <c r="H89" s="9" t="s">
        <v>473</v>
      </c>
      <c r="I89" s="9" t="s">
        <v>17</v>
      </c>
      <c r="J89" s="9" t="s">
        <v>18</v>
      </c>
      <c r="K89" s="9" t="s">
        <v>474</v>
      </c>
      <c r="L89" s="10" t="s">
        <v>19</v>
      </c>
    </row>
    <row r="90" spans="1:12" x14ac:dyDescent="0.2">
      <c r="A90" s="6" t="str">
        <f t="shared" si="1"/>
        <v>CAUDEBEC-LÈS-ELBEUF - 318 Rue Antoine de Saint Exupery</v>
      </c>
      <c r="B90" s="7">
        <f>COUNTA(#REF!)</f>
        <v>1</v>
      </c>
      <c r="C90" s="11" t="s">
        <v>475</v>
      </c>
      <c r="D90" s="9"/>
      <c r="E90" s="9">
        <v>76320</v>
      </c>
      <c r="F90" s="9" t="s">
        <v>371</v>
      </c>
      <c r="G90" s="9" t="s">
        <v>476</v>
      </c>
      <c r="H90" s="9" t="s">
        <v>477</v>
      </c>
      <c r="I90" s="9" t="s">
        <v>17</v>
      </c>
      <c r="J90" s="9" t="s">
        <v>18</v>
      </c>
      <c r="K90" s="9" t="s">
        <v>478</v>
      </c>
      <c r="L90" s="10" t="s">
        <v>19</v>
      </c>
    </row>
    <row r="91" spans="1:12" x14ac:dyDescent="0.2">
      <c r="A91" s="6" t="str">
        <f t="shared" si="1"/>
        <v>CAUDEBEC-LÈS-ELBEUF - 856 Rue Emile Zola</v>
      </c>
      <c r="B91" s="7">
        <f>COUNTA(#REF!)</f>
        <v>1</v>
      </c>
      <c r="C91" s="11" t="s">
        <v>479</v>
      </c>
      <c r="D91" s="9"/>
      <c r="E91" s="9">
        <v>76320</v>
      </c>
      <c r="F91" s="9" t="s">
        <v>371</v>
      </c>
      <c r="G91" s="9" t="s">
        <v>480</v>
      </c>
      <c r="H91" s="9" t="s">
        <v>481</v>
      </c>
      <c r="I91" s="9" t="s">
        <v>17</v>
      </c>
      <c r="J91" s="9" t="s">
        <v>18</v>
      </c>
      <c r="K91" s="9" t="s">
        <v>482</v>
      </c>
      <c r="L91" s="10" t="s">
        <v>19</v>
      </c>
    </row>
    <row r="92" spans="1:12" x14ac:dyDescent="0.2">
      <c r="A92" s="6" t="str">
        <f t="shared" si="1"/>
        <v>CAUDEBEC-LÈS-ELBEUF - 8 Rue Lenormand</v>
      </c>
      <c r="B92" s="7">
        <f>COUNTA(#REF!)</f>
        <v>1</v>
      </c>
      <c r="C92" s="11" t="s">
        <v>483</v>
      </c>
      <c r="D92" s="9"/>
      <c r="E92" s="9">
        <v>76320</v>
      </c>
      <c r="F92" s="9" t="s">
        <v>371</v>
      </c>
      <c r="G92" s="9" t="s">
        <v>484</v>
      </c>
      <c r="H92" s="9" t="s">
        <v>485</v>
      </c>
      <c r="I92" s="9" t="s">
        <v>17</v>
      </c>
      <c r="J92" s="9" t="s">
        <v>18</v>
      </c>
      <c r="K92" s="9" t="s">
        <v>486</v>
      </c>
      <c r="L92" s="10" t="s">
        <v>19</v>
      </c>
    </row>
    <row r="93" spans="1:12" x14ac:dyDescent="0.2">
      <c r="A93" s="6" t="str">
        <f t="shared" si="1"/>
        <v>AMFREVILLE-LA-MI-VOIE - 25 rue François Mitterrand</v>
      </c>
      <c r="B93" s="7">
        <f>COUNTA(#REF!)</f>
        <v>1</v>
      </c>
      <c r="C93" s="11" t="s">
        <v>487</v>
      </c>
      <c r="D93" s="9"/>
      <c r="E93" s="9">
        <v>76920</v>
      </c>
      <c r="F93" s="9" t="s">
        <v>103</v>
      </c>
      <c r="G93" s="9" t="s">
        <v>488</v>
      </c>
      <c r="H93" s="9" t="s">
        <v>489</v>
      </c>
      <c r="I93" s="9" t="s">
        <v>17</v>
      </c>
      <c r="J93" s="9" t="s">
        <v>18</v>
      </c>
      <c r="K93" s="9" t="s">
        <v>490</v>
      </c>
      <c r="L93" s="10" t="s">
        <v>19</v>
      </c>
    </row>
    <row r="94" spans="1:12" x14ac:dyDescent="0.2">
      <c r="A94" s="6" t="str">
        <f t="shared" si="1"/>
        <v>DARNÉTAL - 2 rue Edouard Branly</v>
      </c>
      <c r="B94" s="7">
        <f>COUNTA(#REF!)</f>
        <v>1</v>
      </c>
      <c r="C94" s="8" t="s">
        <v>491</v>
      </c>
      <c r="D94" s="9"/>
      <c r="E94" s="9">
        <v>76160</v>
      </c>
      <c r="F94" s="9" t="s">
        <v>126</v>
      </c>
      <c r="G94" s="9" t="s">
        <v>492</v>
      </c>
      <c r="H94" s="9" t="s">
        <v>493</v>
      </c>
      <c r="I94" s="9" t="s">
        <v>17</v>
      </c>
      <c r="J94" s="9" t="s">
        <v>18</v>
      </c>
      <c r="K94" s="9" t="s">
        <v>494</v>
      </c>
      <c r="L94" s="10" t="s">
        <v>19</v>
      </c>
    </row>
    <row r="95" spans="1:12" x14ac:dyDescent="0.2">
      <c r="A95" s="6" t="str">
        <f t="shared" si="1"/>
        <v>DUCLAIR - 28 rue de Ronnenberg (Face au Relais Dellard - Parking de droite)</v>
      </c>
      <c r="B95" s="7">
        <f>COUNTA(#REF!)</f>
        <v>1</v>
      </c>
      <c r="C95" s="11" t="s">
        <v>495</v>
      </c>
      <c r="D95" s="9" t="s">
        <v>496</v>
      </c>
      <c r="E95" s="9">
        <v>76480</v>
      </c>
      <c r="F95" s="9" t="s">
        <v>322</v>
      </c>
      <c r="G95" s="9" t="s">
        <v>497</v>
      </c>
      <c r="H95" s="9" t="s">
        <v>498</v>
      </c>
      <c r="I95" s="9" t="s">
        <v>17</v>
      </c>
      <c r="J95" s="9" t="s">
        <v>18</v>
      </c>
      <c r="K95" s="9" t="s">
        <v>499</v>
      </c>
      <c r="L95" s="10" t="s">
        <v>19</v>
      </c>
    </row>
    <row r="96" spans="1:12" x14ac:dyDescent="0.2">
      <c r="A96" s="6" t="str">
        <f t="shared" si="1"/>
        <v>LA LONDE - 30 rue des Fusillés (Croisement rue Frete)</v>
      </c>
      <c r="B96" s="7">
        <f>COUNTA(#REF!)</f>
        <v>1</v>
      </c>
      <c r="C96" s="11" t="s">
        <v>500</v>
      </c>
      <c r="D96" s="9" t="s">
        <v>501</v>
      </c>
      <c r="E96" s="9">
        <v>76500</v>
      </c>
      <c r="F96" s="9" t="s">
        <v>502</v>
      </c>
      <c r="G96" s="9" t="s">
        <v>503</v>
      </c>
      <c r="H96" s="9" t="s">
        <v>504</v>
      </c>
      <c r="I96" s="9" t="s">
        <v>17</v>
      </c>
      <c r="J96" s="9" t="s">
        <v>18</v>
      </c>
      <c r="K96" s="9" t="s">
        <v>505</v>
      </c>
      <c r="L96" s="10" t="s">
        <v>19</v>
      </c>
    </row>
    <row r="97" spans="1:12" x14ac:dyDescent="0.2">
      <c r="A97" s="6" t="str">
        <f t="shared" si="1"/>
        <v>GOUY - 28 rue du Poste (Suivre "Résidence Perelles" - Sur le parking)</v>
      </c>
      <c r="B97" s="7">
        <f>COUNTA(#REF!)</f>
        <v>1</v>
      </c>
      <c r="C97" s="11" t="s">
        <v>506</v>
      </c>
      <c r="D97" s="9" t="s">
        <v>507</v>
      </c>
      <c r="E97" s="9">
        <v>76520</v>
      </c>
      <c r="F97" s="9" t="s">
        <v>508</v>
      </c>
      <c r="G97" s="9" t="s">
        <v>509</v>
      </c>
      <c r="H97" s="9" t="s">
        <v>510</v>
      </c>
      <c r="I97" s="9" t="s">
        <v>17</v>
      </c>
      <c r="J97" s="9" t="s">
        <v>18</v>
      </c>
      <c r="K97" s="9" t="s">
        <v>511</v>
      </c>
      <c r="L97" s="10" t="s">
        <v>19</v>
      </c>
    </row>
    <row r="98" spans="1:12" x14ac:dyDescent="0.2">
      <c r="A98" s="6" t="str">
        <f t="shared" si="1"/>
        <v>ELBEUF - 13 Rue de Rouen (D 938 sortie ELBEUF)</v>
      </c>
      <c r="B98" s="7">
        <f>COUNTA(#REF!)</f>
        <v>1</v>
      </c>
      <c r="C98" s="11" t="s">
        <v>512</v>
      </c>
      <c r="D98" s="9" t="s">
        <v>513</v>
      </c>
      <c r="E98" s="9">
        <v>76500</v>
      </c>
      <c r="F98" s="9" t="s">
        <v>514</v>
      </c>
      <c r="G98" s="9" t="s">
        <v>515</v>
      </c>
      <c r="H98" s="9" t="s">
        <v>516</v>
      </c>
      <c r="I98" s="9"/>
      <c r="J98" s="9" t="s">
        <v>517</v>
      </c>
      <c r="K98" s="9" t="s">
        <v>518</v>
      </c>
      <c r="L98" s="10" t="s">
        <v>36</v>
      </c>
    </row>
    <row r="99" spans="1:12" x14ac:dyDescent="0.2">
      <c r="A99" s="6" t="str">
        <f t="shared" si="1"/>
        <v>ELBEUF - 26 Rue Leveillé</v>
      </c>
      <c r="B99" s="7">
        <f>COUNTA(#REF!)</f>
        <v>1</v>
      </c>
      <c r="C99" s="11" t="s">
        <v>519</v>
      </c>
      <c r="D99" s="9"/>
      <c r="E99" s="9">
        <v>76500</v>
      </c>
      <c r="F99" s="9" t="s">
        <v>514</v>
      </c>
      <c r="G99" s="9" t="s">
        <v>520</v>
      </c>
      <c r="H99" s="9" t="s">
        <v>521</v>
      </c>
      <c r="I99" s="9" t="s">
        <v>17</v>
      </c>
      <c r="J99" s="9" t="s">
        <v>18</v>
      </c>
      <c r="K99" s="9" t="s">
        <v>522</v>
      </c>
      <c r="L99" s="10" t="s">
        <v>36</v>
      </c>
    </row>
    <row r="100" spans="1:12" x14ac:dyDescent="0.2">
      <c r="A100" s="6" t="str">
        <f t="shared" si="1"/>
        <v>ELBEUF - 2 rue Jean Jaures (Sous le pont Jean Jaurès)</v>
      </c>
      <c r="B100" s="7">
        <f>COUNTA(#REF!)</f>
        <v>1</v>
      </c>
      <c r="C100" s="11" t="s">
        <v>523</v>
      </c>
      <c r="D100" s="9" t="s">
        <v>524</v>
      </c>
      <c r="E100" s="9">
        <v>76500</v>
      </c>
      <c r="F100" s="9" t="s">
        <v>514</v>
      </c>
      <c r="G100" s="9" t="s">
        <v>525</v>
      </c>
      <c r="H100" s="9" t="s">
        <v>526</v>
      </c>
      <c r="I100" s="9" t="s">
        <v>17</v>
      </c>
      <c r="J100" s="9" t="s">
        <v>18</v>
      </c>
      <c r="K100" s="9" t="s">
        <v>527</v>
      </c>
      <c r="L100" s="10" t="s">
        <v>36</v>
      </c>
    </row>
    <row r="101" spans="1:12" x14ac:dyDescent="0.2">
      <c r="A101" s="6" t="str">
        <f t="shared" si="1"/>
        <v>SAINT-PIERRE-LÈS-ELBEUF - 67 rue Galbois (Parking à coté des écoles)</v>
      </c>
      <c r="B101" s="7">
        <f>COUNTA(#REF!)</f>
        <v>1</v>
      </c>
      <c r="C101" s="11" t="s">
        <v>528</v>
      </c>
      <c r="D101" s="9" t="s">
        <v>529</v>
      </c>
      <c r="E101" s="9">
        <v>76320</v>
      </c>
      <c r="F101" s="9" t="s">
        <v>530</v>
      </c>
      <c r="G101" s="9" t="s">
        <v>531</v>
      </c>
      <c r="H101" s="9" t="s">
        <v>532</v>
      </c>
      <c r="I101" s="9" t="s">
        <v>17</v>
      </c>
      <c r="J101" s="9" t="s">
        <v>18</v>
      </c>
      <c r="K101" s="9" t="s">
        <v>533</v>
      </c>
      <c r="L101" s="10" t="s">
        <v>36</v>
      </c>
    </row>
    <row r="102" spans="1:12" x14ac:dyDescent="0.2">
      <c r="A102" s="6" t="str">
        <f t="shared" si="1"/>
        <v>SAINT-PIERRE-LÈS-ELBEUF - Route de Pont de l'Arche (En face L'Auto E.Leclerc)</v>
      </c>
      <c r="B102" s="7">
        <f>COUNTA(#REF!)</f>
        <v>1</v>
      </c>
      <c r="C102" s="11" t="s">
        <v>534</v>
      </c>
      <c r="D102" s="9" t="s">
        <v>535</v>
      </c>
      <c r="E102" s="9">
        <v>76320</v>
      </c>
      <c r="F102" s="9" t="s">
        <v>530</v>
      </c>
      <c r="G102" s="9" t="s">
        <v>536</v>
      </c>
      <c r="H102" s="9" t="s">
        <v>537</v>
      </c>
      <c r="I102" s="9" t="s">
        <v>17</v>
      </c>
      <c r="J102" s="9" t="s">
        <v>41</v>
      </c>
      <c r="K102" s="9" t="s">
        <v>538</v>
      </c>
      <c r="L102" s="10" t="s">
        <v>36</v>
      </c>
    </row>
    <row r="103" spans="1:12" x14ac:dyDescent="0.2">
      <c r="A103" s="6" t="str">
        <f t="shared" si="1"/>
        <v>SAINT-PIERRE-LÈS-ELBEUF - 625 rue du Puits Mérot (Parking Leader Price / Face à la mairie)</v>
      </c>
      <c r="B103" s="7">
        <f>COUNTA(#REF!)</f>
        <v>1</v>
      </c>
      <c r="C103" s="11" t="s">
        <v>539</v>
      </c>
      <c r="D103" s="9" t="s">
        <v>540</v>
      </c>
      <c r="E103" s="9">
        <v>76320</v>
      </c>
      <c r="F103" s="9" t="s">
        <v>530</v>
      </c>
      <c r="G103" s="9" t="s">
        <v>541</v>
      </c>
      <c r="H103" s="9" t="s">
        <v>542</v>
      </c>
      <c r="I103" s="9" t="s">
        <v>17</v>
      </c>
      <c r="J103" s="9" t="s">
        <v>41</v>
      </c>
      <c r="K103" s="9" t="s">
        <v>543</v>
      </c>
      <c r="L103" s="10" t="s">
        <v>36</v>
      </c>
    </row>
    <row r="104" spans="1:12" x14ac:dyDescent="0.2">
      <c r="A104" s="6" t="str">
        <f t="shared" si="1"/>
        <v>SAINT-AUBIN-LÈS-ELBEUF - 20 Espace Foudriots (Derrière La Poste)</v>
      </c>
      <c r="B104" s="7">
        <f>COUNTA(#REF!)</f>
        <v>1</v>
      </c>
      <c r="C104" s="11" t="s">
        <v>544</v>
      </c>
      <c r="D104" s="9" t="s">
        <v>545</v>
      </c>
      <c r="E104" s="9">
        <v>76410</v>
      </c>
      <c r="F104" s="9" t="s">
        <v>467</v>
      </c>
      <c r="G104" s="9" t="s">
        <v>546</v>
      </c>
      <c r="H104" s="9" t="s">
        <v>547</v>
      </c>
      <c r="I104" s="9" t="s">
        <v>17</v>
      </c>
      <c r="J104" s="9" t="s">
        <v>18</v>
      </c>
      <c r="K104" s="9" t="s">
        <v>548</v>
      </c>
      <c r="L104" s="10" t="s">
        <v>36</v>
      </c>
    </row>
    <row r="105" spans="1:12" x14ac:dyDescent="0.2">
      <c r="A105" s="6" t="str">
        <f t="shared" si="1"/>
        <v>SAINT-AUBIN-LÈS-ELBEUF - 5 rue Pierre Saint Georges (Gare de Saint Aubin)</v>
      </c>
      <c r="B105" s="7">
        <f>COUNTA(#REF!)</f>
        <v>1</v>
      </c>
      <c r="C105" s="11" t="s">
        <v>549</v>
      </c>
      <c r="D105" s="9" t="s">
        <v>550</v>
      </c>
      <c r="E105" s="9">
        <v>76410</v>
      </c>
      <c r="F105" s="9" t="s">
        <v>467</v>
      </c>
      <c r="G105" s="9" t="s">
        <v>551</v>
      </c>
      <c r="H105" s="9" t="s">
        <v>552</v>
      </c>
      <c r="I105" s="9" t="s">
        <v>17</v>
      </c>
      <c r="J105" s="9" t="s">
        <v>18</v>
      </c>
      <c r="K105" s="9" t="s">
        <v>553</v>
      </c>
      <c r="L105" s="10" t="s">
        <v>36</v>
      </c>
    </row>
    <row r="106" spans="1:12" x14ac:dyDescent="0.2">
      <c r="A106" s="6" t="str">
        <f t="shared" si="1"/>
        <v>CLÉON - 83 rue Alain Colas (Parking Leader Price)</v>
      </c>
      <c r="B106" s="7">
        <f>COUNTA(#REF!)</f>
        <v>1</v>
      </c>
      <c r="C106" s="11" t="s">
        <v>554</v>
      </c>
      <c r="D106" s="9" t="s">
        <v>555</v>
      </c>
      <c r="E106" s="9">
        <v>76410</v>
      </c>
      <c r="F106" s="9" t="s">
        <v>377</v>
      </c>
      <c r="G106" s="9" t="s">
        <v>556</v>
      </c>
      <c r="H106" s="9" t="s">
        <v>557</v>
      </c>
      <c r="I106" s="9" t="s">
        <v>17</v>
      </c>
      <c r="J106" s="9" t="s">
        <v>41</v>
      </c>
      <c r="K106" s="9" t="s">
        <v>558</v>
      </c>
      <c r="L106" s="10" t="s">
        <v>36</v>
      </c>
    </row>
    <row r="107" spans="1:12" x14ac:dyDescent="0.2">
      <c r="A107" s="6" t="str">
        <f t="shared" si="1"/>
        <v>SAINT-AUBIN-LÈS-ELBEUF - Rue du Docteur Villers (CHI - Parking usagers)</v>
      </c>
      <c r="B107" s="7">
        <f>COUNTA(#REF!)</f>
        <v>1</v>
      </c>
      <c r="C107" s="11" t="s">
        <v>559</v>
      </c>
      <c r="D107" s="9" t="s">
        <v>560</v>
      </c>
      <c r="E107" s="9">
        <v>76410</v>
      </c>
      <c r="F107" s="9" t="s">
        <v>467</v>
      </c>
      <c r="G107" s="9" t="s">
        <v>561</v>
      </c>
      <c r="H107" s="9" t="s">
        <v>562</v>
      </c>
      <c r="I107" s="9" t="s">
        <v>17</v>
      </c>
      <c r="J107" s="9" t="s">
        <v>18</v>
      </c>
      <c r="K107" s="9" t="s">
        <v>563</v>
      </c>
      <c r="L107" s="10" t="s">
        <v>36</v>
      </c>
    </row>
    <row r="108" spans="1:12" x14ac:dyDescent="0.2">
      <c r="A108" s="6" t="str">
        <f t="shared" si="1"/>
        <v>CAUDEBEC-LÈS-ELBEUF - 67 Rue de Strasbourg (Place de l'Assemblée)</v>
      </c>
      <c r="B108" s="7">
        <f>COUNTA(#REF!)</f>
        <v>1</v>
      </c>
      <c r="C108" s="11" t="s">
        <v>564</v>
      </c>
      <c r="D108" s="9" t="s">
        <v>565</v>
      </c>
      <c r="E108" s="9">
        <v>76320</v>
      </c>
      <c r="F108" s="9" t="s">
        <v>371</v>
      </c>
      <c r="G108" s="9" t="s">
        <v>566</v>
      </c>
      <c r="H108" s="9" t="s">
        <v>567</v>
      </c>
      <c r="I108" s="9" t="s">
        <v>17</v>
      </c>
      <c r="J108" s="9" t="s">
        <v>18</v>
      </c>
      <c r="K108" s="9" t="s">
        <v>568</v>
      </c>
      <c r="L108" s="10" t="s">
        <v>36</v>
      </c>
    </row>
    <row r="109" spans="1:12" x14ac:dyDescent="0.2">
      <c r="A109" s="6" t="str">
        <f t="shared" si="1"/>
        <v>LA SAUSSAYE - 22 Route du Neubourg (Derrière le Manoir Saint-Nicolas)</v>
      </c>
      <c r="B109" s="7">
        <f>COUNTA(#REF!)</f>
        <v>1</v>
      </c>
      <c r="C109" s="11" t="s">
        <v>569</v>
      </c>
      <c r="D109" s="9" t="s">
        <v>570</v>
      </c>
      <c r="E109" s="9">
        <v>27370</v>
      </c>
      <c r="F109" s="9" t="s">
        <v>571</v>
      </c>
      <c r="G109" s="9" t="s">
        <v>572</v>
      </c>
      <c r="H109" s="9" t="s">
        <v>573</v>
      </c>
      <c r="I109" s="9"/>
      <c r="J109" s="9" t="s">
        <v>517</v>
      </c>
      <c r="K109" s="9" t="s">
        <v>574</v>
      </c>
      <c r="L109" s="10" t="s">
        <v>36</v>
      </c>
    </row>
    <row r="110" spans="1:12" x14ac:dyDescent="0.2">
      <c r="A110" s="12" t="str">
        <f t="shared" si="1"/>
        <v>SAINT-PIERRE-DES-FLEURS - Route de Neuboug (Parking Cimetière)</v>
      </c>
      <c r="B110" s="13">
        <f>COUNTA(#REF!)</f>
        <v>1</v>
      </c>
      <c r="C110" s="8" t="s">
        <v>575</v>
      </c>
      <c r="D110" s="14" t="s">
        <v>576</v>
      </c>
      <c r="E110" s="9">
        <v>27370</v>
      </c>
      <c r="F110" s="9" t="s">
        <v>577</v>
      </c>
      <c r="G110" s="9"/>
      <c r="H110" s="9"/>
      <c r="I110" s="9"/>
      <c r="J110" s="9" t="s">
        <v>18</v>
      </c>
      <c r="K110" s="9" t="s">
        <v>578</v>
      </c>
      <c r="L110" s="10" t="s">
        <v>36</v>
      </c>
    </row>
    <row r="111" spans="1:12" x14ac:dyDescent="0.2">
      <c r="A111" s="6" t="str">
        <f t="shared" si="1"/>
        <v>SAINT-OUEN-DU-TILLEUL - 40 rue des Canadiens (Face à la Mairie)</v>
      </c>
      <c r="B111" s="13">
        <f>COUNTA(#REF!)</f>
        <v>1</v>
      </c>
      <c r="C111" s="8" t="s">
        <v>579</v>
      </c>
      <c r="D111" s="14" t="s">
        <v>580</v>
      </c>
      <c r="E111" s="9">
        <v>27670</v>
      </c>
      <c r="F111" s="9" t="s">
        <v>581</v>
      </c>
      <c r="G111" s="9" t="s">
        <v>582</v>
      </c>
      <c r="H111" s="9" t="s">
        <v>583</v>
      </c>
      <c r="I111" s="9"/>
      <c r="J111" s="9" t="s">
        <v>517</v>
      </c>
      <c r="K111" s="9" t="s">
        <v>584</v>
      </c>
      <c r="L111" s="10" t="s">
        <v>36</v>
      </c>
    </row>
    <row r="112" spans="1:12" x14ac:dyDescent="0.2">
      <c r="A112" s="6" t="str">
        <f t="shared" si="1"/>
        <v>LA LONDE - 590 rue Adolphe Marie (Stade de Foot)</v>
      </c>
      <c r="B112" s="13">
        <f>COUNTA(#REF!)</f>
        <v>1</v>
      </c>
      <c r="C112" s="8" t="s">
        <v>585</v>
      </c>
      <c r="D112" s="14" t="s">
        <v>277</v>
      </c>
      <c r="E112" s="9">
        <v>76500</v>
      </c>
      <c r="F112" s="9" t="s">
        <v>502</v>
      </c>
      <c r="G112" s="9" t="s">
        <v>586</v>
      </c>
      <c r="H112" s="9" t="s">
        <v>587</v>
      </c>
      <c r="I112" s="9" t="s">
        <v>17</v>
      </c>
      <c r="J112" s="9" t="s">
        <v>18</v>
      </c>
      <c r="K112" s="9" t="s">
        <v>588</v>
      </c>
      <c r="L112" s="10" t="s">
        <v>36</v>
      </c>
    </row>
    <row r="113" spans="1:12" x14ac:dyDescent="0.2">
      <c r="A113" s="6" t="str">
        <f t="shared" si="1"/>
        <v>ELBEUF - 7 Rue du Neubourg (Carrefour Market - Station Service)</v>
      </c>
      <c r="B113" s="7">
        <f>COUNTA(#REF!)</f>
        <v>1</v>
      </c>
      <c r="C113" s="11" t="s">
        <v>589</v>
      </c>
      <c r="D113" s="9" t="s">
        <v>590</v>
      </c>
      <c r="E113" s="9">
        <v>76500</v>
      </c>
      <c r="F113" s="9" t="s">
        <v>514</v>
      </c>
      <c r="G113" s="9" t="s">
        <v>591</v>
      </c>
      <c r="H113" s="9" t="s">
        <v>592</v>
      </c>
      <c r="I113" s="9" t="s">
        <v>17</v>
      </c>
      <c r="J113" s="9" t="s">
        <v>41</v>
      </c>
      <c r="K113" s="9" t="s">
        <v>593</v>
      </c>
      <c r="L113" s="10" t="s">
        <v>36</v>
      </c>
    </row>
    <row r="114" spans="1:12" x14ac:dyDescent="0.2">
      <c r="A114" s="6" t="str">
        <f t="shared" si="1"/>
        <v>ORIVAL - 26 Rue de Rouen</v>
      </c>
      <c r="B114" s="7">
        <f>COUNTA(#REF!)</f>
        <v>1</v>
      </c>
      <c r="C114" s="11" t="s">
        <v>594</v>
      </c>
      <c r="D114" s="9"/>
      <c r="E114" s="9">
        <v>76500</v>
      </c>
      <c r="F114" s="9" t="s">
        <v>595</v>
      </c>
      <c r="G114" s="9" t="s">
        <v>596</v>
      </c>
      <c r="H114" s="9" t="s">
        <v>597</v>
      </c>
      <c r="I114" s="9" t="s">
        <v>17</v>
      </c>
      <c r="J114" s="9" t="s">
        <v>18</v>
      </c>
      <c r="K114" s="9" t="s">
        <v>598</v>
      </c>
      <c r="L114" s="10" t="s">
        <v>36</v>
      </c>
    </row>
    <row r="115" spans="1:12" x14ac:dyDescent="0.2">
      <c r="A115" s="12" t="str">
        <f t="shared" si="1"/>
        <v>SAINT-AUBIN-LÈS-ELBEUF - CHI  rue du docteur Villers (entrée des urgences)</v>
      </c>
      <c r="B115" s="7">
        <f>COUNTA(#REF!)</f>
        <v>1</v>
      </c>
      <c r="C115" s="11" t="s">
        <v>599</v>
      </c>
      <c r="D115" s="9" t="s">
        <v>600</v>
      </c>
      <c r="E115" s="9">
        <v>76410</v>
      </c>
      <c r="F115" s="9" t="s">
        <v>467</v>
      </c>
      <c r="G115" s="9"/>
      <c r="H115" s="9"/>
      <c r="I115" s="9" t="s">
        <v>17</v>
      </c>
      <c r="J115" s="9" t="s">
        <v>18</v>
      </c>
      <c r="K115" s="9" t="s">
        <v>601</v>
      </c>
      <c r="L115" s="10" t="s">
        <v>36</v>
      </c>
    </row>
    <row r="116" spans="1:12" x14ac:dyDescent="0.2">
      <c r="A116" s="6" t="str">
        <f t="shared" si="1"/>
        <v>LE HOULME - 73 A rue du Général de Gaulle (Devant l'Association)</v>
      </c>
      <c r="B116" s="7">
        <f>COUNTA(#REF!)</f>
        <v>1</v>
      </c>
      <c r="C116" s="11" t="s">
        <v>602</v>
      </c>
      <c r="D116" s="9" t="s">
        <v>603</v>
      </c>
      <c r="E116" s="9">
        <v>76770</v>
      </c>
      <c r="F116" s="9" t="s">
        <v>604</v>
      </c>
      <c r="G116" s="9" t="s">
        <v>605</v>
      </c>
      <c r="H116" s="9" t="s">
        <v>606</v>
      </c>
      <c r="I116" s="9" t="s">
        <v>17</v>
      </c>
      <c r="J116" s="9" t="s">
        <v>18</v>
      </c>
      <c r="K116" s="9" t="s">
        <v>607</v>
      </c>
      <c r="L116" s="10" t="s">
        <v>19</v>
      </c>
    </row>
    <row r="117" spans="1:12" x14ac:dyDescent="0.2">
      <c r="A117" s="6" t="str">
        <f t="shared" si="1"/>
        <v>FRENEUSE - 4 rue Côte aux Blancs</v>
      </c>
      <c r="B117" s="7">
        <f>COUNTA(#REF!)</f>
        <v>1</v>
      </c>
      <c r="C117" s="11" t="s">
        <v>608</v>
      </c>
      <c r="D117" s="9"/>
      <c r="E117" s="9">
        <v>76410</v>
      </c>
      <c r="F117" s="9" t="s">
        <v>609</v>
      </c>
      <c r="G117" s="9" t="s">
        <v>610</v>
      </c>
      <c r="H117" s="9" t="s">
        <v>611</v>
      </c>
      <c r="I117" s="9" t="s">
        <v>17</v>
      </c>
      <c r="J117" s="9" t="s">
        <v>18</v>
      </c>
      <c r="K117" s="9" t="s">
        <v>612</v>
      </c>
      <c r="L117" s="10" t="s">
        <v>36</v>
      </c>
    </row>
    <row r="118" spans="1:12" x14ac:dyDescent="0.2">
      <c r="A118" s="6" t="str">
        <f t="shared" si="1"/>
        <v>BOURG-ACHARD - 510 Rue du Dr Duvrac (Parking Loic Gréaume)</v>
      </c>
      <c r="B118" s="7">
        <f>COUNTA(#REF!)</f>
        <v>1</v>
      </c>
      <c r="C118" s="11" t="s">
        <v>613</v>
      </c>
      <c r="D118" s="9" t="s">
        <v>614</v>
      </c>
      <c r="E118" s="9">
        <v>27310</v>
      </c>
      <c r="F118" s="9" t="s">
        <v>615</v>
      </c>
      <c r="G118" s="9" t="s">
        <v>616</v>
      </c>
      <c r="H118" s="9" t="s">
        <v>617</v>
      </c>
      <c r="I118" s="9"/>
      <c r="J118" s="9" t="s">
        <v>18</v>
      </c>
      <c r="K118" s="9" t="s">
        <v>618</v>
      </c>
      <c r="L118" s="10" t="s">
        <v>619</v>
      </c>
    </row>
    <row r="119" spans="1:12" x14ac:dyDescent="0.2">
      <c r="A119" s="6" t="str">
        <f t="shared" si="1"/>
        <v>LE GRAND-QUEVILLY - 18 Rue Maryse Bastié (Parking école Maryse Bastié)</v>
      </c>
      <c r="B119" s="7">
        <f>COUNTA(#REF!)</f>
        <v>1</v>
      </c>
      <c r="C119" s="11" t="s">
        <v>620</v>
      </c>
      <c r="D119" s="9" t="s">
        <v>621</v>
      </c>
      <c r="E119" s="9">
        <v>76120</v>
      </c>
      <c r="F119" s="9" t="s">
        <v>272</v>
      </c>
      <c r="G119" s="9" t="s">
        <v>622</v>
      </c>
      <c r="H119" s="9" t="s">
        <v>623</v>
      </c>
      <c r="I119" s="9" t="s">
        <v>17</v>
      </c>
      <c r="J119" s="9" t="s">
        <v>18</v>
      </c>
      <c r="K119" s="9" t="s">
        <v>624</v>
      </c>
      <c r="L119" s="10" t="s">
        <v>19</v>
      </c>
    </row>
    <row r="120" spans="1:12" x14ac:dyDescent="0.2">
      <c r="A120" s="6" t="str">
        <f t="shared" si="1"/>
        <v>LE GRAND-QUEVILLY - 1 Rue Joseph-Jérome De Lalande (Parking)</v>
      </c>
      <c r="B120" s="7">
        <f>COUNTA(#REF!)</f>
        <v>1</v>
      </c>
      <c r="C120" s="11" t="s">
        <v>625</v>
      </c>
      <c r="D120" s="9" t="s">
        <v>626</v>
      </c>
      <c r="E120" s="9">
        <v>76120</v>
      </c>
      <c r="F120" s="9" t="s">
        <v>272</v>
      </c>
      <c r="G120" s="9" t="s">
        <v>627</v>
      </c>
      <c r="H120" s="9" t="s">
        <v>628</v>
      </c>
      <c r="I120" s="9" t="s">
        <v>17</v>
      </c>
      <c r="J120" s="9" t="s">
        <v>18</v>
      </c>
      <c r="K120" s="9" t="s">
        <v>629</v>
      </c>
      <c r="L120" s="10" t="s">
        <v>19</v>
      </c>
    </row>
    <row r="121" spans="1:12" x14ac:dyDescent="0.2">
      <c r="A121" s="6" t="str">
        <f t="shared" si="1"/>
        <v>QUATREMARE - 3 route de Louviers</v>
      </c>
      <c r="B121" s="7">
        <f>COUNTA(#REF!)</f>
        <v>1</v>
      </c>
      <c r="C121" s="11" t="s">
        <v>630</v>
      </c>
      <c r="D121" s="9"/>
      <c r="E121" s="9">
        <v>27400</v>
      </c>
      <c r="F121" s="9" t="s">
        <v>631</v>
      </c>
      <c r="G121" s="9" t="s">
        <v>632</v>
      </c>
      <c r="H121" s="9" t="s">
        <v>633</v>
      </c>
      <c r="I121" s="9"/>
      <c r="J121" s="9" t="s">
        <v>18</v>
      </c>
      <c r="K121" s="9" t="s">
        <v>634</v>
      </c>
      <c r="L121" s="10" t="s">
        <v>619</v>
      </c>
    </row>
    <row r="122" spans="1:12" x14ac:dyDescent="0.2">
      <c r="A122" s="6" t="str">
        <f t="shared" si="1"/>
        <v>ROMILLY-SUR-ANDELLE - 1674 rue Blingue</v>
      </c>
      <c r="B122" s="7">
        <f>COUNTA(#REF!)</f>
        <v>1</v>
      </c>
      <c r="C122" s="11" t="s">
        <v>635</v>
      </c>
      <c r="D122" s="9"/>
      <c r="E122" s="9">
        <v>27610</v>
      </c>
      <c r="F122" s="9" t="s">
        <v>636</v>
      </c>
      <c r="G122" s="9" t="s">
        <v>637</v>
      </c>
      <c r="H122" s="9" t="s">
        <v>638</v>
      </c>
      <c r="I122" s="9"/>
      <c r="J122" s="9" t="s">
        <v>18</v>
      </c>
      <c r="K122" s="9" t="s">
        <v>639</v>
      </c>
      <c r="L122" s="10" t="s">
        <v>619</v>
      </c>
    </row>
    <row r="123" spans="1:12" x14ac:dyDescent="0.2">
      <c r="A123" s="6" t="str">
        <f t="shared" si="1"/>
        <v>LOUVIERS - 2 rue Saint-Jean (CHU - Dans l'enceinte de l'Hôpital - Parking)</v>
      </c>
      <c r="B123" s="7">
        <f>COUNTA(#REF!)</f>
        <v>1</v>
      </c>
      <c r="C123" s="11" t="s">
        <v>640</v>
      </c>
      <c r="D123" s="9" t="s">
        <v>641</v>
      </c>
      <c r="E123" s="9">
        <v>27400</v>
      </c>
      <c r="F123" s="9" t="s">
        <v>642</v>
      </c>
      <c r="G123" s="9" t="s">
        <v>643</v>
      </c>
      <c r="H123" s="9" t="s">
        <v>644</v>
      </c>
      <c r="I123" s="9"/>
      <c r="J123" s="9" t="s">
        <v>18</v>
      </c>
      <c r="K123" s="9" t="s">
        <v>645</v>
      </c>
      <c r="L123" s="10" t="s">
        <v>619</v>
      </c>
    </row>
    <row r="124" spans="1:12" x14ac:dyDescent="0.2">
      <c r="A124" s="6" t="str">
        <f t="shared" si="1"/>
        <v>PITRES - 30 Rue de l'Eglise (Salle des fêtes)</v>
      </c>
      <c r="B124" s="7">
        <f>COUNTA(#REF!)</f>
        <v>1</v>
      </c>
      <c r="C124" s="11" t="s">
        <v>646</v>
      </c>
      <c r="D124" s="9" t="s">
        <v>647</v>
      </c>
      <c r="E124" s="9">
        <v>27590</v>
      </c>
      <c r="F124" s="9" t="s">
        <v>648</v>
      </c>
      <c r="G124" s="9" t="s">
        <v>649</v>
      </c>
      <c r="H124" s="9" t="s">
        <v>650</v>
      </c>
      <c r="I124" s="9"/>
      <c r="J124" s="9" t="s">
        <v>18</v>
      </c>
      <c r="K124" s="9" t="s">
        <v>651</v>
      </c>
      <c r="L124" s="10" t="s">
        <v>619</v>
      </c>
    </row>
    <row r="125" spans="1:12" x14ac:dyDescent="0.2">
      <c r="A125" s="6" t="str">
        <f t="shared" si="1"/>
        <v>ROUEN - 72 rue de Martainville</v>
      </c>
      <c r="B125" s="7">
        <f>COUNTA(#REF!)</f>
        <v>1</v>
      </c>
      <c r="C125" s="11" t="s">
        <v>652</v>
      </c>
      <c r="D125" s="9"/>
      <c r="E125" s="9">
        <v>76000</v>
      </c>
      <c r="F125" s="9" t="s">
        <v>27</v>
      </c>
      <c r="G125" s="9" t="s">
        <v>653</v>
      </c>
      <c r="H125" s="9" t="s">
        <v>654</v>
      </c>
      <c r="I125" s="9" t="s">
        <v>17</v>
      </c>
      <c r="J125" s="9" t="s">
        <v>18</v>
      </c>
      <c r="K125" s="9" t="s">
        <v>655</v>
      </c>
      <c r="L125" s="10" t="s">
        <v>19</v>
      </c>
    </row>
    <row r="126" spans="1:12" x14ac:dyDescent="0.2">
      <c r="A126" s="6" t="str">
        <f t="shared" si="1"/>
        <v>ROUEN - 27 Rue Verte (Gare)</v>
      </c>
      <c r="B126" s="7">
        <f>COUNTA(#REF!)</f>
        <v>1</v>
      </c>
      <c r="C126" s="11" t="s">
        <v>656</v>
      </c>
      <c r="D126" s="9" t="s">
        <v>657</v>
      </c>
      <c r="E126" s="9">
        <v>76000</v>
      </c>
      <c r="F126" s="9" t="s">
        <v>27</v>
      </c>
      <c r="G126" s="9" t="s">
        <v>658</v>
      </c>
      <c r="H126" s="9" t="s">
        <v>659</v>
      </c>
      <c r="I126" s="9" t="s">
        <v>17</v>
      </c>
      <c r="J126" s="9" t="s">
        <v>18</v>
      </c>
      <c r="K126" s="9" t="s">
        <v>660</v>
      </c>
      <c r="L126" s="10" t="s">
        <v>19</v>
      </c>
    </row>
    <row r="127" spans="1:12" x14ac:dyDescent="0.2">
      <c r="A127" s="6" t="str">
        <f t="shared" si="1"/>
        <v>ROUEN - 35 rue Orbe (Près de Franprix)</v>
      </c>
      <c r="B127" s="7">
        <f>COUNTA(#REF!)</f>
        <v>1</v>
      </c>
      <c r="C127" s="11" t="s">
        <v>661</v>
      </c>
      <c r="D127" s="9" t="s">
        <v>662</v>
      </c>
      <c r="E127" s="9">
        <v>76000</v>
      </c>
      <c r="F127" s="9" t="s">
        <v>27</v>
      </c>
      <c r="G127" s="9" t="s">
        <v>663</v>
      </c>
      <c r="H127" s="9" t="s">
        <v>664</v>
      </c>
      <c r="I127" s="9" t="s">
        <v>17</v>
      </c>
      <c r="J127" s="9" t="s">
        <v>18</v>
      </c>
      <c r="K127" s="9" t="s">
        <v>665</v>
      </c>
      <c r="L127" s="10" t="s">
        <v>19</v>
      </c>
    </row>
    <row r="128" spans="1:12" x14ac:dyDescent="0.2">
      <c r="A128" s="6" t="str">
        <f t="shared" si="1"/>
        <v>ROUEN - 25 rue de la Poterne (Entrée escalier Parking)</v>
      </c>
      <c r="B128" s="7">
        <f>COUNTA(#REF!)</f>
        <v>1</v>
      </c>
      <c r="C128" s="11" t="s">
        <v>666</v>
      </c>
      <c r="D128" s="9" t="s">
        <v>667</v>
      </c>
      <c r="E128" s="9">
        <v>76000</v>
      </c>
      <c r="F128" s="9" t="s">
        <v>27</v>
      </c>
      <c r="G128" s="9" t="s">
        <v>668</v>
      </c>
      <c r="H128" s="9" t="s">
        <v>669</v>
      </c>
      <c r="I128" s="9" t="s">
        <v>17</v>
      </c>
      <c r="J128" s="9" t="s">
        <v>18</v>
      </c>
      <c r="K128" s="9" t="s">
        <v>670</v>
      </c>
      <c r="L128" s="10" t="s">
        <v>19</v>
      </c>
    </row>
    <row r="129" spans="1:12" x14ac:dyDescent="0.2">
      <c r="A129" s="6" t="str">
        <f t="shared" si="1"/>
        <v>ROUEN - 19 rue du Général Giraud</v>
      </c>
      <c r="B129" s="7">
        <f>COUNTA(#REF!)</f>
        <v>1</v>
      </c>
      <c r="C129" s="11" t="s">
        <v>671</v>
      </c>
      <c r="D129" s="9"/>
      <c r="E129" s="9">
        <v>76000</v>
      </c>
      <c r="F129" s="9" t="s">
        <v>27</v>
      </c>
      <c r="G129" s="9" t="s">
        <v>672</v>
      </c>
      <c r="H129" s="9" t="s">
        <v>673</v>
      </c>
      <c r="I129" s="9" t="s">
        <v>17</v>
      </c>
      <c r="J129" s="9" t="s">
        <v>18</v>
      </c>
      <c r="K129" s="9" t="s">
        <v>674</v>
      </c>
      <c r="L129" s="10" t="s">
        <v>19</v>
      </c>
    </row>
    <row r="130" spans="1:12" x14ac:dyDescent="0.2">
      <c r="A130" s="12" t="str">
        <f t="shared" ref="A130:A193" si="2">UPPER(F130)&amp;" - "&amp;C130&amp;IF(D130="",""," ("&amp;D130&amp;")")</f>
        <v>ROUEN - 27 rue Saint-Sever (Cours Clémenceau)</v>
      </c>
      <c r="B130" s="7">
        <f>COUNTA(#REF!)</f>
        <v>1</v>
      </c>
      <c r="C130" s="11" t="s">
        <v>675</v>
      </c>
      <c r="D130" s="9" t="s">
        <v>676</v>
      </c>
      <c r="E130" s="9">
        <v>76000</v>
      </c>
      <c r="F130" s="9" t="s">
        <v>27</v>
      </c>
      <c r="G130" s="9"/>
      <c r="H130" s="9"/>
      <c r="I130" s="9" t="s">
        <v>17</v>
      </c>
      <c r="J130" s="9" t="s">
        <v>18</v>
      </c>
      <c r="K130" s="9" t="s">
        <v>677</v>
      </c>
      <c r="L130" s="10" t="s">
        <v>19</v>
      </c>
    </row>
    <row r="131" spans="1:12" x14ac:dyDescent="0.2">
      <c r="A131" s="6" t="str">
        <f t="shared" si="2"/>
        <v>ROUEN - 2 rue Blaise Pascal (Angle rue d'Elbeuf)</v>
      </c>
      <c r="B131" s="7">
        <f>COUNTA(#REF!)</f>
        <v>1</v>
      </c>
      <c r="C131" s="11" t="s">
        <v>678</v>
      </c>
      <c r="D131" s="9" t="s">
        <v>679</v>
      </c>
      <c r="E131" s="9">
        <v>76000</v>
      </c>
      <c r="F131" s="9" t="s">
        <v>27</v>
      </c>
      <c r="G131" s="9" t="s">
        <v>680</v>
      </c>
      <c r="H131" s="9" t="s">
        <v>681</v>
      </c>
      <c r="I131" s="9" t="s">
        <v>17</v>
      </c>
      <c r="J131" s="9" t="s">
        <v>18</v>
      </c>
      <c r="K131" s="9" t="s">
        <v>682</v>
      </c>
      <c r="L131" s="10" t="s">
        <v>19</v>
      </c>
    </row>
    <row r="132" spans="1:12" x14ac:dyDescent="0.2">
      <c r="A132" s="6" t="str">
        <f t="shared" si="2"/>
        <v>ROUEN - 77 rue Méridienne (Angle Rue Octave Crutel)</v>
      </c>
      <c r="B132" s="7">
        <f>COUNTA(#REF!)</f>
        <v>1</v>
      </c>
      <c r="C132" s="11" t="s">
        <v>683</v>
      </c>
      <c r="D132" s="9" t="s">
        <v>684</v>
      </c>
      <c r="E132" s="9">
        <v>76000</v>
      </c>
      <c r="F132" s="9" t="s">
        <v>27</v>
      </c>
      <c r="G132" s="9" t="s">
        <v>685</v>
      </c>
      <c r="H132" s="9" t="s">
        <v>686</v>
      </c>
      <c r="I132" s="9" t="s">
        <v>17</v>
      </c>
      <c r="J132" s="9" t="s">
        <v>18</v>
      </c>
      <c r="K132" s="9" t="s">
        <v>687</v>
      </c>
      <c r="L132" s="10" t="s">
        <v>19</v>
      </c>
    </row>
    <row r="133" spans="1:12" x14ac:dyDescent="0.2">
      <c r="A133" s="6" t="str">
        <f t="shared" si="2"/>
        <v>ROUEN - 9 rue Pierre Forfait (Angle Place de Lattre de Tassigny)</v>
      </c>
      <c r="B133" s="7">
        <f>COUNTA(#REF!)</f>
        <v>1</v>
      </c>
      <c r="C133" s="11" t="s">
        <v>688</v>
      </c>
      <c r="D133" s="9" t="s">
        <v>689</v>
      </c>
      <c r="E133" s="9">
        <v>76000</v>
      </c>
      <c r="F133" s="9" t="s">
        <v>27</v>
      </c>
      <c r="G133" s="9" t="s">
        <v>690</v>
      </c>
      <c r="H133" s="9" t="s">
        <v>691</v>
      </c>
      <c r="I133" s="9" t="s">
        <v>17</v>
      </c>
      <c r="J133" s="9" t="s">
        <v>18</v>
      </c>
      <c r="K133" s="9" t="s">
        <v>692</v>
      </c>
      <c r="L133" s="10" t="s">
        <v>19</v>
      </c>
    </row>
    <row r="134" spans="1:12" x14ac:dyDescent="0.2">
      <c r="A134" s="6" t="str">
        <f t="shared" si="2"/>
        <v>SAINT-AUBIN-CELLOVILLE - 12 Rue de la Mairie  (Ruelle Atelier Municipal - Salle des Fêtes)</v>
      </c>
      <c r="B134" s="7">
        <f>COUNTA(#REF!)</f>
        <v>1</v>
      </c>
      <c r="C134" s="11" t="s">
        <v>693</v>
      </c>
      <c r="D134" s="9" t="s">
        <v>694</v>
      </c>
      <c r="E134" s="9">
        <v>76520</v>
      </c>
      <c r="F134" s="9" t="s">
        <v>695</v>
      </c>
      <c r="G134" s="9" t="s">
        <v>696</v>
      </c>
      <c r="H134" s="9" t="s">
        <v>697</v>
      </c>
      <c r="I134" s="9" t="s">
        <v>17</v>
      </c>
      <c r="J134" s="9" t="s">
        <v>18</v>
      </c>
      <c r="K134" s="9" t="s">
        <v>698</v>
      </c>
      <c r="L134" s="10" t="s">
        <v>19</v>
      </c>
    </row>
    <row r="135" spans="1:12" x14ac:dyDescent="0.2">
      <c r="A135" s="6" t="str">
        <f t="shared" si="2"/>
        <v>ROUEN - 137 Route de Darnétal</v>
      </c>
      <c r="B135" s="7">
        <f>COUNTA(#REF!)</f>
        <v>1</v>
      </c>
      <c r="C135" s="11" t="s">
        <v>699</v>
      </c>
      <c r="D135" s="9"/>
      <c r="E135" s="9">
        <v>76000</v>
      </c>
      <c r="F135" s="9" t="s">
        <v>27</v>
      </c>
      <c r="G135" s="9" t="s">
        <v>700</v>
      </c>
      <c r="H135" s="9" t="s">
        <v>701</v>
      </c>
      <c r="I135" s="9" t="s">
        <v>17</v>
      </c>
      <c r="J135" s="9" t="s">
        <v>18</v>
      </c>
      <c r="K135" s="9" t="s">
        <v>702</v>
      </c>
      <c r="L135" s="10" t="s">
        <v>19</v>
      </c>
    </row>
    <row r="136" spans="1:12" x14ac:dyDescent="0.2">
      <c r="A136" s="6" t="str">
        <f t="shared" si="2"/>
        <v>ROUEN - 2 Rue François Couperin (Parking Eglise Sainte-Claire)</v>
      </c>
      <c r="B136" s="7">
        <f>COUNTA(#REF!)</f>
        <v>1</v>
      </c>
      <c r="C136" s="11" t="s">
        <v>703</v>
      </c>
      <c r="D136" s="9" t="s">
        <v>704</v>
      </c>
      <c r="E136" s="9">
        <v>76000</v>
      </c>
      <c r="F136" s="9" t="s">
        <v>27</v>
      </c>
      <c r="G136" s="9" t="s">
        <v>705</v>
      </c>
      <c r="H136" s="9" t="s">
        <v>706</v>
      </c>
      <c r="I136" s="9" t="s">
        <v>17</v>
      </c>
      <c r="J136" s="9" t="s">
        <v>18</v>
      </c>
      <c r="K136" s="9" t="s">
        <v>707</v>
      </c>
      <c r="L136" s="10" t="s">
        <v>19</v>
      </c>
    </row>
    <row r="137" spans="1:12" x14ac:dyDescent="0.2">
      <c r="A137" s="6" t="str">
        <f t="shared" si="2"/>
        <v>ROUEN - Rue du Chanoine Maubec (Angle Ferdinand Marrou - Derrière le Coccinelle)</v>
      </c>
      <c r="B137" s="7">
        <f>COUNTA(#REF!)</f>
        <v>1</v>
      </c>
      <c r="C137" s="11" t="s">
        <v>708</v>
      </c>
      <c r="D137" s="9" t="s">
        <v>709</v>
      </c>
      <c r="E137" s="9">
        <v>76000</v>
      </c>
      <c r="F137" s="9" t="s">
        <v>27</v>
      </c>
      <c r="G137" s="9" t="s">
        <v>710</v>
      </c>
      <c r="H137" s="9" t="s">
        <v>711</v>
      </c>
      <c r="I137" s="9" t="s">
        <v>17</v>
      </c>
      <c r="J137" s="9" t="s">
        <v>18</v>
      </c>
      <c r="K137" s="9" t="s">
        <v>712</v>
      </c>
      <c r="L137" s="10" t="s">
        <v>19</v>
      </c>
    </row>
    <row r="138" spans="1:12" x14ac:dyDescent="0.2">
      <c r="A138" s="6" t="str">
        <f t="shared" si="2"/>
        <v>BAPEAUME-LÈS-ROUEN - 9021 Rue du Canal (Derrière la Station Service)</v>
      </c>
      <c r="B138" s="7">
        <f>COUNTA(#REF!)</f>
        <v>1</v>
      </c>
      <c r="C138" s="11" t="s">
        <v>713</v>
      </c>
      <c r="D138" s="9" t="s">
        <v>714</v>
      </c>
      <c r="E138" s="9">
        <v>76380</v>
      </c>
      <c r="F138" s="9" t="s">
        <v>715</v>
      </c>
      <c r="G138" s="9" t="s">
        <v>716</v>
      </c>
      <c r="H138" s="9" t="s">
        <v>717</v>
      </c>
      <c r="I138" s="9" t="s">
        <v>17</v>
      </c>
      <c r="J138" s="9" t="s">
        <v>41</v>
      </c>
      <c r="K138" s="9" t="s">
        <v>718</v>
      </c>
      <c r="L138" s="10" t="s">
        <v>19</v>
      </c>
    </row>
    <row r="139" spans="1:12" x14ac:dyDescent="0.2">
      <c r="A139" s="6" t="str">
        <f t="shared" si="2"/>
        <v>DARNÉTAL - 10 rue aux Juifs</v>
      </c>
      <c r="B139" s="7">
        <f>COUNTA(#REF!)</f>
        <v>1</v>
      </c>
      <c r="C139" s="11" t="s">
        <v>719</v>
      </c>
      <c r="D139" s="9"/>
      <c r="E139" s="9">
        <v>76160</v>
      </c>
      <c r="F139" s="9" t="s">
        <v>126</v>
      </c>
      <c r="G139" s="9" t="s">
        <v>720</v>
      </c>
      <c r="H139" s="9" t="s">
        <v>721</v>
      </c>
      <c r="I139" s="9" t="s">
        <v>17</v>
      </c>
      <c r="J139" s="9" t="s">
        <v>18</v>
      </c>
      <c r="K139" s="9" t="s">
        <v>722</v>
      </c>
      <c r="L139" s="10" t="s">
        <v>19</v>
      </c>
    </row>
    <row r="140" spans="1:12" x14ac:dyDescent="0.2">
      <c r="A140" s="6" t="str">
        <f t="shared" si="2"/>
        <v>MONTEROLIER - 1 Rue du Mesnil (Devant le terrain de tennis)</v>
      </c>
      <c r="B140" s="7">
        <f>COUNTA(#REF!)</f>
        <v>1</v>
      </c>
      <c r="C140" s="11" t="s">
        <v>723</v>
      </c>
      <c r="D140" s="9" t="s">
        <v>724</v>
      </c>
      <c r="E140" s="9">
        <v>76680</v>
      </c>
      <c r="F140" s="9" t="s">
        <v>725</v>
      </c>
      <c r="G140" s="9" t="s">
        <v>726</v>
      </c>
      <c r="H140" s="9" t="s">
        <v>727</v>
      </c>
      <c r="I140" s="9"/>
      <c r="J140" s="9" t="s">
        <v>18</v>
      </c>
      <c r="K140" s="9" t="s">
        <v>728</v>
      </c>
      <c r="L140" s="10" t="s">
        <v>19</v>
      </c>
    </row>
    <row r="141" spans="1:12" x14ac:dyDescent="0.2">
      <c r="A141" s="6" t="str">
        <f t="shared" si="2"/>
        <v>NEUFCHATEL-EN-BRAY - 29 Impasse de la Gare (Face crèperie)</v>
      </c>
      <c r="B141" s="7">
        <f>COUNTA(#REF!)</f>
        <v>1</v>
      </c>
      <c r="C141" s="11" t="s">
        <v>729</v>
      </c>
      <c r="D141" s="9" t="s">
        <v>730</v>
      </c>
      <c r="E141" s="9">
        <v>76270</v>
      </c>
      <c r="F141" s="9" t="s">
        <v>731</v>
      </c>
      <c r="G141" s="9" t="s">
        <v>732</v>
      </c>
      <c r="H141" s="9" t="s">
        <v>733</v>
      </c>
      <c r="I141" s="9"/>
      <c r="J141" s="9" t="s">
        <v>18</v>
      </c>
      <c r="K141" s="9" t="s">
        <v>734</v>
      </c>
      <c r="L141" s="10" t="s">
        <v>19</v>
      </c>
    </row>
    <row r="142" spans="1:12" x14ac:dyDescent="0.2">
      <c r="A142" s="6" t="str">
        <f t="shared" si="2"/>
        <v>ROCQUEMONT - 709 Grande Rue  (Côté Eglise)</v>
      </c>
      <c r="B142" s="7">
        <f>COUNTA(#REF!)</f>
        <v>1</v>
      </c>
      <c r="C142" s="11" t="s">
        <v>735</v>
      </c>
      <c r="D142" s="9" t="s">
        <v>736</v>
      </c>
      <c r="E142" s="9">
        <v>76680</v>
      </c>
      <c r="F142" s="9" t="s">
        <v>737</v>
      </c>
      <c r="G142" s="9" t="s">
        <v>738</v>
      </c>
      <c r="H142" s="9" t="s">
        <v>739</v>
      </c>
      <c r="I142" s="9"/>
      <c r="J142" s="9" t="s">
        <v>18</v>
      </c>
      <c r="K142" s="9" t="s">
        <v>740</v>
      </c>
      <c r="L142" s="10" t="s">
        <v>19</v>
      </c>
    </row>
    <row r="143" spans="1:12" x14ac:dyDescent="0.2">
      <c r="A143" s="6" t="str">
        <f t="shared" si="2"/>
        <v>SOMMERY - 479 rue de la Gare (Parking Gare)</v>
      </c>
      <c r="B143" s="7">
        <f>COUNTA(#REF!)</f>
        <v>1</v>
      </c>
      <c r="C143" s="11" t="s">
        <v>741</v>
      </c>
      <c r="D143" s="9" t="s">
        <v>742</v>
      </c>
      <c r="E143" s="9">
        <v>76440</v>
      </c>
      <c r="F143" s="9" t="s">
        <v>743</v>
      </c>
      <c r="G143" s="9" t="s">
        <v>744</v>
      </c>
      <c r="H143" s="9" t="s">
        <v>745</v>
      </c>
      <c r="I143" s="9"/>
      <c r="J143" s="9" t="s">
        <v>18</v>
      </c>
      <c r="K143" s="9" t="s">
        <v>746</v>
      </c>
      <c r="L143" s="10" t="s">
        <v>19</v>
      </c>
    </row>
    <row r="144" spans="1:12" x14ac:dyDescent="0.2">
      <c r="A144" s="6" t="str">
        <f t="shared" si="2"/>
        <v>BIHOREL - 212 Rue du Sansonnet  (Parking derrière Centre Commercial du Chapitre)</v>
      </c>
      <c r="B144" s="7">
        <f>COUNTA(#REF!)</f>
        <v>1</v>
      </c>
      <c r="C144" s="11" t="s">
        <v>747</v>
      </c>
      <c r="D144" s="9" t="s">
        <v>748</v>
      </c>
      <c r="E144" s="9">
        <v>76420</v>
      </c>
      <c r="F144" s="9" t="s">
        <v>749</v>
      </c>
      <c r="G144" s="9" t="s">
        <v>750</v>
      </c>
      <c r="H144" s="9" t="s">
        <v>751</v>
      </c>
      <c r="I144" s="9" t="s">
        <v>17</v>
      </c>
      <c r="J144" s="9" t="s">
        <v>18</v>
      </c>
      <c r="K144" s="9" t="s">
        <v>752</v>
      </c>
      <c r="L144" s="10" t="s">
        <v>19</v>
      </c>
    </row>
    <row r="145" spans="1:12" x14ac:dyDescent="0.2">
      <c r="A145" s="6" t="str">
        <f t="shared" si="2"/>
        <v>BIHOREL - 15 Rue Philibert Caux (En face de l'école Ste Victrice)</v>
      </c>
      <c r="B145" s="7">
        <f>COUNTA(#REF!)</f>
        <v>1</v>
      </c>
      <c r="C145" s="11" t="s">
        <v>753</v>
      </c>
      <c r="D145" s="9" t="s">
        <v>754</v>
      </c>
      <c r="E145" s="9">
        <v>76420</v>
      </c>
      <c r="F145" s="9" t="s">
        <v>749</v>
      </c>
      <c r="G145" s="9" t="s">
        <v>755</v>
      </c>
      <c r="H145" s="9" t="s">
        <v>756</v>
      </c>
      <c r="I145" s="9" t="s">
        <v>17</v>
      </c>
      <c r="J145" s="9" t="s">
        <v>18</v>
      </c>
      <c r="K145" s="9" t="s">
        <v>757</v>
      </c>
      <c r="L145" s="10" t="s">
        <v>19</v>
      </c>
    </row>
    <row r="146" spans="1:12" x14ac:dyDescent="0.2">
      <c r="A146" s="6" t="str">
        <f t="shared" si="2"/>
        <v>PONT-SAINT-PIERRE - 2 rue du Collège (Parking de la Piscine)</v>
      </c>
      <c r="B146" s="7">
        <f>COUNTA(#REF!)</f>
        <v>1</v>
      </c>
      <c r="C146" s="11" t="s">
        <v>758</v>
      </c>
      <c r="D146" s="9" t="s">
        <v>759</v>
      </c>
      <c r="E146" s="9">
        <v>27360</v>
      </c>
      <c r="F146" s="9" t="s">
        <v>760</v>
      </c>
      <c r="G146" s="9" t="s">
        <v>761</v>
      </c>
      <c r="H146" s="9" t="s">
        <v>762</v>
      </c>
      <c r="I146" s="9"/>
      <c r="J146" s="9" t="s">
        <v>18</v>
      </c>
      <c r="K146" s="9" t="s">
        <v>763</v>
      </c>
      <c r="L146" s="10" t="s">
        <v>619</v>
      </c>
    </row>
    <row r="147" spans="1:12" x14ac:dyDescent="0.2">
      <c r="A147" s="6" t="str">
        <f t="shared" si="2"/>
        <v>INCARVILLE - 19 Rue des Prés (Parking Leclerc)</v>
      </c>
      <c r="B147" s="7">
        <f>COUNTA(#REF!)</f>
        <v>1</v>
      </c>
      <c r="C147" s="11" t="s">
        <v>764</v>
      </c>
      <c r="D147" s="9" t="s">
        <v>765</v>
      </c>
      <c r="E147" s="9">
        <v>27400</v>
      </c>
      <c r="F147" s="9" t="s">
        <v>766</v>
      </c>
      <c r="G147" s="9" t="s">
        <v>767</v>
      </c>
      <c r="H147" s="9" t="s">
        <v>768</v>
      </c>
      <c r="I147" s="9"/>
      <c r="J147" s="9" t="s">
        <v>41</v>
      </c>
      <c r="K147" s="9" t="s">
        <v>769</v>
      </c>
      <c r="L147" s="10" t="s">
        <v>619</v>
      </c>
    </row>
    <row r="148" spans="1:12" x14ac:dyDescent="0.2">
      <c r="A148" s="6" t="str">
        <f t="shared" si="2"/>
        <v>FONTAINE LE BOURG - 318 rue Delamare Deboutteville</v>
      </c>
      <c r="B148" s="7">
        <f>COUNTA(#REF!)</f>
        <v>1</v>
      </c>
      <c r="C148" s="11" t="s">
        <v>770</v>
      </c>
      <c r="D148" s="9"/>
      <c r="E148" s="9">
        <v>76690</v>
      </c>
      <c r="F148" s="9" t="s">
        <v>771</v>
      </c>
      <c r="G148" s="9" t="s">
        <v>772</v>
      </c>
      <c r="H148" s="9" t="s">
        <v>773</v>
      </c>
      <c r="I148" s="9"/>
      <c r="J148" s="9" t="s">
        <v>18</v>
      </c>
      <c r="K148" s="9" t="s">
        <v>774</v>
      </c>
      <c r="L148" s="10" t="s">
        <v>19</v>
      </c>
    </row>
    <row r="149" spans="1:12" x14ac:dyDescent="0.2">
      <c r="A149" s="6" t="str">
        <f t="shared" si="2"/>
        <v>BIHOREL - 34 Rue de Verdun (Parking de la Piscine Transat)</v>
      </c>
      <c r="B149" s="7">
        <f>COUNTA(#REF!)</f>
        <v>1</v>
      </c>
      <c r="C149" s="11" t="s">
        <v>775</v>
      </c>
      <c r="D149" s="9" t="s">
        <v>776</v>
      </c>
      <c r="E149" s="9">
        <v>76420</v>
      </c>
      <c r="F149" s="9" t="s">
        <v>749</v>
      </c>
      <c r="G149" s="9" t="s">
        <v>777</v>
      </c>
      <c r="H149" s="9" t="s">
        <v>778</v>
      </c>
      <c r="I149" s="9" t="s">
        <v>17</v>
      </c>
      <c r="J149" s="9" t="s">
        <v>18</v>
      </c>
      <c r="K149" s="9" t="s">
        <v>779</v>
      </c>
      <c r="L149" s="10" t="s">
        <v>19</v>
      </c>
    </row>
    <row r="150" spans="1:12" x14ac:dyDescent="0.2">
      <c r="A150" s="6" t="str">
        <f t="shared" si="2"/>
        <v>SOTTEVILLE-LÈS-ROUEN - 59 Rue Pierre Bérégovoy (A coté de la colonne à verre)</v>
      </c>
      <c r="B150" s="7">
        <f>COUNTA(#REF!)</f>
        <v>1</v>
      </c>
      <c r="C150" s="11" t="s">
        <v>780</v>
      </c>
      <c r="D150" s="9" t="s">
        <v>407</v>
      </c>
      <c r="E150" s="9">
        <v>76300</v>
      </c>
      <c r="F150" s="9" t="s">
        <v>62</v>
      </c>
      <c r="G150" s="9" t="s">
        <v>781</v>
      </c>
      <c r="H150" s="9" t="s">
        <v>782</v>
      </c>
      <c r="I150" s="9" t="s">
        <v>17</v>
      </c>
      <c r="J150" s="9" t="s">
        <v>18</v>
      </c>
      <c r="K150" s="9" t="s">
        <v>783</v>
      </c>
      <c r="L150" s="10" t="s">
        <v>19</v>
      </c>
    </row>
    <row r="151" spans="1:12" x14ac:dyDescent="0.2">
      <c r="A151" s="6" t="str">
        <f t="shared" si="2"/>
        <v>SOTTEVILLE-LÈS-ROUEN - 36 rue Léon Salva (Angle rue Garibaldi)</v>
      </c>
      <c r="B151" s="7">
        <f>COUNTA(#REF!)</f>
        <v>1</v>
      </c>
      <c r="C151" s="11" t="s">
        <v>784</v>
      </c>
      <c r="D151" s="9" t="s">
        <v>785</v>
      </c>
      <c r="E151" s="9">
        <v>76300</v>
      </c>
      <c r="F151" s="9" t="s">
        <v>62</v>
      </c>
      <c r="G151" s="9" t="s">
        <v>786</v>
      </c>
      <c r="H151" s="9" t="s">
        <v>787</v>
      </c>
      <c r="I151" s="9" t="s">
        <v>17</v>
      </c>
      <c r="J151" s="9" t="s">
        <v>18</v>
      </c>
      <c r="K151" s="9" t="s">
        <v>788</v>
      </c>
      <c r="L151" s="10" t="s">
        <v>19</v>
      </c>
    </row>
    <row r="152" spans="1:12" x14ac:dyDescent="0.2">
      <c r="A152" s="6" t="str">
        <f t="shared" si="2"/>
        <v>SOTTEVILLE-LÈS-ROUEN - 30 avenue du 14 juillet (Parking Stade Sottevillais)</v>
      </c>
      <c r="B152" s="7">
        <f>COUNTA(#REF!)</f>
        <v>1</v>
      </c>
      <c r="C152" s="11" t="s">
        <v>789</v>
      </c>
      <c r="D152" s="9" t="s">
        <v>790</v>
      </c>
      <c r="E152" s="9">
        <v>76300</v>
      </c>
      <c r="F152" s="9" t="s">
        <v>62</v>
      </c>
      <c r="G152" s="9" t="s">
        <v>791</v>
      </c>
      <c r="H152" s="9" t="s">
        <v>792</v>
      </c>
      <c r="I152" s="9" t="s">
        <v>17</v>
      </c>
      <c r="J152" s="9" t="s">
        <v>18</v>
      </c>
      <c r="K152" s="9" t="s">
        <v>793</v>
      </c>
      <c r="L152" s="10" t="s">
        <v>19</v>
      </c>
    </row>
    <row r="153" spans="1:12" x14ac:dyDescent="0.2">
      <c r="A153" s="6" t="str">
        <f t="shared" si="2"/>
        <v>MONT-SAINT-AIGNAN - 27 Boulevard André Siegfried</v>
      </c>
      <c r="B153" s="7">
        <f>COUNTA(#REF!)</f>
        <v>1</v>
      </c>
      <c r="C153" s="11" t="s">
        <v>794</v>
      </c>
      <c r="D153" s="9"/>
      <c r="E153" s="9">
        <v>76130</v>
      </c>
      <c r="F153" s="9" t="s">
        <v>188</v>
      </c>
      <c r="G153" s="9" t="s">
        <v>795</v>
      </c>
      <c r="H153" s="9" t="s">
        <v>796</v>
      </c>
      <c r="I153" s="9" t="s">
        <v>17</v>
      </c>
      <c r="J153" s="9" t="s">
        <v>517</v>
      </c>
      <c r="K153" s="9" t="s">
        <v>797</v>
      </c>
      <c r="L153" s="10" t="s">
        <v>19</v>
      </c>
    </row>
    <row r="154" spans="1:12" x14ac:dyDescent="0.2">
      <c r="A154" s="6" t="str">
        <f t="shared" si="2"/>
        <v>SOTTEVILLE-LÈS-ROUEN - 4 Rue Paul Eluard (Hôpital Psychiatrique)</v>
      </c>
      <c r="B154" s="7">
        <f>COUNTA(#REF!)</f>
        <v>1</v>
      </c>
      <c r="C154" s="11" t="s">
        <v>798</v>
      </c>
      <c r="D154" s="9" t="s">
        <v>799</v>
      </c>
      <c r="E154" s="9">
        <v>76300</v>
      </c>
      <c r="F154" s="9" t="s">
        <v>62</v>
      </c>
      <c r="G154" s="9" t="s">
        <v>800</v>
      </c>
      <c r="H154" s="9" t="s">
        <v>801</v>
      </c>
      <c r="I154" s="9" t="s">
        <v>17</v>
      </c>
      <c r="J154" s="9" t="s">
        <v>517</v>
      </c>
      <c r="K154" s="9" t="s">
        <v>802</v>
      </c>
      <c r="L154" s="10" t="s">
        <v>19</v>
      </c>
    </row>
    <row r="155" spans="1:12" x14ac:dyDescent="0.2">
      <c r="A155" s="6" t="str">
        <f t="shared" si="2"/>
        <v>LE PETIT-QUEVILLY - 87 rue Jean Macé (Croisement rue Francois Mitterand)</v>
      </c>
      <c r="B155" s="7">
        <f>COUNTA(#REF!)</f>
        <v>1</v>
      </c>
      <c r="C155" s="11" t="s">
        <v>803</v>
      </c>
      <c r="D155" s="9" t="s">
        <v>804</v>
      </c>
      <c r="E155" s="9">
        <v>76140</v>
      </c>
      <c r="F155" s="9" t="s">
        <v>80</v>
      </c>
      <c r="G155" s="9" t="s">
        <v>805</v>
      </c>
      <c r="H155" s="9" t="s">
        <v>806</v>
      </c>
      <c r="I155" s="9" t="s">
        <v>17</v>
      </c>
      <c r="J155" s="9" t="s">
        <v>18</v>
      </c>
      <c r="K155" s="9" t="s">
        <v>807</v>
      </c>
      <c r="L155" s="10" t="s">
        <v>19</v>
      </c>
    </row>
    <row r="156" spans="1:12" x14ac:dyDescent="0.2">
      <c r="A156" s="6" t="str">
        <f t="shared" si="2"/>
        <v>LE PETIT-QUEVILLY - 152 rue Gambetta (Croisement rue Paul Langevin - Près école de musique)</v>
      </c>
      <c r="B156" s="7">
        <f>COUNTA(#REF!)</f>
        <v>1</v>
      </c>
      <c r="C156" s="11" t="s">
        <v>808</v>
      </c>
      <c r="D156" s="9" t="s">
        <v>809</v>
      </c>
      <c r="E156" s="9">
        <v>76140</v>
      </c>
      <c r="F156" s="9" t="s">
        <v>80</v>
      </c>
      <c r="G156" s="9" t="s">
        <v>810</v>
      </c>
      <c r="H156" s="9" t="s">
        <v>811</v>
      </c>
      <c r="I156" s="9" t="s">
        <v>17</v>
      </c>
      <c r="J156" s="9" t="s">
        <v>18</v>
      </c>
      <c r="K156" s="9" t="s">
        <v>812</v>
      </c>
      <c r="L156" s="10" t="s">
        <v>19</v>
      </c>
    </row>
    <row r="157" spans="1:12" x14ac:dyDescent="0.2">
      <c r="A157" s="6" t="str">
        <f t="shared" si="2"/>
        <v>LE PETIT-QUEVILLY - 132 rue du Président Kennedy (Croisement rue de la République)</v>
      </c>
      <c r="B157" s="7">
        <f>COUNTA(#REF!)</f>
        <v>1</v>
      </c>
      <c r="C157" s="11" t="s">
        <v>813</v>
      </c>
      <c r="D157" s="9" t="s">
        <v>814</v>
      </c>
      <c r="E157" s="9">
        <v>76140</v>
      </c>
      <c r="F157" s="9" t="s">
        <v>80</v>
      </c>
      <c r="G157" s="9" t="s">
        <v>815</v>
      </c>
      <c r="H157" s="9" t="s">
        <v>816</v>
      </c>
      <c r="I157" s="9" t="s">
        <v>17</v>
      </c>
      <c r="J157" s="9" t="s">
        <v>18</v>
      </c>
      <c r="K157" s="9" t="s">
        <v>817</v>
      </c>
      <c r="L157" s="10" t="s">
        <v>19</v>
      </c>
    </row>
    <row r="158" spans="1:12" x14ac:dyDescent="0.2">
      <c r="A158" s="6" t="str">
        <f t="shared" si="2"/>
        <v>MARTOT - 2 rue de l'Eure (Parking Eglise)</v>
      </c>
      <c r="B158" s="7">
        <f>COUNTA(#REF!)</f>
        <v>1</v>
      </c>
      <c r="C158" s="11" t="s">
        <v>818</v>
      </c>
      <c r="D158" s="9" t="s">
        <v>819</v>
      </c>
      <c r="E158" s="9">
        <v>27340</v>
      </c>
      <c r="F158" s="9" t="s">
        <v>820</v>
      </c>
      <c r="G158" s="9" t="s">
        <v>821</v>
      </c>
      <c r="H158" s="9" t="s">
        <v>822</v>
      </c>
      <c r="I158" s="9"/>
      <c r="J158" s="9" t="s">
        <v>18</v>
      </c>
      <c r="K158" s="9" t="s">
        <v>823</v>
      </c>
      <c r="L158" s="10" t="s">
        <v>36</v>
      </c>
    </row>
    <row r="159" spans="1:12" x14ac:dyDescent="0.2">
      <c r="A159" s="6" t="str">
        <f t="shared" si="2"/>
        <v>SAINT-AUBIN-LÈS-ELBEUF - Rue du Docteur Villers (Entrée EHPAD)</v>
      </c>
      <c r="B159" s="7">
        <f>COUNTA(#REF!)</f>
        <v>1</v>
      </c>
      <c r="C159" s="11" t="s">
        <v>559</v>
      </c>
      <c r="D159" s="9" t="s">
        <v>824</v>
      </c>
      <c r="E159" s="9">
        <v>76410</v>
      </c>
      <c r="F159" s="9" t="s">
        <v>467</v>
      </c>
      <c r="G159" s="9" t="s">
        <v>825</v>
      </c>
      <c r="H159" s="9" t="s">
        <v>826</v>
      </c>
      <c r="I159" s="9"/>
      <c r="J159" s="9" t="s">
        <v>18</v>
      </c>
      <c r="K159" s="9" t="s">
        <v>827</v>
      </c>
      <c r="L159" s="10" t="s">
        <v>36</v>
      </c>
    </row>
    <row r="160" spans="1:12" x14ac:dyDescent="0.2">
      <c r="A160" s="6" t="str">
        <f t="shared" si="2"/>
        <v>SAINT-ÉTIENNE-DU-ROUVRAY - 135 rue du Madrillet (Bâtiment AFPA)</v>
      </c>
      <c r="B160" s="7">
        <f>COUNTA(#REF!)</f>
        <v>1</v>
      </c>
      <c r="C160" s="11" t="s">
        <v>828</v>
      </c>
      <c r="D160" s="9" t="s">
        <v>829</v>
      </c>
      <c r="E160" s="9">
        <v>76800</v>
      </c>
      <c r="F160" s="9" t="s">
        <v>383</v>
      </c>
      <c r="G160" s="9" t="s">
        <v>830</v>
      </c>
      <c r="H160" s="9" t="s">
        <v>831</v>
      </c>
      <c r="I160" s="9" t="s">
        <v>17</v>
      </c>
      <c r="J160" s="9" t="s">
        <v>517</v>
      </c>
      <c r="K160" s="9" t="s">
        <v>832</v>
      </c>
      <c r="L160" s="10" t="s">
        <v>19</v>
      </c>
    </row>
    <row r="161" spans="1:12" x14ac:dyDescent="0.2">
      <c r="A161" s="6" t="str">
        <f t="shared" si="2"/>
        <v>SAINT-MARTIN-DE-BOSCHERVILLE - 17 Chaussée Saint-Georges (Dechetterie)</v>
      </c>
      <c r="B161" s="7">
        <f>COUNTA(#REF!)</f>
        <v>1</v>
      </c>
      <c r="C161" s="11" t="s">
        <v>833</v>
      </c>
      <c r="D161" s="9" t="s">
        <v>834</v>
      </c>
      <c r="E161" s="9">
        <v>76840</v>
      </c>
      <c r="F161" s="9" t="s">
        <v>240</v>
      </c>
      <c r="G161" s="9" t="s">
        <v>835</v>
      </c>
      <c r="H161" s="9" t="s">
        <v>836</v>
      </c>
      <c r="I161" s="9" t="s">
        <v>17</v>
      </c>
      <c r="J161" s="9" t="s">
        <v>303</v>
      </c>
      <c r="K161" s="9" t="s">
        <v>837</v>
      </c>
      <c r="L161" s="10" t="s">
        <v>19</v>
      </c>
    </row>
    <row r="162" spans="1:12" x14ac:dyDescent="0.2">
      <c r="A162" s="6" t="str">
        <f t="shared" si="2"/>
        <v>ROUEN - 49 Boulevard de Verdun (Au pied du Monumental)</v>
      </c>
      <c r="B162" s="7">
        <f>COUNTA(#REF!)</f>
        <v>1</v>
      </c>
      <c r="C162" s="11" t="s">
        <v>838</v>
      </c>
      <c r="D162" s="9" t="s">
        <v>839</v>
      </c>
      <c r="E162" s="9">
        <v>76000</v>
      </c>
      <c r="F162" s="9" t="s">
        <v>27</v>
      </c>
      <c r="G162" s="9" t="s">
        <v>840</v>
      </c>
      <c r="H162" s="9" t="s">
        <v>841</v>
      </c>
      <c r="I162" s="9" t="s">
        <v>17</v>
      </c>
      <c r="J162" s="9" t="s">
        <v>18</v>
      </c>
      <c r="K162" s="9" t="s">
        <v>842</v>
      </c>
      <c r="L162" s="10" t="s">
        <v>19</v>
      </c>
    </row>
    <row r="163" spans="1:12" x14ac:dyDescent="0.2">
      <c r="A163" s="6" t="str">
        <f t="shared" si="2"/>
        <v>ROUEN - 19 rue Charles de Beaurepaire (Angle Côte de Neufchâtel)</v>
      </c>
      <c r="B163" s="7">
        <f>COUNTA(#REF!)</f>
        <v>1</v>
      </c>
      <c r="C163" s="11" t="s">
        <v>843</v>
      </c>
      <c r="D163" s="9" t="s">
        <v>844</v>
      </c>
      <c r="E163" s="9">
        <v>76000</v>
      </c>
      <c r="F163" s="9" t="s">
        <v>27</v>
      </c>
      <c r="G163" s="9" t="s">
        <v>845</v>
      </c>
      <c r="H163" s="9" t="s">
        <v>846</v>
      </c>
      <c r="I163" s="9" t="s">
        <v>17</v>
      </c>
      <c r="J163" s="9" t="s">
        <v>18</v>
      </c>
      <c r="K163" s="9" t="s">
        <v>847</v>
      </c>
      <c r="L163" s="10" t="s">
        <v>19</v>
      </c>
    </row>
    <row r="164" spans="1:12" x14ac:dyDescent="0.2">
      <c r="A164" s="6" t="str">
        <f t="shared" si="2"/>
        <v>ROUEN - 14 Place du Boulingrin (Angle Rampe Beauvoisine)</v>
      </c>
      <c r="B164" s="7">
        <f>COUNTA(#REF!)</f>
        <v>1</v>
      </c>
      <c r="C164" s="11" t="s">
        <v>848</v>
      </c>
      <c r="D164" s="9" t="s">
        <v>849</v>
      </c>
      <c r="E164" s="9">
        <v>76000</v>
      </c>
      <c r="F164" s="9" t="s">
        <v>27</v>
      </c>
      <c r="G164" s="9" t="s">
        <v>850</v>
      </c>
      <c r="H164" s="9" t="s">
        <v>851</v>
      </c>
      <c r="I164" s="9" t="s">
        <v>17</v>
      </c>
      <c r="J164" s="9" t="s">
        <v>18</v>
      </c>
      <c r="K164" s="9" t="s">
        <v>852</v>
      </c>
      <c r="L164" s="10" t="s">
        <v>19</v>
      </c>
    </row>
    <row r="165" spans="1:12" x14ac:dyDescent="0.2">
      <c r="A165" s="6" t="str">
        <f t="shared" si="2"/>
        <v>ROUEN - 86 Boulevard de l'Yser</v>
      </c>
      <c r="B165" s="7">
        <f>COUNTA(#REF!)</f>
        <v>1</v>
      </c>
      <c r="C165" s="11" t="s">
        <v>853</v>
      </c>
      <c r="D165" s="9"/>
      <c r="E165" s="9">
        <v>76000</v>
      </c>
      <c r="F165" s="9" t="s">
        <v>27</v>
      </c>
      <c r="G165" s="9" t="s">
        <v>854</v>
      </c>
      <c r="H165" s="9" t="s">
        <v>855</v>
      </c>
      <c r="I165" s="9" t="s">
        <v>17</v>
      </c>
      <c r="J165" s="9" t="s">
        <v>18</v>
      </c>
      <c r="K165" s="9" t="s">
        <v>856</v>
      </c>
      <c r="L165" s="10" t="s">
        <v>19</v>
      </c>
    </row>
    <row r="166" spans="1:12" x14ac:dyDescent="0.2">
      <c r="A166" s="6" t="str">
        <f t="shared" si="2"/>
        <v>ROUEN - 44 Boulevard de la Marne (Angle Rampe Bouvreuil)</v>
      </c>
      <c r="B166" s="7">
        <f>COUNTA(#REF!)</f>
        <v>1</v>
      </c>
      <c r="C166" s="11" t="s">
        <v>857</v>
      </c>
      <c r="D166" s="9" t="s">
        <v>858</v>
      </c>
      <c r="E166" s="9">
        <v>76000</v>
      </c>
      <c r="F166" s="9" t="s">
        <v>27</v>
      </c>
      <c r="G166" s="9" t="s">
        <v>859</v>
      </c>
      <c r="H166" s="9" t="s">
        <v>860</v>
      </c>
      <c r="I166" s="9" t="s">
        <v>17</v>
      </c>
      <c r="J166" s="9" t="s">
        <v>18</v>
      </c>
      <c r="K166" s="9" t="s">
        <v>861</v>
      </c>
      <c r="L166" s="10" t="s">
        <v>19</v>
      </c>
    </row>
    <row r="167" spans="1:12" x14ac:dyDescent="0.2">
      <c r="A167" s="6" t="str">
        <f t="shared" si="2"/>
        <v>ROUEN - 59 Rue Crevier (Angle rue d'Herbouville)</v>
      </c>
      <c r="B167" s="7">
        <f>COUNTA(#REF!)</f>
        <v>1</v>
      </c>
      <c r="C167" s="11" t="s">
        <v>862</v>
      </c>
      <c r="D167" s="9" t="s">
        <v>863</v>
      </c>
      <c r="E167" s="9">
        <v>76000</v>
      </c>
      <c r="F167" s="9" t="s">
        <v>27</v>
      </c>
      <c r="G167" s="9" t="s">
        <v>864</v>
      </c>
      <c r="H167" s="9" t="s">
        <v>865</v>
      </c>
      <c r="I167" s="9" t="s">
        <v>17</v>
      </c>
      <c r="J167" s="9" t="s">
        <v>18</v>
      </c>
      <c r="K167" s="9" t="s">
        <v>866</v>
      </c>
      <c r="L167" s="10" t="s">
        <v>19</v>
      </c>
    </row>
    <row r="168" spans="1:12" x14ac:dyDescent="0.2">
      <c r="A168" s="6" t="str">
        <f t="shared" si="2"/>
        <v>ROUEN - 65 Rue Saint Maur (Angle rue Maladrerie)</v>
      </c>
      <c r="B168" s="7">
        <f>COUNTA(#REF!)</f>
        <v>1</v>
      </c>
      <c r="C168" s="11" t="s">
        <v>867</v>
      </c>
      <c r="D168" s="9" t="s">
        <v>868</v>
      </c>
      <c r="E168" s="9">
        <v>76000</v>
      </c>
      <c r="F168" s="9" t="s">
        <v>27</v>
      </c>
      <c r="G168" s="9" t="s">
        <v>869</v>
      </c>
      <c r="H168" s="9" t="s">
        <v>870</v>
      </c>
      <c r="I168" s="9" t="s">
        <v>17</v>
      </c>
      <c r="J168" s="9" t="s">
        <v>18</v>
      </c>
      <c r="K168" s="9" t="s">
        <v>871</v>
      </c>
      <c r="L168" s="10" t="s">
        <v>19</v>
      </c>
    </row>
    <row r="169" spans="1:12" x14ac:dyDescent="0.2">
      <c r="A169" s="12" t="str">
        <f t="shared" si="2"/>
        <v>ROUEN - Rue Sénard (En face du 13 rue sénard)</v>
      </c>
      <c r="B169" s="7">
        <f>COUNTA(#REF!)</f>
        <v>1</v>
      </c>
      <c r="C169" s="11" t="s">
        <v>872</v>
      </c>
      <c r="D169" s="9" t="s">
        <v>873</v>
      </c>
      <c r="E169" s="9">
        <v>76000</v>
      </c>
      <c r="F169" s="9" t="s">
        <v>27</v>
      </c>
      <c r="G169" s="9"/>
      <c r="H169" s="9"/>
      <c r="I169" s="9" t="s">
        <v>17</v>
      </c>
      <c r="J169" s="9" t="s">
        <v>18</v>
      </c>
      <c r="K169" s="9" t="s">
        <v>874</v>
      </c>
      <c r="L169" s="10" t="s">
        <v>19</v>
      </c>
    </row>
    <row r="170" spans="1:12" x14ac:dyDescent="0.2">
      <c r="A170" s="6" t="str">
        <f t="shared" si="2"/>
        <v>ROUEN - 15 Rue Tabouret (Angle rue de la Cavée St Gervais)</v>
      </c>
      <c r="B170" s="7">
        <f>COUNTA(#REF!)</f>
        <v>1</v>
      </c>
      <c r="C170" s="11" t="s">
        <v>875</v>
      </c>
      <c r="D170" s="9" t="s">
        <v>876</v>
      </c>
      <c r="E170" s="9">
        <v>76000</v>
      </c>
      <c r="F170" s="9" t="s">
        <v>27</v>
      </c>
      <c r="G170" s="9" t="s">
        <v>877</v>
      </c>
      <c r="H170" s="9" t="s">
        <v>878</v>
      </c>
      <c r="I170" s="9" t="s">
        <v>17</v>
      </c>
      <c r="J170" s="9" t="s">
        <v>18</v>
      </c>
      <c r="K170" s="9" t="s">
        <v>879</v>
      </c>
      <c r="L170" s="10" t="s">
        <v>19</v>
      </c>
    </row>
    <row r="171" spans="1:12" x14ac:dyDescent="0.2">
      <c r="A171" s="6" t="str">
        <f t="shared" si="2"/>
        <v>ROUEN - 3 Place Eglise Saint Gervais</v>
      </c>
      <c r="B171" s="7">
        <f>COUNTA(#REF!)</f>
        <v>1</v>
      </c>
      <c r="C171" s="11" t="s">
        <v>880</v>
      </c>
      <c r="D171" s="9"/>
      <c r="E171" s="9">
        <v>76000</v>
      </c>
      <c r="F171" s="9" t="s">
        <v>27</v>
      </c>
      <c r="G171" s="9" t="s">
        <v>881</v>
      </c>
      <c r="H171" s="9" t="s">
        <v>882</v>
      </c>
      <c r="I171" s="9" t="s">
        <v>17</v>
      </c>
      <c r="J171" s="9" t="s">
        <v>18</v>
      </c>
      <c r="K171" s="9" t="s">
        <v>883</v>
      </c>
      <c r="L171" s="10" t="s">
        <v>19</v>
      </c>
    </row>
    <row r="172" spans="1:12" x14ac:dyDescent="0.2">
      <c r="A172" s="6" t="str">
        <f t="shared" si="2"/>
        <v>ROUEN - 23 rue Guillaume d'Estouteville</v>
      </c>
      <c r="B172" s="7">
        <f>COUNTA(#REF!)</f>
        <v>1</v>
      </c>
      <c r="C172" s="11" t="s">
        <v>884</v>
      </c>
      <c r="D172" s="9"/>
      <c r="E172" s="9">
        <v>76000</v>
      </c>
      <c r="F172" s="9" t="s">
        <v>27</v>
      </c>
      <c r="G172" s="9" t="s">
        <v>885</v>
      </c>
      <c r="H172" s="9" t="s">
        <v>886</v>
      </c>
      <c r="I172" s="9" t="s">
        <v>17</v>
      </c>
      <c r="J172" s="9" t="s">
        <v>18</v>
      </c>
      <c r="K172" s="9" t="s">
        <v>887</v>
      </c>
      <c r="L172" s="10" t="s">
        <v>19</v>
      </c>
    </row>
    <row r="173" spans="1:12" x14ac:dyDescent="0.2">
      <c r="A173" s="6" t="str">
        <f t="shared" si="2"/>
        <v>ROUEN - 84 Rue du Renard (Ecole Achille Lefort)</v>
      </c>
      <c r="B173" s="7">
        <f>COUNTA(#REF!)</f>
        <v>1</v>
      </c>
      <c r="C173" s="11" t="s">
        <v>888</v>
      </c>
      <c r="D173" s="9" t="s">
        <v>889</v>
      </c>
      <c r="E173" s="9">
        <v>76000</v>
      </c>
      <c r="F173" s="9" t="s">
        <v>27</v>
      </c>
      <c r="G173" s="9" t="s">
        <v>890</v>
      </c>
      <c r="H173" s="9" t="s">
        <v>891</v>
      </c>
      <c r="I173" s="9" t="s">
        <v>17</v>
      </c>
      <c r="J173" s="9" t="s">
        <v>18</v>
      </c>
      <c r="K173" s="9" t="s">
        <v>892</v>
      </c>
      <c r="L173" s="10" t="s">
        <v>19</v>
      </c>
    </row>
    <row r="174" spans="1:12" x14ac:dyDescent="0.2">
      <c r="A174" s="6" t="str">
        <f t="shared" si="2"/>
        <v>ROUEN - 43 Rue Stanislas Girardin (Angle rue A. Flaubert)</v>
      </c>
      <c r="B174" s="7">
        <f>COUNTA(#REF!)</f>
        <v>1</v>
      </c>
      <c r="C174" s="11" t="s">
        <v>893</v>
      </c>
      <c r="D174" s="9" t="s">
        <v>894</v>
      </c>
      <c r="E174" s="9">
        <v>76000</v>
      </c>
      <c r="F174" s="9" t="s">
        <v>27</v>
      </c>
      <c r="G174" s="9" t="s">
        <v>895</v>
      </c>
      <c r="H174" s="9" t="s">
        <v>896</v>
      </c>
      <c r="I174" s="9" t="s">
        <v>17</v>
      </c>
      <c r="J174" s="9" t="s">
        <v>18</v>
      </c>
      <c r="K174" s="9" t="s">
        <v>897</v>
      </c>
      <c r="L174" s="10" t="s">
        <v>19</v>
      </c>
    </row>
    <row r="175" spans="1:12" x14ac:dyDescent="0.2">
      <c r="A175" s="6" t="str">
        <f t="shared" si="2"/>
        <v>ROUEN - 1 Place de la Madeleine (Angle rue Constantine)</v>
      </c>
      <c r="B175" s="7">
        <f>COUNTA(#REF!)</f>
        <v>1</v>
      </c>
      <c r="C175" s="11" t="s">
        <v>898</v>
      </c>
      <c r="D175" s="9" t="s">
        <v>899</v>
      </c>
      <c r="E175" s="9">
        <v>76000</v>
      </c>
      <c r="F175" s="9" t="s">
        <v>27</v>
      </c>
      <c r="G175" s="9" t="s">
        <v>900</v>
      </c>
      <c r="H175" s="9" t="s">
        <v>901</v>
      </c>
      <c r="I175" s="9" t="s">
        <v>17</v>
      </c>
      <c r="J175" s="9" t="s">
        <v>18</v>
      </c>
      <c r="K175" s="9" t="s">
        <v>902</v>
      </c>
      <c r="L175" s="10" t="s">
        <v>19</v>
      </c>
    </row>
    <row r="176" spans="1:12" x14ac:dyDescent="0.2">
      <c r="A176" s="6" t="str">
        <f t="shared" si="2"/>
        <v>ROUEN - 29 Rue George d'Ambroise (Angle rue Duguay Trouin)</v>
      </c>
      <c r="B176" s="7">
        <f>COUNTA(#REF!)</f>
        <v>1</v>
      </c>
      <c r="C176" s="11" t="s">
        <v>903</v>
      </c>
      <c r="D176" s="9" t="s">
        <v>904</v>
      </c>
      <c r="E176" s="9">
        <v>76000</v>
      </c>
      <c r="F176" s="9" t="s">
        <v>27</v>
      </c>
      <c r="G176" s="9" t="s">
        <v>905</v>
      </c>
      <c r="H176" s="9" t="s">
        <v>906</v>
      </c>
      <c r="I176" s="9" t="s">
        <v>17</v>
      </c>
      <c r="J176" s="9" t="s">
        <v>18</v>
      </c>
      <c r="K176" s="9" t="s">
        <v>907</v>
      </c>
      <c r="L176" s="10" t="s">
        <v>19</v>
      </c>
    </row>
    <row r="177" spans="1:12" x14ac:dyDescent="0.2">
      <c r="A177" s="6" t="str">
        <f t="shared" si="2"/>
        <v>ROUEN - 79 Rue Amédée Dormoy (A coté de l'entrée Intermarché)</v>
      </c>
      <c r="B177" s="7">
        <f>COUNTA(#REF!)</f>
        <v>1</v>
      </c>
      <c r="C177" s="11" t="s">
        <v>908</v>
      </c>
      <c r="D177" s="9" t="s">
        <v>909</v>
      </c>
      <c r="E177" s="9">
        <v>76000</v>
      </c>
      <c r="F177" s="9" t="s">
        <v>27</v>
      </c>
      <c r="G177" s="9" t="s">
        <v>910</v>
      </c>
      <c r="H177" s="9" t="s">
        <v>911</v>
      </c>
      <c r="I177" s="9" t="s">
        <v>17</v>
      </c>
      <c r="J177" s="9" t="s">
        <v>18</v>
      </c>
      <c r="K177" s="9" t="s">
        <v>912</v>
      </c>
      <c r="L177" s="10" t="s">
        <v>19</v>
      </c>
    </row>
    <row r="178" spans="1:12" x14ac:dyDescent="0.2">
      <c r="A178" s="6" t="str">
        <f t="shared" si="2"/>
        <v>ROUEN - 145 Boulevard Jean Jaurès (Face au n°306)</v>
      </c>
      <c r="B178" s="7">
        <f>COUNTA(#REF!)</f>
        <v>1</v>
      </c>
      <c r="C178" s="11" t="s">
        <v>913</v>
      </c>
      <c r="D178" s="9" t="s">
        <v>914</v>
      </c>
      <c r="E178" s="9">
        <v>76000</v>
      </c>
      <c r="F178" s="9" t="s">
        <v>27</v>
      </c>
      <c r="G178" s="9" t="s">
        <v>915</v>
      </c>
      <c r="H178" s="9" t="s">
        <v>916</v>
      </c>
      <c r="I178" s="9" t="s">
        <v>17</v>
      </c>
      <c r="J178" s="9" t="s">
        <v>18</v>
      </c>
      <c r="K178" s="9" t="s">
        <v>917</v>
      </c>
      <c r="L178" s="10" t="s">
        <v>19</v>
      </c>
    </row>
    <row r="179" spans="1:12" x14ac:dyDescent="0.2">
      <c r="A179" s="6" t="str">
        <f t="shared" si="2"/>
        <v>ROUEN - 2 rue du Loup</v>
      </c>
      <c r="B179" s="7">
        <f>COUNTA(#REF!)</f>
        <v>1</v>
      </c>
      <c r="C179" s="11" t="s">
        <v>918</v>
      </c>
      <c r="D179" s="9"/>
      <c r="E179" s="9">
        <v>76000</v>
      </c>
      <c r="F179" s="9" t="s">
        <v>27</v>
      </c>
      <c r="G179" s="9" t="s">
        <v>919</v>
      </c>
      <c r="H179" s="9" t="s">
        <v>920</v>
      </c>
      <c r="I179" s="9" t="s">
        <v>17</v>
      </c>
      <c r="J179" s="9" t="s">
        <v>18</v>
      </c>
      <c r="K179" s="9" t="s">
        <v>921</v>
      </c>
      <c r="L179" s="10" t="s">
        <v>19</v>
      </c>
    </row>
    <row r="180" spans="1:12" x14ac:dyDescent="0.2">
      <c r="A180" s="6" t="str">
        <f t="shared" si="2"/>
        <v>MAROMME - 2 Rue de Binche (Parking école Delbos)</v>
      </c>
      <c r="B180" s="7">
        <f>COUNTA(#REF!)</f>
        <v>1</v>
      </c>
      <c r="C180" s="11" t="s">
        <v>922</v>
      </c>
      <c r="D180" s="9" t="s">
        <v>923</v>
      </c>
      <c r="E180" s="9">
        <v>76150</v>
      </c>
      <c r="F180" s="9" t="s">
        <v>924</v>
      </c>
      <c r="G180" s="9" t="s">
        <v>925</v>
      </c>
      <c r="H180" s="9" t="s">
        <v>926</v>
      </c>
      <c r="I180" s="9" t="s">
        <v>17</v>
      </c>
      <c r="J180" s="9" t="s">
        <v>18</v>
      </c>
      <c r="K180" s="9" t="s">
        <v>927</v>
      </c>
      <c r="L180" s="10" t="s">
        <v>19</v>
      </c>
    </row>
    <row r="181" spans="1:12" x14ac:dyDescent="0.2">
      <c r="A181" s="6" t="str">
        <f t="shared" si="2"/>
        <v>MAROMME - 13 Route de Duclair (Parking Signa)</v>
      </c>
      <c r="B181" s="7">
        <f>COUNTA(#REF!)</f>
        <v>1</v>
      </c>
      <c r="C181" s="11" t="s">
        <v>928</v>
      </c>
      <c r="D181" s="9" t="s">
        <v>929</v>
      </c>
      <c r="E181" s="9">
        <v>76150</v>
      </c>
      <c r="F181" s="9" t="s">
        <v>924</v>
      </c>
      <c r="G181" s="9" t="s">
        <v>930</v>
      </c>
      <c r="H181" s="9" t="s">
        <v>931</v>
      </c>
      <c r="I181" s="9" t="s">
        <v>17</v>
      </c>
      <c r="J181" s="9" t="s">
        <v>18</v>
      </c>
      <c r="K181" s="9" t="s">
        <v>932</v>
      </c>
      <c r="L181" s="10" t="s">
        <v>19</v>
      </c>
    </row>
    <row r="182" spans="1:12" x14ac:dyDescent="0.2">
      <c r="A182" s="6" t="str">
        <f t="shared" si="2"/>
        <v>JUMIÈGES - 752 Rue Alphonse Calais (Parking Camping-car)</v>
      </c>
      <c r="B182" s="7">
        <f>COUNTA(#REF!)</f>
        <v>1</v>
      </c>
      <c r="C182" s="11" t="s">
        <v>933</v>
      </c>
      <c r="D182" s="9" t="s">
        <v>934</v>
      </c>
      <c r="E182" s="9">
        <v>76480</v>
      </c>
      <c r="F182" s="9" t="s">
        <v>935</v>
      </c>
      <c r="G182" s="9" t="s">
        <v>936</v>
      </c>
      <c r="H182" s="9" t="s">
        <v>937</v>
      </c>
      <c r="I182" s="9" t="s">
        <v>17</v>
      </c>
      <c r="J182" s="9" t="s">
        <v>18</v>
      </c>
      <c r="K182" s="9" t="s">
        <v>938</v>
      </c>
      <c r="L182" s="10" t="s">
        <v>19</v>
      </c>
    </row>
    <row r="183" spans="1:12" x14ac:dyDescent="0.2">
      <c r="A183" s="6" t="str">
        <f t="shared" si="2"/>
        <v>SAINT-PAËR - 119 Route de Duclair (Après le croisement Rue de l'église à coté des bacs à verre)</v>
      </c>
      <c r="B183" s="7">
        <f>COUNTA(#REF!)</f>
        <v>1</v>
      </c>
      <c r="C183" s="11" t="s">
        <v>939</v>
      </c>
      <c r="D183" s="9" t="s">
        <v>940</v>
      </c>
      <c r="E183" s="9">
        <v>76480</v>
      </c>
      <c r="F183" s="9" t="s">
        <v>941</v>
      </c>
      <c r="G183" s="9" t="s">
        <v>942</v>
      </c>
      <c r="H183" s="9" t="s">
        <v>943</v>
      </c>
      <c r="I183" s="9" t="s">
        <v>17</v>
      </c>
      <c r="J183" s="9" t="s">
        <v>18</v>
      </c>
      <c r="K183" s="9" t="s">
        <v>944</v>
      </c>
      <c r="L183" s="10" t="s">
        <v>19</v>
      </c>
    </row>
    <row r="184" spans="1:12" x14ac:dyDescent="0.2">
      <c r="A184" s="6" t="str">
        <f t="shared" si="2"/>
        <v>BERVILLE-SUR-SEINE - 1061 rue du Village (Près de l'église)</v>
      </c>
      <c r="B184" s="7">
        <f>COUNTA(#REF!)</f>
        <v>1</v>
      </c>
      <c r="C184" s="11" t="s">
        <v>945</v>
      </c>
      <c r="D184" s="9" t="s">
        <v>946</v>
      </c>
      <c r="E184" s="9">
        <v>76480</v>
      </c>
      <c r="F184" s="9" t="s">
        <v>947</v>
      </c>
      <c r="G184" s="9" t="s">
        <v>948</v>
      </c>
      <c r="H184" s="9" t="s">
        <v>949</v>
      </c>
      <c r="I184" s="9" t="s">
        <v>17</v>
      </c>
      <c r="J184" s="9" t="s">
        <v>18</v>
      </c>
      <c r="K184" s="9" t="s">
        <v>950</v>
      </c>
      <c r="L184" s="10" t="s">
        <v>19</v>
      </c>
    </row>
    <row r="185" spans="1:12" x14ac:dyDescent="0.2">
      <c r="A185" s="6" t="str">
        <f t="shared" si="2"/>
        <v>BARDOUVILLE - 300 rue de l’Ecole (En face du cimetière)</v>
      </c>
      <c r="B185" s="7">
        <f>COUNTA(#REF!)</f>
        <v>1</v>
      </c>
      <c r="C185" s="11" t="s">
        <v>951</v>
      </c>
      <c r="D185" s="9" t="s">
        <v>952</v>
      </c>
      <c r="E185" s="9">
        <v>76480</v>
      </c>
      <c r="F185" s="9" t="s">
        <v>953</v>
      </c>
      <c r="G185" s="9" t="s">
        <v>954</v>
      </c>
      <c r="H185" s="9" t="s">
        <v>955</v>
      </c>
      <c r="I185" s="9" t="s">
        <v>17</v>
      </c>
      <c r="J185" s="9" t="s">
        <v>18</v>
      </c>
      <c r="K185" s="9" t="s">
        <v>956</v>
      </c>
      <c r="L185" s="10" t="s">
        <v>19</v>
      </c>
    </row>
    <row r="186" spans="1:12" x14ac:dyDescent="0.2">
      <c r="A186" s="6" t="str">
        <f t="shared" si="2"/>
        <v>SAINTE-MARGUERITE-SUR-DUCLAIR - 14 Route de Saint Paër (Parking)</v>
      </c>
      <c r="B186" s="7">
        <f>COUNTA(#REF!)</f>
        <v>1</v>
      </c>
      <c r="C186" s="11" t="s">
        <v>957</v>
      </c>
      <c r="D186" s="9" t="s">
        <v>626</v>
      </c>
      <c r="E186" s="9">
        <v>76480</v>
      </c>
      <c r="F186" s="9" t="s">
        <v>958</v>
      </c>
      <c r="G186" s="9" t="s">
        <v>959</v>
      </c>
      <c r="H186" s="9" t="s">
        <v>960</v>
      </c>
      <c r="I186" s="9" t="s">
        <v>17</v>
      </c>
      <c r="J186" s="9" t="s">
        <v>18</v>
      </c>
      <c r="K186" s="9" t="s">
        <v>961</v>
      </c>
      <c r="L186" s="10" t="s">
        <v>19</v>
      </c>
    </row>
    <row r="187" spans="1:12" x14ac:dyDescent="0.2">
      <c r="A187" s="6" t="str">
        <f t="shared" si="2"/>
        <v>ARDOUVAL - 4 Rue des Bouleaux (Suivre panneau "Foyer des Jeunes")</v>
      </c>
      <c r="B187" s="7">
        <f>COUNTA(#REF!)</f>
        <v>1</v>
      </c>
      <c r="C187" s="11" t="s">
        <v>962</v>
      </c>
      <c r="D187" s="9" t="s">
        <v>963</v>
      </c>
      <c r="E187" s="9">
        <v>76680</v>
      </c>
      <c r="F187" s="9" t="s">
        <v>964</v>
      </c>
      <c r="G187" s="9" t="s">
        <v>965</v>
      </c>
      <c r="H187" s="9" t="s">
        <v>966</v>
      </c>
      <c r="I187" s="9"/>
      <c r="J187" s="9" t="s">
        <v>18</v>
      </c>
      <c r="K187" s="9" t="s">
        <v>967</v>
      </c>
      <c r="L187" s="10" t="s">
        <v>19</v>
      </c>
    </row>
    <row r="188" spans="1:12" x14ac:dyDescent="0.2">
      <c r="A188" s="6" t="str">
        <f t="shared" si="2"/>
        <v>POMMEREVAL - 989 Route de l'Eglise</v>
      </c>
      <c r="B188" s="7">
        <f>COUNTA(#REF!)</f>
        <v>1</v>
      </c>
      <c r="C188" s="11" t="s">
        <v>968</v>
      </c>
      <c r="D188" s="9"/>
      <c r="E188" s="9">
        <v>76680</v>
      </c>
      <c r="F188" s="9" t="s">
        <v>969</v>
      </c>
      <c r="G188" s="9" t="s">
        <v>970</v>
      </c>
      <c r="H188" s="9" t="s">
        <v>971</v>
      </c>
      <c r="I188" s="9"/>
      <c r="J188" s="9" t="s">
        <v>18</v>
      </c>
      <c r="K188" s="9" t="s">
        <v>972</v>
      </c>
      <c r="L188" s="10" t="s">
        <v>19</v>
      </c>
    </row>
    <row r="189" spans="1:12" x14ac:dyDescent="0.2">
      <c r="A189" s="6" t="str">
        <f t="shared" si="2"/>
        <v>BELLENCOMBRE - 2 bis Chemin du Cimetière</v>
      </c>
      <c r="B189" s="7">
        <f>COUNTA(#REF!)</f>
        <v>1</v>
      </c>
      <c r="C189" s="11" t="s">
        <v>973</v>
      </c>
      <c r="D189" s="9"/>
      <c r="E189" s="9">
        <v>76680</v>
      </c>
      <c r="F189" s="9" t="s">
        <v>974</v>
      </c>
      <c r="G189" s="9" t="s">
        <v>975</v>
      </c>
      <c r="H189" s="9" t="s">
        <v>976</v>
      </c>
      <c r="I189" s="9"/>
      <c r="J189" s="9" t="s">
        <v>18</v>
      </c>
      <c r="K189" s="9" t="s">
        <v>977</v>
      </c>
      <c r="L189" s="10" t="s">
        <v>19</v>
      </c>
    </row>
    <row r="190" spans="1:12" x14ac:dyDescent="0.2">
      <c r="A190" s="6" t="str">
        <f t="shared" si="2"/>
        <v>COTTEVRARD - 77 Place de l'Eglise (En face de l'église - Parking au fond)</v>
      </c>
      <c r="B190" s="7">
        <f>COUNTA(#REF!)</f>
        <v>1</v>
      </c>
      <c r="C190" s="11" t="s">
        <v>978</v>
      </c>
      <c r="D190" s="9" t="s">
        <v>979</v>
      </c>
      <c r="E190" s="9">
        <v>76850</v>
      </c>
      <c r="F190" s="9" t="s">
        <v>980</v>
      </c>
      <c r="G190" s="9" t="s">
        <v>981</v>
      </c>
      <c r="H190" s="9" t="s">
        <v>982</v>
      </c>
      <c r="I190" s="9"/>
      <c r="J190" s="9" t="s">
        <v>18</v>
      </c>
      <c r="K190" s="9" t="s">
        <v>983</v>
      </c>
      <c r="L190" s="10" t="s">
        <v>19</v>
      </c>
    </row>
    <row r="191" spans="1:12" x14ac:dyDescent="0.2">
      <c r="A191" s="6" t="str">
        <f t="shared" si="2"/>
        <v>BOSC LE HARD - 159 Rue des Forges</v>
      </c>
      <c r="B191" s="7">
        <f>COUNTA(#REF!)</f>
        <v>1</v>
      </c>
      <c r="C191" s="11" t="s">
        <v>984</v>
      </c>
      <c r="D191" s="9"/>
      <c r="E191" s="9">
        <v>76850</v>
      </c>
      <c r="F191" s="9" t="s">
        <v>985</v>
      </c>
      <c r="G191" s="9" t="s">
        <v>986</v>
      </c>
      <c r="H191" s="9" t="s">
        <v>987</v>
      </c>
      <c r="I191" s="9"/>
      <c r="J191" s="9" t="s">
        <v>18</v>
      </c>
      <c r="K191" s="9" t="s">
        <v>988</v>
      </c>
      <c r="L191" s="10" t="s">
        <v>19</v>
      </c>
    </row>
    <row r="192" spans="1:12" x14ac:dyDescent="0.2">
      <c r="A192" s="6" t="str">
        <f t="shared" si="2"/>
        <v>ETOUTTEVILLE - 520 rue du Prieuré (Parking)</v>
      </c>
      <c r="B192" s="7">
        <f>COUNTA(#REF!)</f>
        <v>1</v>
      </c>
      <c r="C192" s="11" t="s">
        <v>989</v>
      </c>
      <c r="D192" s="9" t="s">
        <v>626</v>
      </c>
      <c r="E192" s="9">
        <v>76190</v>
      </c>
      <c r="F192" s="9" t="s">
        <v>990</v>
      </c>
      <c r="G192" s="9" t="s">
        <v>991</v>
      </c>
      <c r="H192" s="9" t="s">
        <v>992</v>
      </c>
      <c r="I192" s="9"/>
      <c r="J192" s="9" t="s">
        <v>18</v>
      </c>
      <c r="K192" s="9" t="s">
        <v>993</v>
      </c>
      <c r="L192" s="10" t="s">
        <v>19</v>
      </c>
    </row>
    <row r="193" spans="1:12" x14ac:dyDescent="0.2">
      <c r="A193" s="6" t="str">
        <f t="shared" si="2"/>
        <v>MOTTEVILLE - 156 Rue de la Gare (Face à la gare)</v>
      </c>
      <c r="B193" s="7">
        <f>COUNTA(#REF!)</f>
        <v>1</v>
      </c>
      <c r="C193" s="11" t="s">
        <v>994</v>
      </c>
      <c r="D193" s="9" t="s">
        <v>995</v>
      </c>
      <c r="E193" s="9">
        <v>76970</v>
      </c>
      <c r="F193" s="9" t="s">
        <v>996</v>
      </c>
      <c r="G193" s="9" t="s">
        <v>997</v>
      </c>
      <c r="H193" s="9" t="s">
        <v>998</v>
      </c>
      <c r="I193" s="9"/>
      <c r="J193" s="9" t="s">
        <v>18</v>
      </c>
      <c r="K193" s="9" t="s">
        <v>999</v>
      </c>
      <c r="L193" s="10" t="s">
        <v>19</v>
      </c>
    </row>
    <row r="194" spans="1:12" x14ac:dyDescent="0.2">
      <c r="A194" s="6" t="str">
        <f t="shared" ref="A194:A210" si="3">UPPER(F194)&amp;" - "&amp;C194&amp;IF(D194="",""," ("&amp;D194&amp;")")</f>
        <v>FLAMANVILLE - 1 Rue de l'Eglise (Intersection Rue de l'Ecole)</v>
      </c>
      <c r="B194" s="7">
        <f>COUNTA(#REF!)</f>
        <v>1</v>
      </c>
      <c r="C194" s="11" t="s">
        <v>1000</v>
      </c>
      <c r="D194" s="9" t="s">
        <v>1001</v>
      </c>
      <c r="E194" s="9">
        <v>76970</v>
      </c>
      <c r="F194" s="9" t="s">
        <v>1002</v>
      </c>
      <c r="G194" s="9" t="s">
        <v>1003</v>
      </c>
      <c r="H194" s="9" t="s">
        <v>1004</v>
      </c>
      <c r="I194" s="9"/>
      <c r="J194" s="9" t="s">
        <v>18</v>
      </c>
      <c r="K194" s="9" t="s">
        <v>1005</v>
      </c>
      <c r="L194" s="10" t="s">
        <v>19</v>
      </c>
    </row>
    <row r="195" spans="1:12" x14ac:dyDescent="0.2">
      <c r="A195" s="6" t="str">
        <f t="shared" si="3"/>
        <v>CIDEVILLE - 55 rue du Centre (A côté du garage et bacs verre)</v>
      </c>
      <c r="B195" s="7">
        <f>COUNTA(#REF!)</f>
        <v>1</v>
      </c>
      <c r="C195" s="11" t="s">
        <v>1006</v>
      </c>
      <c r="D195" s="9" t="s">
        <v>1007</v>
      </c>
      <c r="E195" s="9">
        <v>76570</v>
      </c>
      <c r="F195" s="9" t="s">
        <v>1008</v>
      </c>
      <c r="G195" s="9" t="s">
        <v>1009</v>
      </c>
      <c r="H195" s="9" t="s">
        <v>1010</v>
      </c>
      <c r="J195" s="9" t="s">
        <v>18</v>
      </c>
      <c r="K195" s="9" t="s">
        <v>1011</v>
      </c>
      <c r="L195" s="10" t="s">
        <v>19</v>
      </c>
    </row>
    <row r="196" spans="1:12" x14ac:dyDescent="0.2">
      <c r="A196" s="6" t="str">
        <f t="shared" si="3"/>
        <v>YERVILLE - 3 Place Bernard Alexandre</v>
      </c>
      <c r="B196" s="7">
        <f>COUNTA(#REF!)</f>
        <v>1</v>
      </c>
      <c r="C196" s="11" t="s">
        <v>1012</v>
      </c>
      <c r="D196" s="9"/>
      <c r="E196" s="9">
        <v>76760</v>
      </c>
      <c r="F196" s="9" t="s">
        <v>1013</v>
      </c>
      <c r="G196" s="9" t="s">
        <v>1014</v>
      </c>
      <c r="H196" s="9" t="s">
        <v>1015</v>
      </c>
      <c r="I196" s="9"/>
      <c r="J196" s="9" t="s">
        <v>18</v>
      </c>
      <c r="K196" s="9" t="s">
        <v>1016</v>
      </c>
      <c r="L196" s="10" t="s">
        <v>19</v>
      </c>
    </row>
    <row r="197" spans="1:12" x14ac:dyDescent="0.2">
      <c r="A197" s="6" t="str">
        <f t="shared" si="3"/>
        <v>VIBEUF - 25 rue de la Mare des Champs (Entrée parking communal)</v>
      </c>
      <c r="B197" s="7">
        <f>COUNTA(#REF!)</f>
        <v>1</v>
      </c>
      <c r="C197" s="11" t="s">
        <v>1017</v>
      </c>
      <c r="D197" s="9" t="s">
        <v>1018</v>
      </c>
      <c r="E197" s="9">
        <v>76760</v>
      </c>
      <c r="F197" s="9" t="s">
        <v>1019</v>
      </c>
      <c r="G197" s="9" t="s">
        <v>1020</v>
      </c>
      <c r="H197" s="9" t="s">
        <v>1021</v>
      </c>
      <c r="I197" s="9"/>
      <c r="J197" s="9" t="s">
        <v>18</v>
      </c>
      <c r="K197" s="9" t="s">
        <v>1022</v>
      </c>
      <c r="L197" s="10" t="s">
        <v>19</v>
      </c>
    </row>
    <row r="198" spans="1:12" x14ac:dyDescent="0.2">
      <c r="A198" s="6" t="str">
        <f t="shared" si="3"/>
        <v>ROUEN - 229 Rue Saint Julien (Angle rue Parmentier)</v>
      </c>
      <c r="B198" s="7">
        <f>COUNTA(#REF!)</f>
        <v>1</v>
      </c>
      <c r="C198" s="11" t="s">
        <v>1023</v>
      </c>
      <c r="D198" s="9" t="s">
        <v>1024</v>
      </c>
      <c r="E198" s="9">
        <v>76000</v>
      </c>
      <c r="F198" s="9" t="s">
        <v>27</v>
      </c>
      <c r="G198" s="9" t="s">
        <v>1025</v>
      </c>
      <c r="H198" s="9" t="s">
        <v>1026</v>
      </c>
      <c r="I198" s="9" t="s">
        <v>17</v>
      </c>
      <c r="J198" s="9" t="s">
        <v>18</v>
      </c>
      <c r="K198" s="9" t="s">
        <v>1027</v>
      </c>
      <c r="L198" s="10" t="s">
        <v>19</v>
      </c>
    </row>
    <row r="199" spans="1:12" x14ac:dyDescent="0.2">
      <c r="A199" s="12" t="str">
        <f t="shared" si="3"/>
        <v>ROUEN - 238 Rue Saint Julien (Angle Rue Jacquard)</v>
      </c>
      <c r="B199" s="7">
        <f>COUNTA(#REF!)</f>
        <v>1</v>
      </c>
      <c r="C199" s="11" t="s">
        <v>1028</v>
      </c>
      <c r="D199" s="9" t="s">
        <v>1029</v>
      </c>
      <c r="E199" s="9">
        <v>76000</v>
      </c>
      <c r="F199" s="9" t="s">
        <v>27</v>
      </c>
      <c r="G199" s="9"/>
      <c r="H199" s="9"/>
      <c r="I199" s="9" t="s">
        <v>17</v>
      </c>
      <c r="J199" s="9" t="s">
        <v>18</v>
      </c>
      <c r="K199" s="9" t="s">
        <v>1030</v>
      </c>
      <c r="L199" s="10" t="s">
        <v>19</v>
      </c>
    </row>
    <row r="200" spans="1:12" x14ac:dyDescent="0.2">
      <c r="A200" s="6" t="str">
        <f t="shared" si="3"/>
        <v>ROUEN - 2 Rue du Mail (Angle Boulevard de l'Europe)</v>
      </c>
      <c r="B200" s="7">
        <f>COUNTA(#REF!)</f>
        <v>1</v>
      </c>
      <c r="C200" s="11" t="s">
        <v>1031</v>
      </c>
      <c r="D200" s="9" t="s">
        <v>1032</v>
      </c>
      <c r="E200" s="9">
        <v>76000</v>
      </c>
      <c r="F200" s="9" t="s">
        <v>27</v>
      </c>
      <c r="G200" s="9" t="s">
        <v>1033</v>
      </c>
      <c r="H200" s="9" t="s">
        <v>1034</v>
      </c>
      <c r="I200" s="9" t="s">
        <v>17</v>
      </c>
      <c r="J200" s="9" t="s">
        <v>18</v>
      </c>
      <c r="K200" s="9" t="s">
        <v>1035</v>
      </c>
      <c r="L200" s="10" t="s">
        <v>19</v>
      </c>
    </row>
    <row r="201" spans="1:12" x14ac:dyDescent="0.2">
      <c r="A201" s="6" t="str">
        <f t="shared" si="3"/>
        <v>ROUEN - 2 Rue Roger Bésus (Centre Charlotte Delbo)</v>
      </c>
      <c r="B201" s="7">
        <f>COUNTA(#REF!)</f>
        <v>1</v>
      </c>
      <c r="C201" s="11" t="s">
        <v>1036</v>
      </c>
      <c r="D201" s="9" t="s">
        <v>1037</v>
      </c>
      <c r="E201" s="9">
        <v>76000</v>
      </c>
      <c r="F201" s="9" t="s">
        <v>27</v>
      </c>
      <c r="G201" s="9" t="s">
        <v>1038</v>
      </c>
      <c r="H201" s="9" t="s">
        <v>1039</v>
      </c>
      <c r="I201" s="9" t="s">
        <v>17</v>
      </c>
      <c r="J201" s="9" t="s">
        <v>18</v>
      </c>
      <c r="K201" s="9" t="s">
        <v>1040</v>
      </c>
      <c r="L201" s="10" t="s">
        <v>19</v>
      </c>
    </row>
    <row r="202" spans="1:12" x14ac:dyDescent="0.2">
      <c r="A202" s="6" t="str">
        <f t="shared" si="3"/>
        <v>ROUEN - 46 Rue Desseaux (Proche bac verre)</v>
      </c>
      <c r="B202" s="7">
        <f>COUNTA(#REF!)</f>
        <v>1</v>
      </c>
      <c r="C202" s="11" t="s">
        <v>1041</v>
      </c>
      <c r="D202" s="9" t="s">
        <v>1042</v>
      </c>
      <c r="E202" s="9">
        <v>76000</v>
      </c>
      <c r="F202" s="9" t="s">
        <v>27</v>
      </c>
      <c r="G202" s="9" t="s">
        <v>1043</v>
      </c>
      <c r="H202" s="9" t="s">
        <v>1044</v>
      </c>
      <c r="I202" s="9" t="s">
        <v>17</v>
      </c>
      <c r="J202" s="9" t="s">
        <v>18</v>
      </c>
      <c r="K202" s="9" t="s">
        <v>1045</v>
      </c>
      <c r="L202" s="10" t="s">
        <v>19</v>
      </c>
    </row>
    <row r="203" spans="1:12" x14ac:dyDescent="0.2">
      <c r="A203" s="6" t="str">
        <f t="shared" si="3"/>
        <v>ROUEN - 11 Rue Antheaume (Résidence Vallon Saint Hilaire)</v>
      </c>
      <c r="B203" s="7">
        <f>COUNTA(#REF!)</f>
        <v>1</v>
      </c>
      <c r="C203" s="11" t="s">
        <v>1046</v>
      </c>
      <c r="D203" s="9" t="s">
        <v>1047</v>
      </c>
      <c r="E203" s="9">
        <v>76000</v>
      </c>
      <c r="F203" s="9" t="s">
        <v>27</v>
      </c>
      <c r="G203" s="9" t="s">
        <v>1048</v>
      </c>
      <c r="H203" s="9" t="s">
        <v>1049</v>
      </c>
      <c r="I203" s="9" t="s">
        <v>17</v>
      </c>
      <c r="J203" s="9" t="s">
        <v>18</v>
      </c>
      <c r="K203" s="9" t="s">
        <v>1050</v>
      </c>
      <c r="L203" s="10" t="s">
        <v>19</v>
      </c>
    </row>
    <row r="204" spans="1:12" x14ac:dyDescent="0.2">
      <c r="A204" s="6" t="str">
        <f t="shared" si="3"/>
        <v>ROUEN - 49 Rue de Bihorel (Angle rue Jouvenet)</v>
      </c>
      <c r="B204" s="7">
        <f>COUNTA(#REF!)</f>
        <v>1</v>
      </c>
      <c r="C204" s="11" t="s">
        <v>1051</v>
      </c>
      <c r="D204" s="9" t="s">
        <v>1052</v>
      </c>
      <c r="E204" s="9">
        <v>76000</v>
      </c>
      <c r="F204" s="9" t="s">
        <v>27</v>
      </c>
      <c r="G204" s="9" t="s">
        <v>1053</v>
      </c>
      <c r="H204" s="9" t="s">
        <v>1054</v>
      </c>
      <c r="I204" s="9" t="s">
        <v>17</v>
      </c>
      <c r="J204" s="9" t="s">
        <v>18</v>
      </c>
      <c r="K204" s="9" t="s">
        <v>1055</v>
      </c>
      <c r="L204" s="10" t="s">
        <v>19</v>
      </c>
    </row>
    <row r="205" spans="1:12" x14ac:dyDescent="0.2">
      <c r="A205" s="12" t="str">
        <f t="shared" si="3"/>
        <v>ROUEN - Avenue des Martyrs (Angle rue Linné)</v>
      </c>
      <c r="B205" s="7">
        <f>COUNTA(#REF!)</f>
        <v>1</v>
      </c>
      <c r="C205" s="11" t="s">
        <v>1056</v>
      </c>
      <c r="D205" s="9" t="s">
        <v>1057</v>
      </c>
      <c r="E205" s="9">
        <v>76000</v>
      </c>
      <c r="F205" s="9" t="s">
        <v>27</v>
      </c>
      <c r="G205" s="9"/>
      <c r="H205" s="9"/>
      <c r="I205" s="9"/>
      <c r="J205" s="9" t="s">
        <v>18</v>
      </c>
      <c r="K205" s="9" t="s">
        <v>1058</v>
      </c>
      <c r="L205" s="10" t="s">
        <v>19</v>
      </c>
    </row>
    <row r="206" spans="1:12" x14ac:dyDescent="0.2">
      <c r="A206" s="6" t="str">
        <f t="shared" si="3"/>
        <v>ROUEN - 37 Rue de l'Enseigne Renaud (Angle Chemin de l'école Jules Ferry)</v>
      </c>
      <c r="B206" s="7">
        <f>COUNTA(#REF!)</f>
        <v>1</v>
      </c>
      <c r="C206" s="11" t="s">
        <v>1059</v>
      </c>
      <c r="D206" s="9" t="s">
        <v>1060</v>
      </c>
      <c r="E206" s="9">
        <v>76000</v>
      </c>
      <c r="F206" s="9" t="s">
        <v>27</v>
      </c>
      <c r="G206" s="9" t="s">
        <v>1061</v>
      </c>
      <c r="H206" s="9" t="s">
        <v>1062</v>
      </c>
      <c r="I206" s="9" t="s">
        <v>17</v>
      </c>
      <c r="J206" s="9" t="s">
        <v>18</v>
      </c>
      <c r="K206" s="9" t="s">
        <v>1063</v>
      </c>
      <c r="L206" s="10" t="s">
        <v>19</v>
      </c>
    </row>
    <row r="207" spans="1:12" x14ac:dyDescent="0.2">
      <c r="A207" s="6" t="str">
        <f t="shared" si="3"/>
        <v>ROUEN - 10 Rue Moise</v>
      </c>
      <c r="B207" s="7">
        <f>COUNTA(#REF!)</f>
        <v>1</v>
      </c>
      <c r="C207" s="11" t="s">
        <v>1064</v>
      </c>
      <c r="D207" s="9"/>
      <c r="E207" s="9">
        <v>76000</v>
      </c>
      <c r="F207" s="9" t="s">
        <v>27</v>
      </c>
      <c r="G207" s="9" t="s">
        <v>1065</v>
      </c>
      <c r="H207" s="9" t="s">
        <v>1066</v>
      </c>
      <c r="I207" s="9" t="s">
        <v>17</v>
      </c>
      <c r="J207" s="9" t="s">
        <v>18</v>
      </c>
      <c r="K207" s="9" t="s">
        <v>1067</v>
      </c>
      <c r="L207" s="10" t="s">
        <v>19</v>
      </c>
    </row>
    <row r="208" spans="1:12" x14ac:dyDescent="0.2">
      <c r="A208" s="6" t="str">
        <f t="shared" si="3"/>
        <v>ROUEN - 41 Rue des Canadiens</v>
      </c>
      <c r="B208" s="7">
        <f>COUNTA(#REF!)</f>
        <v>1</v>
      </c>
      <c r="C208" s="11" t="s">
        <v>1068</v>
      </c>
      <c r="D208" s="9"/>
      <c r="E208" s="9">
        <v>76000</v>
      </c>
      <c r="F208" s="9" t="s">
        <v>27</v>
      </c>
      <c r="G208" s="9" t="s">
        <v>1069</v>
      </c>
      <c r="H208" s="9" t="s">
        <v>1070</v>
      </c>
      <c r="I208" s="9" t="s">
        <v>17</v>
      </c>
      <c r="J208" s="9" t="s">
        <v>18</v>
      </c>
      <c r="K208" s="9" t="s">
        <v>1071</v>
      </c>
      <c r="L208" s="10" t="s">
        <v>19</v>
      </c>
    </row>
    <row r="209" spans="1:12" x14ac:dyDescent="0.2">
      <c r="A209" s="6" t="str">
        <f t="shared" si="3"/>
        <v>ROUEN - 5 place Saint Hilaire (Rond point Saint Hilaire)</v>
      </c>
      <c r="B209" s="7">
        <f>COUNTA(#REF!)</f>
        <v>1</v>
      </c>
      <c r="C209" s="11" t="s">
        <v>1072</v>
      </c>
      <c r="D209" s="9" t="s">
        <v>1073</v>
      </c>
      <c r="E209" s="9">
        <v>76000</v>
      </c>
      <c r="F209" s="9" t="s">
        <v>27</v>
      </c>
      <c r="G209" s="9" t="s">
        <v>1074</v>
      </c>
      <c r="H209" s="9" t="s">
        <v>1075</v>
      </c>
      <c r="I209" s="9" t="s">
        <v>17</v>
      </c>
      <c r="J209" s="9" t="s">
        <v>18</v>
      </c>
      <c r="K209" s="9" t="s">
        <v>1076</v>
      </c>
      <c r="L209" s="10" t="s">
        <v>19</v>
      </c>
    </row>
    <row r="210" spans="1:12" x14ac:dyDescent="0.2">
      <c r="A210" s="6" t="str">
        <f t="shared" si="3"/>
        <v>ROUEN - 53 rue Desseaux (Resto du Cœur)</v>
      </c>
      <c r="B210" s="7">
        <f>COUNTA(#REF!)</f>
        <v>1</v>
      </c>
      <c r="C210" s="11" t="s">
        <v>1077</v>
      </c>
      <c r="D210" s="9" t="s">
        <v>1078</v>
      </c>
      <c r="E210" s="9">
        <v>76100</v>
      </c>
      <c r="F210" s="9" t="s">
        <v>27</v>
      </c>
      <c r="G210" s="9" t="s">
        <v>1079</v>
      </c>
      <c r="H210" s="9" t="s">
        <v>1080</v>
      </c>
      <c r="I210" s="9" t="s">
        <v>17</v>
      </c>
      <c r="J210" s="9" t="s">
        <v>18</v>
      </c>
      <c r="K210" s="9" t="s">
        <v>1081</v>
      </c>
      <c r="L210" s="10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Ophelie et Julien Gondé</dc:creator>
  <cp:lastModifiedBy>Ophelie et Julien Gondé</cp:lastModifiedBy>
  <dcterms:created xsi:type="dcterms:W3CDTF">2026-04-08T16:47:28Z</dcterms:created>
  <dcterms:modified xsi:type="dcterms:W3CDTF">2026-04-08T16:48:29Z</dcterms:modified>
</cp:coreProperties>
</file>