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solidaritetextiles.sharepoint.com/sites/SP_Soltex76/Documents partages/Solidarité/Production/Suivi De Production/Production 2026/"/>
    </mc:Choice>
  </mc:AlternateContent>
  <xr:revisionPtr revIDLastSave="1128" documentId="8_{D22618FE-F29F-475E-9A4A-E37091EB36E4}" xr6:coauthVersionLast="47" xr6:coauthVersionMax="47" xr10:uidLastSave="{D3634C83-0175-4843-AF72-32621EB4A90A}"/>
  <bookViews>
    <workbookView xWindow="0" yWindow="660" windowWidth="23260" windowHeight="12460" activeTab="5" xr2:uid="{9780D838-B801-491E-97A7-2A94601F2C7F}"/>
    <workbookView xWindow="0" yWindow="660" windowWidth="23260" windowHeight="12460" activeTab="4" xr2:uid="{E5AD1D75-0B69-4038-BCF9-13A82EE4D2D9}"/>
  </bookViews>
  <sheets>
    <sheet name="Feuil1" sheetId="1" r:id="rId1"/>
    <sheet name="Production Annuel 2026" sheetId="8" r:id="rId2"/>
    <sheet name="Janvier 2026" sheetId="2" r:id="rId3"/>
    <sheet name="Février 2026" sheetId="6" r:id="rId4"/>
    <sheet name="Mars 2026" sheetId="7" r:id="rId5"/>
    <sheet name="Avril 2026" sheetId="9" r:id="rId6"/>
  </sheets>
  <definedNames>
    <definedName name="_xlnm.Print_Area" localSheetId="3">'Février 2026'!$A$1:$M$33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9" l="1"/>
  <c r="AB15" i="9" s="1"/>
  <c r="Y27" i="9"/>
  <c r="Z20" i="9" s="1"/>
  <c r="AE29" i="9"/>
  <c r="Y29" i="9" s="1"/>
  <c r="AC29" i="9"/>
  <c r="AA29" i="9"/>
  <c r="AC27" i="9"/>
  <c r="AD16" i="9" s="1"/>
  <c r="Z15" i="9"/>
  <c r="AC26" i="9"/>
  <c r="AA26" i="9"/>
  <c r="Y26" i="9"/>
  <c r="AC25" i="9"/>
  <c r="AC30" i="9" s="1"/>
  <c r="AA25" i="9"/>
  <c r="AA30" i="9" s="1"/>
  <c r="Y25" i="9"/>
  <c r="AF23" i="9"/>
  <c r="AE23" i="9"/>
  <c r="AG23" i="9" s="1"/>
  <c r="Z23" i="9"/>
  <c r="AG22" i="9"/>
  <c r="AF22" i="9"/>
  <c r="AE22" i="9"/>
  <c r="AF21" i="9"/>
  <c r="AE21" i="9"/>
  <c r="AG21" i="9" s="1"/>
  <c r="AD21" i="9"/>
  <c r="AF20" i="9"/>
  <c r="AE20" i="9"/>
  <c r="AG20" i="9" s="1"/>
  <c r="AD20" i="9"/>
  <c r="AF19" i="9"/>
  <c r="AE19" i="9"/>
  <c r="AG19" i="9" s="1"/>
  <c r="AD19" i="9"/>
  <c r="Z19" i="9"/>
  <c r="AF18" i="9"/>
  <c r="AE18" i="9"/>
  <c r="AG18" i="9" s="1"/>
  <c r="Z18" i="9"/>
  <c r="I18" i="9"/>
  <c r="AF17" i="9"/>
  <c r="AE17" i="9"/>
  <c r="AG17" i="9" s="1"/>
  <c r="I17" i="9"/>
  <c r="AF16" i="9"/>
  <c r="AE16" i="9"/>
  <c r="AG16" i="9" s="1"/>
  <c r="AF15" i="9"/>
  <c r="AE15" i="9"/>
  <c r="AG15" i="9" s="1"/>
  <c r="AD15" i="9"/>
  <c r="AF14" i="9"/>
  <c r="AE14" i="9"/>
  <c r="AG14" i="9" s="1"/>
  <c r="AD14" i="9"/>
  <c r="Z14" i="9"/>
  <c r="AF13" i="9"/>
  <c r="AE13" i="9"/>
  <c r="AG13" i="9" s="1"/>
  <c r="Z13" i="9"/>
  <c r="AF12" i="9"/>
  <c r="AE12" i="9"/>
  <c r="AG12" i="9" s="1"/>
  <c r="AF11" i="9"/>
  <c r="AE11" i="9"/>
  <c r="AG11" i="9" s="1"/>
  <c r="AD11" i="9"/>
  <c r="AB11" i="9"/>
  <c r="AF10" i="9"/>
  <c r="AE10" i="9"/>
  <c r="AG10" i="9" s="1"/>
  <c r="AD10" i="9"/>
  <c r="Z10" i="9"/>
  <c r="AF9" i="9"/>
  <c r="AE9" i="9"/>
  <c r="AG9" i="9" s="1"/>
  <c r="Z9" i="9"/>
  <c r="AF8" i="9"/>
  <c r="AE8" i="9"/>
  <c r="AG8" i="9" s="1"/>
  <c r="AF7" i="9"/>
  <c r="AE7" i="9"/>
  <c r="AG7" i="9" s="1"/>
  <c r="AD7" i="9"/>
  <c r="AF6" i="9"/>
  <c r="AE6" i="9"/>
  <c r="AG6" i="9" s="1"/>
  <c r="AD6" i="9"/>
  <c r="Z6" i="9"/>
  <c r="AF5" i="9"/>
  <c r="AE5" i="9"/>
  <c r="AG5" i="9" s="1"/>
  <c r="Z5" i="9"/>
  <c r="AF4" i="9"/>
  <c r="AE4" i="9"/>
  <c r="AG4" i="9" s="1"/>
  <c r="AF3" i="9"/>
  <c r="AE3" i="9"/>
  <c r="AD3" i="9"/>
  <c r="AF2" i="9"/>
  <c r="AE2" i="9"/>
  <c r="AD2" i="9"/>
  <c r="AB2" i="9"/>
  <c r="Z2" i="9"/>
  <c r="I17" i="7"/>
  <c r="AE29" i="7"/>
  <c r="I18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" i="7"/>
  <c r="AA27" i="7"/>
  <c r="AB22" i="7" s="1"/>
  <c r="Y27" i="7"/>
  <c r="Z3" i="7" s="1"/>
  <c r="AA29" i="7"/>
  <c r="AD5" i="7"/>
  <c r="AD6" i="7"/>
  <c r="AD8" i="7"/>
  <c r="AD9" i="7"/>
  <c r="AD13" i="7"/>
  <c r="AD14" i="7"/>
  <c r="AD16" i="7"/>
  <c r="AD17" i="7"/>
  <c r="AD21" i="7"/>
  <c r="AD22" i="7"/>
  <c r="AD2" i="7"/>
  <c r="AB2" i="7"/>
  <c r="AC27" i="7"/>
  <c r="AD10" i="7" s="1"/>
  <c r="AC25" i="7"/>
  <c r="AC26" i="7"/>
  <c r="AC29" i="7"/>
  <c r="AC30" i="7" s="1"/>
  <c r="AE3" i="7"/>
  <c r="AE4" i="7"/>
  <c r="AG4" i="7" s="1"/>
  <c r="AE5" i="7"/>
  <c r="AG5" i="7" s="1"/>
  <c r="AE6" i="7"/>
  <c r="AG6" i="7" s="1"/>
  <c r="AE7" i="7"/>
  <c r="AE8" i="7"/>
  <c r="AE9" i="7"/>
  <c r="AG9" i="7" s="1"/>
  <c r="AE10" i="7"/>
  <c r="AE11" i="7"/>
  <c r="AE12" i="7"/>
  <c r="AG12" i="7" s="1"/>
  <c r="AE13" i="7"/>
  <c r="AG13" i="7" s="1"/>
  <c r="AE14" i="7"/>
  <c r="AG14" i="7" s="1"/>
  <c r="AE15" i="7"/>
  <c r="AG15" i="7" s="1"/>
  <c r="AE16" i="7"/>
  <c r="AE17" i="7"/>
  <c r="AE18" i="7"/>
  <c r="AE19" i="7"/>
  <c r="AG19" i="7" s="1"/>
  <c r="AE20" i="7"/>
  <c r="AG20" i="7" s="1"/>
  <c r="AE21" i="7"/>
  <c r="AG21" i="7" s="1"/>
  <c r="AE22" i="7"/>
  <c r="AG22" i="7" s="1"/>
  <c r="AE23" i="7"/>
  <c r="AG23" i="7" s="1"/>
  <c r="AE2" i="7"/>
  <c r="J33" i="6"/>
  <c r="J31" i="6"/>
  <c r="AA29" i="2"/>
  <c r="Y29" i="2"/>
  <c r="AC29" i="2"/>
  <c r="N3" i="8"/>
  <c r="AC29" i="6"/>
  <c r="AA29" i="6" s="1"/>
  <c r="AA30" i="6" s="1"/>
  <c r="M5" i="8"/>
  <c r="M6" i="8"/>
  <c r="M7" i="8"/>
  <c r="M8" i="8"/>
  <c r="M9" i="8"/>
  <c r="M10" i="8"/>
  <c r="M11" i="8"/>
  <c r="M12" i="8"/>
  <c r="M13" i="8"/>
  <c r="L3" i="8"/>
  <c r="K3" i="8"/>
  <c r="M3" i="8" s="1"/>
  <c r="O3" i="8" s="1"/>
  <c r="M2" i="8"/>
  <c r="L2" i="8"/>
  <c r="K2" i="8"/>
  <c r="AA26" i="7"/>
  <c r="Y26" i="7"/>
  <c r="Y25" i="7"/>
  <c r="K4" i="8" s="1"/>
  <c r="AA25" i="7"/>
  <c r="L4" i="8" s="1"/>
  <c r="AG7" i="7"/>
  <c r="AG8" i="7"/>
  <c r="AG10" i="7"/>
  <c r="AG11" i="7"/>
  <c r="AB16" i="7"/>
  <c r="AG16" i="7"/>
  <c r="AG17" i="7"/>
  <c r="AG18" i="7"/>
  <c r="AB20" i="7"/>
  <c r="Z13" i="6"/>
  <c r="AA25" i="6"/>
  <c r="Y25" i="6"/>
  <c r="W26" i="2"/>
  <c r="X26" i="2"/>
  <c r="AD8" i="2"/>
  <c r="AC8" i="2"/>
  <c r="AD7" i="2"/>
  <c r="B4" i="1"/>
  <c r="AA25" i="2"/>
  <c r="Y25" i="2"/>
  <c r="AC2" i="6"/>
  <c r="AD2" i="6" s="1"/>
  <c r="AC3" i="6"/>
  <c r="AD3" i="6" s="1"/>
  <c r="AC4" i="6"/>
  <c r="AD4" i="6" s="1"/>
  <c r="AC5" i="6"/>
  <c r="AD5" i="6" s="1"/>
  <c r="AC8" i="6"/>
  <c r="AD8" i="6" s="1"/>
  <c r="AA26" i="6"/>
  <c r="Y26" i="6"/>
  <c r="AC21" i="6"/>
  <c r="AD21" i="6" s="1"/>
  <c r="AB21" i="6"/>
  <c r="Z21" i="6"/>
  <c r="AC20" i="6"/>
  <c r="AD20" i="6" s="1"/>
  <c r="AB20" i="6"/>
  <c r="Z20" i="6"/>
  <c r="AC19" i="6"/>
  <c r="AD19" i="6" s="1"/>
  <c r="AB19" i="6"/>
  <c r="Z19" i="6"/>
  <c r="AC18" i="6"/>
  <c r="AD18" i="6" s="1"/>
  <c r="AB18" i="6"/>
  <c r="Z18" i="6"/>
  <c r="AC17" i="6"/>
  <c r="AD17" i="6" s="1"/>
  <c r="AB17" i="6"/>
  <c r="Z17" i="6"/>
  <c r="AC16" i="6"/>
  <c r="AD16" i="6" s="1"/>
  <c r="AB16" i="6"/>
  <c r="Z16" i="6"/>
  <c r="AC15" i="6"/>
  <c r="AD15" i="6" s="1"/>
  <c r="AB15" i="6"/>
  <c r="Z15" i="6"/>
  <c r="AC14" i="6"/>
  <c r="AD14" i="6" s="1"/>
  <c r="AB14" i="6"/>
  <c r="Z14" i="6"/>
  <c r="AC13" i="6"/>
  <c r="AD13" i="6" s="1"/>
  <c r="AB13" i="6"/>
  <c r="AC12" i="6"/>
  <c r="AD12" i="6" s="1"/>
  <c r="AB12" i="6"/>
  <c r="Z12" i="6"/>
  <c r="AC11" i="6"/>
  <c r="AD11" i="6" s="1"/>
  <c r="AB11" i="6"/>
  <c r="Z11" i="6"/>
  <c r="AC10" i="6"/>
  <c r="AD10" i="6" s="1"/>
  <c r="AB10" i="6"/>
  <c r="Z10" i="6"/>
  <c r="AC9" i="6"/>
  <c r="AD9" i="6" s="1"/>
  <c r="AB9" i="6"/>
  <c r="Z9" i="6"/>
  <c r="AB8" i="6"/>
  <c r="Z8" i="6"/>
  <c r="AC7" i="6"/>
  <c r="AD7" i="6" s="1"/>
  <c r="AB7" i="6"/>
  <c r="Z7" i="6"/>
  <c r="AC6" i="6"/>
  <c r="AD6" i="6" s="1"/>
  <c r="AB6" i="6"/>
  <c r="Z6" i="6"/>
  <c r="AB5" i="6"/>
  <c r="Z5" i="6"/>
  <c r="AB4" i="6"/>
  <c r="Z4" i="6"/>
  <c r="AB3" i="6"/>
  <c r="Z3" i="6"/>
  <c r="AB2" i="6"/>
  <c r="Z2" i="6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" i="2"/>
  <c r="AA26" i="2"/>
  <c r="Y26" i="2"/>
  <c r="AC6" i="2"/>
  <c r="AD6" i="2" s="1"/>
  <c r="AC7" i="2"/>
  <c r="AC9" i="2"/>
  <c r="AD9" i="2" s="1"/>
  <c r="AC10" i="2"/>
  <c r="AD10" i="2" s="1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17" i="2"/>
  <c r="AD17" i="2" s="1"/>
  <c r="AC18" i="2"/>
  <c r="AD18" i="2" s="1"/>
  <c r="AC19" i="2"/>
  <c r="AD19" i="2" s="1"/>
  <c r="AC20" i="2"/>
  <c r="AD20" i="2" s="1"/>
  <c r="AC21" i="2"/>
  <c r="AD21" i="2" s="1"/>
  <c r="AC22" i="2"/>
  <c r="AD22" i="2" s="1"/>
  <c r="AC23" i="2"/>
  <c r="AD23" i="2" s="1"/>
  <c r="AE26" i="7" l="1"/>
  <c r="AB14" i="9"/>
  <c r="AB7" i="9"/>
  <c r="AB20" i="9"/>
  <c r="AB3" i="9"/>
  <c r="AB10" i="9"/>
  <c r="AB19" i="9"/>
  <c r="AB6" i="9"/>
  <c r="AE26" i="9"/>
  <c r="AG2" i="9"/>
  <c r="AE25" i="9"/>
  <c r="I20" i="9" s="1"/>
  <c r="Y30" i="9"/>
  <c r="AG3" i="9"/>
  <c r="AB5" i="9"/>
  <c r="AB9" i="9"/>
  <c r="AB13" i="9"/>
  <c r="Z17" i="9"/>
  <c r="AB18" i="9"/>
  <c r="Z22" i="9"/>
  <c r="AD23" i="9"/>
  <c r="Z4" i="9"/>
  <c r="AD5" i="9"/>
  <c r="Z8" i="9"/>
  <c r="AD9" i="9"/>
  <c r="Z12" i="9"/>
  <c r="AD13" i="9"/>
  <c r="Z16" i="9"/>
  <c r="AB17" i="9"/>
  <c r="AD18" i="9"/>
  <c r="AB22" i="9"/>
  <c r="AB4" i="9"/>
  <c r="AB8" i="9"/>
  <c r="AB12" i="9"/>
  <c r="AB16" i="9"/>
  <c r="AD17" i="9"/>
  <c r="Z21" i="9"/>
  <c r="AD22" i="9"/>
  <c r="AB23" i="9"/>
  <c r="Z3" i="9"/>
  <c r="AD4" i="9"/>
  <c r="Z7" i="9"/>
  <c r="AD8" i="9"/>
  <c r="Z11" i="9"/>
  <c r="AD12" i="9"/>
  <c r="AB21" i="9"/>
  <c r="AG2" i="7"/>
  <c r="AD23" i="7"/>
  <c r="AD15" i="7"/>
  <c r="AD7" i="7"/>
  <c r="AB6" i="7"/>
  <c r="AE25" i="7"/>
  <c r="I20" i="7" s="1"/>
  <c r="AD20" i="7"/>
  <c r="AD12" i="7"/>
  <c r="AD4" i="7"/>
  <c r="AD19" i="7"/>
  <c r="AD11" i="7"/>
  <c r="AD3" i="7"/>
  <c r="AD18" i="7"/>
  <c r="AB10" i="7"/>
  <c r="AB4" i="7"/>
  <c r="AB19" i="7"/>
  <c r="AB3" i="7"/>
  <c r="AB18" i="7"/>
  <c r="AB12" i="7"/>
  <c r="AB8" i="7"/>
  <c r="AB5" i="7"/>
  <c r="AB15" i="7"/>
  <c r="AB9" i="7"/>
  <c r="AB17" i="7"/>
  <c r="AB23" i="7"/>
  <c r="AB14" i="7"/>
  <c r="AB13" i="7"/>
  <c r="AB21" i="7"/>
  <c r="AB11" i="7"/>
  <c r="AB7" i="7"/>
  <c r="Z16" i="7"/>
  <c r="Z2" i="7"/>
  <c r="Z6" i="7"/>
  <c r="Z21" i="7"/>
  <c r="Z5" i="7"/>
  <c r="Z8" i="7"/>
  <c r="Z17" i="7"/>
  <c r="Z4" i="7"/>
  <c r="Z23" i="7"/>
  <c r="Z20" i="7"/>
  <c r="Z14" i="7"/>
  <c r="Z13" i="7"/>
  <c r="Z10" i="7"/>
  <c r="Z15" i="7"/>
  <c r="Z12" i="7"/>
  <c r="Z9" i="7"/>
  <c r="Z18" i="7"/>
  <c r="Z11" i="7"/>
  <c r="Z22" i="7"/>
  <c r="Z19" i="7"/>
  <c r="Z7" i="7"/>
  <c r="Y29" i="7"/>
  <c r="Y30" i="7" s="1"/>
  <c r="N4" i="8"/>
  <c r="M4" i="8"/>
  <c r="Y29" i="6"/>
  <c r="Y30" i="6" s="1"/>
  <c r="AC30" i="6"/>
  <c r="AG3" i="7"/>
  <c r="AG26" i="7" s="1"/>
  <c r="AA30" i="7"/>
  <c r="AC25" i="6"/>
  <c r="AC25" i="2"/>
  <c r="AD26" i="6"/>
  <c r="AC26" i="6"/>
  <c r="AD26" i="2"/>
  <c r="AC26" i="2"/>
  <c r="AE30" i="9" l="1"/>
  <c r="AG26" i="9"/>
  <c r="AE30" i="7"/>
  <c r="O4" i="8"/>
</calcChain>
</file>

<file path=xl/sharedStrings.xml><?xml version="1.0" encoding="utf-8"?>
<sst xmlns="http://schemas.openxmlformats.org/spreadsheetml/2006/main" count="136" uniqueCount="66">
  <si>
    <t xml:space="preserve">Objectif 600 </t>
  </si>
  <si>
    <t>R3</t>
  </si>
  <si>
    <t>R4</t>
  </si>
  <si>
    <t>LQ</t>
  </si>
  <si>
    <t>Faisable</t>
  </si>
  <si>
    <t>Obj</t>
  </si>
  <si>
    <t>Total entrée ligne (kg)</t>
  </si>
  <si>
    <t>Total entrée recyclage N°3 (kg)</t>
  </si>
  <si>
    <t>TOTAL (t)</t>
  </si>
  <si>
    <t>Objectif mois (t)</t>
  </si>
  <si>
    <t>Diff</t>
  </si>
  <si>
    <t xml:space="preserve">Janvier 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</si>
  <si>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</si>
  <si>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</si>
  <si>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</si>
  <si>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</si>
  <si>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</si>
  <si>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</si>
  <si>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</si>
  <si>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</si>
  <si>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</si>
  <si>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</si>
  <si>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</si>
  <si>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Date</t>
  </si>
  <si>
    <t xml:space="preserve">Effectif Théorique </t>
  </si>
  <si>
    <t>Effectif réel</t>
  </si>
  <si>
    <t>Objectif entrée ligne (kg)</t>
  </si>
  <si>
    <t>Objectif entrée recyclage N°3 (kg)</t>
  </si>
  <si>
    <t>Total Jour        (t)</t>
  </si>
  <si>
    <t>productivité Kg/per (kg)</t>
  </si>
  <si>
    <t xml:space="preserve">Commentaire </t>
  </si>
  <si>
    <t>Férié</t>
  </si>
  <si>
    <t>Fermé</t>
  </si>
  <si>
    <t>Neige finit à 10h</t>
  </si>
  <si>
    <t>Neige Fermé</t>
  </si>
  <si>
    <t>Prépa VAK</t>
  </si>
  <si>
    <t>VAK</t>
  </si>
  <si>
    <t>TOTAL</t>
  </si>
  <si>
    <t>Moyenne</t>
  </si>
  <si>
    <t xml:space="preserve">Obj </t>
  </si>
  <si>
    <t>Obj mois</t>
  </si>
  <si>
    <t>Effectif théorique</t>
  </si>
  <si>
    <t>Prépa VAK à 12H15</t>
  </si>
  <si>
    <t>Prépa Vak</t>
  </si>
  <si>
    <t>Retour VAK</t>
  </si>
  <si>
    <t>--</t>
  </si>
  <si>
    <t>Obj jours</t>
  </si>
  <si>
    <t>Retour Vak 1/2 journée</t>
  </si>
  <si>
    <t xml:space="preserve">Objecf Jour : </t>
  </si>
  <si>
    <t xml:space="preserve">Objectif Mois: </t>
  </si>
  <si>
    <t>t</t>
  </si>
  <si>
    <t>Réalisé:</t>
  </si>
  <si>
    <t>R3 624 ET R4342</t>
  </si>
  <si>
    <t>Arrivé des nouvelles</t>
  </si>
  <si>
    <t>Total entrée recyclage R3 (kg)</t>
  </si>
  <si>
    <t>Total entrée recyclage R4 (kg)</t>
  </si>
  <si>
    <t>Objectif entrée recyclage R3 (kg)</t>
  </si>
  <si>
    <t xml:space="preserve">Objectif Mois : </t>
  </si>
  <si>
    <t>Objectif Jours:</t>
  </si>
  <si>
    <t xml:space="preserve">Réalisé: </t>
  </si>
  <si>
    <t>Obj Jours</t>
  </si>
  <si>
    <t>Nbr Jours</t>
  </si>
  <si>
    <t>Objectif Jours</t>
  </si>
  <si>
    <t>-</t>
  </si>
  <si>
    <t>PREPA VAK</t>
  </si>
  <si>
    <t>RETOUR 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</si>
</sst>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2" borderId="0" xfId="0" applyFill="1"/>
    <xf numFmtId="2" fontId="0" fillId="0" borderId="0" xfId="0" applyNumberFormat="1" applyAlignment="1">
      <alignment horizontal="center" wrapText="1"/>
    </xf>
    <xf numFmtId="16" fontId="0" fillId="0" borderId="0" xfId="0" quotePrefix="1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2" borderId="0" xfId="0" applyFont="1" applyFill="1"/>
    <xf numFmtId="2" fontId="2" fillId="2" borderId="0" xfId="0" applyNumberFormat="1" applyFont="1" applyFill="1"/>
    <xf numFmtId="164" fontId="2" fillId="2" borderId="0" xfId="0" applyNumberFormat="1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2" borderId="0" xfId="0" applyFill="1" applyAlignment="1">
      <alignment wrapText="1"/>
    </xf>
    <xf numFmtId="0" fontId="5" fillId="2" borderId="0" xfId="0" applyFont="1" applyFill="1"/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  <xf numFmtId="16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ligne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'Janvier 2026'!$Y$1</c:f>
              <c:strCache>
                <c:ptCount val="1"/>
                <c:pt idx="0">
                  <c:v>Total entrée ligne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'Janvier 2026'!$V$2:$V$23</c:f>
              <c:numCache>
                <c:formatCode>d\-mmm</c:formatCode>
                <c:ptCount val="2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'Janvier 2026'!$Y$2:$Y$23</c:f>
              <c:numCache>
                <c:formatCode>General</c:formatCode>
                <c:ptCount val="2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489</c:v>
                </c:pt>
                <c:pt idx="8">
                  <c:v>937</c:v>
                </c:pt>
                <c:pt idx="9">
                  <c:v>1733</c:v>
                </c:pt>
                <c:pt idx="10">
                  <c:v>1204</c:v>
                </c:pt>
                <c:pt idx="11">
                  <c:v>1096</c:v>
                </c:pt>
                <c:pt idx="12">
                  <c:v>1138</c:v>
                </c:pt>
                <c:pt idx="13">
                  <c:v>1091</c:v>
                </c:pt>
                <c:pt idx="14">
                  <c:v>1152</c:v>
                </c:pt>
                <c:pt idx="15">
                  <c:v>1319</c:v>
                </c:pt>
                <c:pt idx="16">
                  <c:v>817</c:v>
                </c:pt>
                <c:pt idx="17">
                  <c:v>1062</c:v>
                </c:pt>
                <c:pt idx="18">
                  <c:v>1164</c:v>
                </c:pt>
                <c:pt idx="19">
                  <c:v>1292</c:v>
                </c:pt>
                <c:pt idx="20">
                  <c:v>1445</c:v>
                </c:pt>
                <c:pt idx="21">
                  <c:v>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8-4309-855B-35A9E61D9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192976"/>
        <c:axId val="81191536"/>
      </c:barChart>
      <c:lineChart>
        <c:grouping val="standard"/>
        <c:varyColors val="0"/>
        <c:ser>
          <c:idx val="1"/>
          <c:order val="1"/>
          <c:tx>
            <c:strRef>
              <c:f>'Janvier 2026'!$Z$1</c:f>
              <c:strCache>
                <c:ptCount val="1"/>
                <c:pt idx="0">
                  <c:v>Objectif entrée ligne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'Janvier 2026'!$Z$2:$Z$23</c:f>
              <c:numCache>
                <c:formatCode>General</c:formatCode>
                <c:ptCount val="2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8-494B-92FB-3E0A8672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92976"/>
        <c:axId val="81191536"/>
      </c:lineChart>
      <c:catAx>
        <c:axId val="8119297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1536"/>
        <c:crosses val="autoZero"/>
        <c:auto val="0"/>
        <c:lblAlgn val="ctr"/>
        <c:lblOffset val="100"/>
        <c:noMultiLvlLbl val="1"/>
      </c:catAx>
      <c:valAx>
        <c:axId val="811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Effectif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'Janvier 2026'!$X$1</c:f>
              <c:strCache>
                <c:ptCount val="1"/>
                <c:pt idx="0">
                  <c:v>Effectif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'Janvier 2026'!$V$2:$V$23</c15:sqref>
                  </c15:fullRef>
                </c:ext>
              </c:extLst>
              <c:f>'Janvier 2026'!$V$2:$V$23</c:f>
              <c:numCache>
                <c:formatCode>d\-mmm</c:formatCode>
                <c:ptCount val="2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'Janvier 2026'!$X$2:$X$33</c15:sqref>
                  </c15:fullRef>
                </c:ext>
              </c:extLst>
              <c:f>'Janvier 2026'!$X$2:$X$23</c:f>
              <c:numCache>
                <c:formatCode>General</c:formatCode>
                <c:ptCount val="22"/>
                <c:pt idx="2">
                  <c:v>8</c:v>
                </c:pt>
                <c:pt idx="4">
                  <c:v>2</c:v>
                </c:pt>
                <c:pt idx="5">
                  <c:v>9</c:v>
                </c:pt>
                <c:pt idx="6">
                  <c:v>10</c:v>
                </c:pt>
                <c:pt idx="7">
                  <c:v>7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7</c:v>
                </c:pt>
                <c:pt idx="13">
                  <c:v>9</c:v>
                </c:pt>
                <c:pt idx="14">
                  <c:v>12</c:v>
                </c:pt>
                <c:pt idx="15">
                  <c:v>9</c:v>
                </c:pt>
                <c:pt idx="16">
                  <c:v>7</c:v>
                </c:pt>
                <c:pt idx="17">
                  <c:v>8</c:v>
                </c:pt>
                <c:pt idx="18">
                  <c:v>10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F-472A-8C74-ADD3AF2C7FBF}"/>
            </c:ext>
          </c:extLst>
        </c:ser>
        <c:ser>
          <c:idx val="1"/>
          <c:order val="1"/>
          <c:tx>
            <c:strRef>
              <c:f>'Janvier 2026'!$W$1</c:f>
              <c:strCache>
                <c:ptCount val="1"/>
                <c:pt idx="0">
                  <c:v>Effectif Théorique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2"/>
              <c:pt idx="0">
                <c:v>01-janv</c:v>
              </c:pt>
              <c:pt idx="1">
                <c:v>02-janv</c:v>
              </c:pt>
              <c:pt idx="2">
                <c:v>05-janv</c:v>
              </c:pt>
              <c:pt idx="3">
                <c:v>06-janv</c:v>
              </c:pt>
              <c:pt idx="4">
                <c:v>07-janv</c:v>
              </c:pt>
              <c:pt idx="5">
                <c:v>08-janv</c:v>
              </c:pt>
              <c:pt idx="6">
                <c:v>09-janv</c:v>
              </c:pt>
              <c:pt idx="7">
                <c:v>12-janv</c:v>
              </c:pt>
              <c:pt idx="8">
                <c:v>13-janv</c:v>
              </c:pt>
              <c:pt idx="9">
                <c:v>14-janv</c:v>
              </c:pt>
              <c:pt idx="10">
                <c:v>15-janv</c:v>
              </c:pt>
              <c:pt idx="11">
                <c:v>16-janv</c:v>
              </c:pt>
              <c:pt idx="12">
                <c:v>19-janv</c:v>
              </c:pt>
              <c:pt idx="13">
                <c:v>20-janv</c:v>
              </c:pt>
              <c:pt idx="14">
                <c:v>21-janv</c:v>
              </c:pt>
              <c:pt idx="15">
                <c:v>22-janv</c:v>
              </c:pt>
              <c:pt idx="16">
                <c:v>23-janv</c:v>
              </c:pt>
              <c:pt idx="17">
                <c:v>26-janv</c:v>
              </c:pt>
              <c:pt idx="18">
                <c:v>27-janv</c:v>
              </c:pt>
              <c:pt idx="19">
                <c:v>28-janv</c:v>
              </c:pt>
              <c:pt idx="20">
                <c:v>29-janv</c:v>
              </c:pt>
              <c:pt idx="21">
                <c:v>30-janv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'Janvier 2026'!$W$2:$W$23</c15:sqref>
                  </c15:fullRef>
                </c:ext>
              </c:extLst>
              <c:f>'Janvier 2026'!$W$2:$W$23</c:f>
              <c:numCache>
                <c:formatCode>General</c:formatCode>
                <c:ptCount val="22"/>
                <c:pt idx="2">
                  <c:v>10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  <c:pt idx="11">
                  <c:v>12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12</c:v>
                </c:pt>
                <c:pt idx="2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E-4770-AD07-CEF1122107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6343776"/>
        <c:axId val="786347616"/>
      </c:lineChart>
      <c:catAx>
        <c:axId val="7863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7616"/>
        <c:crosses val="autoZero"/>
        <c:auto val="0"/>
        <c:lblAlgn val="ctr"/>
        <c:lblOffset val="100"/>
        <c:noMultiLvlLbl val="1"/>
      </c:catAx>
      <c:valAx>
        <c:axId val="78634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N°3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'Janvier 2026'!$AA$1</c:f>
              <c:strCache>
                <c:ptCount val="1"/>
                <c:pt idx="0">
                  <c:v>Total entrée recyclage N°3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'Janvier 2026'!$V$2:$V$23</c:f>
              <c:numCache>
                <c:formatCode>d\-mmm</c:formatCode>
                <c:ptCount val="2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'Janvier 2026'!$AA$3:$AA$23</c:f>
              <c:numCache>
                <c:formatCode>General</c:formatCode>
                <c:ptCount val="2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280</c:v>
                </c:pt>
                <c:pt idx="7">
                  <c:v>1387</c:v>
                </c:pt>
                <c:pt idx="8">
                  <c:v>1376</c:v>
                </c:pt>
                <c:pt idx="9">
                  <c:v>953</c:v>
                </c:pt>
                <c:pt idx="10">
                  <c:v>1017</c:v>
                </c:pt>
                <c:pt idx="11">
                  <c:v>1064</c:v>
                </c:pt>
                <c:pt idx="12">
                  <c:v>761</c:v>
                </c:pt>
                <c:pt idx="13">
                  <c:v>1019</c:v>
                </c:pt>
                <c:pt idx="14">
                  <c:v>955</c:v>
                </c:pt>
                <c:pt idx="15">
                  <c:v>1112</c:v>
                </c:pt>
                <c:pt idx="16">
                  <c:v>1102</c:v>
                </c:pt>
                <c:pt idx="17">
                  <c:v>757</c:v>
                </c:pt>
                <c:pt idx="18">
                  <c:v>915</c:v>
                </c:pt>
                <c:pt idx="19">
                  <c:v>915</c:v>
                </c:pt>
                <c:pt idx="20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1-40E7-A8BD-979197863A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'Janvier 2026'!$AB$1</c:f>
              <c:strCache>
                <c:ptCount val="1"/>
                <c:pt idx="0">
                  <c:v>Objectif entrée recyclage N°3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'Janvier 2026'!$AB$2:$AB$23</c:f>
              <c:numCache>
                <c:formatCode>General</c:formatCode>
                <c:ptCount val="2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7-43BA-A341-C159A0224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 Jour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'Janvier 2026'!$AC$1</c:f>
              <c:strCache>
                <c:ptCount val="1"/>
                <c:pt idx="0">
                  <c:v>Total Jour       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'Janvier 2026'!$V$2:$V$33</c15:sqref>
                  </c15:fullRef>
                </c:ext>
              </c:extLst>
              <c:f>'Janvier 2026'!$V$2:$V$23</c:f>
              <c:strCache>
                <c:ptCount val="22"/>
                <c:pt idx="0">
                  <c:v>01-janv</c:v>
                </c:pt>
                <c:pt idx="1">
                  <c:v>02-janv</c:v>
                </c:pt>
                <c:pt idx="2">
                  <c:v>05-janv</c:v>
                </c:pt>
                <c:pt idx="3">
                  <c:v>06-janv</c:v>
                </c:pt>
                <c:pt idx="4">
                  <c:v>07-janv</c:v>
                </c:pt>
                <c:pt idx="5">
                  <c:v>08-janv</c:v>
                </c:pt>
                <c:pt idx="6">
                  <c:v>09-janv</c:v>
                </c:pt>
                <c:pt idx="7">
                  <c:v>12-janv</c:v>
                </c:pt>
                <c:pt idx="8">
                  <c:v>13-janv</c:v>
                </c:pt>
                <c:pt idx="9">
                  <c:v>14-janv</c:v>
                </c:pt>
                <c:pt idx="10">
                  <c:v>15-janv</c:v>
                </c:pt>
                <c:pt idx="11">
                  <c:v>16-janv</c:v>
                </c:pt>
                <c:pt idx="12">
                  <c:v>19-janv</c:v>
                </c:pt>
                <c:pt idx="13">
                  <c:v>20-janv</c:v>
                </c:pt>
                <c:pt idx="14">
                  <c:v>21-janv</c:v>
                </c:pt>
                <c:pt idx="15">
                  <c:v>22-janv</c:v>
                </c:pt>
                <c:pt idx="16">
                  <c:v>23-janv</c:v>
                </c:pt>
                <c:pt idx="17">
                  <c:v>26-janv</c:v>
                </c:pt>
                <c:pt idx="18">
                  <c:v>27-janv</c:v>
                </c:pt>
                <c:pt idx="19">
                  <c:v>28-janv</c:v>
                </c:pt>
                <c:pt idx="20">
                  <c:v>29-janv</c:v>
                </c:pt>
                <c:pt idx="21">
                  <c:v>30-janv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'Janvier 2026'!$AC$2:$AC$33</c15:sqref>
                  </c15:fullRef>
                </c:ext>
              </c:extLst>
              <c:f>'Janvier 2026'!$AC$2:$AC$23</c:f>
              <c:numCache>
                <c:formatCode>0.000</c:formatCode>
                <c:ptCount val="2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0.76900000000000002</c:v>
                </c:pt>
                <c:pt idx="8">
                  <c:v>2.3239999999999998</c:v>
                </c:pt>
                <c:pt idx="9">
                  <c:v>3.109</c:v>
                </c:pt>
                <c:pt idx="10">
                  <c:v>2.157</c:v>
                </c:pt>
                <c:pt idx="11">
                  <c:v>2.113</c:v>
                </c:pt>
                <c:pt idx="12">
                  <c:v>2.202</c:v>
                </c:pt>
                <c:pt idx="13">
                  <c:v>1.8520000000000001</c:v>
                </c:pt>
                <c:pt idx="14">
                  <c:v>2.1709999999999998</c:v>
                </c:pt>
                <c:pt idx="15">
                  <c:v>2.274</c:v>
                </c:pt>
                <c:pt idx="16">
                  <c:v>1.929</c:v>
                </c:pt>
                <c:pt idx="17">
                  <c:v>2.1640000000000001</c:v>
                </c:pt>
                <c:pt idx="18">
                  <c:v>1.921</c:v>
                </c:pt>
                <c:pt idx="19">
                  <c:v>2.2069999999999999</c:v>
                </c:pt>
                <c:pt idx="20">
                  <c:v>2.36</c:v>
                </c:pt>
                <c:pt idx="21">
                  <c:v>1.8740000000000001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D-45F5-BEC6-6573F3D7F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080992"/>
        <c:axId val="81082912"/>
      </c:barChart>
      <c:catAx>
        <c:axId val="810809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2912"/>
        <c:crosses val="autoZero"/>
        <c:auto val="0"/>
        <c:lblAlgn val="ctr"/>
        <c:lblOffset val="100"/>
        <c:tickLblSkip val="1"/>
        <c:noMultiLvlLbl val="1"/>
      </c:catAx>
      <c:valAx>
        <c:axId val="810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ligne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'Février 2026'!$Y$1</c:f>
              <c:strCache>
                <c:ptCount val="1"/>
                <c:pt idx="0">
                  <c:v>Total entrée ligne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'Février 2026'!$V$2:$V$23</c:f>
              <c:strCache>
                <c:ptCount val="22"/>
                <c:pt idx="0">
                  <c:v>02-févr</c:v>
                </c:pt>
                <c:pt idx="1">
                  <c:v>03-févr</c:v>
                </c:pt>
                <c:pt idx="2">
                  <c:v>04-févr</c:v>
                </c:pt>
                <c:pt idx="3">
                  <c:v>05-févr</c:v>
                </c:pt>
                <c:pt idx="4">
                  <c:v>06-févr</c:v>
                </c:pt>
                <c:pt idx="5">
                  <c:v>09-févr</c:v>
                </c:pt>
                <c:pt idx="6">
                  <c:v>10-févr</c:v>
                </c:pt>
                <c:pt idx="7">
                  <c:v>11-févr</c:v>
                </c:pt>
                <c:pt idx="8">
                  <c:v>12-févr</c:v>
                </c:pt>
                <c:pt idx="9">
                  <c:v>13-févr</c:v>
                </c:pt>
                <c:pt idx="10">
                  <c:v>16-févr</c:v>
                </c:pt>
                <c:pt idx="11">
                  <c:v>17-févr</c:v>
                </c:pt>
                <c:pt idx="12">
                  <c:v>18-févr</c:v>
                </c:pt>
                <c:pt idx="13">
                  <c:v>19-févr</c:v>
                </c:pt>
                <c:pt idx="14">
                  <c:v>20-févr</c:v>
                </c:pt>
                <c:pt idx="15">
                  <c:v>23-févr</c:v>
                </c:pt>
                <c:pt idx="16">
                  <c:v>24-févr</c:v>
                </c:pt>
                <c:pt idx="17">
                  <c:v>25-févr</c:v>
                </c:pt>
                <c:pt idx="18">
                  <c:v>26-févr</c:v>
                </c:pt>
                <c:pt idx="19">
                  <c:v>27-févr</c:v>
                </c:pt>
                <c:pt idx="20">
                  <c:v>--</c:v>
                </c:pt>
                <c:pt idx="21">
                  <c:v>--</c:v>
                </c:pt>
              </c:strCache>
            </c:strRef>
          </c:cat>
          <c:val>
            <c:numRef>
              <c:f>'Février 2026'!$Y$2:$Y$23</c:f>
              <c:numCache>
                <c:formatCode>General</c:formatCode>
                <c:ptCount val="22"/>
                <c:pt idx="0">
                  <c:v>1064</c:v>
                </c:pt>
                <c:pt idx="1">
                  <c:v>501</c:v>
                </c:pt>
                <c:pt idx="5">
                  <c:v>0</c:v>
                </c:pt>
                <c:pt idx="6">
                  <c:v>1412</c:v>
                </c:pt>
                <c:pt idx="7">
                  <c:v>733</c:v>
                </c:pt>
                <c:pt idx="8">
                  <c:v>459</c:v>
                </c:pt>
                <c:pt idx="9">
                  <c:v>1151</c:v>
                </c:pt>
                <c:pt idx="10">
                  <c:v>855</c:v>
                </c:pt>
                <c:pt idx="11">
                  <c:v>1030</c:v>
                </c:pt>
                <c:pt idx="12">
                  <c:v>1093</c:v>
                </c:pt>
                <c:pt idx="13">
                  <c:v>1343</c:v>
                </c:pt>
                <c:pt idx="14">
                  <c:v>1092</c:v>
                </c:pt>
                <c:pt idx="15">
                  <c:v>1148</c:v>
                </c:pt>
                <c:pt idx="16">
                  <c:v>996</c:v>
                </c:pt>
                <c:pt idx="17">
                  <c:v>828</c:v>
                </c:pt>
                <c:pt idx="18">
                  <c:v>1005</c:v>
                </c:pt>
                <c:pt idx="19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6-418B-8D78-94F43DCEF6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192976"/>
        <c:axId val="81191536"/>
      </c:barChart>
      <c:lineChart>
        <c:grouping val="standard"/>
        <c:varyColors val="0"/>
        <c:ser>
          <c:idx val="1"/>
          <c:order val="1"/>
          <c:tx>
            <c:strRef>
              <c:f>'Février 2026'!$Z$1</c:f>
              <c:strCache>
                <c:ptCount val="1"/>
                <c:pt idx="0">
                  <c:v>Objectif entrée ligne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'Février 2026'!$Z$2:$Z$23</c:f>
              <c:numCache>
                <c:formatCode>General</c:formatCode>
                <c:ptCount val="2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6-418B-8D78-94F43DCEF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92976"/>
        <c:axId val="81191536"/>
      </c:lineChart>
      <c:catAx>
        <c:axId val="8119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1536"/>
        <c:crosses val="autoZero"/>
        <c:auto val="0"/>
        <c:lblAlgn val="ctr"/>
        <c:lblOffset val="100"/>
        <c:noMultiLvlLbl val="1"/>
      </c:catAx>
      <c:valAx>
        <c:axId val="811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'Février 2026'!$X$1</c:f>
              <c:strCache>
                <c:ptCount val="1"/>
                <c:pt idx="0">
                  <c:v>Effectif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'Février 2026'!$V$2:$V$23</c:f>
              <c:strCache>
                <c:ptCount val="22"/>
                <c:pt idx="0">
                  <c:v>02-févr</c:v>
                </c:pt>
                <c:pt idx="1">
                  <c:v>03-févr</c:v>
                </c:pt>
                <c:pt idx="2">
                  <c:v>04-févr</c:v>
                </c:pt>
                <c:pt idx="3">
                  <c:v>05-févr</c:v>
                </c:pt>
                <c:pt idx="4">
                  <c:v>06-févr</c:v>
                </c:pt>
                <c:pt idx="5">
                  <c:v>09-févr</c:v>
                </c:pt>
                <c:pt idx="6">
                  <c:v>10-févr</c:v>
                </c:pt>
                <c:pt idx="7">
                  <c:v>11-févr</c:v>
                </c:pt>
                <c:pt idx="8">
                  <c:v>12-févr</c:v>
                </c:pt>
                <c:pt idx="9">
                  <c:v>13-févr</c:v>
                </c:pt>
                <c:pt idx="10">
                  <c:v>16-févr</c:v>
                </c:pt>
                <c:pt idx="11">
                  <c:v>17-févr</c:v>
                </c:pt>
                <c:pt idx="12">
                  <c:v>18-févr</c:v>
                </c:pt>
                <c:pt idx="13">
                  <c:v>19-févr</c:v>
                </c:pt>
                <c:pt idx="14">
                  <c:v>20-févr</c:v>
                </c:pt>
                <c:pt idx="15">
                  <c:v>23-févr</c:v>
                </c:pt>
                <c:pt idx="16">
                  <c:v>24-févr</c:v>
                </c:pt>
                <c:pt idx="17">
                  <c:v>25-févr</c:v>
                </c:pt>
                <c:pt idx="18">
                  <c:v>26-févr</c:v>
                </c:pt>
                <c:pt idx="19">
                  <c:v>27-févr</c:v>
                </c:pt>
                <c:pt idx="20">
                  <c:v>--</c:v>
                </c:pt>
                <c:pt idx="21">
                  <c:v>--</c:v>
                </c:pt>
              </c:strCache>
            </c:strRef>
          </c:cat>
          <c:val>
            <c:numRef>
              <c:f>'Février 2026'!$X$2:$X$23</c:f>
              <c:numCache>
                <c:formatCode>General</c:formatCode>
                <c:ptCount val="22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8-4142-9327-4712248D52C4}"/>
            </c:ext>
          </c:extLst>
        </c:ser>
        <c:ser>
          <c:idx val="1"/>
          <c:order val="1"/>
          <c:tx>
            <c:strRef>
              <c:f>'Février 2026'!$W$1</c:f>
              <c:strCache>
                <c:ptCount val="1"/>
                <c:pt idx="0">
                  <c:v>Effectif théorique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'Février 2026'!$W$2:$W$21</c:f>
              <c:numCache>
                <c:formatCode>General</c:formatCode>
                <c:ptCount val="20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8-4DA0-AC37-B19836DD1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343776"/>
        <c:axId val="786347616"/>
      </c:lineChart>
      <c:catAx>
        <c:axId val="7863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7616"/>
        <c:crosses val="autoZero"/>
        <c:auto val="0"/>
        <c:lblAlgn val="ctr"/>
        <c:lblOffset val="100"/>
        <c:noMultiLvlLbl val="1"/>
      </c:catAx>
      <c:valAx>
        <c:axId val="786347616"/>
        <c:scaling>
          <c:orientation val="minMax"/>
          <c:max val="15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N°3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'Février 2026'!$AA$1</c:f>
              <c:strCache>
                <c:ptCount val="1"/>
                <c:pt idx="0">
                  <c:v>Total entrée recyclage N°3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'Février 2026'!$V$2:$V$23</c:f>
              <c:strCache>
                <c:ptCount val="22"/>
                <c:pt idx="0">
                  <c:v>02-févr</c:v>
                </c:pt>
                <c:pt idx="1">
                  <c:v>03-févr</c:v>
                </c:pt>
                <c:pt idx="2">
                  <c:v>04-févr</c:v>
                </c:pt>
                <c:pt idx="3">
                  <c:v>05-févr</c:v>
                </c:pt>
                <c:pt idx="4">
                  <c:v>06-févr</c:v>
                </c:pt>
                <c:pt idx="5">
                  <c:v>09-févr</c:v>
                </c:pt>
                <c:pt idx="6">
                  <c:v>10-févr</c:v>
                </c:pt>
                <c:pt idx="7">
                  <c:v>11-févr</c:v>
                </c:pt>
                <c:pt idx="8">
                  <c:v>12-févr</c:v>
                </c:pt>
                <c:pt idx="9">
                  <c:v>13-févr</c:v>
                </c:pt>
                <c:pt idx="10">
                  <c:v>16-févr</c:v>
                </c:pt>
                <c:pt idx="11">
                  <c:v>17-févr</c:v>
                </c:pt>
                <c:pt idx="12">
                  <c:v>18-févr</c:v>
                </c:pt>
                <c:pt idx="13">
                  <c:v>19-févr</c:v>
                </c:pt>
                <c:pt idx="14">
                  <c:v>20-févr</c:v>
                </c:pt>
                <c:pt idx="15">
                  <c:v>23-févr</c:v>
                </c:pt>
                <c:pt idx="16">
                  <c:v>24-févr</c:v>
                </c:pt>
                <c:pt idx="17">
                  <c:v>25-févr</c:v>
                </c:pt>
                <c:pt idx="18">
                  <c:v>26-févr</c:v>
                </c:pt>
                <c:pt idx="19">
                  <c:v>27-févr</c:v>
                </c:pt>
                <c:pt idx="20">
                  <c:v>--</c:v>
                </c:pt>
                <c:pt idx="21">
                  <c:v>--</c:v>
                </c:pt>
              </c:strCache>
            </c:strRef>
          </c:cat>
          <c:val>
            <c:numRef>
              <c:f>'Février 2026'!$AA$2:$AA$23</c:f>
              <c:numCache>
                <c:formatCode>General</c:formatCode>
                <c:ptCount val="22"/>
                <c:pt idx="0">
                  <c:v>728</c:v>
                </c:pt>
                <c:pt idx="1">
                  <c:v>520</c:v>
                </c:pt>
                <c:pt idx="5">
                  <c:v>0</c:v>
                </c:pt>
                <c:pt idx="6">
                  <c:v>691</c:v>
                </c:pt>
                <c:pt idx="7">
                  <c:v>958</c:v>
                </c:pt>
                <c:pt idx="8">
                  <c:v>977</c:v>
                </c:pt>
                <c:pt idx="9">
                  <c:v>952</c:v>
                </c:pt>
                <c:pt idx="10">
                  <c:v>994</c:v>
                </c:pt>
                <c:pt idx="11">
                  <c:v>935</c:v>
                </c:pt>
                <c:pt idx="12">
                  <c:v>920</c:v>
                </c:pt>
                <c:pt idx="13">
                  <c:v>880</c:v>
                </c:pt>
                <c:pt idx="14">
                  <c:v>968</c:v>
                </c:pt>
                <c:pt idx="15">
                  <c:v>746</c:v>
                </c:pt>
                <c:pt idx="16">
                  <c:v>450</c:v>
                </c:pt>
                <c:pt idx="17">
                  <c:v>655</c:v>
                </c:pt>
                <c:pt idx="18">
                  <c:v>903</c:v>
                </c:pt>
                <c:pt idx="19">
                  <c:v>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C-47A1-B848-4A1B05D4B2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'Février 2026'!$AB$1</c:f>
              <c:strCache>
                <c:ptCount val="1"/>
                <c:pt idx="0">
                  <c:v>Objectif entrée recyclage N°3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'Février 2026'!$AB$2:$AB$23</c:f>
              <c:numCache>
                <c:formatCode>General</c:formatCode>
                <c:ptCount val="2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C-47A1-B848-4A1B05D4B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 Jour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'Février 2026'!$AC$1</c:f>
              <c:strCache>
                <c:ptCount val="1"/>
                <c:pt idx="0">
                  <c:v>Total Jour       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'Février 2026'!$V$2:$V$23</c:f>
              <c:strCache>
                <c:ptCount val="22"/>
                <c:pt idx="0">
                  <c:v>02-févr</c:v>
                </c:pt>
                <c:pt idx="1">
                  <c:v>03-févr</c:v>
                </c:pt>
                <c:pt idx="2">
                  <c:v>04-févr</c:v>
                </c:pt>
                <c:pt idx="3">
                  <c:v>05-févr</c:v>
                </c:pt>
                <c:pt idx="4">
                  <c:v>06-févr</c:v>
                </c:pt>
                <c:pt idx="5">
                  <c:v>09-févr</c:v>
                </c:pt>
                <c:pt idx="6">
                  <c:v>10-févr</c:v>
                </c:pt>
                <c:pt idx="7">
                  <c:v>11-févr</c:v>
                </c:pt>
                <c:pt idx="8">
                  <c:v>12-févr</c:v>
                </c:pt>
                <c:pt idx="9">
                  <c:v>13-févr</c:v>
                </c:pt>
                <c:pt idx="10">
                  <c:v>16-févr</c:v>
                </c:pt>
                <c:pt idx="11">
                  <c:v>17-févr</c:v>
                </c:pt>
                <c:pt idx="12">
                  <c:v>18-févr</c:v>
                </c:pt>
                <c:pt idx="13">
                  <c:v>19-févr</c:v>
                </c:pt>
                <c:pt idx="14">
                  <c:v>20-févr</c:v>
                </c:pt>
                <c:pt idx="15">
                  <c:v>23-févr</c:v>
                </c:pt>
                <c:pt idx="16">
                  <c:v>24-févr</c:v>
                </c:pt>
                <c:pt idx="17">
                  <c:v>25-févr</c:v>
                </c:pt>
                <c:pt idx="18">
                  <c:v>26-févr</c:v>
                </c:pt>
                <c:pt idx="19">
                  <c:v>27-févr</c:v>
                </c:pt>
                <c:pt idx="20">
                  <c:v>--</c:v>
                </c:pt>
                <c:pt idx="21">
                  <c:v>--</c:v>
                </c:pt>
              </c:strCache>
            </c:strRef>
          </c:cat>
          <c:val>
            <c:numRef>
              <c:f>'Février 2026'!$AC$2:$AC$23</c:f>
              <c:numCache>
                <c:formatCode>0.000</c:formatCode>
                <c:ptCount val="22"/>
                <c:pt idx="0">
                  <c:v>1.792</c:v>
                </c:pt>
                <c:pt idx="1">
                  <c:v>1.0209999999999999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2.1030000000000002</c:v>
                </c:pt>
                <c:pt idx="7">
                  <c:v>1.6910000000000001</c:v>
                </c:pt>
                <c:pt idx="8">
                  <c:v>1.4359999999999999</c:v>
                </c:pt>
                <c:pt idx="9">
                  <c:v>2.1030000000000002</c:v>
                </c:pt>
                <c:pt idx="10">
                  <c:v>1.849</c:v>
                </c:pt>
                <c:pt idx="11">
                  <c:v>1.9650000000000001</c:v>
                </c:pt>
                <c:pt idx="12">
                  <c:v>2.0129999999999999</c:v>
                </c:pt>
                <c:pt idx="13">
                  <c:v>2.2229999999999999</c:v>
                </c:pt>
                <c:pt idx="14">
                  <c:v>2.06</c:v>
                </c:pt>
                <c:pt idx="15">
                  <c:v>1.8939999999999999</c:v>
                </c:pt>
                <c:pt idx="16">
                  <c:v>1.446</c:v>
                </c:pt>
                <c:pt idx="17">
                  <c:v>1.4830000000000001</c:v>
                </c:pt>
                <c:pt idx="18">
                  <c:v>1.9079999999999999</c:v>
                </c:pt>
                <c:pt idx="19">
                  <c:v>2.165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8-4E92-A6FE-660164C98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080992"/>
        <c:axId val="81082912"/>
      </c:barChart>
      <c:catAx>
        <c:axId val="8108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2912"/>
        <c:crosses val="autoZero"/>
        <c:auto val="0"/>
        <c:lblAlgn val="ctr"/>
        <c:lblOffset val="100"/>
        <c:tickLblSkip val="1"/>
        <c:noMultiLvlLbl val="1"/>
      </c:catAx>
      <c:valAx>
        <c:axId val="810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ligne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'Mars 2026'!$Y$1</c:f>
              <c:strCache>
                <c:ptCount val="1"/>
                <c:pt idx="0">
                  <c:v>Total entrée ligne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'Mars 2026'!$V$2:$V$23</c:f>
              <c:numCache>
                <c:formatCode>d\-mmm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'Mars 2026'!$Y$2:$Y$23</c:f>
              <c:numCache>
                <c:formatCode>General</c:formatCode>
                <c:ptCount val="22"/>
                <c:pt idx="0">
                  <c:v>202</c:v>
                </c:pt>
                <c:pt idx="1">
                  <c:v>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258</c:v>
                </c:pt>
                <c:pt idx="6">
                  <c:v>1089</c:v>
                </c:pt>
                <c:pt idx="7">
                  <c:v>724</c:v>
                </c:pt>
                <c:pt idx="8">
                  <c:v>1313</c:v>
                </c:pt>
                <c:pt idx="9">
                  <c:v>1100</c:v>
                </c:pt>
                <c:pt idx="10">
                  <c:v>1013</c:v>
                </c:pt>
                <c:pt idx="11">
                  <c:v>853</c:v>
                </c:pt>
                <c:pt idx="12">
                  <c:v>1277</c:v>
                </c:pt>
                <c:pt idx="13">
                  <c:v>751</c:v>
                </c:pt>
                <c:pt idx="14">
                  <c:v>818</c:v>
                </c:pt>
                <c:pt idx="15">
                  <c:v>980</c:v>
                </c:pt>
                <c:pt idx="16">
                  <c:v>888</c:v>
                </c:pt>
                <c:pt idx="17">
                  <c:v>1207</c:v>
                </c:pt>
                <c:pt idx="18">
                  <c:v>1196</c:v>
                </c:pt>
                <c:pt idx="19">
                  <c:v>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4-47EA-8A4C-A869E7504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192976"/>
        <c:axId val="81191536"/>
      </c:barChart>
      <c:lineChart>
        <c:grouping val="standard"/>
        <c:varyColors val="0"/>
        <c:ser>
          <c:idx val="1"/>
          <c:order val="1"/>
          <c:tx>
            <c:strRef>
              <c:f>'Mars 2026'!$Z$1</c:f>
              <c:strCache>
                <c:ptCount val="1"/>
                <c:pt idx="0">
                  <c:v>Objectif entrée ligne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'Mars 2026'!$Z$2:$Z$23</c:f>
              <c:numCache>
                <c:formatCode>General</c:formatCode>
                <c:ptCount val="2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4-47EA-8A4C-A869E7504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92976"/>
        <c:axId val="81191536"/>
      </c:lineChart>
      <c:catAx>
        <c:axId val="8119297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1536"/>
        <c:crosses val="autoZero"/>
        <c:auto val="0"/>
        <c:lblAlgn val="ctr"/>
        <c:lblOffset val="100"/>
        <c:noMultiLvlLbl val="1"/>
      </c:catAx>
      <c:valAx>
        <c:axId val="811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'Mars 2026'!$X$1</c:f>
              <c:strCache>
                <c:ptCount val="1"/>
                <c:pt idx="0">
                  <c:v>Effectif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'Mars 2026'!$V$2:$V$23</c:f>
              <c:numCache>
                <c:formatCode>d\-mmm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'Mars 2026'!$X$2:$X$23</c:f>
              <c:numCache>
                <c:formatCode>General</c:formatCode>
                <c:ptCount val="22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5-492B-B604-1EF17877128E}"/>
            </c:ext>
          </c:extLst>
        </c:ser>
        <c:ser>
          <c:idx val="1"/>
          <c:order val="1"/>
          <c:tx>
            <c:strRef>
              <c:f>'Mars 2026'!$W$1</c:f>
              <c:strCache>
                <c:ptCount val="1"/>
                <c:pt idx="0">
                  <c:v>Effectif théorique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'Mars 2026'!$W$2:$W$21</c:f>
              <c:numCache>
                <c:formatCode>General</c:formatCode>
                <c:ptCount val="20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10</c:v>
                </c:pt>
                <c:pt idx="16">
                  <c:v>13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5-492B-B604-1EF178771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343776"/>
        <c:axId val="786347616"/>
      </c:lineChart>
      <c:catAx>
        <c:axId val="7863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7616"/>
        <c:crosses val="autoZero"/>
        <c:auto val="0"/>
        <c:lblAlgn val="ctr"/>
        <c:lblOffset val="100"/>
        <c:noMultiLvlLbl val="1"/>
      </c:catAx>
      <c:valAx>
        <c:axId val="786347616"/>
        <c:scaling>
          <c:orientation val="minMax"/>
          <c:max val="15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R3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'Mars 2026'!$AA$1</c:f>
              <c:strCache>
                <c:ptCount val="1"/>
                <c:pt idx="0">
                  <c:v>Total entrée recyclage R3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'Mars 2026'!$V$2:$V$23</c:f>
              <c:numCache>
                <c:formatCode>d\-mmm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'Mars 2026'!$AA$2:$AA$23</c:f>
              <c:numCache>
                <c:formatCode>General</c:formatCode>
                <c:ptCount val="22"/>
                <c:pt idx="0">
                  <c:v>584</c:v>
                </c:pt>
                <c:pt idx="1">
                  <c:v>220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641</c:v>
                </c:pt>
                <c:pt idx="7">
                  <c:v>868</c:v>
                </c:pt>
                <c:pt idx="8">
                  <c:v>760</c:v>
                </c:pt>
                <c:pt idx="9">
                  <c:v>818</c:v>
                </c:pt>
                <c:pt idx="10">
                  <c:v>813</c:v>
                </c:pt>
                <c:pt idx="11">
                  <c:v>904</c:v>
                </c:pt>
                <c:pt idx="12">
                  <c:v>1011</c:v>
                </c:pt>
                <c:pt idx="13">
                  <c:v>807</c:v>
                </c:pt>
                <c:pt idx="14">
                  <c:v>825</c:v>
                </c:pt>
                <c:pt idx="15">
                  <c:v>894</c:v>
                </c:pt>
                <c:pt idx="16">
                  <c:v>963</c:v>
                </c:pt>
                <c:pt idx="17">
                  <c:v>751</c:v>
                </c:pt>
                <c:pt idx="18">
                  <c:v>624</c:v>
                </c:pt>
                <c:pt idx="19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B-4554-B5DF-335E34D87C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'Mars 2026'!$AB$1</c:f>
              <c:strCache>
                <c:ptCount val="1"/>
                <c:pt idx="0">
                  <c:v>Objectif entrée recyclage R3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'Mars 2026'!$AB$2:$AB$23</c:f>
              <c:numCache>
                <c:formatCode>General</c:formatCode>
                <c:ptCount val="22"/>
                <c:pt idx="0" formatCode="0.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B-4554-B5DF-335E34D8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 Jour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'Mars 2026'!$AE$1</c:f>
              <c:strCache>
                <c:ptCount val="1"/>
                <c:pt idx="0">
                  <c:v>Total Jour       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'Mars 2026'!$V$2:$V$23</c:f>
              <c:numCache>
                <c:formatCode>d\-mmm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'Mars 2026'!$AE$2:$AE$23</c:f>
              <c:numCache>
                <c:formatCode>0.000</c:formatCode>
                <c:ptCount val="22"/>
                <c:pt idx="0">
                  <c:v>0.78600000000000003</c:v>
                </c:pt>
                <c:pt idx="1">
                  <c:v>0.82599999999999996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0.25800000000000001</c:v>
                </c:pt>
                <c:pt idx="6">
                  <c:v>1.73</c:v>
                </c:pt>
                <c:pt idx="7">
                  <c:v>1.5920000000000001</c:v>
                </c:pt>
                <c:pt idx="8">
                  <c:v>2.073</c:v>
                </c:pt>
                <c:pt idx="9">
                  <c:v>1.9179999999999999</c:v>
                </c:pt>
                <c:pt idx="10">
                  <c:v>1.8260000000000001</c:v>
                </c:pt>
                <c:pt idx="11">
                  <c:v>1.7569999999999999</c:v>
                </c:pt>
                <c:pt idx="12">
                  <c:v>2.2879999999999998</c:v>
                </c:pt>
                <c:pt idx="13">
                  <c:v>1.5580000000000001</c:v>
                </c:pt>
                <c:pt idx="14">
                  <c:v>1.643</c:v>
                </c:pt>
                <c:pt idx="15">
                  <c:v>1.8740000000000001</c:v>
                </c:pt>
                <c:pt idx="16">
                  <c:v>1.851</c:v>
                </c:pt>
                <c:pt idx="17">
                  <c:v>1.958</c:v>
                </c:pt>
                <c:pt idx="18">
                  <c:v>2.1619999999999999</c:v>
                </c:pt>
                <c:pt idx="19">
                  <c:v>3.569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C-4CED-B451-32FC4FB20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80992"/>
        <c:axId val="81082912"/>
      </c:barChart>
      <c:catAx>
        <c:axId val="810809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2912"/>
        <c:crosses val="autoZero"/>
        <c:auto val="0"/>
        <c:lblAlgn val="ctr"/>
        <c:lblOffset val="100"/>
        <c:tickLblSkip val="1"/>
        <c:noMultiLvlLbl val="1"/>
      </c:catAx>
      <c:valAx>
        <c:axId val="810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R4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'Mars 2026'!$AC$1</c:f>
              <c:strCache>
                <c:ptCount val="1"/>
                <c:pt idx="0">
                  <c:v>Total entrée recyclage R4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'Mars 2026'!$V$2:$V$23</c:f>
              <c:numCache>
                <c:formatCode>d\-mmm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'Mars 2026'!$AC$2:$AC$23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342</c:v>
                </c:pt>
                <c:pt idx="19">
                  <c:v>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B-41EC-A965-113DF7CD7E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'Mars 2026'!$AD$1</c:f>
              <c:strCache>
                <c:ptCount val="1"/>
                <c:pt idx="0">
                  <c:v>Objectif entrée recyclage R3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'Mars 2026'!$AD$2:$AD$23</c:f>
              <c:numCache>
                <c:formatCode>0.0</c:formatCode>
                <c:ptCount val="22"/>
                <c:pt idx="0">
                  <c:v>866.66666666666663</c:v>
                </c:pt>
                <c:pt idx="1">
                  <c:v>866.66666666666663</c:v>
                </c:pt>
                <c:pt idx="2">
                  <c:v>866.66666666666663</c:v>
                </c:pt>
                <c:pt idx="3">
                  <c:v>866.66666666666663</c:v>
                </c:pt>
                <c:pt idx="4">
                  <c:v>866.66666666666663</c:v>
                </c:pt>
                <c:pt idx="5">
                  <c:v>866.66666666666663</c:v>
                </c:pt>
                <c:pt idx="6">
                  <c:v>866.66666666666663</c:v>
                </c:pt>
                <c:pt idx="7">
                  <c:v>866.66666666666663</c:v>
                </c:pt>
                <c:pt idx="8">
                  <c:v>866.66666666666663</c:v>
                </c:pt>
                <c:pt idx="9">
                  <c:v>866.66666666666663</c:v>
                </c:pt>
                <c:pt idx="10">
                  <c:v>866.66666666666663</c:v>
                </c:pt>
                <c:pt idx="11">
                  <c:v>866.66666666666663</c:v>
                </c:pt>
                <c:pt idx="12">
                  <c:v>866.66666666666663</c:v>
                </c:pt>
                <c:pt idx="13">
                  <c:v>866.66666666666663</c:v>
                </c:pt>
                <c:pt idx="14">
                  <c:v>866.66666666666663</c:v>
                </c:pt>
                <c:pt idx="15">
                  <c:v>866.66666666666663</c:v>
                </c:pt>
                <c:pt idx="16">
                  <c:v>866.66666666666663</c:v>
                </c:pt>
                <c:pt idx="17">
                  <c:v>866.66666666666663</c:v>
                </c:pt>
                <c:pt idx="18">
                  <c:v>866.66666666666663</c:v>
                </c:pt>
                <c:pt idx="19">
                  <c:v>866.66666666666663</c:v>
                </c:pt>
                <c:pt idx="20">
                  <c:v>866.66666666666663</c:v>
                </c:pt>
                <c:pt idx="21">
                  <c:v>866.66666666666663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B-41EC-A965-113DF7CD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ligne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'Avril 2026'!$Y$1</c:f>
              <c:strCache>
                <c:ptCount val="1"/>
                <c:pt idx="0">
                  <c:v>Total entrée ligne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'Avril 2026'!$V$2:$V$23</c:f>
              <c:strCache>
                <c:ptCount val="22"/>
                <c:pt idx="0">
                  <c:v>01-avr</c:v>
                </c:pt>
                <c:pt idx="1">
                  <c:v>02-avr</c:v>
                </c:pt>
                <c:pt idx="2">
                  <c:v>03-avr</c:v>
                </c:pt>
                <c:pt idx="3">
                  <c:v>07-avr</c:v>
                </c:pt>
                <c:pt idx="4">
                  <c:v>08-avr</c:v>
                </c:pt>
                <c:pt idx="5">
                  <c:v>09-avr</c:v>
                </c:pt>
                <c:pt idx="6">
                  <c:v>10-avr</c:v>
                </c:pt>
                <c:pt idx="7">
                  <c:v>13-avr</c:v>
                </c:pt>
                <c:pt idx="8">
                  <c:v>14-avr</c:v>
                </c:pt>
                <c:pt idx="9">
                  <c:v>15-avr</c:v>
                </c:pt>
                <c:pt idx="10">
                  <c:v>16-avr</c:v>
                </c:pt>
                <c:pt idx="11">
                  <c:v>17-avr</c:v>
                </c:pt>
                <c:pt idx="12">
                  <c:v>20-avr</c:v>
                </c:pt>
                <c:pt idx="13">
                  <c:v>21-avr</c:v>
                </c:pt>
                <c:pt idx="14">
                  <c:v>22-avr</c:v>
                </c:pt>
                <c:pt idx="15">
                  <c:v>23-avr</c:v>
                </c:pt>
                <c:pt idx="16">
                  <c:v>24-avr</c:v>
                </c:pt>
                <c:pt idx="17">
                  <c:v>27-avr</c:v>
                </c:pt>
                <c:pt idx="18">
                  <c:v>28-avr</c:v>
                </c:pt>
                <c:pt idx="19">
                  <c:v>29-avr</c:v>
                </c:pt>
                <c:pt idx="20">
                  <c:v>30-avr</c:v>
                </c:pt>
                <c:pt idx="21">
                  <c:v>-</c:v>
                </c:pt>
              </c:strCache>
            </c:strRef>
          </c:cat>
          <c:val>
            <c:numRef>
              <c:f>'Avril 2026'!$Y$2:$Y$23</c:f>
              <c:numCache>
                <c:formatCode>General</c:formatCode>
                <c:ptCount val="2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A-4E20-A67F-803A1B2FA8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192976"/>
        <c:axId val="81191536"/>
      </c:barChart>
      <c:lineChart>
        <c:grouping val="standard"/>
        <c:varyColors val="0"/>
        <c:ser>
          <c:idx val="1"/>
          <c:order val="1"/>
          <c:tx>
            <c:strRef>
              <c:f>'Avril 2026'!$Z$1</c:f>
              <c:strCache>
                <c:ptCount val="1"/>
                <c:pt idx="0">
                  <c:v>Objectif entrée ligne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'Avril 2026'!$Z$2:$Z$23</c:f>
              <c:numCache>
                <c:formatCode>General</c:formatCode>
                <c:ptCount val="22"/>
                <c:pt idx="0">
                  <c:v>866.66666666666663</c:v>
                </c:pt>
                <c:pt idx="1">
                  <c:v>866.66666666666663</c:v>
                </c:pt>
                <c:pt idx="2">
                  <c:v>866.66666666666663</c:v>
                </c:pt>
                <c:pt idx="3">
                  <c:v>866.66666666666663</c:v>
                </c:pt>
                <c:pt idx="4">
                  <c:v>866.66666666666663</c:v>
                </c:pt>
                <c:pt idx="5">
                  <c:v>866.66666666666663</c:v>
                </c:pt>
                <c:pt idx="6">
                  <c:v>866.66666666666663</c:v>
                </c:pt>
                <c:pt idx="7">
                  <c:v>866.66666666666663</c:v>
                </c:pt>
                <c:pt idx="8">
                  <c:v>866.66666666666663</c:v>
                </c:pt>
                <c:pt idx="9">
                  <c:v>866.66666666666663</c:v>
                </c:pt>
                <c:pt idx="10">
                  <c:v>866.66666666666663</c:v>
                </c:pt>
                <c:pt idx="11">
                  <c:v>866.66666666666663</c:v>
                </c:pt>
                <c:pt idx="12">
                  <c:v>866.66666666666663</c:v>
                </c:pt>
                <c:pt idx="13">
                  <c:v>866.66666666666663</c:v>
                </c:pt>
                <c:pt idx="14">
                  <c:v>866.66666666666663</c:v>
                </c:pt>
                <c:pt idx="15">
                  <c:v>866.66666666666663</c:v>
                </c:pt>
                <c:pt idx="16">
                  <c:v>866.66666666666663</c:v>
                </c:pt>
                <c:pt idx="17">
                  <c:v>866.66666666666663</c:v>
                </c:pt>
                <c:pt idx="18">
                  <c:v>866.66666666666663</c:v>
                </c:pt>
                <c:pt idx="19">
                  <c:v>866.66666666666663</c:v>
                </c:pt>
                <c:pt idx="20">
                  <c:v>866.66666666666663</c:v>
                </c:pt>
                <c:pt idx="21">
                  <c:v>866.66666666666663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A-4E20-A67F-803A1B2FA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92976"/>
        <c:axId val="81191536"/>
      </c:lineChart>
      <c:catAx>
        <c:axId val="8119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1536"/>
        <c:crosses val="autoZero"/>
        <c:auto val="0"/>
        <c:lblAlgn val="ctr"/>
        <c:lblOffset val="100"/>
        <c:noMultiLvlLbl val="1"/>
      </c:catAx>
      <c:valAx>
        <c:axId val="811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'Avril 2026'!$X$1</c:f>
              <c:strCache>
                <c:ptCount val="1"/>
                <c:pt idx="0">
                  <c:v>Effectif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'Avril 2026'!$V$2:$V$23</c:f>
              <c:strCache>
                <c:ptCount val="22"/>
                <c:pt idx="0">
                  <c:v>01-avr</c:v>
                </c:pt>
                <c:pt idx="1">
                  <c:v>02-avr</c:v>
                </c:pt>
                <c:pt idx="2">
                  <c:v>03-avr</c:v>
                </c:pt>
                <c:pt idx="3">
                  <c:v>07-avr</c:v>
                </c:pt>
                <c:pt idx="4">
                  <c:v>08-avr</c:v>
                </c:pt>
                <c:pt idx="5">
                  <c:v>09-avr</c:v>
                </c:pt>
                <c:pt idx="6">
                  <c:v>10-avr</c:v>
                </c:pt>
                <c:pt idx="7">
                  <c:v>13-avr</c:v>
                </c:pt>
                <c:pt idx="8">
                  <c:v>14-avr</c:v>
                </c:pt>
                <c:pt idx="9">
                  <c:v>15-avr</c:v>
                </c:pt>
                <c:pt idx="10">
                  <c:v>16-avr</c:v>
                </c:pt>
                <c:pt idx="11">
                  <c:v>17-avr</c:v>
                </c:pt>
                <c:pt idx="12">
                  <c:v>20-avr</c:v>
                </c:pt>
                <c:pt idx="13">
                  <c:v>21-avr</c:v>
                </c:pt>
                <c:pt idx="14">
                  <c:v>22-avr</c:v>
                </c:pt>
                <c:pt idx="15">
                  <c:v>23-avr</c:v>
                </c:pt>
                <c:pt idx="16">
                  <c:v>24-avr</c:v>
                </c:pt>
                <c:pt idx="17">
                  <c:v>27-avr</c:v>
                </c:pt>
                <c:pt idx="18">
                  <c:v>28-avr</c:v>
                </c:pt>
                <c:pt idx="19">
                  <c:v>29-avr</c:v>
                </c:pt>
                <c:pt idx="20">
                  <c:v>30-avr</c:v>
                </c:pt>
                <c:pt idx="21">
                  <c:v>-</c:v>
                </c:pt>
              </c:strCache>
            </c:strRef>
          </c:cat>
          <c:val>
            <c:numRef>
              <c:f>'Avril 2026'!$X$2:$X$23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9-447B-8B8F-F0CB5646DC1D}"/>
            </c:ext>
          </c:extLst>
        </c:ser>
        <c:ser>
          <c:idx val="1"/>
          <c:order val="1"/>
          <c:tx>
            <c:strRef>
              <c:f>'Avril 2026'!$W$1</c:f>
              <c:strCache>
                <c:ptCount val="1"/>
                <c:pt idx="0">
                  <c:v>Effectif théorique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'Avril 2026'!$W$2:$W$21</c:f>
              <c:numCache>
                <c:formatCode>General</c:formatCode>
                <c:ptCount val="20"/>
                <c:pt idx="0">
                  <c:v>12</c:v>
                </c:pt>
                <c:pt idx="1">
                  <c:v>13</c:v>
                </c:pt>
                <c:pt idx="2">
                  <c:v>15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14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15</c:v>
                </c:pt>
                <c:pt idx="17">
                  <c:v>14</c:v>
                </c:pt>
                <c:pt idx="18">
                  <c:v>12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9-447B-8B8F-F0CB5646D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343776"/>
        <c:axId val="786347616"/>
      </c:lineChart>
      <c:catAx>
        <c:axId val="7863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7616"/>
        <c:crosses val="autoZero"/>
        <c:auto val="0"/>
        <c:lblAlgn val="ctr"/>
        <c:lblOffset val="100"/>
        <c:noMultiLvlLbl val="1"/>
      </c:catAx>
      <c:valAx>
        <c:axId val="786347616"/>
        <c:scaling>
          <c:orientation val="minMax"/>
          <c:max val="15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3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R3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'Avril 2026'!$AA$1</c:f>
              <c:strCache>
                <c:ptCount val="1"/>
                <c:pt idx="0">
                  <c:v>Total entrée recyclage R3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'Avril 2026'!$V$2:$V$23</c:f>
              <c:strCache>
                <c:ptCount val="22"/>
                <c:pt idx="0">
                  <c:v>01-avr</c:v>
                </c:pt>
                <c:pt idx="1">
                  <c:v>02-avr</c:v>
                </c:pt>
                <c:pt idx="2">
                  <c:v>03-avr</c:v>
                </c:pt>
                <c:pt idx="3">
                  <c:v>07-avr</c:v>
                </c:pt>
                <c:pt idx="4">
                  <c:v>08-avr</c:v>
                </c:pt>
                <c:pt idx="5">
                  <c:v>09-avr</c:v>
                </c:pt>
                <c:pt idx="6">
                  <c:v>10-avr</c:v>
                </c:pt>
                <c:pt idx="7">
                  <c:v>13-avr</c:v>
                </c:pt>
                <c:pt idx="8">
                  <c:v>14-avr</c:v>
                </c:pt>
                <c:pt idx="9">
                  <c:v>15-avr</c:v>
                </c:pt>
                <c:pt idx="10">
                  <c:v>16-avr</c:v>
                </c:pt>
                <c:pt idx="11">
                  <c:v>17-avr</c:v>
                </c:pt>
                <c:pt idx="12">
                  <c:v>20-avr</c:v>
                </c:pt>
                <c:pt idx="13">
                  <c:v>21-avr</c:v>
                </c:pt>
                <c:pt idx="14">
                  <c:v>22-avr</c:v>
                </c:pt>
                <c:pt idx="15">
                  <c:v>23-avr</c:v>
                </c:pt>
                <c:pt idx="16">
                  <c:v>24-avr</c:v>
                </c:pt>
                <c:pt idx="17">
                  <c:v>27-avr</c:v>
                </c:pt>
                <c:pt idx="18">
                  <c:v>28-avr</c:v>
                </c:pt>
                <c:pt idx="19">
                  <c:v>29-avr</c:v>
                </c:pt>
                <c:pt idx="20">
                  <c:v>30-avr</c:v>
                </c:pt>
                <c:pt idx="21">
                  <c:v>-</c:v>
                </c:pt>
              </c:strCache>
            </c:strRef>
          </c:cat>
          <c:val>
            <c:numRef>
              <c:f>'Avril 2026'!$AA$2:$AA$23</c:f>
              <c:numCache>
                <c:formatCode>General</c:formatCode>
                <c:ptCount val="2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A-4773-A944-31F41D514D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'Avril 2026'!$AB$1</c:f>
              <c:strCache>
                <c:ptCount val="1"/>
                <c:pt idx="0">
                  <c:v>Objectif entrée recyclage R3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'Avril 2026'!$AB$2:$AB$23</c:f>
              <c:numCache>
                <c:formatCode>General</c:formatCode>
                <c:ptCount val="22"/>
                <c:pt idx="0" formatCode="0.0">
                  <c:v>866.66666666666663</c:v>
                </c:pt>
                <c:pt idx="1">
                  <c:v>866.66666666666663</c:v>
                </c:pt>
                <c:pt idx="2">
                  <c:v>866.66666666666663</c:v>
                </c:pt>
                <c:pt idx="3">
                  <c:v>866.66666666666663</c:v>
                </c:pt>
                <c:pt idx="4">
                  <c:v>866.66666666666663</c:v>
                </c:pt>
                <c:pt idx="5">
                  <c:v>866.66666666666663</c:v>
                </c:pt>
                <c:pt idx="6">
                  <c:v>866.66666666666663</c:v>
                </c:pt>
                <c:pt idx="7">
                  <c:v>866.66666666666663</c:v>
                </c:pt>
                <c:pt idx="8">
                  <c:v>866.66666666666663</c:v>
                </c:pt>
                <c:pt idx="9">
                  <c:v>866.66666666666663</c:v>
                </c:pt>
                <c:pt idx="10">
                  <c:v>866.66666666666663</c:v>
                </c:pt>
                <c:pt idx="11">
                  <c:v>866.66666666666663</c:v>
                </c:pt>
                <c:pt idx="12">
                  <c:v>866.66666666666663</c:v>
                </c:pt>
                <c:pt idx="13">
                  <c:v>866.66666666666663</c:v>
                </c:pt>
                <c:pt idx="14">
                  <c:v>866.66666666666663</c:v>
                </c:pt>
                <c:pt idx="15">
                  <c:v>866.66666666666663</c:v>
                </c:pt>
                <c:pt idx="16">
                  <c:v>866.66666666666663</c:v>
                </c:pt>
                <c:pt idx="17">
                  <c:v>866.66666666666663</c:v>
                </c:pt>
                <c:pt idx="18">
                  <c:v>866.66666666666663</c:v>
                </c:pt>
                <c:pt idx="19">
                  <c:v>866.66666666666663</c:v>
                </c:pt>
                <c:pt idx="20">
                  <c:v>866.66666666666663</c:v>
                </c:pt>
                <c:pt idx="21">
                  <c:v>866.66666666666663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A-4773-A944-31F41D514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 Jour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'Avril 2026'!$AE$1</c:f>
              <c:strCache>
                <c:ptCount val="1"/>
                <c:pt idx="0">
                  <c:v>Total Jour       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'Avril 2026'!$V$2:$V$23</c:f>
              <c:strCache>
                <c:ptCount val="22"/>
                <c:pt idx="0">
                  <c:v>01-avr</c:v>
                </c:pt>
                <c:pt idx="1">
                  <c:v>02-avr</c:v>
                </c:pt>
                <c:pt idx="2">
                  <c:v>03-avr</c:v>
                </c:pt>
                <c:pt idx="3">
                  <c:v>07-avr</c:v>
                </c:pt>
                <c:pt idx="4">
                  <c:v>08-avr</c:v>
                </c:pt>
                <c:pt idx="5">
                  <c:v>09-avr</c:v>
                </c:pt>
                <c:pt idx="6">
                  <c:v>10-avr</c:v>
                </c:pt>
                <c:pt idx="7">
                  <c:v>13-avr</c:v>
                </c:pt>
                <c:pt idx="8">
                  <c:v>14-avr</c:v>
                </c:pt>
                <c:pt idx="9">
                  <c:v>15-avr</c:v>
                </c:pt>
                <c:pt idx="10">
                  <c:v>16-avr</c:v>
                </c:pt>
                <c:pt idx="11">
                  <c:v>17-avr</c:v>
                </c:pt>
                <c:pt idx="12">
                  <c:v>20-avr</c:v>
                </c:pt>
                <c:pt idx="13">
                  <c:v>21-avr</c:v>
                </c:pt>
                <c:pt idx="14">
                  <c:v>22-avr</c:v>
                </c:pt>
                <c:pt idx="15">
                  <c:v>23-avr</c:v>
                </c:pt>
                <c:pt idx="16">
                  <c:v>24-avr</c:v>
                </c:pt>
                <c:pt idx="17">
                  <c:v>27-avr</c:v>
                </c:pt>
                <c:pt idx="18">
                  <c:v>28-avr</c:v>
                </c:pt>
                <c:pt idx="19">
                  <c:v>29-avr</c:v>
                </c:pt>
                <c:pt idx="20">
                  <c:v>30-avr</c:v>
                </c:pt>
                <c:pt idx="21">
                  <c:v>-</c:v>
                </c:pt>
              </c:strCache>
            </c:strRef>
          </c:cat>
          <c:val>
            <c:numRef>
              <c:f>'Avril 2026'!$AE$2:$AE$23</c:f>
              <c:numCache>
                <c:formatCode>0.000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685-A16B-3474E77EA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80992"/>
        <c:axId val="81082912"/>
      </c:barChart>
      <c:catAx>
        <c:axId val="8108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2912"/>
        <c:crosses val="autoZero"/>
        <c:auto val="0"/>
        <c:lblAlgn val="ctr"/>
        <c:lblOffset val="100"/>
        <c:tickLblSkip val="1"/>
        <c:noMultiLvlLbl val="1"/>
      </c:catAx>
      <c:valAx>
        <c:axId val="810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entrée recyclage R4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'Avril 2026'!$AC$1</c:f>
              <c:strCache>
                <c:ptCount val="1"/>
                <c:pt idx="0">
                  <c:v>Total entrée recyclage R4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'Avril 2026'!$V$2:$V$23</c:f>
              <c:strCache>
                <c:ptCount val="22"/>
                <c:pt idx="0">
                  <c:v>01-avr</c:v>
                </c:pt>
                <c:pt idx="1">
                  <c:v>02-avr</c:v>
                </c:pt>
                <c:pt idx="2">
                  <c:v>03-avr</c:v>
                </c:pt>
                <c:pt idx="3">
                  <c:v>07-avr</c:v>
                </c:pt>
                <c:pt idx="4">
                  <c:v>08-avr</c:v>
                </c:pt>
                <c:pt idx="5">
                  <c:v>09-avr</c:v>
                </c:pt>
                <c:pt idx="6">
                  <c:v>10-avr</c:v>
                </c:pt>
                <c:pt idx="7">
                  <c:v>13-avr</c:v>
                </c:pt>
                <c:pt idx="8">
                  <c:v>14-avr</c:v>
                </c:pt>
                <c:pt idx="9">
                  <c:v>15-avr</c:v>
                </c:pt>
                <c:pt idx="10">
                  <c:v>16-avr</c:v>
                </c:pt>
                <c:pt idx="11">
                  <c:v>17-avr</c:v>
                </c:pt>
                <c:pt idx="12">
                  <c:v>20-avr</c:v>
                </c:pt>
                <c:pt idx="13">
                  <c:v>21-avr</c:v>
                </c:pt>
                <c:pt idx="14">
                  <c:v>22-avr</c:v>
                </c:pt>
                <c:pt idx="15">
                  <c:v>23-avr</c:v>
                </c:pt>
                <c:pt idx="16">
                  <c:v>24-avr</c:v>
                </c:pt>
                <c:pt idx="17">
                  <c:v>27-avr</c:v>
                </c:pt>
                <c:pt idx="18">
                  <c:v>28-avr</c:v>
                </c:pt>
                <c:pt idx="19">
                  <c:v>29-avr</c:v>
                </c:pt>
                <c:pt idx="20">
                  <c:v>30-avr</c:v>
                </c:pt>
                <c:pt idx="21">
                  <c:v>-</c:v>
                </c:pt>
              </c:strCache>
            </c:strRef>
          </c:cat>
          <c:val>
            <c:numRef>
              <c:f>'Avril 2026'!$AC$2:$AC$23</c:f>
              <c:numCache>
                <c:formatCode>General</c:formatCode>
                <c:ptCount val="2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C-4A81-A9E1-722352BD14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643152"/>
        <c:axId val="59640752"/>
      </c:barChart>
      <c:lineChart>
        <c:grouping val="standard"/>
        <c:varyColors val="0"/>
        <c:ser>
          <c:idx val="1"/>
          <c:order val="1"/>
          <c:tx>
            <c:strRef>
              <c:f>'Avril 2026'!$AD$1</c:f>
              <c:strCache>
                <c:ptCount val="1"/>
                <c:pt idx="0">
                  <c:v>Objectif entrée recyclage R3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'Avril 2026'!$AD$2:$AD$23</c:f>
              <c:numCache>
                <c:formatCode>0.0</c:formatCode>
                <c:ptCount val="22"/>
                <c:pt idx="0">
                  <c:v>866.66666666666663</c:v>
                </c:pt>
                <c:pt idx="1">
                  <c:v>866.66666666666663</c:v>
                </c:pt>
                <c:pt idx="2">
                  <c:v>866.66666666666663</c:v>
                </c:pt>
                <c:pt idx="3">
                  <c:v>866.66666666666663</c:v>
                </c:pt>
                <c:pt idx="4">
                  <c:v>866.66666666666663</c:v>
                </c:pt>
                <c:pt idx="5">
                  <c:v>866.66666666666663</c:v>
                </c:pt>
                <c:pt idx="6">
                  <c:v>866.66666666666663</c:v>
                </c:pt>
                <c:pt idx="7">
                  <c:v>866.66666666666663</c:v>
                </c:pt>
                <c:pt idx="8">
                  <c:v>866.66666666666663</c:v>
                </c:pt>
                <c:pt idx="9">
                  <c:v>866.66666666666663</c:v>
                </c:pt>
                <c:pt idx="10">
                  <c:v>866.66666666666663</c:v>
                </c:pt>
                <c:pt idx="11">
                  <c:v>866.66666666666663</c:v>
                </c:pt>
                <c:pt idx="12">
                  <c:v>866.66666666666663</c:v>
                </c:pt>
                <c:pt idx="13">
                  <c:v>866.66666666666663</c:v>
                </c:pt>
                <c:pt idx="14">
                  <c:v>866.66666666666663</c:v>
                </c:pt>
                <c:pt idx="15">
                  <c:v>866.66666666666663</c:v>
                </c:pt>
                <c:pt idx="16">
                  <c:v>866.66666666666663</c:v>
                </c:pt>
                <c:pt idx="17">
                  <c:v>866.66666666666663</c:v>
                </c:pt>
                <c:pt idx="18">
                  <c:v>866.66666666666663</c:v>
                </c:pt>
                <c:pt idx="19">
                  <c:v>866.66666666666663</c:v>
                </c:pt>
                <c:pt idx="20">
                  <c:v>866.66666666666663</c:v>
                </c:pt>
                <c:pt idx="21">
                  <c:v>866.66666666666663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C-4A81-A9E1-722352BD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43152"/>
        <c:axId val="59640752"/>
      </c:lineChart>
      <c:catAx>
        <c:axId val="596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0752"/>
        <c:crosses val="autoZero"/>
        <c:auto val="0"/>
        <c:lblAlgn val="ctr"/>
        <c:lblOffset val="100"/>
        <c:tickLblSkip val="1"/>
        <c:noMultiLvlLbl val="1"/>
      </c:catAx>
      <c:valAx>
        <c:axId val="596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6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</xdr:colOff>
      <xdr:row>0</xdr:row>
      <xdr:rowOff>89535</xdr:rowOff>
    </xdr:from>
    <xdr:to>
      <xdr:col>12</xdr:col>
      <xdr:colOff>111810</xdr:colOff>
      <xdr:row>13</xdr:row>
      <xdr:rowOff>51120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5CF075D-1B98-742F-6060-C5D359E7A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147317</xdr:colOff>
      <xdr:row>14</xdr:row>
      <xdr:rowOff>44862</xdr:rowOff>
    </xdr:from>
    <xdr:to>
      <xdr:col>12</xdr:col>
      <xdr:colOff>102917</xdr:colOff>
      <xdr:row>27</xdr:row>
      <xdr:rowOff>143395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2335736-6EA1-83D6-77BD-C2DB2679B5B0}"/>
            </a:ext>
            <a:ext uri="{147F2762-F138-4A5C-976F-8EAC2B608ADB}">
              <a16:predDERef xmlns:a16="http://schemas.microsoft.com/office/drawing/2014/main" pred="{E5CF075D-1B98-742F-6060-C5D359E7A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209550</xdr:colOff>
      <xdr:row>0</xdr:row>
      <xdr:rowOff>74295</xdr:rowOff>
    </xdr:from>
    <xdr:to>
      <xdr:col>18</xdr:col>
      <xdr:colOff>203250</xdr:colOff>
      <xdr:row>13</xdr:row>
      <xdr:rowOff>60645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E964988-916C-0764-D3C8-7BA252F1C3E9}"/>
            </a:ext>
            <a:ext uri="{147F2762-F138-4A5C-976F-8EAC2B608ADB}">
              <a16:predDERef xmlns:a16="http://schemas.microsoft.com/office/drawing/2014/main" pred="{F2335736-6EA1-83D6-77BD-C2DB2679B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0</xdr:row>
      <xdr:rowOff>76200</xdr:rowOff>
    </xdr:from>
    <xdr:to>
      <xdr:col>6</xdr:col>
      <xdr:colOff>69900</xdr:colOff>
      <xdr:row>13</xdr:row>
      <xdr:rowOff>35880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D008EF1-08F1-C8FB-E4D9-163595F5EFA3}"/>
            </a:ext>
            <a:ext uri="{147F2762-F138-4A5C-976F-8EAC2B608ADB}">
              <a16:predDERef xmlns:a16="http://schemas.microsoft.com/office/drawing/2014/main" pred="{DE964988-916C-0764-D3C8-7BA252F1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</xdr:colOff>
      <xdr:row>0</xdr:row>
      <xdr:rowOff>89535</xdr:rowOff>
    </xdr:from>
    <xdr:to>
      <xdr:col>12</xdr:col>
      <xdr:colOff>111810</xdr:colOff>
      <xdr:row>13</xdr:row>
      <xdr:rowOff>51120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CC9883-290C-4062-94A3-ECF27B2C9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99692</xdr:colOff>
      <xdr:row>13</xdr:row>
      <xdr:rowOff>168687</xdr:rowOff>
    </xdr:from>
    <xdr:to>
      <xdr:col>6</xdr:col>
      <xdr:colOff>55292</xdr:colOff>
      <xdr:row>27</xdr:row>
      <xdr:rowOff>86245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28C6DC8-DCA5-42BF-AFB3-889CBEE68AC2}"/>
            </a:ext>
            <a:ext uri="{147F2762-F138-4A5C-976F-8EAC2B608ADB}">
              <a16:predDERef xmlns:a16="http://schemas.microsoft.com/office/drawing/2014/main" pred="{E5CF075D-1B98-742F-6060-C5D359E7A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171450</xdr:colOff>
      <xdr:row>13</xdr:row>
      <xdr:rowOff>140970</xdr:rowOff>
    </xdr:from>
    <xdr:to>
      <xdr:col>12</xdr:col>
      <xdr:colOff>165150</xdr:colOff>
      <xdr:row>27</xdr:row>
      <xdr:rowOff>155895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00F6C0A-BC07-4555-BFAA-86D050C71F69}"/>
            </a:ext>
            <a:ext uri="{147F2762-F138-4A5C-976F-8EAC2B608ADB}">
              <a16:predDERef xmlns:a16="http://schemas.microsoft.com/office/drawing/2014/main" pred="{F2335736-6EA1-83D6-77BD-C2DB2679B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0</xdr:row>
      <xdr:rowOff>76200</xdr:rowOff>
    </xdr:from>
    <xdr:to>
      <xdr:col>6</xdr:col>
      <xdr:colOff>69900</xdr:colOff>
      <xdr:row>13</xdr:row>
      <xdr:rowOff>35880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25E233A-60EC-4DF8-A02B-15ACC51F40FB}"/>
            </a:ext>
            <a:ext uri="{147F2762-F138-4A5C-976F-8EAC2B608ADB}">
              <a16:predDERef xmlns:a16="http://schemas.microsoft.com/office/drawing/2014/main" pred="{DE964988-916C-0764-D3C8-7BA252F1C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</xdr:colOff>
      <xdr:row>0</xdr:row>
      <xdr:rowOff>89535</xdr:rowOff>
    </xdr:from>
    <xdr:to>
      <xdr:col>12</xdr:col>
      <xdr:colOff>111810</xdr:colOff>
      <xdr:row>13</xdr:row>
      <xdr:rowOff>51120</xdr:rowOff>
    </xdr:to>
    <xdr:graphicFrame macro="">
      <xdr:nvGraphicFramePr>
        <xdr:cNvPr id="9" name="Graphique 1">
          <a:extLst>
            <a:ext uri="{FF2B5EF4-FFF2-40B4-BE49-F238E27FC236}">
              <a16:creationId xmlns:a16="http://schemas.microsoft.com/office/drawing/2014/main" id="{ABF34C9A-11BF-4AA3-A47B-DC88CBE11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92889</xdr:colOff>
      <xdr:row>13</xdr:row>
      <xdr:rowOff>153720</xdr:rowOff>
    </xdr:from>
    <xdr:to>
      <xdr:col>6</xdr:col>
      <xdr:colOff>48488</xdr:colOff>
      <xdr:row>27</xdr:row>
      <xdr:rowOff>67195</xdr:rowOff>
    </xdr:to>
    <xdr:graphicFrame macro="">
      <xdr:nvGraphicFramePr>
        <xdr:cNvPr id="6" name="Graphique 2">
          <a:extLst>
            <a:ext uri="{FF2B5EF4-FFF2-40B4-BE49-F238E27FC236}">
              <a16:creationId xmlns:a16="http://schemas.microsoft.com/office/drawing/2014/main" id="{C8A2F473-251C-4899-AD8E-5C4C5A9A24FA}"/>
            </a:ext>
            <a:ext uri="{147F2762-F138-4A5C-976F-8EAC2B608ADB}">
              <a16:predDERef xmlns:a16="http://schemas.microsoft.com/office/drawing/2014/main" pred="{ABF34C9A-11BF-4AA3-A47B-DC88CBE11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209550</xdr:colOff>
      <xdr:row>0</xdr:row>
      <xdr:rowOff>74295</xdr:rowOff>
    </xdr:from>
    <xdr:to>
      <xdr:col>18</xdr:col>
      <xdr:colOff>203250</xdr:colOff>
      <xdr:row>13</xdr:row>
      <xdr:rowOff>60645</xdr:rowOff>
    </xdr:to>
    <xdr:graphicFrame macro="">
      <xdr:nvGraphicFramePr>
        <xdr:cNvPr id="7" name="Graphique 3">
          <a:extLst>
            <a:ext uri="{FF2B5EF4-FFF2-40B4-BE49-F238E27FC236}">
              <a16:creationId xmlns:a16="http://schemas.microsoft.com/office/drawing/2014/main" id="{A37B9070-5177-4E7F-AF1E-BEA57696DCBF}"/>
            </a:ext>
            <a:ext uri="{147F2762-F138-4A5C-976F-8EAC2B608ADB}">
              <a16:predDERef xmlns:a16="http://schemas.microsoft.com/office/drawing/2014/main" pred="{C8A2F473-251C-4899-AD8E-5C4C5A9A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0</xdr:row>
      <xdr:rowOff>76200</xdr:rowOff>
    </xdr:from>
    <xdr:to>
      <xdr:col>6</xdr:col>
      <xdr:colOff>69900</xdr:colOff>
      <xdr:row>13</xdr:row>
      <xdr:rowOff>35880</xdr:rowOff>
    </xdr:to>
    <xdr:graphicFrame macro="">
      <xdr:nvGraphicFramePr>
        <xdr:cNvPr id="8" name="Graphique 4">
          <a:extLst>
            <a:ext uri="{FF2B5EF4-FFF2-40B4-BE49-F238E27FC236}">
              <a16:creationId xmlns:a16="http://schemas.microsoft.com/office/drawing/2014/main" id="{CCD1F6EF-B79C-4744-B8E6-75B552CDBB26}"/>
            </a:ext>
            <a:ext uri="{147F2762-F138-4A5C-976F-8EAC2B608ADB}">
              <a16:predDERef xmlns:a16="http://schemas.microsoft.com/office/drawing/2014/main" pred="{A37B9070-5177-4E7F-AF1E-BEA57696D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239487</xdr:colOff>
      <xdr:row>14</xdr:row>
      <xdr:rowOff>65314</xdr:rowOff>
    </xdr:from>
    <xdr:to>
      <xdr:col>18</xdr:col>
      <xdr:colOff>233187</xdr:colOff>
      <xdr:row>28</xdr:row>
      <xdr:rowOff>62550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81D31DAE-2095-4946-890C-4AF4FBC30D66}"/>
            </a:ext>
            <a:ext uri="{147F2762-F138-4A5C-976F-8EAC2B608ADB}">
              <a16:predDERef xmlns:a16="http://schemas.microsoft.com/office/drawing/2014/main" pred="{C8A2F473-251C-4899-AD8E-5C4C5A9A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</xdr:colOff>
      <xdr:row>0</xdr:row>
      <xdr:rowOff>89535</xdr:rowOff>
    </xdr:from>
    <xdr:to>
      <xdr:col>12</xdr:col>
      <xdr:colOff>111810</xdr:colOff>
      <xdr:row>13</xdr:row>
      <xdr:rowOff>51120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1F9C1BA-57CF-4653-B301-5001E0366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92889</xdr:colOff>
      <xdr:row>13</xdr:row>
      <xdr:rowOff>153720</xdr:rowOff>
    </xdr:from>
    <xdr:to>
      <xdr:col>6</xdr:col>
      <xdr:colOff>48488</xdr:colOff>
      <xdr:row>27</xdr:row>
      <xdr:rowOff>67195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5EE9BD9-7E9E-40A8-B851-8057E52DCF77}"/>
            </a:ext>
            <a:ext uri="{147F2762-F138-4A5C-976F-8EAC2B608ADB}">
              <a16:predDERef xmlns:a16="http://schemas.microsoft.com/office/drawing/2014/main" pred="{ABF34C9A-11BF-4AA3-A47B-DC88CBE11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209550</xdr:colOff>
      <xdr:row>0</xdr:row>
      <xdr:rowOff>74295</xdr:rowOff>
    </xdr:from>
    <xdr:to>
      <xdr:col>18</xdr:col>
      <xdr:colOff>203250</xdr:colOff>
      <xdr:row>13</xdr:row>
      <xdr:rowOff>60645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FC3B543-104D-4C2B-93B7-C748F8A38F88}"/>
            </a:ext>
            <a:ext uri="{147F2762-F138-4A5C-976F-8EAC2B608ADB}">
              <a16:predDERef xmlns:a16="http://schemas.microsoft.com/office/drawing/2014/main" pred="{C8A2F473-251C-4899-AD8E-5C4C5A9A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0</xdr:row>
      <xdr:rowOff>76200</xdr:rowOff>
    </xdr:from>
    <xdr:to>
      <xdr:col>6</xdr:col>
      <xdr:colOff>69900</xdr:colOff>
      <xdr:row>13</xdr:row>
      <xdr:rowOff>35880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C4F2CE6-4097-4539-B9C9-43AC6FC25E0D}"/>
            </a:ext>
            <a:ext uri="{147F2762-F138-4A5C-976F-8EAC2B608ADB}">
              <a16:predDERef xmlns:a16="http://schemas.microsoft.com/office/drawing/2014/main" pred="{A37B9070-5177-4E7F-AF1E-BEA57696D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239487</xdr:colOff>
      <xdr:row>14</xdr:row>
      <xdr:rowOff>65314</xdr:rowOff>
    </xdr:from>
    <xdr:to>
      <xdr:col>18</xdr:col>
      <xdr:colOff>233187</xdr:colOff>
      <xdr:row>28</xdr:row>
      <xdr:rowOff>62550</xdr:rowOff>
    </xdr:to>
    <xdr:graphicFrame macro="">
      <xdr:nvGraphicFramePr>
        <xdr:cNvPr id="6" name="Graphique 3">
          <a:extLst>
            <a:ext uri="{FF2B5EF4-FFF2-40B4-BE49-F238E27FC236}">
              <a16:creationId xmlns:a16="http://schemas.microsoft.com/office/drawing/2014/main" id="{8D16D9A8-2DA7-440B-A85F-8316A8FD4C03}"/>
            </a:ext>
            <a:ext uri="{147F2762-F138-4A5C-976F-8EAC2B608ADB}">
              <a16:predDERef xmlns:a16="http://schemas.microsoft.com/office/drawing/2014/main" pred="{C8A2F473-251C-4899-AD8E-5C4C5A9A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E21D-CAC5-4B20-877D-BBD7EFA11FDF}">
  <dimension ref="B3:E9"/>
  <sheetViews>
    <sheetView workbookViewId="0">
      <selection activeCell="E9" sqref="E9"/>
    </sheetView>
    <sheetView workbookViewId="1"/>
  </sheetViews>
  <sheetFormatPr baseColWidth="10" defaultColWidth="11.5" defaultRowHeight="15" x14ac:dyDescent="0.2"/>
  <sheetData>
    <row r="3" spans="2:5" x14ac:dyDescent="0.2">
      <c r="B3" t="s">
        <v>0</v>
      </c>
    </row>
    <row r="4" spans="2:5" x14ac:dyDescent="0.2">
      <c r="B4">
        <f>230</f>
        <v>230</v>
      </c>
    </row>
    <row r="6" spans="2:5" x14ac:dyDescent="0.2">
      <c r="B6" t="s">
        <v>1</v>
      </c>
      <c r="C6" s="12">
        <v>1100</v>
      </c>
    </row>
    <row r="7" spans="2:5" x14ac:dyDescent="0.2">
      <c r="B7" t="s">
        <v>2</v>
      </c>
      <c r="C7" s="12">
        <v>1100</v>
      </c>
    </row>
    <row r="8" spans="2:5" x14ac:dyDescent="0.2">
      <c r="B8" t="s">
        <v>3</v>
      </c>
      <c r="C8" s="12">
        <v>1100</v>
      </c>
    </row>
    <row r="9" spans="2:5" x14ac:dyDescent="0.2">
      <c r="B9" s="8" t="s">
        <v>4</v>
      </c>
      <c r="C9" s="12">
        <v>3300</v>
      </c>
      <c r="D9" s="8" t="s">
        <v>5</v>
      </c>
      <c r="E9" s="12"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5D64-882B-4B81-81DA-A467772BA1E5}">
  <dimension ref="J1:O13"/>
  <sheetViews>
    <sheetView workbookViewId="0"/>
    <sheetView workbookViewId="1"/>
  </sheetViews>
  <sheetFormatPr baseColWidth="10" defaultColWidth="11.5" defaultRowHeight="15" x14ac:dyDescent="0.2"/>
  <cols>
    <col min="11" max="11" width="13.33203125" customWidth="1"/>
    <col min="12" max="12" width="17.33203125" customWidth="1"/>
    <col min="14" max="14" width="11.5" style="14"/>
    <col min="15" max="15" width="11.5" style="1"/>
  </cols>
  <sheetData>
    <row r="1" spans="10:15" ht="29" customHeight="1" x14ac:dyDescent="0.2">
      <c r="K1" s="13" t="s">
        <v>6</v>
      </c>
      <c r="L1" s="13" t="s">
        <v>7</v>
      </c>
      <c r="M1" s="14" t="s">
        <v>8</v>
      </c>
      <c r="N1" s="13" t="s">
        <v>9</v>
      </c>
      <c r="O1" s="13" t="s">
        <v>10</v>
      </c>
    </row>
    <row r="2" spans="10:15" x14ac:dyDescent="0.2">
      <c r="J2" t="s">
        <v>11</v>
      </c>
      <c r="K2" s="14">
        <f>'Janvier 2026'!Y25</f>
        <v>17028</v>
      </c>
      <c r="L2" s="14">
        <f>'Janvier 2026'!AA25</f>
        <v>14398</v>
      </c>
      <c r="M2" s="14">
        <f>(K2+L2)/1000</f>
        <v>31.425999999999998</v>
      </c>
      <c r="N2" s="16"/>
      <c r="O2" s="4"/>
    </row>
    <row r="3" spans="10:15" x14ac:dyDescent="0.2">
      <c r="J3" t="s">
        <v>12</v>
      </c>
      <c r="K3" s="14">
        <f>'Février 2026'!Y25</f>
        <v>15916</v>
      </c>
      <c r="L3" s="14">
        <f>'Février 2026'!AA25</f>
        <v>13236</v>
      </c>
      <c r="M3" s="14">
        <f t="shared" ref="M3:M13" si="0">(K3+L3)/1000</f>
        <v>29.152000000000001</v>
      </c>
      <c r="N3" s="16">
        <f>'Février 2026'!AC29</f>
        <v>41.6</v>
      </c>
      <c r="O3" s="4">
        <f>N3-M3</f>
        <v>12.448</v>
      </c>
    </row>
    <row r="4" spans="10:15" x14ac:dyDescent="0.2">
      <c r="J4" t="s">
        <v>13</v>
      </c>
      <c r="K4" s="14">
        <f>'Mars 2026'!Y25</f>
        <v>15698</v>
      </c>
      <c r="L4" s="14">
        <f>'Mars 2026'!AA25</f>
        <v>12268</v>
      </c>
      <c r="M4" s="14">
        <f t="shared" si="0"/>
        <v>27.966000000000001</v>
      </c>
      <c r="N4" s="16">
        <f>'Mars 2026'!AE29</f>
        <v>46.8</v>
      </c>
      <c r="O4" s="4">
        <f>N4-M4</f>
        <v>18.833999999999996</v>
      </c>
    </row>
    <row r="5" spans="10:15" x14ac:dyDescent="0.2">
      <c r="J5" t="s">
        <v>14</v>
      </c>
      <c r="K5" s="14"/>
      <c r="L5" s="14"/>
      <c r="M5" s="14">
        <f t="shared" si="0"/>
        <v>0</v>
      </c>
    </row>
    <row r="6" spans="10:15" x14ac:dyDescent="0.2">
      <c r="J6" t="s">
        <v>15</v>
      </c>
      <c r="K6" s="14"/>
      <c r="L6" s="14"/>
      <c r="M6" s="14">
        <f t="shared" si="0"/>
        <v>0</v>
      </c>
    </row>
    <row r="7" spans="10:15" x14ac:dyDescent="0.2">
      <c r="J7" t="s">
        <v>16</v>
      </c>
      <c r="K7" s="14"/>
      <c r="L7" s="14"/>
      <c r="M7" s="14">
        <f t="shared" si="0"/>
        <v>0</v>
      </c>
    </row>
    <row r="8" spans="10:15" x14ac:dyDescent="0.2">
      <c r="J8" t="s">
        <v>17</v>
      </c>
      <c r="K8" s="14"/>
      <c r="L8" s="14"/>
      <c r="M8" s="14">
        <f t="shared" si="0"/>
        <v>0</v>
      </c>
    </row>
    <row r="9" spans="10:15" x14ac:dyDescent="0.2">
      <c r="J9" t="s">
        <v>18</v>
      </c>
      <c r="K9" s="14"/>
      <c r="L9" s="14"/>
      <c r="M9" s="14">
        <f t="shared" si="0"/>
        <v>0</v>
      </c>
    </row>
    <row r="10" spans="10:15" x14ac:dyDescent="0.2">
      <c r="J10" t="s">
        <v>19</v>
      </c>
      <c r="K10" s="14"/>
      <c r="L10" s="14"/>
      <c r="M10" s="14">
        <f t="shared" si="0"/>
        <v>0</v>
      </c>
    </row>
    <row r="11" spans="10:15" x14ac:dyDescent="0.2">
      <c r="J11" t="s">
        <v>20</v>
      </c>
      <c r="K11" s="14"/>
      <c r="L11" s="14"/>
      <c r="M11" s="14">
        <f t="shared" si="0"/>
        <v>0</v>
      </c>
    </row>
    <row r="12" spans="10:15" x14ac:dyDescent="0.2">
      <c r="J12" t="s">
        <v>21</v>
      </c>
      <c r="K12" s="14"/>
      <c r="L12" s="14"/>
      <c r="M12" s="14">
        <f t="shared" si="0"/>
        <v>0</v>
      </c>
    </row>
    <row r="13" spans="10:15" x14ac:dyDescent="0.2">
      <c r="J13" t="s">
        <v>22</v>
      </c>
      <c r="K13" s="14"/>
      <c r="L13" s="14"/>
      <c r="M13" s="14">
        <f t="shared" si="0"/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5807-AFD2-46A3-B5AA-E70CE1418D2B}">
  <dimension ref="A1:AE33"/>
  <sheetViews>
    <sheetView topLeftCell="A8" zoomScale="80" zoomScaleNormal="80" workbookViewId="0">
      <selection activeCell="AC30" sqref="AC30"/>
    </sheetView>
    <sheetView workbookViewId="1"/>
  </sheetViews>
  <sheetFormatPr baseColWidth="10" defaultColWidth="11.5" defaultRowHeight="15" x14ac:dyDescent="0.2"/>
  <cols>
    <col min="22" max="22" width="11.1640625" style="1"/>
    <col min="23" max="23" width="11.5" style="1"/>
    <col min="24" max="24" width="11.1640625" style="1"/>
    <col min="25" max="25" width="14.83203125" style="3" bestFit="1" customWidth="1"/>
    <col min="26" max="26" width="2.33203125" style="3" customWidth="1"/>
    <col min="27" max="27" width="15.33203125" style="1" customWidth="1"/>
    <col min="28" max="28" width="2.1640625" style="1" customWidth="1"/>
    <col min="29" max="29" width="11.1640625" style="1"/>
    <col min="30" max="30" width="11.5" style="1" bestFit="1" customWidth="1"/>
    <col min="31" max="31" width="26.1640625" style="8" customWidth="1"/>
  </cols>
  <sheetData>
    <row r="1" spans="1:31" ht="3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" t="s">
        <v>23</v>
      </c>
      <c r="W1" s="3" t="s">
        <v>24</v>
      </c>
      <c r="X1" s="1" t="s">
        <v>25</v>
      </c>
      <c r="Y1" s="3" t="s">
        <v>6</v>
      </c>
      <c r="Z1" s="3" t="s">
        <v>26</v>
      </c>
      <c r="AA1" s="3" t="s">
        <v>7</v>
      </c>
      <c r="AB1" s="3" t="s">
        <v>27</v>
      </c>
      <c r="AC1" s="6" t="s">
        <v>28</v>
      </c>
      <c r="AD1" s="3" t="s">
        <v>29</v>
      </c>
      <c r="AE1" s="7" t="s">
        <v>30</v>
      </c>
    </row>
    <row r="2" spans="1:3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">
        <v>46023</v>
      </c>
      <c r="Z2" s="3">
        <f>$Y$27</f>
        <v>1300</v>
      </c>
      <c r="AB2" s="1">
        <f>$AA$27</f>
        <v>1300</v>
      </c>
      <c r="AC2" s="5"/>
      <c r="AD2" s="4"/>
      <c r="AE2" s="8" t="s">
        <v>31</v>
      </c>
    </row>
    <row r="3" spans="1:3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>
        <v>46024</v>
      </c>
      <c r="Z3" s="3">
        <f t="shared" ref="Z3:Z23" si="0">$Y$27</f>
        <v>1300</v>
      </c>
      <c r="AB3" s="1">
        <f t="shared" ref="AB3:AB23" si="1">$AA$27</f>
        <v>1300</v>
      </c>
      <c r="AC3" s="5"/>
      <c r="AD3" s="4"/>
      <c r="AE3" s="8" t="s">
        <v>32</v>
      </c>
    </row>
    <row r="4" spans="1:3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>
        <v>46027</v>
      </c>
      <c r="W4" s="1">
        <v>10</v>
      </c>
      <c r="X4" s="1">
        <v>8</v>
      </c>
      <c r="Z4" s="3">
        <f t="shared" si="0"/>
        <v>1300</v>
      </c>
      <c r="AB4" s="1">
        <f t="shared" si="1"/>
        <v>1300</v>
      </c>
      <c r="AC4" s="5"/>
      <c r="AD4" s="4"/>
      <c r="AE4" s="8" t="s">
        <v>33</v>
      </c>
    </row>
    <row r="5" spans="1:3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>
        <v>46028</v>
      </c>
      <c r="Z5" s="3">
        <f t="shared" si="0"/>
        <v>1300</v>
      </c>
      <c r="AB5" s="1">
        <f t="shared" si="1"/>
        <v>1300</v>
      </c>
      <c r="AC5" s="5"/>
      <c r="AD5" s="4"/>
      <c r="AE5" s="8" t="s">
        <v>34</v>
      </c>
    </row>
    <row r="6" spans="1:3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>
        <v>46029</v>
      </c>
      <c r="W6" s="1">
        <v>10</v>
      </c>
      <c r="X6" s="1">
        <v>2</v>
      </c>
      <c r="Y6" s="3">
        <v>0</v>
      </c>
      <c r="Z6" s="3">
        <f t="shared" si="0"/>
        <v>1300</v>
      </c>
      <c r="AA6" s="1">
        <v>0</v>
      </c>
      <c r="AB6" s="1">
        <f t="shared" si="1"/>
        <v>1300</v>
      </c>
      <c r="AC6" s="5">
        <f>(Y6+AA6)/1000</f>
        <v>0</v>
      </c>
      <c r="AD6" s="4">
        <f>(AC6/X6)*1000</f>
        <v>0</v>
      </c>
      <c r="AE6" s="8" t="s">
        <v>35</v>
      </c>
    </row>
    <row r="7" spans="1:3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>
        <v>46030</v>
      </c>
      <c r="W7" s="1">
        <v>12</v>
      </c>
      <c r="X7" s="1">
        <v>9</v>
      </c>
      <c r="Y7" s="3">
        <v>0</v>
      </c>
      <c r="Z7" s="3">
        <f t="shared" si="0"/>
        <v>1300</v>
      </c>
      <c r="AA7" s="1">
        <v>0</v>
      </c>
      <c r="AB7" s="1">
        <f t="shared" si="1"/>
        <v>1300</v>
      </c>
      <c r="AC7" s="5">
        <f>(Y7+AA7)/1000</f>
        <v>0</v>
      </c>
      <c r="AD7" s="4">
        <f>(AC7/X7)*1000</f>
        <v>0</v>
      </c>
      <c r="AE7" s="8" t="s">
        <v>35</v>
      </c>
    </row>
    <row r="8" spans="1:3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>
        <v>46031</v>
      </c>
      <c r="W8" s="1">
        <v>12</v>
      </c>
      <c r="X8" s="1">
        <v>10</v>
      </c>
      <c r="Y8" s="3">
        <v>0</v>
      </c>
      <c r="Z8" s="3">
        <f t="shared" si="0"/>
        <v>1300</v>
      </c>
      <c r="AA8" s="1">
        <v>0</v>
      </c>
      <c r="AB8" s="1">
        <f t="shared" si="1"/>
        <v>1300</v>
      </c>
      <c r="AC8" s="5">
        <f>(Y8+AA8)/1000</f>
        <v>0</v>
      </c>
      <c r="AD8" s="4">
        <f>(AC8/X8)*1000</f>
        <v>0</v>
      </c>
      <c r="AE8" s="8" t="s">
        <v>36</v>
      </c>
    </row>
    <row r="9" spans="1:3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>
        <v>46034</v>
      </c>
      <c r="W9" s="1">
        <v>10</v>
      </c>
      <c r="X9" s="1">
        <v>7</v>
      </c>
      <c r="Y9" s="3">
        <v>489</v>
      </c>
      <c r="Z9" s="3">
        <f t="shared" si="0"/>
        <v>1300</v>
      </c>
      <c r="AA9" s="1">
        <v>280</v>
      </c>
      <c r="AB9" s="1">
        <f t="shared" si="1"/>
        <v>1300</v>
      </c>
      <c r="AC9" s="5">
        <f t="shared" ref="AC9:AC23" si="2">(Y9+AA9)/1000</f>
        <v>0.76900000000000002</v>
      </c>
      <c r="AD9" s="4">
        <f t="shared" ref="AD9:AD23" si="3">(AC9/X9)*1000</f>
        <v>109.85714285714286</v>
      </c>
    </row>
    <row r="10" spans="1:3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">
        <v>46035</v>
      </c>
      <c r="W10" s="1">
        <v>10</v>
      </c>
      <c r="X10" s="1">
        <v>11</v>
      </c>
      <c r="Y10" s="3">
        <v>937</v>
      </c>
      <c r="Z10" s="3">
        <f t="shared" si="0"/>
        <v>1300</v>
      </c>
      <c r="AA10" s="1">
        <v>1387</v>
      </c>
      <c r="AB10" s="1">
        <f t="shared" si="1"/>
        <v>1300</v>
      </c>
      <c r="AC10" s="5">
        <f t="shared" si="2"/>
        <v>2.3239999999999998</v>
      </c>
      <c r="AD10" s="4">
        <f t="shared" si="3"/>
        <v>211.27272727272725</v>
      </c>
    </row>
    <row r="11" spans="1:3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2">
        <v>46036</v>
      </c>
      <c r="W11" s="1">
        <v>10</v>
      </c>
      <c r="X11" s="1">
        <v>11</v>
      </c>
      <c r="Y11" s="3">
        <v>1733</v>
      </c>
      <c r="Z11" s="3">
        <f t="shared" si="0"/>
        <v>1300</v>
      </c>
      <c r="AA11" s="1">
        <v>1376</v>
      </c>
      <c r="AB11" s="1">
        <f t="shared" si="1"/>
        <v>1300</v>
      </c>
      <c r="AC11" s="5">
        <f t="shared" si="2"/>
        <v>3.109</v>
      </c>
      <c r="AD11" s="4">
        <f t="shared" si="3"/>
        <v>282.63636363636363</v>
      </c>
    </row>
    <row r="12" spans="1:3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">
        <v>46037</v>
      </c>
      <c r="W12" s="1">
        <v>12</v>
      </c>
      <c r="X12" s="1">
        <v>11</v>
      </c>
      <c r="Y12" s="3">
        <v>1204</v>
      </c>
      <c r="Z12" s="3">
        <f t="shared" si="0"/>
        <v>1300</v>
      </c>
      <c r="AA12" s="1">
        <v>953</v>
      </c>
      <c r="AB12" s="1">
        <f t="shared" si="1"/>
        <v>1300</v>
      </c>
      <c r="AC12" s="5">
        <f t="shared" si="2"/>
        <v>2.157</v>
      </c>
      <c r="AD12" s="4">
        <f t="shared" si="3"/>
        <v>196.09090909090909</v>
      </c>
    </row>
    <row r="13" spans="1:3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">
        <v>46038</v>
      </c>
      <c r="W13" s="1">
        <v>12</v>
      </c>
      <c r="X13" s="1">
        <v>10</v>
      </c>
      <c r="Y13" s="3">
        <v>1096</v>
      </c>
      <c r="Z13" s="3">
        <f t="shared" si="0"/>
        <v>1300</v>
      </c>
      <c r="AA13" s="1">
        <v>1017</v>
      </c>
      <c r="AB13" s="1">
        <f t="shared" si="1"/>
        <v>1300</v>
      </c>
      <c r="AC13" s="5">
        <f t="shared" si="2"/>
        <v>2.113</v>
      </c>
      <c r="AD13" s="4">
        <f t="shared" si="3"/>
        <v>211.29999999999998</v>
      </c>
    </row>
    <row r="14" spans="1:3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2">
        <v>46041</v>
      </c>
      <c r="W14" s="1">
        <v>10</v>
      </c>
      <c r="X14" s="1">
        <v>7</v>
      </c>
      <c r="Y14" s="3">
        <v>1138</v>
      </c>
      <c r="Z14" s="3">
        <f t="shared" si="0"/>
        <v>1300</v>
      </c>
      <c r="AA14" s="1">
        <v>1064</v>
      </c>
      <c r="AB14" s="1">
        <f t="shared" si="1"/>
        <v>1300</v>
      </c>
      <c r="AC14" s="5">
        <f t="shared" si="2"/>
        <v>2.202</v>
      </c>
      <c r="AD14" s="4">
        <f t="shared" si="3"/>
        <v>314.57142857142856</v>
      </c>
    </row>
    <row r="15" spans="1:3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2">
        <v>46042</v>
      </c>
      <c r="W15" s="1">
        <v>10</v>
      </c>
      <c r="X15" s="1">
        <v>9</v>
      </c>
      <c r="Y15" s="3">
        <v>1091</v>
      </c>
      <c r="Z15" s="3">
        <f t="shared" si="0"/>
        <v>1300</v>
      </c>
      <c r="AA15" s="1">
        <v>761</v>
      </c>
      <c r="AB15" s="1">
        <f t="shared" si="1"/>
        <v>1300</v>
      </c>
      <c r="AC15" s="5">
        <f t="shared" si="2"/>
        <v>1.8520000000000001</v>
      </c>
      <c r="AD15" s="4">
        <f t="shared" si="3"/>
        <v>205.77777777777777</v>
      </c>
    </row>
    <row r="16" spans="1:3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2">
        <v>46043</v>
      </c>
      <c r="W16" s="1">
        <v>10</v>
      </c>
      <c r="X16" s="1">
        <v>12</v>
      </c>
      <c r="Y16" s="3">
        <v>1152</v>
      </c>
      <c r="Z16" s="3">
        <f t="shared" si="0"/>
        <v>1300</v>
      </c>
      <c r="AA16" s="1">
        <v>1019</v>
      </c>
      <c r="AB16" s="1">
        <f t="shared" si="1"/>
        <v>1300</v>
      </c>
      <c r="AC16" s="5">
        <f t="shared" si="2"/>
        <v>2.1709999999999998</v>
      </c>
      <c r="AD16" s="4">
        <f t="shared" si="3"/>
        <v>180.91666666666663</v>
      </c>
    </row>
    <row r="17" spans="1:3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2">
        <v>46044</v>
      </c>
      <c r="W17" s="1">
        <v>12</v>
      </c>
      <c r="X17" s="1">
        <v>9</v>
      </c>
      <c r="Y17" s="3">
        <v>1319</v>
      </c>
      <c r="Z17" s="3">
        <f t="shared" si="0"/>
        <v>1300</v>
      </c>
      <c r="AA17" s="1">
        <v>955</v>
      </c>
      <c r="AB17" s="1">
        <f t="shared" si="1"/>
        <v>1300</v>
      </c>
      <c r="AC17" s="5">
        <f t="shared" si="2"/>
        <v>2.274</v>
      </c>
      <c r="AD17" s="4">
        <f t="shared" si="3"/>
        <v>252.66666666666666</v>
      </c>
    </row>
    <row r="18" spans="1:30" x14ac:dyDescent="0.2">
      <c r="A18" s="9"/>
      <c r="B18" s="9"/>
      <c r="C18" s="9"/>
      <c r="E18" s="9"/>
      <c r="F18" s="9"/>
      <c r="G18" s="9"/>
      <c r="H18" s="9"/>
      <c r="I18" s="9"/>
      <c r="J18" s="9"/>
      <c r="K18" s="9"/>
      <c r="L18" s="9"/>
      <c r="N18" s="9"/>
      <c r="O18" s="9"/>
      <c r="P18" s="9"/>
      <c r="Q18" s="9"/>
      <c r="R18" s="9"/>
      <c r="S18" s="9"/>
      <c r="T18" s="9"/>
      <c r="U18" s="9"/>
      <c r="V18" s="2">
        <v>46045</v>
      </c>
      <c r="W18" s="1">
        <v>12</v>
      </c>
      <c r="X18" s="1">
        <v>7</v>
      </c>
      <c r="Y18" s="3">
        <v>817</v>
      </c>
      <c r="Z18" s="3">
        <f t="shared" si="0"/>
        <v>1300</v>
      </c>
      <c r="AA18" s="1">
        <v>1112</v>
      </c>
      <c r="AB18" s="1">
        <f t="shared" si="1"/>
        <v>1300</v>
      </c>
      <c r="AC18" s="5">
        <f t="shared" si="2"/>
        <v>1.929</v>
      </c>
      <c r="AD18" s="4">
        <f t="shared" si="3"/>
        <v>275.57142857142856</v>
      </c>
    </row>
    <row r="19" spans="1:3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">
        <v>46048</v>
      </c>
      <c r="W19" s="1">
        <v>10</v>
      </c>
      <c r="X19" s="1">
        <v>8</v>
      </c>
      <c r="Y19" s="3">
        <v>1062</v>
      </c>
      <c r="Z19" s="3">
        <f t="shared" si="0"/>
        <v>1300</v>
      </c>
      <c r="AA19" s="1">
        <v>1102</v>
      </c>
      <c r="AB19" s="1">
        <f t="shared" si="1"/>
        <v>1300</v>
      </c>
      <c r="AC19" s="5">
        <f t="shared" si="2"/>
        <v>2.1640000000000001</v>
      </c>
      <c r="AD19" s="4">
        <f t="shared" si="3"/>
        <v>270.5</v>
      </c>
    </row>
    <row r="20" spans="1:30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2">
        <v>46049</v>
      </c>
      <c r="W20" s="1">
        <v>10</v>
      </c>
      <c r="X20" s="1">
        <v>10</v>
      </c>
      <c r="Y20" s="3">
        <v>1164</v>
      </c>
      <c r="Z20" s="3">
        <f t="shared" si="0"/>
        <v>1300</v>
      </c>
      <c r="AA20" s="1">
        <v>757</v>
      </c>
      <c r="AB20" s="1">
        <f t="shared" si="1"/>
        <v>1300</v>
      </c>
      <c r="AC20" s="5">
        <f t="shared" si="2"/>
        <v>1.921</v>
      </c>
      <c r="AD20" s="4">
        <f t="shared" si="3"/>
        <v>192.1</v>
      </c>
    </row>
    <row r="21" spans="1:30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">
        <v>46050</v>
      </c>
      <c r="W21" s="1">
        <v>10</v>
      </c>
      <c r="X21" s="1">
        <v>9</v>
      </c>
      <c r="Y21" s="3">
        <v>1292</v>
      </c>
      <c r="Z21" s="3">
        <f t="shared" si="0"/>
        <v>1300</v>
      </c>
      <c r="AA21" s="1">
        <v>915</v>
      </c>
      <c r="AB21" s="1">
        <f t="shared" si="1"/>
        <v>1300</v>
      </c>
      <c r="AC21" s="5">
        <f t="shared" si="2"/>
        <v>2.2069999999999999</v>
      </c>
      <c r="AD21" s="4">
        <f t="shared" si="3"/>
        <v>245.2222222222222</v>
      </c>
    </row>
    <row r="22" spans="1:30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">
        <v>46051</v>
      </c>
      <c r="W22" s="1">
        <v>12</v>
      </c>
      <c r="X22" s="1">
        <v>10</v>
      </c>
      <c r="Y22" s="3">
        <v>1445</v>
      </c>
      <c r="Z22" s="3">
        <f t="shared" si="0"/>
        <v>1300</v>
      </c>
      <c r="AA22" s="1">
        <v>915</v>
      </c>
      <c r="AB22" s="1">
        <f t="shared" si="1"/>
        <v>1300</v>
      </c>
      <c r="AC22" s="5">
        <f t="shared" si="2"/>
        <v>2.36</v>
      </c>
      <c r="AD22" s="4">
        <f t="shared" si="3"/>
        <v>236</v>
      </c>
    </row>
    <row r="23" spans="1:30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">
        <v>46052</v>
      </c>
      <c r="W23" s="1">
        <v>12</v>
      </c>
      <c r="X23" s="1">
        <v>10</v>
      </c>
      <c r="Y23" s="3">
        <v>1089</v>
      </c>
      <c r="Z23" s="3">
        <f t="shared" si="0"/>
        <v>1300</v>
      </c>
      <c r="AA23" s="1">
        <v>785</v>
      </c>
      <c r="AB23" s="1">
        <f t="shared" si="1"/>
        <v>1300</v>
      </c>
      <c r="AC23" s="5">
        <f t="shared" si="2"/>
        <v>1.8740000000000001</v>
      </c>
      <c r="AD23" s="4">
        <f t="shared" si="3"/>
        <v>187.4</v>
      </c>
    </row>
    <row r="24" spans="1:30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AC24" s="5"/>
      <c r="AD24" s="4"/>
    </row>
    <row r="25" spans="1:30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 t="s">
        <v>37</v>
      </c>
      <c r="W25" s="2"/>
      <c r="Y25" s="3">
        <f>SUM(Y2:Y24)</f>
        <v>17028</v>
      </c>
      <c r="AA25" s="1">
        <f>SUM(AA2:AA24)</f>
        <v>14398</v>
      </c>
      <c r="AC25" s="5">
        <f>SUM(AC2:AC24)</f>
        <v>31.425999999999998</v>
      </c>
      <c r="AD25" s="4"/>
    </row>
    <row r="26" spans="1:30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" t="s">
        <v>38</v>
      </c>
      <c r="W26" s="10">
        <f>AVERAGE(W2:W23)</f>
        <v>10.842105263157896</v>
      </c>
      <c r="X26" s="10">
        <f>AVERAGE(X2:X23)</f>
        <v>8.9473684210526319</v>
      </c>
      <c r="Y26" s="10">
        <f>AVERAGE(Y2:Y23)</f>
        <v>946</v>
      </c>
      <c r="AA26" s="4">
        <f>AVERAGE(AA2:AA23)</f>
        <v>799.88888888888891</v>
      </c>
      <c r="AB26" s="4"/>
      <c r="AC26" s="5">
        <f t="shared" ref="AC26:AD26" si="4">AVERAGE(AC2:AC23)</f>
        <v>1.7458888888888888</v>
      </c>
      <c r="AD26" s="4">
        <f t="shared" si="4"/>
        <v>187.32685185185184</v>
      </c>
    </row>
    <row r="27" spans="1:30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" t="s">
        <v>39</v>
      </c>
      <c r="Y27" s="3">
        <v>1300</v>
      </c>
      <c r="AA27" s="1">
        <v>1300</v>
      </c>
      <c r="AC27" s="5"/>
      <c r="AD27" s="4"/>
    </row>
    <row r="28" spans="1:30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AC28" s="5"/>
      <c r="AD28" s="4"/>
    </row>
    <row r="29" spans="1:30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" t="s">
        <v>40</v>
      </c>
      <c r="Y29" s="3">
        <f>AC29/2</f>
        <v>23.4</v>
      </c>
      <c r="AA29" s="1">
        <f>AC29/2</f>
        <v>23.4</v>
      </c>
      <c r="AC29" s="4">
        <f>(18*2600)/1000</f>
        <v>46.8</v>
      </c>
      <c r="AD29" s="4"/>
    </row>
    <row r="30" spans="1:30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 t="s">
        <v>10</v>
      </c>
      <c r="AC30" s="5"/>
      <c r="AD30" s="4"/>
    </row>
    <row r="31" spans="1:30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AC31" s="5"/>
      <c r="AD31" s="4"/>
    </row>
    <row r="32" spans="1:3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"/>
      <c r="W32" s="2"/>
    </row>
    <row r="33" spans="1:23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"/>
      <c r="W33" s="2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FFE7-E9D3-480E-A07B-A567C29F1FB3}">
  <sheetPr>
    <pageSetUpPr fitToPage="1"/>
  </sheetPr>
  <dimension ref="A1:AE33"/>
  <sheetViews>
    <sheetView topLeftCell="A2" zoomScale="80" zoomScaleNormal="80" workbookViewId="0">
      <selection activeCell="M1" sqref="A1:M33"/>
    </sheetView>
    <sheetView workbookViewId="1"/>
  </sheetViews>
  <sheetFormatPr baseColWidth="10" defaultColWidth="11.5" defaultRowHeight="15" x14ac:dyDescent="0.2"/>
  <cols>
    <col min="2" max="2" width="11.5" customWidth="1"/>
    <col min="22" max="24" width="11.5" style="1"/>
    <col min="25" max="25" width="14.83203125" style="3" bestFit="1" customWidth="1"/>
    <col min="26" max="26" width="2.33203125" style="3" customWidth="1"/>
    <col min="27" max="27" width="15.33203125" style="1" customWidth="1"/>
    <col min="28" max="28" width="2.1640625" style="1" customWidth="1"/>
    <col min="29" max="29" width="11.5" style="1"/>
    <col min="30" max="30" width="11.5" style="1" bestFit="1" customWidth="1"/>
    <col min="31" max="31" width="26.1640625" style="8" customWidth="1"/>
  </cols>
  <sheetData>
    <row r="1" spans="1:31" ht="30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" t="s">
        <v>23</v>
      </c>
      <c r="W1" s="3" t="s">
        <v>41</v>
      </c>
      <c r="X1" s="1" t="s">
        <v>25</v>
      </c>
      <c r="Y1" s="3" t="s">
        <v>6</v>
      </c>
      <c r="Z1" s="3" t="s">
        <v>26</v>
      </c>
      <c r="AA1" s="3" t="s">
        <v>7</v>
      </c>
      <c r="AB1" s="3" t="s">
        <v>27</v>
      </c>
      <c r="AC1" s="6" t="s">
        <v>28</v>
      </c>
      <c r="AD1" s="3" t="s">
        <v>29</v>
      </c>
      <c r="AE1" s="7" t="s">
        <v>30</v>
      </c>
    </row>
    <row r="2" spans="1:3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">
        <v>46055</v>
      </c>
      <c r="W2" s="1">
        <v>9</v>
      </c>
      <c r="X2" s="1">
        <v>8</v>
      </c>
      <c r="Y2" s="3">
        <v>1064</v>
      </c>
      <c r="Z2" s="3">
        <f>$Y$27</f>
        <v>1300</v>
      </c>
      <c r="AA2" s="1">
        <v>728</v>
      </c>
      <c r="AB2" s="1">
        <f>$AA$27</f>
        <v>1300</v>
      </c>
      <c r="AC2" s="5">
        <f t="shared" ref="AC2:AC5" si="0">(Y2+AA2)/1000</f>
        <v>1.792</v>
      </c>
      <c r="AD2" s="4">
        <f t="shared" ref="AD2:AD6" si="1">(AC2/X2)*1000</f>
        <v>224</v>
      </c>
    </row>
    <row r="3" spans="1:3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>
        <v>46056</v>
      </c>
      <c r="W3" s="1">
        <v>10</v>
      </c>
      <c r="X3" s="1">
        <v>9</v>
      </c>
      <c r="Y3" s="3">
        <v>501</v>
      </c>
      <c r="Z3" s="3">
        <f t="shared" ref="Z3:Z21" si="2">$Y$27</f>
        <v>1300</v>
      </c>
      <c r="AA3" s="1">
        <v>520</v>
      </c>
      <c r="AB3" s="1">
        <f t="shared" ref="AB3:AB21" si="3">$AA$27</f>
        <v>1300</v>
      </c>
      <c r="AC3" s="5">
        <f t="shared" si="0"/>
        <v>1.0209999999999999</v>
      </c>
      <c r="AD3" s="4">
        <f t="shared" si="1"/>
        <v>113.44444444444443</v>
      </c>
      <c r="AE3" s="8" t="s">
        <v>42</v>
      </c>
    </row>
    <row r="4" spans="1:3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>
        <v>46057</v>
      </c>
      <c r="W4" s="1">
        <v>9</v>
      </c>
      <c r="X4" s="1">
        <v>9</v>
      </c>
      <c r="Z4" s="3">
        <f t="shared" si="2"/>
        <v>1300</v>
      </c>
      <c r="AB4" s="1">
        <f t="shared" si="3"/>
        <v>1300</v>
      </c>
      <c r="AC4" s="5">
        <f t="shared" si="0"/>
        <v>0</v>
      </c>
      <c r="AD4" s="4">
        <f t="shared" si="1"/>
        <v>0</v>
      </c>
      <c r="AE4" s="8" t="s">
        <v>43</v>
      </c>
    </row>
    <row r="5" spans="1:3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>
        <v>46058</v>
      </c>
      <c r="W5" s="1">
        <v>10</v>
      </c>
      <c r="X5" s="1">
        <v>9</v>
      </c>
      <c r="Z5" s="3">
        <f t="shared" si="2"/>
        <v>1300</v>
      </c>
      <c r="AB5" s="1">
        <f t="shared" si="3"/>
        <v>1300</v>
      </c>
      <c r="AC5" s="5">
        <f t="shared" si="0"/>
        <v>0</v>
      </c>
      <c r="AD5" s="4">
        <f t="shared" si="1"/>
        <v>0</v>
      </c>
      <c r="AE5" s="8" t="s">
        <v>43</v>
      </c>
    </row>
    <row r="6" spans="1:3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>
        <v>46059</v>
      </c>
      <c r="W6" s="1">
        <v>11</v>
      </c>
      <c r="X6" s="1">
        <v>10</v>
      </c>
      <c r="Z6" s="3">
        <f t="shared" si="2"/>
        <v>1300</v>
      </c>
      <c r="AB6" s="1">
        <f t="shared" si="3"/>
        <v>1300</v>
      </c>
      <c r="AC6" s="5">
        <f>(Y6+AA6)/1000</f>
        <v>0</v>
      </c>
      <c r="AD6" s="4">
        <f t="shared" si="1"/>
        <v>0</v>
      </c>
      <c r="AE6" s="8" t="s">
        <v>36</v>
      </c>
    </row>
    <row r="7" spans="1:3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>
        <v>46062</v>
      </c>
      <c r="W7" s="1">
        <v>9</v>
      </c>
      <c r="X7" s="1">
        <v>7</v>
      </c>
      <c r="Y7" s="3">
        <v>0</v>
      </c>
      <c r="Z7" s="3">
        <f t="shared" si="2"/>
        <v>1300</v>
      </c>
      <c r="AA7" s="1">
        <v>0</v>
      </c>
      <c r="AB7" s="1">
        <f t="shared" si="3"/>
        <v>1300</v>
      </c>
      <c r="AC7" s="5">
        <f>(Y7+AA7)/1000</f>
        <v>0</v>
      </c>
      <c r="AD7" s="4">
        <f>(AC7/X7)*1000</f>
        <v>0</v>
      </c>
      <c r="AE7" s="8" t="s">
        <v>44</v>
      </c>
    </row>
    <row r="8" spans="1:3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>
        <v>46063</v>
      </c>
      <c r="W8" s="1">
        <v>10</v>
      </c>
      <c r="X8" s="1">
        <v>8</v>
      </c>
      <c r="Y8" s="3">
        <v>1412</v>
      </c>
      <c r="Z8" s="3">
        <f t="shared" si="2"/>
        <v>1300</v>
      </c>
      <c r="AA8" s="1">
        <v>691</v>
      </c>
      <c r="AB8" s="1">
        <f t="shared" si="3"/>
        <v>1300</v>
      </c>
      <c r="AC8" s="5">
        <f>(Y8+AA8)/1000</f>
        <v>2.1030000000000002</v>
      </c>
      <c r="AD8" s="4">
        <f>(AC8/X8)*1000</f>
        <v>262.875</v>
      </c>
    </row>
    <row r="9" spans="1:3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>
        <v>46064</v>
      </c>
      <c r="W9" s="1">
        <v>9</v>
      </c>
      <c r="X9" s="1">
        <v>7</v>
      </c>
      <c r="Y9" s="3">
        <v>733</v>
      </c>
      <c r="Z9" s="3">
        <f t="shared" si="2"/>
        <v>1300</v>
      </c>
      <c r="AA9" s="1">
        <v>958</v>
      </c>
      <c r="AB9" s="1">
        <f t="shared" si="3"/>
        <v>1300</v>
      </c>
      <c r="AC9" s="5">
        <f t="shared" ref="AC9:AC21" si="4">(Y9+AA9)/1000</f>
        <v>1.6910000000000001</v>
      </c>
      <c r="AD9" s="4">
        <f t="shared" ref="AD9:AD21" si="5">(AC9/X9)*1000</f>
        <v>241.57142857142858</v>
      </c>
    </row>
    <row r="10" spans="1:3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">
        <v>46065</v>
      </c>
      <c r="W10" s="1">
        <v>10</v>
      </c>
      <c r="X10" s="1">
        <v>7</v>
      </c>
      <c r="Y10" s="3">
        <v>459</v>
      </c>
      <c r="Z10" s="3">
        <f t="shared" si="2"/>
        <v>1300</v>
      </c>
      <c r="AA10" s="1">
        <v>977</v>
      </c>
      <c r="AB10" s="1">
        <f t="shared" si="3"/>
        <v>1300</v>
      </c>
      <c r="AC10" s="5">
        <f t="shared" si="4"/>
        <v>1.4359999999999999</v>
      </c>
      <c r="AD10" s="4">
        <f t="shared" si="5"/>
        <v>205.14285714285714</v>
      </c>
    </row>
    <row r="11" spans="1:3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2"/>
      <c r="P11" s="9"/>
      <c r="Q11" s="9"/>
      <c r="R11" s="9"/>
      <c r="S11" s="9"/>
      <c r="T11" s="9"/>
      <c r="U11" s="9"/>
      <c r="V11" s="2">
        <v>46066</v>
      </c>
      <c r="W11" s="1">
        <v>11</v>
      </c>
      <c r="X11" s="1">
        <v>7</v>
      </c>
      <c r="Y11" s="3">
        <v>1151</v>
      </c>
      <c r="Z11" s="3">
        <f t="shared" si="2"/>
        <v>1300</v>
      </c>
      <c r="AA11" s="1">
        <v>952</v>
      </c>
      <c r="AB11" s="1">
        <f t="shared" si="3"/>
        <v>1300</v>
      </c>
      <c r="AC11" s="5">
        <f t="shared" si="4"/>
        <v>2.1030000000000002</v>
      </c>
      <c r="AD11" s="4">
        <f t="shared" si="5"/>
        <v>300.42857142857144</v>
      </c>
    </row>
    <row r="12" spans="1:3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">
        <v>46069</v>
      </c>
      <c r="W12" s="1">
        <v>9</v>
      </c>
      <c r="X12" s="1">
        <v>6</v>
      </c>
      <c r="Y12" s="3">
        <v>855</v>
      </c>
      <c r="Z12" s="3">
        <f t="shared" si="2"/>
        <v>1300</v>
      </c>
      <c r="AA12" s="1">
        <v>994</v>
      </c>
      <c r="AB12" s="1">
        <f t="shared" si="3"/>
        <v>1300</v>
      </c>
      <c r="AC12" s="5">
        <f t="shared" si="4"/>
        <v>1.849</v>
      </c>
      <c r="AD12" s="4">
        <f t="shared" si="5"/>
        <v>308.16666666666663</v>
      </c>
    </row>
    <row r="13" spans="1:3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">
        <v>46070</v>
      </c>
      <c r="W13" s="1">
        <v>10</v>
      </c>
      <c r="X13" s="1">
        <v>6</v>
      </c>
      <c r="Y13" s="3">
        <v>1030</v>
      </c>
      <c r="Z13" s="3">
        <f t="shared" si="2"/>
        <v>1300</v>
      </c>
      <c r="AA13" s="1">
        <v>935</v>
      </c>
      <c r="AB13" s="1">
        <f t="shared" si="3"/>
        <v>1300</v>
      </c>
      <c r="AC13" s="5">
        <f t="shared" si="4"/>
        <v>1.9650000000000001</v>
      </c>
      <c r="AD13" s="4">
        <f t="shared" si="5"/>
        <v>327.5</v>
      </c>
    </row>
    <row r="14" spans="1:3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2">
        <v>46071</v>
      </c>
      <c r="W14" s="1">
        <v>9</v>
      </c>
      <c r="X14" s="1">
        <v>7</v>
      </c>
      <c r="Y14" s="3">
        <v>1093</v>
      </c>
      <c r="Z14" s="3">
        <f t="shared" si="2"/>
        <v>1300</v>
      </c>
      <c r="AA14" s="1">
        <v>920</v>
      </c>
      <c r="AB14" s="1">
        <f t="shared" si="3"/>
        <v>1300</v>
      </c>
      <c r="AC14" s="5">
        <f t="shared" si="4"/>
        <v>2.0129999999999999</v>
      </c>
      <c r="AD14" s="4">
        <f t="shared" si="5"/>
        <v>287.57142857142856</v>
      </c>
    </row>
    <row r="15" spans="1:3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2">
        <v>46072</v>
      </c>
      <c r="W15" s="1">
        <v>10</v>
      </c>
      <c r="X15" s="1">
        <v>7</v>
      </c>
      <c r="Y15" s="3">
        <v>1343</v>
      </c>
      <c r="Z15" s="3">
        <f t="shared" si="2"/>
        <v>1300</v>
      </c>
      <c r="AA15" s="1">
        <v>880</v>
      </c>
      <c r="AB15" s="1">
        <f t="shared" si="3"/>
        <v>1300</v>
      </c>
      <c r="AC15" s="5">
        <f t="shared" si="4"/>
        <v>2.2229999999999999</v>
      </c>
      <c r="AD15" s="4">
        <f t="shared" si="5"/>
        <v>317.57142857142856</v>
      </c>
    </row>
    <row r="16" spans="1:3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2">
        <v>46073</v>
      </c>
      <c r="W16" s="1">
        <v>11</v>
      </c>
      <c r="X16" s="1">
        <v>7</v>
      </c>
      <c r="Y16" s="3">
        <v>1092</v>
      </c>
      <c r="Z16" s="3">
        <f t="shared" si="2"/>
        <v>1300</v>
      </c>
      <c r="AA16" s="1">
        <v>968</v>
      </c>
      <c r="AB16" s="1">
        <f t="shared" si="3"/>
        <v>1300</v>
      </c>
      <c r="AC16" s="5">
        <f t="shared" si="4"/>
        <v>2.06</v>
      </c>
      <c r="AD16" s="4">
        <f t="shared" si="5"/>
        <v>294.28571428571433</v>
      </c>
    </row>
    <row r="17" spans="1:30" x14ac:dyDescent="0.2"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2">
        <v>46076</v>
      </c>
      <c r="W17" s="1">
        <v>9</v>
      </c>
      <c r="X17" s="1">
        <v>8</v>
      </c>
      <c r="Y17" s="3">
        <v>1148</v>
      </c>
      <c r="Z17" s="3">
        <f t="shared" si="2"/>
        <v>1300</v>
      </c>
      <c r="AA17" s="1">
        <v>746</v>
      </c>
      <c r="AB17" s="1">
        <f t="shared" si="3"/>
        <v>1300</v>
      </c>
      <c r="AC17" s="5">
        <f t="shared" si="4"/>
        <v>1.8939999999999999</v>
      </c>
      <c r="AD17" s="4">
        <f t="shared" si="5"/>
        <v>236.75</v>
      </c>
    </row>
    <row r="18" spans="1:30" x14ac:dyDescent="0.2"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2">
        <v>46077</v>
      </c>
      <c r="W18" s="1">
        <v>10</v>
      </c>
      <c r="X18" s="1">
        <v>8</v>
      </c>
      <c r="Y18" s="3">
        <v>996</v>
      </c>
      <c r="Z18" s="3">
        <f t="shared" si="2"/>
        <v>1300</v>
      </c>
      <c r="AA18" s="1">
        <v>450</v>
      </c>
      <c r="AB18" s="1">
        <f t="shared" si="3"/>
        <v>1300</v>
      </c>
      <c r="AC18" s="5">
        <f t="shared" si="4"/>
        <v>1.446</v>
      </c>
      <c r="AD18" s="4">
        <f t="shared" si="5"/>
        <v>180.75</v>
      </c>
    </row>
    <row r="19" spans="1:30" x14ac:dyDescent="0.2"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">
        <v>46078</v>
      </c>
      <c r="W19" s="1">
        <v>9</v>
      </c>
      <c r="X19" s="1">
        <v>8</v>
      </c>
      <c r="Y19" s="3">
        <v>828</v>
      </c>
      <c r="Z19" s="3">
        <f t="shared" si="2"/>
        <v>1300</v>
      </c>
      <c r="AA19" s="1">
        <v>655</v>
      </c>
      <c r="AB19" s="1">
        <f t="shared" si="3"/>
        <v>1300</v>
      </c>
      <c r="AC19" s="5">
        <f t="shared" si="4"/>
        <v>1.4830000000000001</v>
      </c>
      <c r="AD19" s="4">
        <f t="shared" si="5"/>
        <v>185.375</v>
      </c>
    </row>
    <row r="20" spans="1:30" x14ac:dyDescent="0.2"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T20" s="9"/>
      <c r="U20" s="9"/>
      <c r="V20" s="2">
        <v>46079</v>
      </c>
      <c r="W20" s="1">
        <v>10</v>
      </c>
      <c r="X20" s="1">
        <v>10</v>
      </c>
      <c r="Y20" s="3">
        <v>1005</v>
      </c>
      <c r="Z20" s="3">
        <f t="shared" si="2"/>
        <v>1300</v>
      </c>
      <c r="AA20" s="1">
        <v>903</v>
      </c>
      <c r="AB20" s="1">
        <f t="shared" si="3"/>
        <v>1300</v>
      </c>
      <c r="AC20" s="5">
        <f t="shared" si="4"/>
        <v>1.9079999999999999</v>
      </c>
      <c r="AD20" s="4">
        <f t="shared" si="5"/>
        <v>190.8</v>
      </c>
    </row>
    <row r="21" spans="1:30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T21" s="9"/>
      <c r="U21" s="9"/>
      <c r="V21" s="2">
        <v>46080</v>
      </c>
      <c r="W21" s="1">
        <v>11</v>
      </c>
      <c r="X21" s="1">
        <v>10</v>
      </c>
      <c r="Y21" s="3">
        <v>1206</v>
      </c>
      <c r="Z21" s="3">
        <f t="shared" si="2"/>
        <v>1300</v>
      </c>
      <c r="AA21" s="1">
        <v>959</v>
      </c>
      <c r="AB21" s="1">
        <f t="shared" si="3"/>
        <v>1300</v>
      </c>
      <c r="AC21" s="5">
        <f t="shared" si="4"/>
        <v>2.165</v>
      </c>
      <c r="AD21" s="4">
        <f t="shared" si="5"/>
        <v>216.5</v>
      </c>
    </row>
    <row r="22" spans="1:30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T22" s="9"/>
      <c r="U22" s="9"/>
      <c r="V22" s="11" t="s">
        <v>45</v>
      </c>
      <c r="AC22" s="5"/>
      <c r="AD22" s="4"/>
    </row>
    <row r="23" spans="1:30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T23" s="9"/>
      <c r="U23" s="9"/>
      <c r="V23" s="11" t="s">
        <v>45</v>
      </c>
      <c r="AC23" s="5"/>
      <c r="AD23" s="4"/>
    </row>
    <row r="24" spans="1:30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AC24" s="5"/>
      <c r="AD24" s="4"/>
    </row>
    <row r="25" spans="1:30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 t="s">
        <v>37</v>
      </c>
      <c r="W25" s="2"/>
      <c r="Y25" s="3">
        <f>SUM(Y2:Y23)</f>
        <v>15916</v>
      </c>
      <c r="AA25" s="1">
        <f>SUM(AA2:AA23)</f>
        <v>13236</v>
      </c>
      <c r="AC25" s="5">
        <f>SUM(AC2:AC21)</f>
        <v>29.151999999999997</v>
      </c>
      <c r="AD25" s="4"/>
    </row>
    <row r="26" spans="1:30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" t="s">
        <v>38</v>
      </c>
      <c r="W26" s="2"/>
      <c r="Y26" s="10">
        <f>AVERAGE(Y2:Y23)</f>
        <v>936.23529411764707</v>
      </c>
      <c r="AA26" s="4">
        <f>AVERAGE(AA2:AA23)</f>
        <v>778.58823529411768</v>
      </c>
      <c r="AB26" s="4"/>
      <c r="AC26" s="5">
        <f t="shared" ref="AC26:AD26" si="6">AVERAGE(AC2:AC23)</f>
        <v>1.4575999999999998</v>
      </c>
      <c r="AD26" s="1">
        <f t="shared" si="6"/>
        <v>194.63662698412696</v>
      </c>
    </row>
    <row r="27" spans="1:30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" t="s">
        <v>46</v>
      </c>
      <c r="Y27" s="3">
        <v>1300</v>
      </c>
      <c r="AA27" s="1">
        <v>1300</v>
      </c>
      <c r="AC27" s="5"/>
      <c r="AD27" s="4"/>
    </row>
    <row r="28" spans="1:30" ht="16" thickBo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AC28" s="5"/>
      <c r="AD28" s="4"/>
    </row>
    <row r="29" spans="1:30" ht="16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" t="s">
        <v>40</v>
      </c>
      <c r="Y29" s="3">
        <f>(AC29/2)</f>
        <v>20.8</v>
      </c>
      <c r="AA29" s="1">
        <f>AC29/2</f>
        <v>20.8</v>
      </c>
      <c r="AC29" s="15">
        <f>(16*2600)/1000</f>
        <v>41.6</v>
      </c>
      <c r="AD29" s="4"/>
    </row>
    <row r="30" spans="1:30" x14ac:dyDescent="0.2">
      <c r="A30" s="9"/>
      <c r="B30" s="9"/>
      <c r="C30" s="9"/>
      <c r="D30" s="9"/>
      <c r="E30" s="9"/>
      <c r="F30" s="9"/>
      <c r="G30" s="9"/>
      <c r="H30" s="34" t="s">
        <v>48</v>
      </c>
      <c r="I30" s="34"/>
      <c r="J30" s="17">
        <v>2.6</v>
      </c>
      <c r="K30" s="17" t="s">
        <v>50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1" t="s">
        <v>10</v>
      </c>
      <c r="Y30" s="10">
        <f>Y29-(Y25/1000)</f>
        <v>4.8840000000000003</v>
      </c>
      <c r="Z30" s="10"/>
      <c r="AA30" s="10">
        <f>AA29-(AA25/1000)</f>
        <v>7.5640000000000001</v>
      </c>
      <c r="AB30" s="10"/>
      <c r="AC30" s="10">
        <f>AC29-AC25</f>
        <v>12.448000000000004</v>
      </c>
      <c r="AD30" s="4"/>
    </row>
    <row r="31" spans="1:30" x14ac:dyDescent="0.2">
      <c r="A31" s="9"/>
      <c r="B31" s="9"/>
      <c r="C31" s="9"/>
      <c r="D31" s="9"/>
      <c r="E31" s="9"/>
      <c r="F31" s="9"/>
      <c r="G31" s="9"/>
      <c r="H31" s="34" t="s">
        <v>49</v>
      </c>
      <c r="I31" s="34"/>
      <c r="J31" s="18">
        <f>AC29</f>
        <v>41.6</v>
      </c>
      <c r="K31" s="17" t="s">
        <v>50</v>
      </c>
      <c r="L31" s="9"/>
      <c r="M31" s="9"/>
      <c r="N31" s="9"/>
      <c r="O31" s="9"/>
      <c r="P31" s="9"/>
      <c r="Q31" s="9"/>
      <c r="R31" s="9"/>
      <c r="S31" s="9"/>
      <c r="T31" s="9"/>
      <c r="U31" s="9"/>
      <c r="AC31" s="5"/>
      <c r="AD31" s="4"/>
    </row>
    <row r="32" spans="1:30" x14ac:dyDescent="0.2">
      <c r="A32" s="9"/>
      <c r="B32" s="9"/>
      <c r="C32" s="9"/>
      <c r="D32" s="9"/>
      <c r="E32" s="9"/>
      <c r="F32" s="9"/>
      <c r="G32" s="9"/>
      <c r="H32" s="21"/>
      <c r="I32" s="21"/>
      <c r="J32" s="17"/>
      <c r="K32" s="17"/>
      <c r="L32" s="9"/>
      <c r="M32" s="9"/>
      <c r="N32" s="9"/>
      <c r="O32" s="9"/>
      <c r="P32" s="9"/>
      <c r="Q32" s="9"/>
      <c r="R32" s="9"/>
      <c r="S32" s="9"/>
      <c r="T32" s="9"/>
      <c r="U32" s="9"/>
      <c r="V32" s="2"/>
      <c r="W32" s="2"/>
    </row>
    <row r="33" spans="1:23" x14ac:dyDescent="0.2">
      <c r="A33" s="9"/>
      <c r="B33" s="9"/>
      <c r="C33" s="9"/>
      <c r="D33" s="9"/>
      <c r="E33" s="9"/>
      <c r="F33" s="9"/>
      <c r="G33" s="9"/>
      <c r="H33" s="21"/>
      <c r="I33" s="20" t="s">
        <v>51</v>
      </c>
      <c r="J33" s="19">
        <f>AC25</f>
        <v>29.151999999999997</v>
      </c>
      <c r="K33" s="17" t="s">
        <v>50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2"/>
      <c r="W33" s="2"/>
    </row>
  </sheetData>
  <mergeCells count="2">
    <mergeCell ref="H30:I30"/>
    <mergeCell ref="H31:I31"/>
  </mergeCells>
  <pageMargins left="0.7" right="0.7" top="0.75" bottom="0.75" header="0.3" footer="0.3"/>
  <pageSetup paperSize="9" scale="88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5BE4-CC8D-4E5D-8ACD-C3F238DA2B35}">
  <dimension ref="A1:AH33"/>
  <sheetViews>
    <sheetView zoomScale="70" zoomScaleNormal="70" workbookViewId="0">
      <selection activeCell="I24" sqref="I24"/>
    </sheetView>
    <sheetView tabSelected="1" zoomScale="80" zoomScaleNormal="80" workbookViewId="1">
      <selection activeCell="K21" sqref="K21"/>
    </sheetView>
  </sheetViews>
  <sheetFormatPr baseColWidth="10" defaultColWidth="11.5" defaultRowHeight="15" x14ac:dyDescent="0.2"/>
  <cols>
    <col min="22" max="24" width="11.5" style="1"/>
    <col min="25" max="25" width="14.83203125" style="3" bestFit="1" customWidth="1"/>
    <col min="26" max="26" width="2.5" style="3" customWidth="1"/>
    <col min="27" max="27" width="15.33203125" style="1" customWidth="1"/>
    <col min="28" max="28" width="1.6640625" style="1" customWidth="1"/>
    <col min="29" max="29" width="14.83203125" style="3" bestFit="1" customWidth="1"/>
    <col min="30" max="30" width="2.1640625" style="1" customWidth="1"/>
    <col min="31" max="31" width="9.1640625" style="1" bestFit="1" customWidth="1"/>
    <col min="32" max="32" width="9.1640625" style="1" customWidth="1"/>
    <col min="33" max="33" width="11.5" style="1" bestFit="1" customWidth="1"/>
    <col min="34" max="34" width="26.1640625" style="8" customWidth="1"/>
  </cols>
  <sheetData>
    <row r="1" spans="1:34" ht="30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" t="s">
        <v>23</v>
      </c>
      <c r="W1" s="3" t="s">
        <v>41</v>
      </c>
      <c r="X1" s="1" t="s">
        <v>25</v>
      </c>
      <c r="Y1" s="3" t="s">
        <v>6</v>
      </c>
      <c r="Z1" s="3" t="s">
        <v>26</v>
      </c>
      <c r="AA1" s="3" t="s">
        <v>54</v>
      </c>
      <c r="AB1" s="3" t="s">
        <v>56</v>
      </c>
      <c r="AC1" s="3" t="s">
        <v>55</v>
      </c>
      <c r="AD1" s="3" t="s">
        <v>56</v>
      </c>
      <c r="AE1" s="3" t="s">
        <v>28</v>
      </c>
      <c r="AF1" s="3" t="s">
        <v>62</v>
      </c>
      <c r="AG1" s="3" t="s">
        <v>29</v>
      </c>
      <c r="AH1" s="7" t="s">
        <v>30</v>
      </c>
    </row>
    <row r="2" spans="1:34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">
        <v>46083</v>
      </c>
      <c r="W2" s="1">
        <v>9</v>
      </c>
      <c r="X2" s="1">
        <v>7</v>
      </c>
      <c r="Y2" s="3">
        <v>202</v>
      </c>
      <c r="Z2" s="3">
        <f t="shared" ref="Z2:Z21" si="0">$Y$27</f>
        <v>1300</v>
      </c>
      <c r="AA2" s="1">
        <v>584</v>
      </c>
      <c r="AB2" s="31">
        <f>$AA$27</f>
        <v>1300</v>
      </c>
      <c r="AC2" s="3">
        <v>0</v>
      </c>
      <c r="AD2" s="31">
        <f>$AC$27</f>
        <v>866.66666666666663</v>
      </c>
      <c r="AE2" s="5">
        <f>(Y2+AA2+AC2)/1000</f>
        <v>0.78600000000000003</v>
      </c>
      <c r="AF2" s="33">
        <f>$W$32</f>
        <v>2600</v>
      </c>
      <c r="AG2" s="4">
        <f t="shared" ref="AG2:AG23" si="1">(AE2/X2)*1000</f>
        <v>112.28571428571429</v>
      </c>
    </row>
    <row r="3" spans="1:34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>
        <v>46084</v>
      </c>
      <c r="W3" s="1">
        <v>10</v>
      </c>
      <c r="X3" s="1">
        <v>6</v>
      </c>
      <c r="Y3" s="3">
        <v>606</v>
      </c>
      <c r="Z3" s="3">
        <f t="shared" si="0"/>
        <v>1300</v>
      </c>
      <c r="AA3" s="1">
        <v>220</v>
      </c>
      <c r="AB3" s="1">
        <f t="shared" ref="AB3:AB21" si="2">$AA$27</f>
        <v>1300</v>
      </c>
      <c r="AC3" s="3">
        <v>0</v>
      </c>
      <c r="AD3" s="31">
        <f t="shared" ref="AD3:AD23" si="3">$AC$27</f>
        <v>866.66666666666663</v>
      </c>
      <c r="AE3" s="5">
        <f t="shared" ref="AE3:AE23" si="4">(Y3+AA3+AC3)/1000</f>
        <v>0.82599999999999996</v>
      </c>
      <c r="AF3" s="33">
        <f t="shared" ref="AF3:AF23" si="5">$W$32</f>
        <v>2600</v>
      </c>
      <c r="AG3" s="4">
        <f t="shared" si="1"/>
        <v>137.66666666666666</v>
      </c>
    </row>
    <row r="4" spans="1:3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>
        <v>46085</v>
      </c>
      <c r="W4" s="1">
        <v>9</v>
      </c>
      <c r="X4" s="1">
        <v>6</v>
      </c>
      <c r="Y4" s="3">
        <v>0</v>
      </c>
      <c r="Z4" s="3">
        <f t="shared" si="0"/>
        <v>1300</v>
      </c>
      <c r="AA4" s="1">
        <v>0</v>
      </c>
      <c r="AB4" s="1">
        <f t="shared" si="2"/>
        <v>1300</v>
      </c>
      <c r="AC4" s="3">
        <v>0</v>
      </c>
      <c r="AD4" s="31">
        <f t="shared" si="3"/>
        <v>866.66666666666663</v>
      </c>
      <c r="AE4" s="5">
        <f t="shared" si="4"/>
        <v>0</v>
      </c>
      <c r="AF4" s="33">
        <f t="shared" si="5"/>
        <v>2600</v>
      </c>
      <c r="AG4" s="4">
        <f t="shared" si="1"/>
        <v>0</v>
      </c>
      <c r="AH4" s="8" t="s">
        <v>43</v>
      </c>
    </row>
    <row r="5" spans="1:34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>
        <v>46086</v>
      </c>
      <c r="W5" s="1">
        <v>10</v>
      </c>
      <c r="X5" s="1">
        <v>7</v>
      </c>
      <c r="Y5" s="3">
        <v>0</v>
      </c>
      <c r="Z5" s="3">
        <f t="shared" si="0"/>
        <v>1300</v>
      </c>
      <c r="AA5" s="1">
        <v>0</v>
      </c>
      <c r="AB5" s="1">
        <f t="shared" si="2"/>
        <v>1300</v>
      </c>
      <c r="AC5" s="3">
        <v>0</v>
      </c>
      <c r="AD5" s="31">
        <f t="shared" si="3"/>
        <v>866.66666666666663</v>
      </c>
      <c r="AE5" s="5">
        <f t="shared" si="4"/>
        <v>0</v>
      </c>
      <c r="AF5" s="33">
        <f t="shared" si="5"/>
        <v>2600</v>
      </c>
      <c r="AG5" s="4">
        <f t="shared" si="1"/>
        <v>0</v>
      </c>
      <c r="AH5" s="8" t="s">
        <v>43</v>
      </c>
    </row>
    <row r="6" spans="1:34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>
        <v>46087</v>
      </c>
      <c r="W6" s="1">
        <v>11</v>
      </c>
      <c r="X6" s="1">
        <v>8</v>
      </c>
      <c r="Y6" s="3">
        <v>0</v>
      </c>
      <c r="Z6" s="3">
        <f t="shared" si="0"/>
        <v>1300</v>
      </c>
      <c r="AA6" s="1">
        <v>0</v>
      </c>
      <c r="AB6" s="1">
        <f t="shared" si="2"/>
        <v>1300</v>
      </c>
      <c r="AC6" s="3">
        <v>0</v>
      </c>
      <c r="AD6" s="31">
        <f t="shared" si="3"/>
        <v>866.66666666666663</v>
      </c>
      <c r="AE6" s="5">
        <f t="shared" si="4"/>
        <v>0</v>
      </c>
      <c r="AF6" s="33">
        <f t="shared" si="5"/>
        <v>2600</v>
      </c>
      <c r="AG6" s="4">
        <f t="shared" si="1"/>
        <v>0</v>
      </c>
      <c r="AH6" s="8" t="s">
        <v>36</v>
      </c>
    </row>
    <row r="7" spans="1:34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>
        <v>46090</v>
      </c>
      <c r="W7" s="1">
        <v>9</v>
      </c>
      <c r="X7" s="1">
        <v>5</v>
      </c>
      <c r="Y7" s="3">
        <v>258</v>
      </c>
      <c r="Z7" s="3">
        <f t="shared" si="0"/>
        <v>1300</v>
      </c>
      <c r="AA7" s="1">
        <v>0</v>
      </c>
      <c r="AB7" s="1">
        <f t="shared" si="2"/>
        <v>1300</v>
      </c>
      <c r="AC7" s="3">
        <v>0</v>
      </c>
      <c r="AD7" s="31">
        <f t="shared" si="3"/>
        <v>866.66666666666663</v>
      </c>
      <c r="AE7" s="5">
        <f t="shared" si="4"/>
        <v>0.25800000000000001</v>
      </c>
      <c r="AF7" s="33">
        <f t="shared" si="5"/>
        <v>2600</v>
      </c>
      <c r="AG7" s="4">
        <f t="shared" si="1"/>
        <v>51.6</v>
      </c>
      <c r="AH7" s="8" t="s">
        <v>47</v>
      </c>
    </row>
    <row r="8" spans="1:34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>
        <v>46091</v>
      </c>
      <c r="W8" s="1">
        <v>10</v>
      </c>
      <c r="X8" s="1">
        <v>6</v>
      </c>
      <c r="Y8" s="3">
        <v>1089</v>
      </c>
      <c r="Z8" s="3">
        <f t="shared" si="0"/>
        <v>1300</v>
      </c>
      <c r="AA8" s="1">
        <v>641</v>
      </c>
      <c r="AB8" s="1">
        <f t="shared" si="2"/>
        <v>1300</v>
      </c>
      <c r="AC8" s="3">
        <v>0</v>
      </c>
      <c r="AD8" s="31">
        <f t="shared" si="3"/>
        <v>866.66666666666663</v>
      </c>
      <c r="AE8" s="5">
        <f t="shared" si="4"/>
        <v>1.73</v>
      </c>
      <c r="AF8" s="33">
        <f t="shared" si="5"/>
        <v>2600</v>
      </c>
      <c r="AG8" s="4">
        <f t="shared" si="1"/>
        <v>288.33333333333331</v>
      </c>
    </row>
    <row r="9" spans="1:34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>
        <v>46092</v>
      </c>
      <c r="W9" s="1">
        <v>9</v>
      </c>
      <c r="X9" s="1">
        <v>5</v>
      </c>
      <c r="Y9" s="3">
        <v>724</v>
      </c>
      <c r="Z9" s="3">
        <f t="shared" si="0"/>
        <v>1300</v>
      </c>
      <c r="AA9" s="1">
        <v>868</v>
      </c>
      <c r="AB9" s="1">
        <f t="shared" si="2"/>
        <v>1300</v>
      </c>
      <c r="AC9" s="3">
        <v>0</v>
      </c>
      <c r="AD9" s="31">
        <f t="shared" si="3"/>
        <v>866.66666666666663</v>
      </c>
      <c r="AE9" s="5">
        <f t="shared" si="4"/>
        <v>1.5920000000000001</v>
      </c>
      <c r="AF9" s="33">
        <f t="shared" si="5"/>
        <v>2600</v>
      </c>
      <c r="AG9" s="4">
        <f t="shared" si="1"/>
        <v>318.40000000000003</v>
      </c>
    </row>
    <row r="10" spans="1:3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">
        <v>46093</v>
      </c>
      <c r="W10" s="1">
        <v>10</v>
      </c>
      <c r="X10" s="1">
        <v>6</v>
      </c>
      <c r="Y10" s="3">
        <v>1313</v>
      </c>
      <c r="Z10" s="3">
        <f t="shared" si="0"/>
        <v>1300</v>
      </c>
      <c r="AA10" s="1">
        <v>760</v>
      </c>
      <c r="AB10" s="1">
        <f t="shared" si="2"/>
        <v>1300</v>
      </c>
      <c r="AC10" s="3">
        <v>0</v>
      </c>
      <c r="AD10" s="31">
        <f t="shared" si="3"/>
        <v>866.66666666666663</v>
      </c>
      <c r="AE10" s="5">
        <f t="shared" si="4"/>
        <v>2.073</v>
      </c>
      <c r="AF10" s="33">
        <f t="shared" si="5"/>
        <v>2600</v>
      </c>
      <c r="AG10" s="4">
        <f t="shared" si="1"/>
        <v>345.5</v>
      </c>
    </row>
    <row r="11" spans="1:3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2">
        <v>46094</v>
      </c>
      <c r="W11" s="1">
        <v>11</v>
      </c>
      <c r="X11" s="1">
        <v>6</v>
      </c>
      <c r="Y11" s="3">
        <v>1100</v>
      </c>
      <c r="Z11" s="3">
        <f t="shared" si="0"/>
        <v>1300</v>
      </c>
      <c r="AA11" s="1">
        <v>818</v>
      </c>
      <c r="AB11" s="1">
        <f t="shared" si="2"/>
        <v>1300</v>
      </c>
      <c r="AC11" s="3">
        <v>0</v>
      </c>
      <c r="AD11" s="31">
        <f t="shared" si="3"/>
        <v>866.66666666666663</v>
      </c>
      <c r="AE11" s="5">
        <f t="shared" si="4"/>
        <v>1.9179999999999999</v>
      </c>
      <c r="AF11" s="33">
        <f t="shared" si="5"/>
        <v>2600</v>
      </c>
      <c r="AG11" s="4">
        <f t="shared" si="1"/>
        <v>319.66666666666663</v>
      </c>
    </row>
    <row r="12" spans="1:3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">
        <v>46097</v>
      </c>
      <c r="W12" s="1">
        <v>9</v>
      </c>
      <c r="X12" s="1">
        <v>7</v>
      </c>
      <c r="Y12" s="3">
        <v>1013</v>
      </c>
      <c r="Z12" s="3">
        <f t="shared" si="0"/>
        <v>1300</v>
      </c>
      <c r="AA12" s="1">
        <v>813</v>
      </c>
      <c r="AB12" s="1">
        <f t="shared" si="2"/>
        <v>1300</v>
      </c>
      <c r="AC12" s="3">
        <v>0</v>
      </c>
      <c r="AD12" s="31">
        <f t="shared" si="3"/>
        <v>866.66666666666663</v>
      </c>
      <c r="AE12" s="5">
        <f t="shared" si="4"/>
        <v>1.8260000000000001</v>
      </c>
      <c r="AF12" s="33">
        <f t="shared" si="5"/>
        <v>2600</v>
      </c>
      <c r="AG12" s="4">
        <f t="shared" si="1"/>
        <v>260.85714285714283</v>
      </c>
    </row>
    <row r="13" spans="1:34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">
        <v>46098</v>
      </c>
      <c r="W13" s="1">
        <v>10</v>
      </c>
      <c r="X13" s="1">
        <v>7</v>
      </c>
      <c r="Y13" s="3">
        <v>853</v>
      </c>
      <c r="Z13" s="3">
        <f t="shared" si="0"/>
        <v>1300</v>
      </c>
      <c r="AA13" s="1">
        <v>904</v>
      </c>
      <c r="AB13" s="1">
        <f t="shared" si="2"/>
        <v>1300</v>
      </c>
      <c r="AC13" s="3">
        <v>0</v>
      </c>
      <c r="AD13" s="31">
        <f t="shared" si="3"/>
        <v>866.66666666666663</v>
      </c>
      <c r="AE13" s="5">
        <f t="shared" si="4"/>
        <v>1.7569999999999999</v>
      </c>
      <c r="AF13" s="33">
        <f t="shared" si="5"/>
        <v>2600</v>
      </c>
      <c r="AG13" s="4">
        <f t="shared" si="1"/>
        <v>251</v>
      </c>
    </row>
    <row r="14" spans="1:34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2">
        <v>46099</v>
      </c>
      <c r="W14" s="1">
        <v>9</v>
      </c>
      <c r="X14" s="1">
        <v>9</v>
      </c>
      <c r="Y14" s="3">
        <v>1277</v>
      </c>
      <c r="Z14" s="3">
        <f t="shared" si="0"/>
        <v>1300</v>
      </c>
      <c r="AA14" s="1">
        <v>1011</v>
      </c>
      <c r="AB14" s="1">
        <f t="shared" si="2"/>
        <v>1300</v>
      </c>
      <c r="AC14" s="3">
        <v>0</v>
      </c>
      <c r="AD14" s="31">
        <f t="shared" si="3"/>
        <v>866.66666666666663</v>
      </c>
      <c r="AE14" s="5">
        <f t="shared" si="4"/>
        <v>2.2879999999999998</v>
      </c>
      <c r="AF14" s="33">
        <f t="shared" si="5"/>
        <v>2600</v>
      </c>
      <c r="AG14" s="4">
        <f t="shared" si="1"/>
        <v>254.22222222222217</v>
      </c>
    </row>
    <row r="15" spans="1:34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2">
        <v>46100</v>
      </c>
      <c r="W15" s="1">
        <v>10</v>
      </c>
      <c r="X15" s="1">
        <v>7</v>
      </c>
      <c r="Y15" s="3">
        <v>751</v>
      </c>
      <c r="Z15" s="3">
        <f t="shared" si="0"/>
        <v>1300</v>
      </c>
      <c r="AA15" s="1">
        <v>807</v>
      </c>
      <c r="AB15" s="1">
        <f t="shared" si="2"/>
        <v>1300</v>
      </c>
      <c r="AC15" s="3">
        <v>0</v>
      </c>
      <c r="AD15" s="31">
        <f t="shared" si="3"/>
        <v>866.66666666666663</v>
      </c>
      <c r="AE15" s="5">
        <f t="shared" si="4"/>
        <v>1.5580000000000001</v>
      </c>
      <c r="AF15" s="33">
        <f t="shared" si="5"/>
        <v>2600</v>
      </c>
      <c r="AG15" s="4">
        <f t="shared" si="1"/>
        <v>222.57142857142858</v>
      </c>
    </row>
    <row r="16" spans="1:3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2">
        <v>46101</v>
      </c>
      <c r="W16" s="1">
        <v>11</v>
      </c>
      <c r="X16" s="1">
        <v>7</v>
      </c>
      <c r="Y16" s="3">
        <v>818</v>
      </c>
      <c r="Z16" s="3">
        <f t="shared" si="0"/>
        <v>1300</v>
      </c>
      <c r="AA16" s="1">
        <v>825</v>
      </c>
      <c r="AB16" s="1">
        <f t="shared" si="2"/>
        <v>1300</v>
      </c>
      <c r="AC16" s="3">
        <v>0</v>
      </c>
      <c r="AD16" s="31">
        <f t="shared" si="3"/>
        <v>866.66666666666663</v>
      </c>
      <c r="AE16" s="5">
        <f t="shared" si="4"/>
        <v>1.643</v>
      </c>
      <c r="AF16" s="33">
        <f t="shared" si="5"/>
        <v>2600</v>
      </c>
      <c r="AG16" s="4">
        <f t="shared" si="1"/>
        <v>234.71428571428572</v>
      </c>
    </row>
    <row r="17" spans="1:34" ht="16" x14ac:dyDescent="0.2">
      <c r="A17" s="9"/>
      <c r="B17" s="9"/>
      <c r="C17" s="9"/>
      <c r="D17" s="9"/>
      <c r="E17" s="9"/>
      <c r="F17" s="9"/>
      <c r="G17" s="9"/>
      <c r="H17" s="23" t="s">
        <v>57</v>
      </c>
      <c r="I17" s="25">
        <f>AE29</f>
        <v>46.8</v>
      </c>
      <c r="J17" s="9" t="s">
        <v>50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2">
        <v>46104</v>
      </c>
      <c r="W17" s="1">
        <v>10</v>
      </c>
      <c r="X17" s="1">
        <v>8</v>
      </c>
      <c r="Y17" s="3">
        <v>980</v>
      </c>
      <c r="Z17" s="3">
        <f t="shared" si="0"/>
        <v>1300</v>
      </c>
      <c r="AA17" s="1">
        <v>894</v>
      </c>
      <c r="AB17" s="1">
        <f t="shared" si="2"/>
        <v>1300</v>
      </c>
      <c r="AC17" s="3">
        <v>0</v>
      </c>
      <c r="AD17" s="31">
        <f t="shared" si="3"/>
        <v>866.66666666666663</v>
      </c>
      <c r="AE17" s="5">
        <f t="shared" si="4"/>
        <v>1.8740000000000001</v>
      </c>
      <c r="AF17" s="33">
        <f t="shared" si="5"/>
        <v>2600</v>
      </c>
      <c r="AG17" s="4">
        <f t="shared" si="1"/>
        <v>234.25</v>
      </c>
      <c r="AH17" s="8" t="s">
        <v>53</v>
      </c>
    </row>
    <row r="18" spans="1:34" ht="16" x14ac:dyDescent="0.2">
      <c r="A18" s="9"/>
      <c r="B18" s="9"/>
      <c r="C18" s="9"/>
      <c r="D18" s="9"/>
      <c r="E18" s="9"/>
      <c r="F18" s="9"/>
      <c r="G18" s="9"/>
      <c r="H18" s="23" t="s">
        <v>58</v>
      </c>
      <c r="I18" s="24">
        <f>W32/1000</f>
        <v>2.6</v>
      </c>
      <c r="J18" s="9" t="s">
        <v>50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2">
        <v>46105</v>
      </c>
      <c r="W18" s="1">
        <v>13</v>
      </c>
      <c r="X18" s="1">
        <v>12</v>
      </c>
      <c r="Y18" s="3">
        <v>888</v>
      </c>
      <c r="Z18" s="3">
        <f t="shared" si="0"/>
        <v>1300</v>
      </c>
      <c r="AA18" s="1">
        <v>963</v>
      </c>
      <c r="AB18" s="1">
        <f t="shared" si="2"/>
        <v>1300</v>
      </c>
      <c r="AC18" s="3">
        <v>0</v>
      </c>
      <c r="AD18" s="31">
        <f t="shared" si="3"/>
        <v>866.66666666666663</v>
      </c>
      <c r="AE18" s="5">
        <f t="shared" si="4"/>
        <v>1.851</v>
      </c>
      <c r="AF18" s="33">
        <f t="shared" si="5"/>
        <v>2600</v>
      </c>
      <c r="AG18" s="4">
        <f t="shared" si="1"/>
        <v>154.25</v>
      </c>
    </row>
    <row r="19" spans="1:34" ht="16" x14ac:dyDescent="0.2">
      <c r="A19" s="9"/>
      <c r="B19" s="9"/>
      <c r="C19" s="9"/>
      <c r="D19" s="9"/>
      <c r="E19" s="9"/>
      <c r="F19" s="9"/>
      <c r="G19" s="9"/>
      <c r="H19" s="23"/>
      <c r="I19" s="24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">
        <v>46106</v>
      </c>
      <c r="W19" s="1">
        <v>13</v>
      </c>
      <c r="X19" s="1">
        <v>12</v>
      </c>
      <c r="Y19" s="3">
        <v>1207</v>
      </c>
      <c r="Z19" s="3">
        <f t="shared" si="0"/>
        <v>1300</v>
      </c>
      <c r="AA19" s="1">
        <v>751</v>
      </c>
      <c r="AB19" s="1">
        <f t="shared" si="2"/>
        <v>1300</v>
      </c>
      <c r="AC19" s="3">
        <v>0</v>
      </c>
      <c r="AD19" s="31">
        <f t="shared" si="3"/>
        <v>866.66666666666663</v>
      </c>
      <c r="AE19" s="5">
        <f t="shared" si="4"/>
        <v>1.958</v>
      </c>
      <c r="AF19" s="33">
        <f t="shared" si="5"/>
        <v>2600</v>
      </c>
      <c r="AG19" s="4">
        <f t="shared" si="1"/>
        <v>163.16666666666666</v>
      </c>
    </row>
    <row r="20" spans="1:34" ht="16" x14ac:dyDescent="0.2">
      <c r="A20" s="9"/>
      <c r="B20" s="9"/>
      <c r="C20" s="9"/>
      <c r="D20" s="9"/>
      <c r="E20" s="9"/>
      <c r="F20" s="9"/>
      <c r="G20" s="9"/>
      <c r="H20" s="23" t="s">
        <v>59</v>
      </c>
      <c r="I20" s="25">
        <f>AE25</f>
        <v>29.668999999999997</v>
      </c>
      <c r="J20" s="9" t="s">
        <v>50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2">
        <v>46107</v>
      </c>
      <c r="W20" s="1">
        <v>15</v>
      </c>
      <c r="X20" s="1">
        <v>13</v>
      </c>
      <c r="Y20" s="3">
        <v>1196</v>
      </c>
      <c r="Z20" s="3">
        <f t="shared" si="0"/>
        <v>1300</v>
      </c>
      <c r="AA20" s="1">
        <v>624</v>
      </c>
      <c r="AB20" s="1">
        <f t="shared" si="2"/>
        <v>1300</v>
      </c>
      <c r="AC20" s="3">
        <v>342</v>
      </c>
      <c r="AD20" s="31">
        <f t="shared" si="3"/>
        <v>866.66666666666663</v>
      </c>
      <c r="AE20" s="5">
        <f t="shared" si="4"/>
        <v>2.1619999999999999</v>
      </c>
      <c r="AF20" s="33">
        <f t="shared" si="5"/>
        <v>2600</v>
      </c>
      <c r="AG20" s="4">
        <f t="shared" si="1"/>
        <v>166.30769230769229</v>
      </c>
      <c r="AH20" s="8" t="s">
        <v>52</v>
      </c>
    </row>
    <row r="21" spans="1:34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">
        <v>46108</v>
      </c>
      <c r="W21" s="1">
        <v>17</v>
      </c>
      <c r="X21" s="1">
        <v>14</v>
      </c>
      <c r="Y21" s="3">
        <v>1423</v>
      </c>
      <c r="Z21" s="3">
        <f t="shared" si="0"/>
        <v>1300</v>
      </c>
      <c r="AA21" s="1">
        <v>785</v>
      </c>
      <c r="AB21" s="1">
        <f t="shared" si="2"/>
        <v>1300</v>
      </c>
      <c r="AC21" s="3">
        <v>1361</v>
      </c>
      <c r="AD21" s="31">
        <f t="shared" si="3"/>
        <v>866.66666666666663</v>
      </c>
      <c r="AE21" s="5">
        <f t="shared" si="4"/>
        <v>3.569</v>
      </c>
      <c r="AF21" s="33">
        <f t="shared" si="5"/>
        <v>2600</v>
      </c>
      <c r="AG21" s="4">
        <f t="shared" si="1"/>
        <v>254.92857142857144</v>
      </c>
    </row>
    <row r="22" spans="1:34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">
        <v>46111</v>
      </c>
      <c r="W22" s="1">
        <v>9</v>
      </c>
      <c r="Z22" s="3">
        <f t="shared" ref="Z22:Z23" si="6">$Y$27</f>
        <v>1300</v>
      </c>
      <c r="AB22" s="1">
        <f t="shared" ref="AB22:AB23" si="7">$AA$27</f>
        <v>1300</v>
      </c>
      <c r="AD22" s="31">
        <f t="shared" si="3"/>
        <v>866.66666666666663</v>
      </c>
      <c r="AE22" s="5">
        <f t="shared" si="4"/>
        <v>0</v>
      </c>
      <c r="AF22" s="33">
        <f t="shared" si="5"/>
        <v>2600</v>
      </c>
      <c r="AG22" s="4" t="e">
        <f t="shared" si="1"/>
        <v>#DIV/0!</v>
      </c>
    </row>
    <row r="23" spans="1:34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">
        <v>46112</v>
      </c>
      <c r="W23" s="1">
        <v>10</v>
      </c>
      <c r="Z23" s="3">
        <f t="shared" si="6"/>
        <v>1300</v>
      </c>
      <c r="AB23" s="1">
        <f t="shared" si="7"/>
        <v>1300</v>
      </c>
      <c r="AD23" s="31">
        <f t="shared" si="3"/>
        <v>866.66666666666663</v>
      </c>
      <c r="AE23" s="5">
        <f t="shared" si="4"/>
        <v>0</v>
      </c>
      <c r="AF23" s="33">
        <f t="shared" si="5"/>
        <v>2600</v>
      </c>
      <c r="AG23" s="4" t="e">
        <f t="shared" si="1"/>
        <v>#DIV/0!</v>
      </c>
    </row>
    <row r="24" spans="1:34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AE24" s="5"/>
      <c r="AF24" s="5"/>
      <c r="AG24" s="4"/>
    </row>
    <row r="25" spans="1:34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 t="s">
        <v>37</v>
      </c>
      <c r="W25" s="2"/>
      <c r="Y25" s="3">
        <f>SUM(Y2:Y23)</f>
        <v>15698</v>
      </c>
      <c r="AA25" s="1">
        <f>SUM(AA2:AA23)</f>
        <v>12268</v>
      </c>
      <c r="AC25" s="1">
        <f t="shared" ref="AC25" si="8">SUM(AC2:AC23)</f>
        <v>1703</v>
      </c>
      <c r="AE25" s="5">
        <f>SUM(AE2:AE23)</f>
        <v>29.668999999999997</v>
      </c>
      <c r="AF25" s="5"/>
      <c r="AG25" s="4"/>
    </row>
    <row r="26" spans="1:34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" t="s">
        <v>38</v>
      </c>
      <c r="W26" s="2"/>
      <c r="Y26" s="10">
        <f>AVERAGE(Y2:Y23)</f>
        <v>784.9</v>
      </c>
      <c r="AA26" s="4">
        <f>AVERAGE(AA2:AA23)</f>
        <v>613.4</v>
      </c>
      <c r="AB26" s="4"/>
      <c r="AC26" s="4">
        <f t="shared" ref="AC26" si="9">AVERAGE(AC2:AC23)</f>
        <v>85.15</v>
      </c>
      <c r="AD26" s="4"/>
      <c r="AE26" s="5">
        <f>AVERAGE(AE2:AE23)</f>
        <v>1.348590909090909</v>
      </c>
      <c r="AF26" s="5"/>
      <c r="AG26" s="1" t="e">
        <f>AVERAGE(AG2:AG23)</f>
        <v>#DIV/0!</v>
      </c>
    </row>
    <row r="27" spans="1:34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" t="s">
        <v>46</v>
      </c>
      <c r="Y27" s="30">
        <f>W32/2</f>
        <v>1300</v>
      </c>
      <c r="AA27" s="31">
        <f>W32/2</f>
        <v>1300</v>
      </c>
      <c r="AC27" s="31">
        <f>W32/3</f>
        <v>866.66666666666663</v>
      </c>
      <c r="AE27" s="5"/>
      <c r="AF27" s="5"/>
      <c r="AG27" s="4"/>
    </row>
    <row r="28" spans="1:34" ht="16" thickBo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AC28" s="1"/>
      <c r="AE28" s="5"/>
      <c r="AF28" s="5"/>
      <c r="AG28" s="4"/>
    </row>
    <row r="29" spans="1:34" ht="16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" t="s">
        <v>40</v>
      </c>
      <c r="Y29" s="3">
        <f>(AE29/2)</f>
        <v>23.4</v>
      </c>
      <c r="AA29" s="1">
        <f>AE29/2</f>
        <v>23.4</v>
      </c>
      <c r="AC29" s="1">
        <f>AH29/2</f>
        <v>0</v>
      </c>
      <c r="AE29" s="15">
        <f>(W33*W32)/1000</f>
        <v>46.8</v>
      </c>
      <c r="AF29" s="32"/>
      <c r="AG29" s="4"/>
    </row>
    <row r="30" spans="1:34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 t="s">
        <v>10</v>
      </c>
      <c r="Y30" s="10">
        <f>Y29-(Y25/1000)</f>
        <v>7.7019999999999982</v>
      </c>
      <c r="Z30" s="10"/>
      <c r="AA30" s="10">
        <f>AA29-(AA25/1000)</f>
        <v>11.131999999999998</v>
      </c>
      <c r="AB30" s="10"/>
      <c r="AC30" s="10">
        <f t="shared" ref="AC30" si="10">AC29-(AC25/1000)</f>
        <v>-1.7030000000000001</v>
      </c>
      <c r="AD30" s="10"/>
      <c r="AE30" s="10">
        <f>AE29-AE25</f>
        <v>17.131</v>
      </c>
      <c r="AF30" s="10"/>
      <c r="AG30" s="4"/>
    </row>
    <row r="31" spans="1:34" ht="16" thickBo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AE31" s="5"/>
      <c r="AF31" s="5"/>
      <c r="AG31" s="4"/>
    </row>
    <row r="32" spans="1:34" ht="16" thickBo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8" t="s">
        <v>60</v>
      </c>
      <c r="W32" s="29">
        <v>2600</v>
      </c>
    </row>
    <row r="33" spans="1:23" ht="16" thickBo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6" t="s">
        <v>61</v>
      </c>
      <c r="W33" s="27">
        <v>18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C95F-2D90-460C-AA39-1F8AD3B6C628}">
  <dimension ref="A1:AH33"/>
  <sheetViews>
    <sheetView tabSelected="1" zoomScale="70" zoomScaleNormal="70" workbookViewId="0">
      <selection activeCell="T10" sqref="T10"/>
    </sheetView>
    <sheetView workbookViewId="1"/>
  </sheetViews>
  <sheetFormatPr baseColWidth="10" defaultColWidth="11.5" defaultRowHeight="15" x14ac:dyDescent="0.2"/>
  <cols>
    <col min="22" max="24" width="11.5" style="1"/>
    <col min="25" max="25" width="14.83203125" style="3" bestFit="1" customWidth="1"/>
    <col min="26" max="26" width="2.5" style="3" customWidth="1"/>
    <col min="27" max="27" width="15.33203125" style="1" customWidth="1"/>
    <col min="28" max="28" width="1.6640625" style="1" customWidth="1"/>
    <col min="29" max="29" width="14.83203125" style="3" bestFit="1" customWidth="1"/>
    <col min="30" max="30" width="2.1640625" style="1" customWidth="1"/>
    <col min="31" max="31" width="9.1640625" style="1" bestFit="1" customWidth="1"/>
    <col min="32" max="32" width="2" style="1" customWidth="1"/>
    <col min="33" max="33" width="11.5" style="1" bestFit="1" customWidth="1"/>
    <col min="34" max="34" width="26.1640625" style="8" customWidth="1"/>
  </cols>
  <sheetData>
    <row r="1" spans="1:34" ht="30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" t="s">
        <v>23</v>
      </c>
      <c r="W1" s="3" t="s">
        <v>41</v>
      </c>
      <c r="X1" s="1" t="s">
        <v>25</v>
      </c>
      <c r="Y1" s="3" t="s">
        <v>6</v>
      </c>
      <c r="Z1" s="3" t="s">
        <v>26</v>
      </c>
      <c r="AA1" s="3" t="s">
        <v>54</v>
      </c>
      <c r="AB1" s="3" t="s">
        <v>56</v>
      </c>
      <c r="AC1" s="3" t="s">
        <v>55</v>
      </c>
      <c r="AD1" s="3" t="s">
        <v>56</v>
      </c>
      <c r="AE1" s="3" t="s">
        <v>28</v>
      </c>
      <c r="AF1" s="3" t="s">
        <v>62</v>
      </c>
      <c r="AG1" s="3" t="s">
        <v>29</v>
      </c>
      <c r="AH1" s="7" t="s">
        <v>30</v>
      </c>
    </row>
    <row r="2" spans="1:34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2">
        <v>46113</v>
      </c>
      <c r="W2" s="1">
        <v>12</v>
      </c>
      <c r="Z2" s="3">
        <f t="shared" ref="Z2:Z23" si="0">$Y$27</f>
        <v>866.66666666666663</v>
      </c>
      <c r="AB2" s="31">
        <f>$AA$27</f>
        <v>866.66666666666663</v>
      </c>
      <c r="AD2" s="31">
        <f>$AC$27</f>
        <v>866.66666666666663</v>
      </c>
      <c r="AE2" s="5">
        <f>(Y2+AA2+AC2)/1000</f>
        <v>0</v>
      </c>
      <c r="AF2" s="33">
        <f>$W$32</f>
        <v>2600</v>
      </c>
      <c r="AG2" s="4" t="e">
        <f t="shared" ref="AG2:AG23" si="1">(AE2/X2)*1000</f>
        <v>#DIV/0!</v>
      </c>
    </row>
    <row r="3" spans="1:34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>
        <v>46114</v>
      </c>
      <c r="W3" s="1">
        <v>13</v>
      </c>
      <c r="Z3" s="3">
        <f t="shared" si="0"/>
        <v>866.66666666666663</v>
      </c>
      <c r="AB3" s="1">
        <f t="shared" ref="AB3:AB23" si="2">$AA$27</f>
        <v>866.66666666666663</v>
      </c>
      <c r="AD3" s="31">
        <f t="shared" ref="AD3:AD23" si="3">$AC$27</f>
        <v>866.66666666666663</v>
      </c>
      <c r="AE3" s="5">
        <f t="shared" ref="AE3:AE23" si="4">(Y3+AA3+AC3)/1000</f>
        <v>0</v>
      </c>
      <c r="AF3" s="33">
        <f t="shared" ref="AF3:AF23" si="5">$W$32</f>
        <v>2600</v>
      </c>
      <c r="AG3" s="4" t="e">
        <f t="shared" si="1"/>
        <v>#DIV/0!</v>
      </c>
    </row>
    <row r="4" spans="1:3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>
        <v>46115</v>
      </c>
      <c r="W4" s="1">
        <v>15</v>
      </c>
      <c r="Z4" s="3">
        <f t="shared" si="0"/>
        <v>866.66666666666663</v>
      </c>
      <c r="AB4" s="1">
        <f t="shared" si="2"/>
        <v>866.66666666666663</v>
      </c>
      <c r="AD4" s="31">
        <f t="shared" si="3"/>
        <v>866.66666666666663</v>
      </c>
      <c r="AE4" s="5">
        <f t="shared" si="4"/>
        <v>0</v>
      </c>
      <c r="AF4" s="33">
        <f t="shared" si="5"/>
        <v>2600</v>
      </c>
      <c r="AG4" s="4" t="e">
        <f t="shared" si="1"/>
        <v>#DIV/0!</v>
      </c>
    </row>
    <row r="5" spans="1:34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>
        <v>46119</v>
      </c>
      <c r="W5" s="1">
        <v>12</v>
      </c>
      <c r="Z5" s="3">
        <f t="shared" si="0"/>
        <v>866.66666666666663</v>
      </c>
      <c r="AB5" s="1">
        <f t="shared" si="2"/>
        <v>866.66666666666663</v>
      </c>
      <c r="AD5" s="31">
        <f t="shared" si="3"/>
        <v>866.66666666666663</v>
      </c>
      <c r="AE5" s="5">
        <f t="shared" si="4"/>
        <v>0</v>
      </c>
      <c r="AF5" s="33">
        <f t="shared" si="5"/>
        <v>2600</v>
      </c>
      <c r="AG5" s="4" t="e">
        <f t="shared" si="1"/>
        <v>#DIV/0!</v>
      </c>
    </row>
    <row r="6" spans="1:34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>
        <v>46120</v>
      </c>
      <c r="W6" s="1">
        <v>12</v>
      </c>
      <c r="Y6" s="3">
        <v>0</v>
      </c>
      <c r="Z6" s="3">
        <f t="shared" si="0"/>
        <v>866.66666666666663</v>
      </c>
      <c r="AA6" s="1">
        <v>0</v>
      </c>
      <c r="AB6" s="1">
        <f t="shared" si="2"/>
        <v>866.66666666666663</v>
      </c>
      <c r="AC6" s="3">
        <v>0</v>
      </c>
      <c r="AD6" s="31">
        <f t="shared" si="3"/>
        <v>866.66666666666663</v>
      </c>
      <c r="AE6" s="5">
        <f t="shared" si="4"/>
        <v>0</v>
      </c>
      <c r="AF6" s="33">
        <f t="shared" si="5"/>
        <v>2600</v>
      </c>
      <c r="AG6" s="4" t="e">
        <f t="shared" si="1"/>
        <v>#DIV/0!</v>
      </c>
      <c r="AH6" s="8" t="s">
        <v>64</v>
      </c>
    </row>
    <row r="7" spans="1:34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>
        <v>46121</v>
      </c>
      <c r="W7" s="1">
        <v>13</v>
      </c>
      <c r="Y7" s="3">
        <v>0</v>
      </c>
      <c r="Z7" s="3">
        <f t="shared" si="0"/>
        <v>866.66666666666663</v>
      </c>
      <c r="AA7" s="1">
        <v>0</v>
      </c>
      <c r="AB7" s="1">
        <f t="shared" si="2"/>
        <v>866.66666666666663</v>
      </c>
      <c r="AC7" s="3">
        <v>0</v>
      </c>
      <c r="AD7" s="31">
        <f t="shared" si="3"/>
        <v>866.66666666666663</v>
      </c>
      <c r="AE7" s="5">
        <f t="shared" si="4"/>
        <v>0</v>
      </c>
      <c r="AF7" s="33">
        <f t="shared" si="5"/>
        <v>2600</v>
      </c>
      <c r="AG7" s="4" t="e">
        <f t="shared" si="1"/>
        <v>#DIV/0!</v>
      </c>
      <c r="AH7" s="8" t="s">
        <v>64</v>
      </c>
    </row>
    <row r="8" spans="1:34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>
        <v>46122</v>
      </c>
      <c r="W8" s="1">
        <v>15</v>
      </c>
      <c r="Y8" s="3">
        <v>0</v>
      </c>
      <c r="Z8" s="3">
        <f t="shared" si="0"/>
        <v>866.66666666666663</v>
      </c>
      <c r="AA8" s="1">
        <v>0</v>
      </c>
      <c r="AB8" s="1">
        <f t="shared" si="2"/>
        <v>866.66666666666663</v>
      </c>
      <c r="AC8" s="3">
        <v>0</v>
      </c>
      <c r="AD8" s="31">
        <f t="shared" si="3"/>
        <v>866.66666666666663</v>
      </c>
      <c r="AE8" s="5">
        <f t="shared" si="4"/>
        <v>0</v>
      </c>
      <c r="AF8" s="33">
        <f t="shared" si="5"/>
        <v>2600</v>
      </c>
      <c r="AG8" s="4" t="e">
        <f t="shared" si="1"/>
        <v>#DIV/0!</v>
      </c>
      <c r="AH8" s="8" t="s">
        <v>36</v>
      </c>
    </row>
    <row r="9" spans="1:34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>
        <v>46125</v>
      </c>
      <c r="W9" s="1">
        <v>14</v>
      </c>
      <c r="Y9" s="3">
        <v>0</v>
      </c>
      <c r="Z9" s="3">
        <f t="shared" si="0"/>
        <v>866.66666666666663</v>
      </c>
      <c r="AA9" s="1">
        <v>0</v>
      </c>
      <c r="AB9" s="1">
        <f t="shared" si="2"/>
        <v>866.66666666666663</v>
      </c>
      <c r="AC9" s="3">
        <v>0</v>
      </c>
      <c r="AD9" s="31">
        <f t="shared" si="3"/>
        <v>866.66666666666663</v>
      </c>
      <c r="AE9" s="5">
        <f t="shared" si="4"/>
        <v>0</v>
      </c>
      <c r="AF9" s="33">
        <f t="shared" si="5"/>
        <v>2600</v>
      </c>
      <c r="AG9" s="4" t="e">
        <f t="shared" si="1"/>
        <v>#DIV/0!</v>
      </c>
      <c r="AH9" s="8" t="s">
        <v>65</v>
      </c>
    </row>
    <row r="10" spans="1:3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">
        <v>46126</v>
      </c>
      <c r="W10" s="1">
        <v>12</v>
      </c>
      <c r="Z10" s="3">
        <f t="shared" si="0"/>
        <v>866.66666666666663</v>
      </c>
      <c r="AB10" s="1">
        <f t="shared" si="2"/>
        <v>866.66666666666663</v>
      </c>
      <c r="AD10" s="31">
        <f t="shared" si="3"/>
        <v>866.66666666666663</v>
      </c>
      <c r="AE10" s="5">
        <f t="shared" si="4"/>
        <v>0</v>
      </c>
      <c r="AF10" s="33">
        <f t="shared" si="5"/>
        <v>2600</v>
      </c>
      <c r="AG10" s="4" t="e">
        <f t="shared" si="1"/>
        <v>#DIV/0!</v>
      </c>
    </row>
    <row r="11" spans="1:34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2">
        <v>46127</v>
      </c>
      <c r="W11" s="1">
        <v>12</v>
      </c>
      <c r="Z11" s="3">
        <f t="shared" si="0"/>
        <v>866.66666666666663</v>
      </c>
      <c r="AB11" s="1">
        <f t="shared" si="2"/>
        <v>866.66666666666663</v>
      </c>
      <c r="AD11" s="31">
        <f t="shared" si="3"/>
        <v>866.66666666666663</v>
      </c>
      <c r="AE11" s="5">
        <f t="shared" si="4"/>
        <v>0</v>
      </c>
      <c r="AF11" s="33">
        <f t="shared" si="5"/>
        <v>2600</v>
      </c>
      <c r="AG11" s="4" t="e">
        <f t="shared" si="1"/>
        <v>#DIV/0!</v>
      </c>
    </row>
    <row r="12" spans="1:3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">
        <v>46128</v>
      </c>
      <c r="W12" s="1">
        <v>13</v>
      </c>
      <c r="Z12" s="3">
        <f t="shared" si="0"/>
        <v>866.66666666666663</v>
      </c>
      <c r="AB12" s="1">
        <f t="shared" si="2"/>
        <v>866.66666666666663</v>
      </c>
      <c r="AD12" s="31">
        <f t="shared" si="3"/>
        <v>866.66666666666663</v>
      </c>
      <c r="AE12" s="5">
        <f t="shared" si="4"/>
        <v>0</v>
      </c>
      <c r="AF12" s="33">
        <f t="shared" si="5"/>
        <v>2600</v>
      </c>
      <c r="AG12" s="4" t="e">
        <f t="shared" si="1"/>
        <v>#DIV/0!</v>
      </c>
    </row>
    <row r="13" spans="1:34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">
        <v>46129</v>
      </c>
      <c r="W13" s="1">
        <v>15</v>
      </c>
      <c r="Z13" s="3">
        <f t="shared" si="0"/>
        <v>866.66666666666663</v>
      </c>
      <c r="AB13" s="1">
        <f t="shared" si="2"/>
        <v>866.66666666666663</v>
      </c>
      <c r="AD13" s="31">
        <f t="shared" si="3"/>
        <v>866.66666666666663</v>
      </c>
      <c r="AE13" s="5">
        <f t="shared" si="4"/>
        <v>0</v>
      </c>
      <c r="AF13" s="33">
        <f t="shared" si="5"/>
        <v>2600</v>
      </c>
      <c r="AG13" s="4" t="e">
        <f t="shared" si="1"/>
        <v>#DIV/0!</v>
      </c>
    </row>
    <row r="14" spans="1:34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2">
        <v>46132</v>
      </c>
      <c r="W14" s="1">
        <v>14</v>
      </c>
      <c r="Z14" s="3">
        <f t="shared" si="0"/>
        <v>866.66666666666663</v>
      </c>
      <c r="AB14" s="1">
        <f t="shared" si="2"/>
        <v>866.66666666666663</v>
      </c>
      <c r="AD14" s="31">
        <f t="shared" si="3"/>
        <v>866.66666666666663</v>
      </c>
      <c r="AE14" s="5">
        <f t="shared" si="4"/>
        <v>0</v>
      </c>
      <c r="AF14" s="33">
        <f t="shared" si="5"/>
        <v>2600</v>
      </c>
      <c r="AG14" s="4" t="e">
        <f t="shared" si="1"/>
        <v>#DIV/0!</v>
      </c>
    </row>
    <row r="15" spans="1:34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2">
        <v>46133</v>
      </c>
      <c r="W15" s="1">
        <v>12</v>
      </c>
      <c r="Z15" s="3">
        <f t="shared" si="0"/>
        <v>866.66666666666663</v>
      </c>
      <c r="AB15" s="1">
        <f t="shared" si="2"/>
        <v>866.66666666666663</v>
      </c>
      <c r="AD15" s="31">
        <f t="shared" si="3"/>
        <v>866.66666666666663</v>
      </c>
      <c r="AE15" s="5">
        <f t="shared" si="4"/>
        <v>0</v>
      </c>
      <c r="AF15" s="33">
        <f t="shared" si="5"/>
        <v>2600</v>
      </c>
      <c r="AG15" s="4" t="e">
        <f t="shared" si="1"/>
        <v>#DIV/0!</v>
      </c>
    </row>
    <row r="16" spans="1:3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2">
        <v>46134</v>
      </c>
      <c r="W16" s="1">
        <v>12</v>
      </c>
      <c r="Z16" s="3">
        <f t="shared" si="0"/>
        <v>866.66666666666663</v>
      </c>
      <c r="AB16" s="1">
        <f t="shared" si="2"/>
        <v>866.66666666666663</v>
      </c>
      <c r="AD16" s="31">
        <f t="shared" si="3"/>
        <v>866.66666666666663</v>
      </c>
      <c r="AE16" s="5">
        <f t="shared" si="4"/>
        <v>0</v>
      </c>
      <c r="AF16" s="33">
        <f t="shared" si="5"/>
        <v>2600</v>
      </c>
      <c r="AG16" s="4" t="e">
        <f t="shared" si="1"/>
        <v>#DIV/0!</v>
      </c>
    </row>
    <row r="17" spans="1:33" ht="16" x14ac:dyDescent="0.2">
      <c r="A17" s="9"/>
      <c r="B17" s="9"/>
      <c r="C17" s="9"/>
      <c r="D17" s="9"/>
      <c r="E17" s="9"/>
      <c r="F17" s="9"/>
      <c r="G17" s="9"/>
      <c r="H17" s="23" t="s">
        <v>57</v>
      </c>
      <c r="I17" s="25">
        <f>AE29</f>
        <v>44.2</v>
      </c>
      <c r="J17" s="9" t="s">
        <v>50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2">
        <v>46135</v>
      </c>
      <c r="W17" s="1">
        <v>13</v>
      </c>
      <c r="Z17" s="3">
        <f t="shared" si="0"/>
        <v>866.66666666666663</v>
      </c>
      <c r="AB17" s="1">
        <f t="shared" si="2"/>
        <v>866.66666666666663</v>
      </c>
      <c r="AD17" s="31">
        <f t="shared" si="3"/>
        <v>866.66666666666663</v>
      </c>
      <c r="AE17" s="5">
        <f t="shared" si="4"/>
        <v>0</v>
      </c>
      <c r="AF17" s="33">
        <f t="shared" si="5"/>
        <v>2600</v>
      </c>
      <c r="AG17" s="4" t="e">
        <f t="shared" si="1"/>
        <v>#DIV/0!</v>
      </c>
    </row>
    <row r="18" spans="1:33" ht="16" x14ac:dyDescent="0.2">
      <c r="A18" s="9"/>
      <c r="B18" s="9"/>
      <c r="C18" s="9"/>
      <c r="D18" s="9"/>
      <c r="E18" s="9"/>
      <c r="F18" s="9"/>
      <c r="G18" s="9"/>
      <c r="H18" s="23" t="s">
        <v>58</v>
      </c>
      <c r="I18" s="24">
        <f>W32/1000</f>
        <v>2.6</v>
      </c>
      <c r="J18" s="9" t="s">
        <v>50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2">
        <v>46136</v>
      </c>
      <c r="W18" s="1">
        <v>15</v>
      </c>
      <c r="Z18" s="3">
        <f t="shared" si="0"/>
        <v>866.66666666666663</v>
      </c>
      <c r="AB18" s="1">
        <f t="shared" si="2"/>
        <v>866.66666666666663</v>
      </c>
      <c r="AD18" s="31">
        <f t="shared" si="3"/>
        <v>866.66666666666663</v>
      </c>
      <c r="AE18" s="5">
        <f t="shared" si="4"/>
        <v>0</v>
      </c>
      <c r="AF18" s="33">
        <f t="shared" si="5"/>
        <v>2600</v>
      </c>
      <c r="AG18" s="4" t="e">
        <f t="shared" si="1"/>
        <v>#DIV/0!</v>
      </c>
    </row>
    <row r="19" spans="1:33" ht="16" x14ac:dyDescent="0.2">
      <c r="A19" s="9"/>
      <c r="B19" s="9"/>
      <c r="C19" s="9"/>
      <c r="D19" s="9"/>
      <c r="E19" s="9"/>
      <c r="F19" s="9"/>
      <c r="G19" s="9"/>
      <c r="H19" s="23"/>
      <c r="I19" s="24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">
        <v>46139</v>
      </c>
      <c r="W19" s="1">
        <v>14</v>
      </c>
      <c r="Z19" s="3">
        <f t="shared" si="0"/>
        <v>866.66666666666663</v>
      </c>
      <c r="AB19" s="1">
        <f t="shared" si="2"/>
        <v>866.66666666666663</v>
      </c>
      <c r="AD19" s="31">
        <f t="shared" si="3"/>
        <v>866.66666666666663</v>
      </c>
      <c r="AE19" s="5">
        <f t="shared" si="4"/>
        <v>0</v>
      </c>
      <c r="AF19" s="33">
        <f t="shared" si="5"/>
        <v>2600</v>
      </c>
      <c r="AG19" s="4" t="e">
        <f t="shared" si="1"/>
        <v>#DIV/0!</v>
      </c>
    </row>
    <row r="20" spans="1:33" ht="16" x14ac:dyDescent="0.2">
      <c r="A20" s="9"/>
      <c r="B20" s="9"/>
      <c r="C20" s="9"/>
      <c r="D20" s="9"/>
      <c r="E20" s="9"/>
      <c r="F20" s="9"/>
      <c r="G20" s="9"/>
      <c r="H20" s="23" t="s">
        <v>59</v>
      </c>
      <c r="I20" s="25">
        <f>AE25</f>
        <v>0</v>
      </c>
      <c r="J20" s="9" t="s">
        <v>50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2">
        <v>46140</v>
      </c>
      <c r="W20" s="1">
        <v>12</v>
      </c>
      <c r="Z20" s="3">
        <f t="shared" si="0"/>
        <v>866.66666666666663</v>
      </c>
      <c r="AB20" s="1">
        <f t="shared" si="2"/>
        <v>866.66666666666663</v>
      </c>
      <c r="AD20" s="31">
        <f t="shared" si="3"/>
        <v>866.66666666666663</v>
      </c>
      <c r="AE20" s="5">
        <f t="shared" si="4"/>
        <v>0</v>
      </c>
      <c r="AF20" s="33">
        <f t="shared" si="5"/>
        <v>2600</v>
      </c>
      <c r="AG20" s="4" t="e">
        <f t="shared" si="1"/>
        <v>#DIV/0!</v>
      </c>
    </row>
    <row r="21" spans="1:3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">
        <v>46141</v>
      </c>
      <c r="W21" s="1">
        <v>12</v>
      </c>
      <c r="Z21" s="3">
        <f t="shared" si="0"/>
        <v>866.66666666666663</v>
      </c>
      <c r="AB21" s="1">
        <f t="shared" si="2"/>
        <v>866.66666666666663</v>
      </c>
      <c r="AD21" s="31">
        <f t="shared" si="3"/>
        <v>866.66666666666663</v>
      </c>
      <c r="AE21" s="5">
        <f t="shared" si="4"/>
        <v>0</v>
      </c>
      <c r="AF21" s="33">
        <f t="shared" si="5"/>
        <v>2600</v>
      </c>
      <c r="AG21" s="4" t="e">
        <f t="shared" si="1"/>
        <v>#DIV/0!</v>
      </c>
    </row>
    <row r="22" spans="1:3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">
        <v>46142</v>
      </c>
      <c r="W22" s="1">
        <v>13</v>
      </c>
      <c r="Z22" s="3">
        <f t="shared" si="0"/>
        <v>866.66666666666663</v>
      </c>
      <c r="AB22" s="1">
        <f t="shared" si="2"/>
        <v>866.66666666666663</v>
      </c>
      <c r="AD22" s="31">
        <f t="shared" si="3"/>
        <v>866.66666666666663</v>
      </c>
      <c r="AE22" s="5">
        <f t="shared" si="4"/>
        <v>0</v>
      </c>
      <c r="AF22" s="33">
        <f t="shared" si="5"/>
        <v>2600</v>
      </c>
      <c r="AG22" s="4" t="e">
        <f t="shared" si="1"/>
        <v>#DIV/0!</v>
      </c>
    </row>
    <row r="23" spans="1:3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1" t="s">
        <v>63</v>
      </c>
      <c r="Z23" s="3">
        <f t="shared" si="0"/>
        <v>866.66666666666663</v>
      </c>
      <c r="AB23" s="1">
        <f t="shared" si="2"/>
        <v>866.66666666666663</v>
      </c>
      <c r="AD23" s="31">
        <f t="shared" si="3"/>
        <v>866.66666666666663</v>
      </c>
      <c r="AE23" s="5">
        <f t="shared" si="4"/>
        <v>0</v>
      </c>
      <c r="AF23" s="33">
        <f t="shared" si="5"/>
        <v>2600</v>
      </c>
      <c r="AG23" s="4" t="e">
        <f t="shared" si="1"/>
        <v>#DIV/0!</v>
      </c>
    </row>
    <row r="24" spans="1:3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AE24" s="5"/>
      <c r="AF24" s="5"/>
      <c r="AG24" s="4"/>
    </row>
    <row r="25" spans="1:3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 t="s">
        <v>37</v>
      </c>
      <c r="W25" s="2"/>
      <c r="Y25" s="3">
        <f>SUM(Y2:Y23)</f>
        <v>0</v>
      </c>
      <c r="AA25" s="1">
        <f>SUM(AA2:AA23)</f>
        <v>0</v>
      </c>
      <c r="AC25" s="1">
        <f t="shared" ref="AC25" si="6">SUM(AC2:AC23)</f>
        <v>0</v>
      </c>
      <c r="AE25" s="5">
        <f>SUM(AE2:AE23)</f>
        <v>0</v>
      </c>
      <c r="AF25" s="5"/>
      <c r="AG25" s="4"/>
    </row>
    <row r="26" spans="1:3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" t="s">
        <v>38</v>
      </c>
      <c r="W26" s="2"/>
      <c r="Y26" s="10">
        <f>AVERAGE(Y2:Y23)</f>
        <v>0</v>
      </c>
      <c r="AA26" s="4">
        <f>AVERAGE(AA2:AA23)</f>
        <v>0</v>
      </c>
      <c r="AB26" s="4"/>
      <c r="AC26" s="4">
        <f t="shared" ref="AC26" si="7">AVERAGE(AC2:AC23)</f>
        <v>0</v>
      </c>
      <c r="AD26" s="4"/>
      <c r="AE26" s="5">
        <f>AVERAGE(AE2:AE23)</f>
        <v>0</v>
      </c>
      <c r="AF26" s="5"/>
      <c r="AG26" s="1" t="e">
        <f>AVERAGE(AG2:AG23)</f>
        <v>#DIV/0!</v>
      </c>
    </row>
    <row r="27" spans="1:3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" t="s">
        <v>46</v>
      </c>
      <c r="Y27" s="30">
        <f>W32/3</f>
        <v>866.66666666666663</v>
      </c>
      <c r="AA27" s="31">
        <f>W32/3</f>
        <v>866.66666666666663</v>
      </c>
      <c r="AC27" s="31">
        <f>W32/3</f>
        <v>866.66666666666663</v>
      </c>
      <c r="AE27" s="5"/>
      <c r="AF27" s="5"/>
      <c r="AG27" s="4"/>
    </row>
    <row r="28" spans="1:33" ht="16" thickBo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AC28" s="1"/>
      <c r="AE28" s="5"/>
      <c r="AF28" s="5"/>
      <c r="AG28" s="4"/>
    </row>
    <row r="29" spans="1:33" ht="16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" t="s">
        <v>40</v>
      </c>
      <c r="Y29" s="3">
        <f>(AE29/2)</f>
        <v>22.1</v>
      </c>
      <c r="AA29" s="1">
        <f>AE29/2</f>
        <v>22.1</v>
      </c>
      <c r="AC29" s="1">
        <f>AH29/2</f>
        <v>0</v>
      </c>
      <c r="AE29" s="15">
        <f>(W33*W32)/1000</f>
        <v>44.2</v>
      </c>
      <c r="AF29" s="32"/>
      <c r="AG29" s="4"/>
    </row>
    <row r="30" spans="1:3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 t="s">
        <v>10</v>
      </c>
      <c r="Y30" s="10">
        <f>Y29-(Y25/1000)</f>
        <v>22.1</v>
      </c>
      <c r="Z30" s="10"/>
      <c r="AA30" s="10">
        <f>AA29-(AA25/1000)</f>
        <v>22.1</v>
      </c>
      <c r="AB30" s="10"/>
      <c r="AC30" s="10">
        <f t="shared" ref="AC30" si="8">AC29-(AC25/1000)</f>
        <v>0</v>
      </c>
      <c r="AD30" s="10"/>
      <c r="AE30" s="10">
        <f>AE29-AE25</f>
        <v>44.2</v>
      </c>
      <c r="AF30" s="10"/>
      <c r="AG30" s="4"/>
    </row>
    <row r="31" spans="1:33" ht="16" thickBo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AE31" s="5"/>
      <c r="AF31" s="5"/>
      <c r="AG31" s="4"/>
    </row>
    <row r="32" spans="1:33" ht="16" thickBo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8" t="s">
        <v>60</v>
      </c>
      <c r="W32" s="29">
        <v>2600</v>
      </c>
    </row>
    <row r="33" spans="1:23" ht="16" thickBo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6" t="s">
        <v>61</v>
      </c>
      <c r="W33" s="27">
        <v>17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25A3C2B1B5D4089B44CA276A34A36" ma:contentTypeVersion="12" ma:contentTypeDescription="Crée un document." ma:contentTypeScope="" ma:versionID="4c893e36bfdd1f18b56837fc233c4f44">
  <xsd:schema xmlns:xsd="http://www.w3.org/2001/XMLSchema" xmlns:xs="http://www.w3.org/2001/XMLSchema" xmlns:p="http://schemas.microsoft.com/office/2006/metadata/properties" xmlns:ns2="bfb3f432-878f-40b7-a9c6-5eebb15c279a" xmlns:ns3="43d6646e-9d5d-4e3d-a78b-40907916a221" targetNamespace="http://schemas.microsoft.com/office/2006/metadata/properties" ma:root="true" ma:fieldsID="cc20b2a12f56ed53bbaaf4e2506fd255" ns2:_="" ns3:_="">
    <xsd:import namespace="bfb3f432-878f-40b7-a9c6-5eebb15c279a"/>
    <xsd:import namespace="43d6646e-9d5d-4e3d-a78b-40907916a2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f432-878f-40b7-a9c6-5eebb15c2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55e74a-e29e-401e-9a9f-f8d735d5e9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646e-9d5d-4e3d-a78b-40907916a22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742747-8033-4409-8635-1890c6d59bf8}" ma:internalName="TaxCatchAll" ma:showField="CatchAllData" ma:web="43d6646e-9d5d-4e3d-a78b-40907916a2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f432-878f-40b7-a9c6-5eebb15c279a">
      <Terms xmlns="http://schemas.microsoft.com/office/infopath/2007/PartnerControls"/>
    </lcf76f155ced4ddcb4097134ff3c332f>
    <TaxCatchAll xmlns="43d6646e-9d5d-4e3d-a78b-40907916a221" xsi:nil="true"/>
  </documentManagement>
</p:properties>
</file>

<file path=customXml/itemProps1.xml><?xml version="1.0" encoding="utf-8"?>
<ds:datastoreItem xmlns:ds="http://schemas.openxmlformats.org/officeDocument/2006/customXml" ds:itemID="{02D15003-8249-4DB1-8393-EBC3BC7022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3f432-878f-40b7-a9c6-5eebb15c279a"/>
    <ds:schemaRef ds:uri="43d6646e-9d5d-4e3d-a78b-40907916a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B7BDA8-BD9C-4F43-A244-DDD73BE6E2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EF50C2-816E-447D-A78A-6DF2E0A5FB14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43d6646e-9d5d-4e3d-a78b-40907916a221"/>
    <ds:schemaRef ds:uri="bfb3f432-878f-40b7-a9c6-5eebb15c27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Feuil1</vt:lpstr>
      <vt:lpstr>Production Annuel 2026</vt:lpstr>
      <vt:lpstr>Janvier 2026</vt:lpstr>
      <vt:lpstr>Février 2026</vt:lpstr>
      <vt:lpstr>Mars 2026</vt:lpstr>
      <vt:lpstr>Avril 2026</vt:lpstr>
      <vt:lpstr>'Février 2026'!Zone_d_impression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Delestre</dc:creator>
  <cp:keywords/>
  <dc:description/>
  <cp:lastModifiedBy>President</cp:lastModifiedBy>
  <cp:revision/>
  <cp:lastPrinted>2026-03-27T08:00:59Z</cp:lastPrinted>
  <dcterms:created xsi:type="dcterms:W3CDTF">2025-12-09T20:04:09Z</dcterms:created>
  <dcterms:modified xsi:type="dcterms:W3CDTF">2026-04-07T13:24:40Z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0x01010045D25A3C2B1B5D4089B44CA276A34A36</vt:lpwstr>
  </property>
  <property fmtid="{D5CDD505-2E9C-101B-9397-08002B2CF9AE}" pid="3" name="MediaServiceImageTags">
    <vt:lpwstr/>
  </property>
</Properties>
</file>