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ulie\Downloads\"/>
    </mc:Choice>
  </mc:AlternateContent>
  <xr:revisionPtr revIDLastSave="0" documentId="8_{299B60DA-A1F2-41C8-828E-FC6D3FA0400D}" xr6:coauthVersionLast="47" xr6:coauthVersionMax="47" xr10:uidLastSave="{00000000-0000-0000-0000-000000000000}"/>
  <bookViews>
    <workbookView xWindow="-110" yWindow="-110" windowWidth="19420" windowHeight="11500" xr2:uid="{F9BB45DE-35EA-4826-81C0-36C8F1192CC2}"/>
  </bookViews>
  <sheets>
    <sheet name="TournéesCAV" sheetId="1" r:id="rId1"/>
  </sheets>
  <externalReferences>
    <externalReference r:id="rId2"/>
  </externalReferences>
  <definedNames>
    <definedName name="_xlnm._FilterDatabase" localSheetId="0" hidden="1">TournéesCAV!$B$5:$RZ$214</definedName>
    <definedName name="Calibri">#REF!</definedName>
    <definedName name="_xlnm.Print_Area" localSheetId="0">TournéesCAV!$A$1:$RY$217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S232" i="1" l="1"/>
  <c r="RR232" i="1"/>
  <c r="RQ232" i="1"/>
  <c r="RP232" i="1"/>
  <c r="RO232" i="1"/>
  <c r="RN232" i="1"/>
  <c r="RM232" i="1"/>
  <c r="RL232" i="1"/>
  <c r="RK232" i="1"/>
  <c r="RJ232" i="1"/>
  <c r="RI232" i="1"/>
  <c r="RH232" i="1"/>
  <c r="RG232" i="1"/>
  <c r="RF232" i="1"/>
  <c r="RE232" i="1"/>
  <c r="RD232" i="1"/>
  <c r="RC232" i="1"/>
  <c r="RB232" i="1"/>
  <c r="RA232" i="1"/>
  <c r="QZ232" i="1"/>
  <c r="QY232" i="1"/>
  <c r="QX232" i="1"/>
  <c r="QW232" i="1"/>
  <c r="QV232" i="1"/>
  <c r="QU232" i="1"/>
  <c r="QT232" i="1"/>
  <c r="QS232" i="1"/>
  <c r="QR232" i="1"/>
  <c r="QQ232" i="1"/>
  <c r="QP232" i="1"/>
  <c r="QO232" i="1"/>
  <c r="QN232" i="1"/>
  <c r="QM232" i="1"/>
  <c r="QL232" i="1"/>
  <c r="QK232" i="1"/>
  <c r="QJ232" i="1"/>
  <c r="QI232" i="1"/>
  <c r="QH232" i="1"/>
  <c r="QG232" i="1"/>
  <c r="QF232" i="1"/>
  <c r="QE232" i="1"/>
  <c r="QD232" i="1"/>
  <c r="QC232" i="1"/>
  <c r="QB232" i="1"/>
  <c r="QA232" i="1"/>
  <c r="PZ232" i="1"/>
  <c r="PY232" i="1"/>
  <c r="PY231" i="1"/>
  <c r="PY230" i="1"/>
  <c r="PY229" i="1"/>
  <c r="PY228" i="1"/>
  <c r="PY226" i="1"/>
  <c r="PY225" i="1"/>
  <c r="PY224" i="1"/>
  <c r="PY223" i="1"/>
  <c r="PY222" i="1"/>
  <c r="PY221" i="1"/>
  <c r="RY217" i="1"/>
  <c r="RX217" i="1"/>
  <c r="RW217" i="1"/>
  <c r="RV217" i="1"/>
  <c r="RU217" i="1"/>
  <c r="RG217" i="1"/>
  <c r="RD217" i="1"/>
  <c r="RA217" i="1"/>
  <c r="QX217" i="1"/>
  <c r="QU217" i="1"/>
  <c r="QR217" i="1"/>
  <c r="QO217" i="1"/>
  <c r="QL217" i="1"/>
  <c r="QI217" i="1"/>
  <c r="QF217" i="1"/>
  <c r="QC217" i="1"/>
  <c r="PZ217" i="1"/>
  <c r="RY216" i="1"/>
  <c r="RX216" i="1"/>
  <c r="RW216" i="1"/>
  <c r="RV216" i="1"/>
  <c r="RU216" i="1"/>
  <c r="RG216" i="1"/>
  <c r="RD216" i="1"/>
  <c r="RA216" i="1"/>
  <c r="QX216" i="1"/>
  <c r="QU216" i="1"/>
  <c r="QR216" i="1"/>
  <c r="QO216" i="1"/>
  <c r="QL216" i="1"/>
  <c r="QI216" i="1"/>
  <c r="QF216" i="1"/>
  <c r="QC216" i="1"/>
  <c r="PZ216" i="1"/>
  <c r="RY215" i="1"/>
  <c r="RX215" i="1"/>
  <c r="RW215" i="1"/>
  <c r="RV215" i="1"/>
  <c r="RU215" i="1"/>
  <c r="RG215" i="1"/>
  <c r="RD215" i="1"/>
  <c r="RA215" i="1"/>
  <c r="QX215" i="1"/>
  <c r="QU215" i="1"/>
  <c r="QR215" i="1"/>
  <c r="QO215" i="1"/>
  <c r="QL215" i="1"/>
  <c r="QI215" i="1"/>
  <c r="QF215" i="1"/>
  <c r="QC215" i="1"/>
  <c r="PZ215" i="1"/>
  <c r="RX214" i="1"/>
  <c r="RW214" i="1"/>
  <c r="RG214" i="1"/>
  <c r="RD214" i="1"/>
  <c r="RA214" i="1"/>
  <c r="QX214" i="1"/>
  <c r="QU214" i="1"/>
  <c r="QR214" i="1"/>
  <c r="QO214" i="1"/>
  <c r="QL214" i="1"/>
  <c r="QI214" i="1"/>
  <c r="QF214" i="1"/>
  <c r="QC214" i="1"/>
  <c r="PZ214" i="1"/>
  <c r="L214" i="1"/>
  <c r="K214" i="1"/>
  <c r="RV214" i="1" s="1"/>
  <c r="B214" i="1"/>
  <c r="RY214" i="1" s="1"/>
  <c r="RX213" i="1"/>
  <c r="RW213" i="1"/>
  <c r="RV213" i="1"/>
  <c r="RG213" i="1"/>
  <c r="RD213" i="1"/>
  <c r="RA213" i="1"/>
  <c r="QX213" i="1"/>
  <c r="QU213" i="1"/>
  <c r="QR213" i="1"/>
  <c r="QO213" i="1"/>
  <c r="QL213" i="1"/>
  <c r="QI213" i="1"/>
  <c r="QF213" i="1"/>
  <c r="QC213" i="1"/>
  <c r="PZ213" i="1"/>
  <c r="L213" i="1"/>
  <c r="K213" i="1"/>
  <c r="RU213" i="1" s="1"/>
  <c r="B213" i="1"/>
  <c r="RY213" i="1" s="1"/>
  <c r="RY212" i="1"/>
  <c r="RV212" i="1"/>
  <c r="RU212" i="1"/>
  <c r="RG212" i="1"/>
  <c r="RD212" i="1"/>
  <c r="RA212" i="1"/>
  <c r="QX212" i="1"/>
  <c r="QU212" i="1"/>
  <c r="QR212" i="1"/>
  <c r="QO212" i="1"/>
  <c r="QL212" i="1"/>
  <c r="QI212" i="1"/>
  <c r="QF212" i="1"/>
  <c r="QC212" i="1"/>
  <c r="PZ212" i="1"/>
  <c r="HS212" i="1"/>
  <c r="RX212" i="1" s="1"/>
  <c r="L212" i="1"/>
  <c r="RW212" i="1" s="1"/>
  <c r="K212" i="1"/>
  <c r="B212" i="1"/>
  <c r="RX211" i="1"/>
  <c r="RW211" i="1"/>
  <c r="RG211" i="1"/>
  <c r="RD211" i="1"/>
  <c r="RA211" i="1"/>
  <c r="QX211" i="1"/>
  <c r="QU211" i="1"/>
  <c r="QR211" i="1"/>
  <c r="QO211" i="1"/>
  <c r="QL211" i="1"/>
  <c r="QI211" i="1"/>
  <c r="QF211" i="1"/>
  <c r="QC211" i="1"/>
  <c r="PZ211" i="1"/>
  <c r="L211" i="1"/>
  <c r="K211" i="1"/>
  <c r="B211" i="1"/>
  <c r="RY211" i="1" s="1"/>
  <c r="RY210" i="1"/>
  <c r="RX210" i="1"/>
  <c r="RU210" i="1"/>
  <c r="RG210" i="1"/>
  <c r="RD210" i="1"/>
  <c r="RA210" i="1"/>
  <c r="QX210" i="1"/>
  <c r="QU210" i="1"/>
  <c r="QR210" i="1"/>
  <c r="QO210" i="1"/>
  <c r="QL210" i="1"/>
  <c r="QI210" i="1"/>
  <c r="QF210" i="1"/>
  <c r="QC210" i="1"/>
  <c r="PZ210" i="1"/>
  <c r="L210" i="1"/>
  <c r="RW210" i="1" s="1"/>
  <c r="K210" i="1"/>
  <c r="RV210" i="1" s="1"/>
  <c r="B210" i="1"/>
  <c r="RY209" i="1"/>
  <c r="RX209" i="1"/>
  <c r="RU209" i="1"/>
  <c r="RG209" i="1"/>
  <c r="RD209" i="1"/>
  <c r="RA209" i="1"/>
  <c r="QX209" i="1"/>
  <c r="QU209" i="1"/>
  <c r="QR209" i="1"/>
  <c r="QO209" i="1"/>
  <c r="QL209" i="1"/>
  <c r="QI209" i="1"/>
  <c r="QF209" i="1"/>
  <c r="QC209" i="1"/>
  <c r="PZ209" i="1"/>
  <c r="L209" i="1"/>
  <c r="RW209" i="1" s="1"/>
  <c r="K209" i="1"/>
  <c r="RV209" i="1" s="1"/>
  <c r="B209" i="1"/>
  <c r="RX208" i="1"/>
  <c r="RV208" i="1"/>
  <c r="RU208" i="1"/>
  <c r="RG208" i="1"/>
  <c r="RD208" i="1"/>
  <c r="RA208" i="1"/>
  <c r="QX208" i="1"/>
  <c r="QU208" i="1"/>
  <c r="QR208" i="1"/>
  <c r="QO208" i="1"/>
  <c r="QL208" i="1"/>
  <c r="QI208" i="1"/>
  <c r="QF208" i="1"/>
  <c r="QC208" i="1"/>
  <c r="PZ208" i="1"/>
  <c r="L208" i="1"/>
  <c r="RW208" i="1" s="1"/>
  <c r="K208" i="1"/>
  <c r="B208" i="1"/>
  <c r="RY208" i="1" s="1"/>
  <c r="RY207" i="1"/>
  <c r="RX207" i="1"/>
  <c r="RV207" i="1"/>
  <c r="RU207" i="1"/>
  <c r="RG207" i="1"/>
  <c r="RD207" i="1"/>
  <c r="RA207" i="1"/>
  <c r="QX207" i="1"/>
  <c r="QU207" i="1"/>
  <c r="QR207" i="1"/>
  <c r="QO207" i="1"/>
  <c r="QL207" i="1"/>
  <c r="QI207" i="1"/>
  <c r="QF207" i="1"/>
  <c r="QC207" i="1"/>
  <c r="PZ207" i="1"/>
  <c r="L207" i="1"/>
  <c r="RW207" i="1" s="1"/>
  <c r="K207" i="1"/>
  <c r="B207" i="1"/>
  <c r="RX206" i="1"/>
  <c r="RG206" i="1"/>
  <c r="RD206" i="1"/>
  <c r="RA206" i="1"/>
  <c r="QX206" i="1"/>
  <c r="QU206" i="1"/>
  <c r="QR206" i="1"/>
  <c r="QO206" i="1"/>
  <c r="QL206" i="1"/>
  <c r="QI206" i="1"/>
  <c r="QF206" i="1"/>
  <c r="QC206" i="1"/>
  <c r="PZ206" i="1"/>
  <c r="L206" i="1"/>
  <c r="RW206" i="1" s="1"/>
  <c r="K206" i="1"/>
  <c r="RV206" i="1" s="1"/>
  <c r="B206" i="1"/>
  <c r="RY206" i="1" s="1"/>
  <c r="RY205" i="1"/>
  <c r="RX205" i="1"/>
  <c r="RW205" i="1"/>
  <c r="RV205" i="1"/>
  <c r="RG205" i="1"/>
  <c r="RD205" i="1"/>
  <c r="RA205" i="1"/>
  <c r="QX205" i="1"/>
  <c r="QU205" i="1"/>
  <c r="QR205" i="1"/>
  <c r="QO205" i="1"/>
  <c r="QL205" i="1"/>
  <c r="QI205" i="1"/>
  <c r="QF205" i="1"/>
  <c r="QC205" i="1"/>
  <c r="PZ205" i="1"/>
  <c r="L205" i="1"/>
  <c r="K205" i="1"/>
  <c r="RU205" i="1" s="1"/>
  <c r="B205" i="1"/>
  <c r="RX204" i="1"/>
  <c r="RW204" i="1"/>
  <c r="RV204" i="1"/>
  <c r="RU204" i="1"/>
  <c r="RG204" i="1"/>
  <c r="RD204" i="1"/>
  <c r="RA204" i="1"/>
  <c r="QX204" i="1"/>
  <c r="QU204" i="1"/>
  <c r="QR204" i="1"/>
  <c r="QO204" i="1"/>
  <c r="QL204" i="1"/>
  <c r="QI204" i="1"/>
  <c r="QF204" i="1"/>
  <c r="QC204" i="1"/>
  <c r="PZ204" i="1"/>
  <c r="L204" i="1"/>
  <c r="K204" i="1"/>
  <c r="B204" i="1"/>
  <c r="RY204" i="1" s="1"/>
  <c r="RX203" i="1"/>
  <c r="RG203" i="1"/>
  <c r="RD203" i="1"/>
  <c r="RA203" i="1"/>
  <c r="QX203" i="1"/>
  <c r="QU203" i="1"/>
  <c r="QR203" i="1"/>
  <c r="QO203" i="1"/>
  <c r="QL203" i="1"/>
  <c r="QI203" i="1"/>
  <c r="QF203" i="1"/>
  <c r="QC203" i="1"/>
  <c r="PZ203" i="1"/>
  <c r="L203" i="1"/>
  <c r="RW203" i="1" s="1"/>
  <c r="K203" i="1"/>
  <c r="RV203" i="1" s="1"/>
  <c r="B203" i="1"/>
  <c r="RY203" i="1" s="1"/>
  <c r="RX202" i="1"/>
  <c r="RV202" i="1"/>
  <c r="RU202" i="1"/>
  <c r="RG202" i="1"/>
  <c r="RD202" i="1"/>
  <c r="RA202" i="1"/>
  <c r="QX202" i="1"/>
  <c r="QU202" i="1"/>
  <c r="QR202" i="1"/>
  <c r="QO202" i="1"/>
  <c r="QL202" i="1"/>
  <c r="QI202" i="1"/>
  <c r="QF202" i="1"/>
  <c r="QC202" i="1"/>
  <c r="PZ202" i="1"/>
  <c r="L202" i="1"/>
  <c r="RW202" i="1" s="1"/>
  <c r="K202" i="1"/>
  <c r="B202" i="1"/>
  <c r="RY202" i="1" s="1"/>
  <c r="RW201" i="1"/>
  <c r="RV201" i="1"/>
  <c r="RU201" i="1"/>
  <c r="RG201" i="1"/>
  <c r="RD201" i="1"/>
  <c r="RA201" i="1"/>
  <c r="QX201" i="1"/>
  <c r="QU201" i="1"/>
  <c r="QR201" i="1"/>
  <c r="QO201" i="1"/>
  <c r="QL201" i="1"/>
  <c r="QI201" i="1"/>
  <c r="QF201" i="1"/>
  <c r="QC201" i="1"/>
  <c r="PZ201" i="1"/>
  <c r="DU201" i="1"/>
  <c r="RX201" i="1" s="1"/>
  <c r="L201" i="1"/>
  <c r="K201" i="1"/>
  <c r="B201" i="1"/>
  <c r="RY201" i="1" s="1"/>
  <c r="RX200" i="1"/>
  <c r="RW200" i="1"/>
  <c r="RV200" i="1"/>
  <c r="RG200" i="1"/>
  <c r="RD200" i="1"/>
  <c r="RA200" i="1"/>
  <c r="QX200" i="1"/>
  <c r="QU200" i="1"/>
  <c r="QR200" i="1"/>
  <c r="QO200" i="1"/>
  <c r="QL200" i="1"/>
  <c r="QI200" i="1"/>
  <c r="QF200" i="1"/>
  <c r="QC200" i="1"/>
  <c r="PZ200" i="1"/>
  <c r="DU200" i="1"/>
  <c r="L200" i="1"/>
  <c r="K200" i="1"/>
  <c r="B200" i="1"/>
  <c r="RY200" i="1" s="1"/>
  <c r="RX199" i="1"/>
  <c r="RW199" i="1"/>
  <c r="RG199" i="1"/>
  <c r="RD199" i="1"/>
  <c r="RA199" i="1"/>
  <c r="QX199" i="1"/>
  <c r="QU199" i="1"/>
  <c r="QR199" i="1"/>
  <c r="QO199" i="1"/>
  <c r="QL199" i="1"/>
  <c r="QI199" i="1"/>
  <c r="QC199" i="1"/>
  <c r="PZ199" i="1"/>
  <c r="DU199" i="1"/>
  <c r="QF199" i="1" s="1"/>
  <c r="L199" i="1"/>
  <c r="K199" i="1"/>
  <c r="RU199" i="1" s="1"/>
  <c r="B199" i="1"/>
  <c r="RY199" i="1" s="1"/>
  <c r="RX198" i="1"/>
  <c r="RG198" i="1"/>
  <c r="RD198" i="1"/>
  <c r="RA198" i="1"/>
  <c r="QX198" i="1"/>
  <c r="QU198" i="1"/>
  <c r="QR198" i="1"/>
  <c r="QO198" i="1"/>
  <c r="QL198" i="1"/>
  <c r="QI198" i="1"/>
  <c r="QF198" i="1"/>
  <c r="QC198" i="1"/>
  <c r="PZ198" i="1"/>
  <c r="L198" i="1"/>
  <c r="RW198" i="1" s="1"/>
  <c r="K198" i="1"/>
  <c r="B198" i="1"/>
  <c r="RY198" i="1" s="1"/>
  <c r="RY197" i="1"/>
  <c r="RX197" i="1"/>
  <c r="RV197" i="1"/>
  <c r="RG197" i="1"/>
  <c r="RD197" i="1"/>
  <c r="RA197" i="1"/>
  <c r="QX197" i="1"/>
  <c r="QU197" i="1"/>
  <c r="QR197" i="1"/>
  <c r="QO197" i="1"/>
  <c r="QL197" i="1"/>
  <c r="QI197" i="1"/>
  <c r="QF197" i="1"/>
  <c r="QC197" i="1"/>
  <c r="PZ197" i="1"/>
  <c r="L197" i="1"/>
  <c r="RW197" i="1" s="1"/>
  <c r="K197" i="1"/>
  <c r="RU197" i="1" s="1"/>
  <c r="B197" i="1"/>
  <c r="RY196" i="1"/>
  <c r="RX196" i="1"/>
  <c r="RG196" i="1"/>
  <c r="RG229" i="1" s="1"/>
  <c r="RD196" i="1"/>
  <c r="RA196" i="1"/>
  <c r="QX196" i="1"/>
  <c r="QU196" i="1"/>
  <c r="QU229" i="1" s="1"/>
  <c r="QR196" i="1"/>
  <c r="QO196" i="1"/>
  <c r="QO229" i="1" s="1"/>
  <c r="QL196" i="1"/>
  <c r="QI196" i="1"/>
  <c r="QI229" i="1" s="1"/>
  <c r="QF196" i="1"/>
  <c r="QC196" i="1"/>
  <c r="PZ196" i="1"/>
  <c r="L196" i="1"/>
  <c r="RW196" i="1" s="1"/>
  <c r="K196" i="1"/>
  <c r="B196" i="1"/>
  <c r="RY195" i="1"/>
  <c r="RX195" i="1"/>
  <c r="RU195" i="1"/>
  <c r="RG195" i="1"/>
  <c r="RD195" i="1"/>
  <c r="RA195" i="1"/>
  <c r="QX195" i="1"/>
  <c r="QU195" i="1"/>
  <c r="QR195" i="1"/>
  <c r="QO195" i="1"/>
  <c r="QL195" i="1"/>
  <c r="QI195" i="1"/>
  <c r="QF195" i="1"/>
  <c r="QC195" i="1"/>
  <c r="PZ195" i="1"/>
  <c r="L195" i="1"/>
  <c r="RW195" i="1" s="1"/>
  <c r="K195" i="1"/>
  <c r="RV195" i="1" s="1"/>
  <c r="B195" i="1"/>
  <c r="RX194" i="1"/>
  <c r="RW194" i="1"/>
  <c r="RV194" i="1"/>
  <c r="RG194" i="1"/>
  <c r="RD194" i="1"/>
  <c r="RA194" i="1"/>
  <c r="QX194" i="1"/>
  <c r="QU194" i="1"/>
  <c r="QR194" i="1"/>
  <c r="QO194" i="1"/>
  <c r="QL194" i="1"/>
  <c r="QI194" i="1"/>
  <c r="QF194" i="1"/>
  <c r="QC194" i="1"/>
  <c r="PZ194" i="1"/>
  <c r="L194" i="1"/>
  <c r="K194" i="1"/>
  <c r="RU194" i="1" s="1"/>
  <c r="B194" i="1"/>
  <c r="RY194" i="1" s="1"/>
  <c r="RY193" i="1"/>
  <c r="RX193" i="1"/>
  <c r="RW193" i="1"/>
  <c r="RU193" i="1"/>
  <c r="RG193" i="1"/>
  <c r="RD193" i="1"/>
  <c r="RA193" i="1"/>
  <c r="QX193" i="1"/>
  <c r="QU193" i="1"/>
  <c r="QR193" i="1"/>
  <c r="QO193" i="1"/>
  <c r="QL193" i="1"/>
  <c r="QI193" i="1"/>
  <c r="QF193" i="1"/>
  <c r="QC193" i="1"/>
  <c r="PZ193" i="1"/>
  <c r="L193" i="1"/>
  <c r="K193" i="1"/>
  <c r="RV193" i="1" s="1"/>
  <c r="B193" i="1"/>
  <c r="RY192" i="1"/>
  <c r="RX192" i="1"/>
  <c r="RU192" i="1"/>
  <c r="RG192" i="1"/>
  <c r="RD192" i="1"/>
  <c r="RA192" i="1"/>
  <c r="QX192" i="1"/>
  <c r="QU192" i="1"/>
  <c r="QR192" i="1"/>
  <c r="QO192" i="1"/>
  <c r="QL192" i="1"/>
  <c r="QI192" i="1"/>
  <c r="QF192" i="1"/>
  <c r="QC192" i="1"/>
  <c r="PZ192" i="1"/>
  <c r="L192" i="1"/>
  <c r="RW192" i="1" s="1"/>
  <c r="K192" i="1"/>
  <c r="RV192" i="1" s="1"/>
  <c r="B192" i="1"/>
  <c r="RY191" i="1"/>
  <c r="RX191" i="1"/>
  <c r="RW191" i="1"/>
  <c r="RG191" i="1"/>
  <c r="RD191" i="1"/>
  <c r="RA191" i="1"/>
  <c r="QX191" i="1"/>
  <c r="QU191" i="1"/>
  <c r="QR191" i="1"/>
  <c r="QO191" i="1"/>
  <c r="QL191" i="1"/>
  <c r="QI191" i="1"/>
  <c r="QF191" i="1"/>
  <c r="QC191" i="1"/>
  <c r="PZ191" i="1"/>
  <c r="L191" i="1"/>
  <c r="K191" i="1"/>
  <c r="RU191" i="1" s="1"/>
  <c r="B191" i="1"/>
  <c r="RY190" i="1"/>
  <c r="RX190" i="1"/>
  <c r="RV190" i="1"/>
  <c r="RG190" i="1"/>
  <c r="RD190" i="1"/>
  <c r="RA190" i="1"/>
  <c r="QX190" i="1"/>
  <c r="QU190" i="1"/>
  <c r="QR190" i="1"/>
  <c r="QO190" i="1"/>
  <c r="QL190" i="1"/>
  <c r="QI190" i="1"/>
  <c r="QF190" i="1"/>
  <c r="QC190" i="1"/>
  <c r="PZ190" i="1"/>
  <c r="L190" i="1"/>
  <c r="RW190" i="1" s="1"/>
  <c r="K190" i="1"/>
  <c r="RU190" i="1" s="1"/>
  <c r="B190" i="1"/>
  <c r="RX189" i="1"/>
  <c r="RG189" i="1"/>
  <c r="RD189" i="1"/>
  <c r="RA189" i="1"/>
  <c r="QX189" i="1"/>
  <c r="QU189" i="1"/>
  <c r="QR189" i="1"/>
  <c r="QO189" i="1"/>
  <c r="QL189" i="1"/>
  <c r="QI189" i="1"/>
  <c r="QF189" i="1"/>
  <c r="QC189" i="1"/>
  <c r="PZ189" i="1"/>
  <c r="L189" i="1"/>
  <c r="RW189" i="1" s="1"/>
  <c r="K189" i="1"/>
  <c r="B189" i="1"/>
  <c r="RY189" i="1" s="1"/>
  <c r="RY188" i="1"/>
  <c r="RX188" i="1"/>
  <c r="RG188" i="1"/>
  <c r="RD188" i="1"/>
  <c r="RA188" i="1"/>
  <c r="QX188" i="1"/>
  <c r="QU188" i="1"/>
  <c r="QR188" i="1"/>
  <c r="QO188" i="1"/>
  <c r="QL188" i="1"/>
  <c r="QI188" i="1"/>
  <c r="QF188" i="1"/>
  <c r="QC188" i="1"/>
  <c r="PZ188" i="1"/>
  <c r="L188" i="1"/>
  <c r="RW188" i="1" s="1"/>
  <c r="K188" i="1"/>
  <c r="B188" i="1"/>
  <c r="RX187" i="1"/>
  <c r="RV187" i="1"/>
  <c r="RG187" i="1"/>
  <c r="RD187" i="1"/>
  <c r="RA187" i="1"/>
  <c r="QX187" i="1"/>
  <c r="QU187" i="1"/>
  <c r="QR187" i="1"/>
  <c r="QO187" i="1"/>
  <c r="QL187" i="1"/>
  <c r="QI187" i="1"/>
  <c r="QF187" i="1"/>
  <c r="QC187" i="1"/>
  <c r="PZ187" i="1"/>
  <c r="L187" i="1"/>
  <c r="RW187" i="1" s="1"/>
  <c r="K187" i="1"/>
  <c r="RU187" i="1" s="1"/>
  <c r="B187" i="1"/>
  <c r="RY187" i="1" s="1"/>
  <c r="RY186" i="1"/>
  <c r="RX186" i="1"/>
  <c r="RW186" i="1"/>
  <c r="RU186" i="1"/>
  <c r="RG186" i="1"/>
  <c r="RD186" i="1"/>
  <c r="RA186" i="1"/>
  <c r="QX186" i="1"/>
  <c r="QU186" i="1"/>
  <c r="QR186" i="1"/>
  <c r="QO186" i="1"/>
  <c r="QL186" i="1"/>
  <c r="QI186" i="1"/>
  <c r="QF186" i="1"/>
  <c r="QC186" i="1"/>
  <c r="PZ186" i="1"/>
  <c r="L186" i="1"/>
  <c r="K186" i="1"/>
  <c r="RV186" i="1" s="1"/>
  <c r="B186" i="1"/>
  <c r="RX185" i="1"/>
  <c r="RW185" i="1"/>
  <c r="RV185" i="1"/>
  <c r="RU185" i="1"/>
  <c r="RG185" i="1"/>
  <c r="RD185" i="1"/>
  <c r="RA185" i="1"/>
  <c r="QX185" i="1"/>
  <c r="QU185" i="1"/>
  <c r="QR185" i="1"/>
  <c r="QO185" i="1"/>
  <c r="QL185" i="1"/>
  <c r="QI185" i="1"/>
  <c r="QF185" i="1"/>
  <c r="QC185" i="1"/>
  <c r="PZ185" i="1"/>
  <c r="L185" i="1"/>
  <c r="K185" i="1"/>
  <c r="B185" i="1"/>
  <c r="RY185" i="1" s="1"/>
  <c r="RY184" i="1"/>
  <c r="RX184" i="1"/>
  <c r="RW184" i="1"/>
  <c r="RU184" i="1"/>
  <c r="RG184" i="1"/>
  <c r="RD184" i="1"/>
  <c r="RA184" i="1"/>
  <c r="QX184" i="1"/>
  <c r="QU184" i="1"/>
  <c r="QR184" i="1"/>
  <c r="QO184" i="1"/>
  <c r="QL184" i="1"/>
  <c r="QI184" i="1"/>
  <c r="QF184" i="1"/>
  <c r="QC184" i="1"/>
  <c r="PZ184" i="1"/>
  <c r="L184" i="1"/>
  <c r="K184" i="1"/>
  <c r="RV184" i="1" s="1"/>
  <c r="B184" i="1"/>
  <c r="RY183" i="1"/>
  <c r="RX183" i="1"/>
  <c r="RW183" i="1"/>
  <c r="RG183" i="1"/>
  <c r="RD183" i="1"/>
  <c r="RA183" i="1"/>
  <c r="QX183" i="1"/>
  <c r="QU183" i="1"/>
  <c r="QR183" i="1"/>
  <c r="QO183" i="1"/>
  <c r="QL183" i="1"/>
  <c r="QI183" i="1"/>
  <c r="QF183" i="1"/>
  <c r="QC183" i="1"/>
  <c r="PZ183" i="1"/>
  <c r="L183" i="1"/>
  <c r="K183" i="1"/>
  <c r="B183" i="1"/>
  <c r="RY182" i="1"/>
  <c r="RX182" i="1"/>
  <c r="RG182" i="1"/>
  <c r="RD182" i="1"/>
  <c r="RA182" i="1"/>
  <c r="QX182" i="1"/>
  <c r="QU182" i="1"/>
  <c r="QR182" i="1"/>
  <c r="QO182" i="1"/>
  <c r="QL182" i="1"/>
  <c r="QI182" i="1"/>
  <c r="QF182" i="1"/>
  <c r="QC182" i="1"/>
  <c r="PZ182" i="1"/>
  <c r="L182" i="1"/>
  <c r="RW182" i="1" s="1"/>
  <c r="K182" i="1"/>
  <c r="B182" i="1"/>
  <c r="RX181" i="1"/>
  <c r="RW181" i="1"/>
  <c r="RV181" i="1"/>
  <c r="RG181" i="1"/>
  <c r="RD181" i="1"/>
  <c r="RA181" i="1"/>
  <c r="QX181" i="1"/>
  <c r="QU181" i="1"/>
  <c r="QR181" i="1"/>
  <c r="QO181" i="1"/>
  <c r="QL181" i="1"/>
  <c r="QI181" i="1"/>
  <c r="QF181" i="1"/>
  <c r="QC181" i="1"/>
  <c r="PZ181" i="1"/>
  <c r="L181" i="1"/>
  <c r="K181" i="1"/>
  <c r="RU181" i="1" s="1"/>
  <c r="B181" i="1"/>
  <c r="RY181" i="1" s="1"/>
  <c r="RX180" i="1"/>
  <c r="RW180" i="1"/>
  <c r="RV180" i="1"/>
  <c r="RU180" i="1"/>
  <c r="RG180" i="1"/>
  <c r="RD180" i="1"/>
  <c r="RA180" i="1"/>
  <c r="QX180" i="1"/>
  <c r="QU180" i="1"/>
  <c r="QR180" i="1"/>
  <c r="QO180" i="1"/>
  <c r="QL180" i="1"/>
  <c r="QI180" i="1"/>
  <c r="QF180" i="1"/>
  <c r="QC180" i="1"/>
  <c r="PZ180" i="1"/>
  <c r="L180" i="1"/>
  <c r="K180" i="1"/>
  <c r="B180" i="1"/>
  <c r="RY180" i="1" s="1"/>
  <c r="RY179" i="1"/>
  <c r="RX179" i="1"/>
  <c r="RG179" i="1"/>
  <c r="RD179" i="1"/>
  <c r="RA179" i="1"/>
  <c r="QX179" i="1"/>
  <c r="QU179" i="1"/>
  <c r="QR179" i="1"/>
  <c r="QO179" i="1"/>
  <c r="QL179" i="1"/>
  <c r="QI179" i="1"/>
  <c r="QF179" i="1"/>
  <c r="QC179" i="1"/>
  <c r="PZ179" i="1"/>
  <c r="L179" i="1"/>
  <c r="RW179" i="1" s="1"/>
  <c r="K179" i="1"/>
  <c r="RV179" i="1" s="1"/>
  <c r="B179" i="1"/>
  <c r="RX178" i="1"/>
  <c r="RG178" i="1"/>
  <c r="RD178" i="1"/>
  <c r="RA178" i="1"/>
  <c r="QX178" i="1"/>
  <c r="QU178" i="1"/>
  <c r="QR178" i="1"/>
  <c r="QO178" i="1"/>
  <c r="QL178" i="1"/>
  <c r="QI178" i="1"/>
  <c r="QF178" i="1"/>
  <c r="QC178" i="1"/>
  <c r="PZ178" i="1"/>
  <c r="L178" i="1"/>
  <c r="RW178" i="1" s="1"/>
  <c r="K178" i="1"/>
  <c r="RV178" i="1" s="1"/>
  <c r="B178" i="1"/>
  <c r="RY178" i="1" s="1"/>
  <c r="RX177" i="1"/>
  <c r="RW177" i="1"/>
  <c r="RV177" i="1"/>
  <c r="RG177" i="1"/>
  <c r="RD177" i="1"/>
  <c r="RA177" i="1"/>
  <c r="QX177" i="1"/>
  <c r="QU177" i="1"/>
  <c r="QR177" i="1"/>
  <c r="QO177" i="1"/>
  <c r="QL177" i="1"/>
  <c r="QI177" i="1"/>
  <c r="QF177" i="1"/>
  <c r="QC177" i="1"/>
  <c r="PZ177" i="1"/>
  <c r="L177" i="1"/>
  <c r="K177" i="1"/>
  <c r="RU177" i="1" s="1"/>
  <c r="B177" i="1"/>
  <c r="RY177" i="1" s="1"/>
  <c r="RX176" i="1"/>
  <c r="RG176" i="1"/>
  <c r="RD176" i="1"/>
  <c r="RA176" i="1"/>
  <c r="QX176" i="1"/>
  <c r="QU176" i="1"/>
  <c r="QR176" i="1"/>
  <c r="QO176" i="1"/>
  <c r="QL176" i="1"/>
  <c r="QI176" i="1"/>
  <c r="QF176" i="1"/>
  <c r="QC176" i="1"/>
  <c r="PZ176" i="1"/>
  <c r="L176" i="1"/>
  <c r="RW176" i="1" s="1"/>
  <c r="K176" i="1"/>
  <c r="B176" i="1"/>
  <c r="RY176" i="1" s="1"/>
  <c r="RY175" i="1"/>
  <c r="RX175" i="1"/>
  <c r="RG175" i="1"/>
  <c r="RD175" i="1"/>
  <c r="RA175" i="1"/>
  <c r="QX175" i="1"/>
  <c r="QU175" i="1"/>
  <c r="QR175" i="1"/>
  <c r="QO175" i="1"/>
  <c r="QL175" i="1"/>
  <c r="QI175" i="1"/>
  <c r="QF175" i="1"/>
  <c r="QC175" i="1"/>
  <c r="PZ175" i="1"/>
  <c r="L175" i="1"/>
  <c r="RW175" i="1" s="1"/>
  <c r="K175" i="1"/>
  <c r="RU175" i="1" s="1"/>
  <c r="B175" i="1"/>
  <c r="RY174" i="1"/>
  <c r="RX174" i="1"/>
  <c r="RW174" i="1"/>
  <c r="RV174" i="1"/>
  <c r="RU174" i="1"/>
  <c r="RG174" i="1"/>
  <c r="RD174" i="1"/>
  <c r="RA174" i="1"/>
  <c r="QX174" i="1"/>
  <c r="QU174" i="1"/>
  <c r="QR174" i="1"/>
  <c r="QO174" i="1"/>
  <c r="QL174" i="1"/>
  <c r="QI174" i="1"/>
  <c r="QF174" i="1"/>
  <c r="QC174" i="1"/>
  <c r="PZ174" i="1"/>
  <c r="L174" i="1"/>
  <c r="K174" i="1"/>
  <c r="B174" i="1"/>
  <c r="RY173" i="1"/>
  <c r="RX173" i="1"/>
  <c r="RW173" i="1"/>
  <c r="RG173" i="1"/>
  <c r="RD173" i="1"/>
  <c r="RA173" i="1"/>
  <c r="QX173" i="1"/>
  <c r="QU173" i="1"/>
  <c r="QR173" i="1"/>
  <c r="QO173" i="1"/>
  <c r="QL173" i="1"/>
  <c r="QI173" i="1"/>
  <c r="QF173" i="1"/>
  <c r="QC173" i="1"/>
  <c r="PZ173" i="1"/>
  <c r="L173" i="1"/>
  <c r="K173" i="1"/>
  <c r="RV173" i="1" s="1"/>
  <c r="B173" i="1"/>
  <c r="RY172" i="1"/>
  <c r="RX172" i="1"/>
  <c r="RV172" i="1"/>
  <c r="RG172" i="1"/>
  <c r="RD172" i="1"/>
  <c r="RA172" i="1"/>
  <c r="QX172" i="1"/>
  <c r="QU172" i="1"/>
  <c r="QR172" i="1"/>
  <c r="QO172" i="1"/>
  <c r="QL172" i="1"/>
  <c r="QI172" i="1"/>
  <c r="QF172" i="1"/>
  <c r="QC172" i="1"/>
  <c r="PZ172" i="1"/>
  <c r="L172" i="1"/>
  <c r="RW172" i="1" s="1"/>
  <c r="K172" i="1"/>
  <c r="RU172" i="1" s="1"/>
  <c r="B172" i="1"/>
  <c r="RY171" i="1"/>
  <c r="RX171" i="1"/>
  <c r="RV171" i="1"/>
  <c r="RU171" i="1"/>
  <c r="RG171" i="1"/>
  <c r="RD171" i="1"/>
  <c r="RA171" i="1"/>
  <c r="QX171" i="1"/>
  <c r="QU171" i="1"/>
  <c r="QR171" i="1"/>
  <c r="QO171" i="1"/>
  <c r="QL171" i="1"/>
  <c r="QI171" i="1"/>
  <c r="QF171" i="1"/>
  <c r="QC171" i="1"/>
  <c r="PZ171" i="1"/>
  <c r="L171" i="1"/>
  <c r="RW171" i="1" s="1"/>
  <c r="K171" i="1"/>
  <c r="B171" i="1"/>
  <c r="RX170" i="1"/>
  <c r="RW170" i="1"/>
  <c r="RV170" i="1"/>
  <c r="RG170" i="1"/>
  <c r="RD170" i="1"/>
  <c r="RA170" i="1"/>
  <c r="QX170" i="1"/>
  <c r="QU170" i="1"/>
  <c r="QR170" i="1"/>
  <c r="QO170" i="1"/>
  <c r="QL170" i="1"/>
  <c r="QI170" i="1"/>
  <c r="QF170" i="1"/>
  <c r="QC170" i="1"/>
  <c r="PZ170" i="1"/>
  <c r="L170" i="1"/>
  <c r="K170" i="1"/>
  <c r="RU170" i="1" s="1"/>
  <c r="B170" i="1"/>
  <c r="RY170" i="1" s="1"/>
  <c r="RX169" i="1"/>
  <c r="RG169" i="1"/>
  <c r="RD169" i="1"/>
  <c r="RA169" i="1"/>
  <c r="QX169" i="1"/>
  <c r="QU169" i="1"/>
  <c r="QR169" i="1"/>
  <c r="QO169" i="1"/>
  <c r="QL169" i="1"/>
  <c r="QI169" i="1"/>
  <c r="QF169" i="1"/>
  <c r="QC169" i="1"/>
  <c r="PZ169" i="1"/>
  <c r="L169" i="1"/>
  <c r="RW169" i="1" s="1"/>
  <c r="K169" i="1"/>
  <c r="B169" i="1"/>
  <c r="RY169" i="1" s="1"/>
  <c r="RY168" i="1"/>
  <c r="RX168" i="1"/>
  <c r="RV168" i="1"/>
  <c r="RG168" i="1"/>
  <c r="RD168" i="1"/>
  <c r="RA168" i="1"/>
  <c r="QX168" i="1"/>
  <c r="QU168" i="1"/>
  <c r="QR168" i="1"/>
  <c r="QO168" i="1"/>
  <c r="QL168" i="1"/>
  <c r="QI168" i="1"/>
  <c r="QF168" i="1"/>
  <c r="QC168" i="1"/>
  <c r="PZ168" i="1"/>
  <c r="L168" i="1"/>
  <c r="RW168" i="1" s="1"/>
  <c r="K168" i="1"/>
  <c r="RU168" i="1" s="1"/>
  <c r="B168" i="1"/>
  <c r="RX167" i="1"/>
  <c r="RV167" i="1"/>
  <c r="RU167" i="1"/>
  <c r="RG167" i="1"/>
  <c r="RD167" i="1"/>
  <c r="RA167" i="1"/>
  <c r="QX167" i="1"/>
  <c r="QU167" i="1"/>
  <c r="QR167" i="1"/>
  <c r="QO167" i="1"/>
  <c r="QL167" i="1"/>
  <c r="QI167" i="1"/>
  <c r="QF167" i="1"/>
  <c r="QC167" i="1"/>
  <c r="PZ167" i="1"/>
  <c r="L167" i="1"/>
  <c r="RW167" i="1" s="1"/>
  <c r="K167" i="1"/>
  <c r="B167" i="1"/>
  <c r="RY167" i="1" s="1"/>
  <c r="RX166" i="1"/>
  <c r="RW166" i="1"/>
  <c r="RG166" i="1"/>
  <c r="RD166" i="1"/>
  <c r="RA166" i="1"/>
  <c r="QX166" i="1"/>
  <c r="QU166" i="1"/>
  <c r="QR166" i="1"/>
  <c r="QO166" i="1"/>
  <c r="QL166" i="1"/>
  <c r="QI166" i="1"/>
  <c r="QF166" i="1"/>
  <c r="QC166" i="1"/>
  <c r="PZ166" i="1"/>
  <c r="L166" i="1"/>
  <c r="K166" i="1"/>
  <c r="RV166" i="1" s="1"/>
  <c r="B166" i="1"/>
  <c r="RY166" i="1" s="1"/>
  <c r="RY165" i="1"/>
  <c r="RX165" i="1"/>
  <c r="RW165" i="1"/>
  <c r="RV165" i="1"/>
  <c r="RG165" i="1"/>
  <c r="RD165" i="1"/>
  <c r="RA165" i="1"/>
  <c r="QX165" i="1"/>
  <c r="QU165" i="1"/>
  <c r="QR165" i="1"/>
  <c r="QO165" i="1"/>
  <c r="QL165" i="1"/>
  <c r="QI165" i="1"/>
  <c r="QF165" i="1"/>
  <c r="QC165" i="1"/>
  <c r="PZ165" i="1"/>
  <c r="L165" i="1"/>
  <c r="K165" i="1"/>
  <c r="RU165" i="1" s="1"/>
  <c r="B165" i="1"/>
  <c r="RX164" i="1"/>
  <c r="RW164" i="1"/>
  <c r="RG164" i="1"/>
  <c r="RD164" i="1"/>
  <c r="RA164" i="1"/>
  <c r="QX164" i="1"/>
  <c r="QU164" i="1"/>
  <c r="QR164" i="1"/>
  <c r="QO164" i="1"/>
  <c r="QL164" i="1"/>
  <c r="QI164" i="1"/>
  <c r="QF164" i="1"/>
  <c r="QC164" i="1"/>
  <c r="PZ164" i="1"/>
  <c r="L164" i="1"/>
  <c r="K164" i="1"/>
  <c r="B164" i="1"/>
  <c r="RY164" i="1" s="1"/>
  <c r="RY163" i="1"/>
  <c r="RX163" i="1"/>
  <c r="RW163" i="1"/>
  <c r="RG163" i="1"/>
  <c r="RD163" i="1"/>
  <c r="RA163" i="1"/>
  <c r="QX163" i="1"/>
  <c r="QU163" i="1"/>
  <c r="QR163" i="1"/>
  <c r="QO163" i="1"/>
  <c r="QL163" i="1"/>
  <c r="QI163" i="1"/>
  <c r="QF163" i="1"/>
  <c r="QC163" i="1"/>
  <c r="PZ163" i="1"/>
  <c r="L163" i="1"/>
  <c r="K163" i="1"/>
  <c r="RV163" i="1" s="1"/>
  <c r="B163" i="1"/>
  <c r="RX162" i="1"/>
  <c r="RV162" i="1"/>
  <c r="RU162" i="1"/>
  <c r="RG162" i="1"/>
  <c r="RD162" i="1"/>
  <c r="RA162" i="1"/>
  <c r="QX162" i="1"/>
  <c r="QU162" i="1"/>
  <c r="QR162" i="1"/>
  <c r="QO162" i="1"/>
  <c r="QL162" i="1"/>
  <c r="QI162" i="1"/>
  <c r="QF162" i="1"/>
  <c r="QC162" i="1"/>
  <c r="PZ162" i="1"/>
  <c r="L162" i="1"/>
  <c r="RW162" i="1" s="1"/>
  <c r="K162" i="1"/>
  <c r="B162" i="1"/>
  <c r="RY162" i="1" s="1"/>
  <c r="RX161" i="1"/>
  <c r="RW161" i="1"/>
  <c r="RV161" i="1"/>
  <c r="RG161" i="1"/>
  <c r="RD161" i="1"/>
  <c r="RA161" i="1"/>
  <c r="QX161" i="1"/>
  <c r="QU161" i="1"/>
  <c r="QR161" i="1"/>
  <c r="QO161" i="1"/>
  <c r="QL161" i="1"/>
  <c r="QI161" i="1"/>
  <c r="QF161" i="1"/>
  <c r="QC161" i="1"/>
  <c r="PZ161" i="1"/>
  <c r="L161" i="1"/>
  <c r="K161" i="1"/>
  <c r="RU161" i="1" s="1"/>
  <c r="B161" i="1"/>
  <c r="RY161" i="1" s="1"/>
  <c r="RX160" i="1"/>
  <c r="RG160" i="1"/>
  <c r="RD160" i="1"/>
  <c r="RA160" i="1"/>
  <c r="QX160" i="1"/>
  <c r="QU160" i="1"/>
  <c r="QR160" i="1"/>
  <c r="QO160" i="1"/>
  <c r="QL160" i="1"/>
  <c r="QI160" i="1"/>
  <c r="QF160" i="1"/>
  <c r="QC160" i="1"/>
  <c r="PZ160" i="1"/>
  <c r="L160" i="1"/>
  <c r="RW160" i="1" s="1"/>
  <c r="K160" i="1"/>
  <c r="B160" i="1"/>
  <c r="RY160" i="1" s="1"/>
  <c r="RY159" i="1"/>
  <c r="RX159" i="1"/>
  <c r="RV159" i="1"/>
  <c r="RG159" i="1"/>
  <c r="RD159" i="1"/>
  <c r="RA159" i="1"/>
  <c r="QX159" i="1"/>
  <c r="QU159" i="1"/>
  <c r="QR159" i="1"/>
  <c r="QO159" i="1"/>
  <c r="QL159" i="1"/>
  <c r="QI159" i="1"/>
  <c r="QF159" i="1"/>
  <c r="QC159" i="1"/>
  <c r="PZ159" i="1"/>
  <c r="L159" i="1"/>
  <c r="RW159" i="1" s="1"/>
  <c r="K159" i="1"/>
  <c r="RU159" i="1" s="1"/>
  <c r="B159" i="1"/>
  <c r="RY158" i="1"/>
  <c r="RX158" i="1"/>
  <c r="RW158" i="1"/>
  <c r="RV158" i="1"/>
  <c r="RU158" i="1"/>
  <c r="RG158" i="1"/>
  <c r="RD158" i="1"/>
  <c r="RA158" i="1"/>
  <c r="QX158" i="1"/>
  <c r="QU158" i="1"/>
  <c r="QR158" i="1"/>
  <c r="QO158" i="1"/>
  <c r="QL158" i="1"/>
  <c r="QI158" i="1"/>
  <c r="QF158" i="1"/>
  <c r="QC158" i="1"/>
  <c r="PZ158" i="1"/>
  <c r="L158" i="1"/>
  <c r="K158" i="1"/>
  <c r="B158" i="1"/>
  <c r="RX157" i="1"/>
  <c r="RW157" i="1"/>
  <c r="RV157" i="1"/>
  <c r="RU157" i="1"/>
  <c r="RG157" i="1"/>
  <c r="RD157" i="1"/>
  <c r="RA157" i="1"/>
  <c r="QX157" i="1"/>
  <c r="QU157" i="1"/>
  <c r="QR157" i="1"/>
  <c r="QO157" i="1"/>
  <c r="QL157" i="1"/>
  <c r="QI157" i="1"/>
  <c r="QF157" i="1"/>
  <c r="QC157" i="1"/>
  <c r="PZ157" i="1"/>
  <c r="L157" i="1"/>
  <c r="K157" i="1"/>
  <c r="B157" i="1"/>
  <c r="RY157" i="1" s="1"/>
  <c r="RY156" i="1"/>
  <c r="RX156" i="1"/>
  <c r="RW156" i="1"/>
  <c r="RG156" i="1"/>
  <c r="RD156" i="1"/>
  <c r="RA156" i="1"/>
  <c r="QX156" i="1"/>
  <c r="QU156" i="1"/>
  <c r="QR156" i="1"/>
  <c r="QO156" i="1"/>
  <c r="QL156" i="1"/>
  <c r="QI156" i="1"/>
  <c r="QF156" i="1"/>
  <c r="QC156" i="1"/>
  <c r="PZ156" i="1"/>
  <c r="L156" i="1"/>
  <c r="K156" i="1"/>
  <c r="RU156" i="1" s="1"/>
  <c r="B156" i="1"/>
  <c r="RY155" i="1"/>
  <c r="RX155" i="1"/>
  <c r="RV155" i="1"/>
  <c r="RG155" i="1"/>
  <c r="RD155" i="1"/>
  <c r="RA155" i="1"/>
  <c r="QX155" i="1"/>
  <c r="QU155" i="1"/>
  <c r="QR155" i="1"/>
  <c r="QO155" i="1"/>
  <c r="QL155" i="1"/>
  <c r="QI155" i="1"/>
  <c r="QF155" i="1"/>
  <c r="QC155" i="1"/>
  <c r="PZ155" i="1"/>
  <c r="L155" i="1"/>
  <c r="RW155" i="1" s="1"/>
  <c r="K155" i="1"/>
  <c r="RU155" i="1" s="1"/>
  <c r="B155" i="1"/>
  <c r="RY154" i="1"/>
  <c r="RX154" i="1"/>
  <c r="RW154" i="1"/>
  <c r="RG154" i="1"/>
  <c r="RD154" i="1"/>
  <c r="RA154" i="1"/>
  <c r="QX154" i="1"/>
  <c r="QU154" i="1"/>
  <c r="QR154" i="1"/>
  <c r="QO154" i="1"/>
  <c r="QL154" i="1"/>
  <c r="QI154" i="1"/>
  <c r="QF154" i="1"/>
  <c r="QC154" i="1"/>
  <c r="PZ154" i="1"/>
  <c r="L154" i="1"/>
  <c r="K154" i="1"/>
  <c r="B154" i="1"/>
  <c r="RX153" i="1"/>
  <c r="RV153" i="1"/>
  <c r="RU153" i="1"/>
  <c r="RG153" i="1"/>
  <c r="RD153" i="1"/>
  <c r="RA153" i="1"/>
  <c r="QX153" i="1"/>
  <c r="QU153" i="1"/>
  <c r="QR153" i="1"/>
  <c r="QO153" i="1"/>
  <c r="QL153" i="1"/>
  <c r="QI153" i="1"/>
  <c r="QF153" i="1"/>
  <c r="QC153" i="1"/>
  <c r="PZ153" i="1"/>
  <c r="L153" i="1"/>
  <c r="RW153" i="1" s="1"/>
  <c r="K153" i="1"/>
  <c r="B153" i="1"/>
  <c r="RY153" i="1" s="1"/>
  <c r="RY152" i="1"/>
  <c r="RX152" i="1"/>
  <c r="RG152" i="1"/>
  <c r="RD152" i="1"/>
  <c r="RA152" i="1"/>
  <c r="QX152" i="1"/>
  <c r="QU152" i="1"/>
  <c r="QR152" i="1"/>
  <c r="QO152" i="1"/>
  <c r="QL152" i="1"/>
  <c r="QI152" i="1"/>
  <c r="QF152" i="1"/>
  <c r="QC152" i="1"/>
  <c r="PZ152" i="1"/>
  <c r="L152" i="1"/>
  <c r="RW152" i="1" s="1"/>
  <c r="K152" i="1"/>
  <c r="RU152" i="1" s="1"/>
  <c r="B152" i="1"/>
  <c r="RY151" i="1"/>
  <c r="RX151" i="1"/>
  <c r="RG151" i="1"/>
  <c r="RD151" i="1"/>
  <c r="RA151" i="1"/>
  <c r="QX151" i="1"/>
  <c r="QU151" i="1"/>
  <c r="QR151" i="1"/>
  <c r="QO151" i="1"/>
  <c r="QL151" i="1"/>
  <c r="QI151" i="1"/>
  <c r="QF151" i="1"/>
  <c r="QC151" i="1"/>
  <c r="PZ151" i="1"/>
  <c r="L151" i="1"/>
  <c r="RW151" i="1" s="1"/>
  <c r="K151" i="1"/>
  <c r="B151" i="1"/>
  <c r="RX150" i="1"/>
  <c r="RG150" i="1"/>
  <c r="RD150" i="1"/>
  <c r="RA150" i="1"/>
  <c r="QX150" i="1"/>
  <c r="QU150" i="1"/>
  <c r="QR150" i="1"/>
  <c r="QO150" i="1"/>
  <c r="QL150" i="1"/>
  <c r="QI150" i="1"/>
  <c r="QF150" i="1"/>
  <c r="QC150" i="1"/>
  <c r="PZ150" i="1"/>
  <c r="L150" i="1"/>
  <c r="RW150" i="1" s="1"/>
  <c r="K150" i="1"/>
  <c r="B150" i="1"/>
  <c r="RY150" i="1" s="1"/>
  <c r="RY149" i="1"/>
  <c r="RX149" i="1"/>
  <c r="RV149" i="1"/>
  <c r="RG149" i="1"/>
  <c r="RD149" i="1"/>
  <c r="RA149" i="1"/>
  <c r="QX149" i="1"/>
  <c r="QU149" i="1"/>
  <c r="QR149" i="1"/>
  <c r="QO149" i="1"/>
  <c r="QL149" i="1"/>
  <c r="QI149" i="1"/>
  <c r="QF149" i="1"/>
  <c r="QC149" i="1"/>
  <c r="PZ149" i="1"/>
  <c r="L149" i="1"/>
  <c r="RW149" i="1" s="1"/>
  <c r="K149" i="1"/>
  <c r="RU149" i="1" s="1"/>
  <c r="B149" i="1"/>
  <c r="RX148" i="1"/>
  <c r="RG148" i="1"/>
  <c r="RD148" i="1"/>
  <c r="RA148" i="1"/>
  <c r="QX148" i="1"/>
  <c r="QU148" i="1"/>
  <c r="QR148" i="1"/>
  <c r="QO148" i="1"/>
  <c r="QL148" i="1"/>
  <c r="QI148" i="1"/>
  <c r="QF148" i="1"/>
  <c r="QC148" i="1"/>
  <c r="PZ148" i="1"/>
  <c r="L148" i="1"/>
  <c r="RW148" i="1" s="1"/>
  <c r="K148" i="1"/>
  <c r="RV148" i="1" s="1"/>
  <c r="B148" i="1"/>
  <c r="RY148" i="1" s="1"/>
  <c r="RX147" i="1"/>
  <c r="RU147" i="1"/>
  <c r="RG147" i="1"/>
  <c r="RD147" i="1"/>
  <c r="RA147" i="1"/>
  <c r="QX147" i="1"/>
  <c r="QU147" i="1"/>
  <c r="QR147" i="1"/>
  <c r="QO147" i="1"/>
  <c r="QL147" i="1"/>
  <c r="QI147" i="1"/>
  <c r="QF147" i="1"/>
  <c r="QC147" i="1"/>
  <c r="PZ147" i="1"/>
  <c r="L147" i="1"/>
  <c r="RW147" i="1" s="1"/>
  <c r="K147" i="1"/>
  <c r="RV147" i="1" s="1"/>
  <c r="B147" i="1"/>
  <c r="RY147" i="1" s="1"/>
  <c r="RX146" i="1"/>
  <c r="RW146" i="1"/>
  <c r="RV146" i="1"/>
  <c r="RG146" i="1"/>
  <c r="RD146" i="1"/>
  <c r="RA146" i="1"/>
  <c r="QX146" i="1"/>
  <c r="QU146" i="1"/>
  <c r="QR146" i="1"/>
  <c r="QO146" i="1"/>
  <c r="QL146" i="1"/>
  <c r="QI146" i="1"/>
  <c r="QF146" i="1"/>
  <c r="QC146" i="1"/>
  <c r="PZ146" i="1"/>
  <c r="L146" i="1"/>
  <c r="K146" i="1"/>
  <c r="RU146" i="1" s="1"/>
  <c r="B146" i="1"/>
  <c r="RY146" i="1" s="1"/>
  <c r="RX145" i="1"/>
  <c r="RV145" i="1"/>
  <c r="RG145" i="1"/>
  <c r="RD145" i="1"/>
  <c r="RA145" i="1"/>
  <c r="RA228" i="1" s="1"/>
  <c r="QX145" i="1"/>
  <c r="QX228" i="1" s="1"/>
  <c r="QU145" i="1"/>
  <c r="QR145" i="1"/>
  <c r="QO145" i="1"/>
  <c r="QO228" i="1" s="1"/>
  <c r="QL145" i="1"/>
  <c r="QI145" i="1"/>
  <c r="QI228" i="1" s="1"/>
  <c r="QF145" i="1"/>
  <c r="QC145" i="1"/>
  <c r="PZ145" i="1"/>
  <c r="L145" i="1"/>
  <c r="RW145" i="1" s="1"/>
  <c r="K145" i="1"/>
  <c r="RU145" i="1" s="1"/>
  <c r="B145" i="1"/>
  <c r="RY145" i="1" s="1"/>
  <c r="RY144" i="1"/>
  <c r="RX144" i="1"/>
  <c r="RV144" i="1"/>
  <c r="RU144" i="1"/>
  <c r="RG144" i="1"/>
  <c r="RD144" i="1"/>
  <c r="RA144" i="1"/>
  <c r="QX144" i="1"/>
  <c r="QU144" i="1"/>
  <c r="QR144" i="1"/>
  <c r="QO144" i="1"/>
  <c r="QL144" i="1"/>
  <c r="QI144" i="1"/>
  <c r="QF144" i="1"/>
  <c r="QC144" i="1"/>
  <c r="PZ144" i="1"/>
  <c r="L144" i="1"/>
  <c r="RW144" i="1" s="1"/>
  <c r="K144" i="1"/>
  <c r="B144" i="1"/>
  <c r="RY143" i="1"/>
  <c r="RX143" i="1"/>
  <c r="RV143" i="1"/>
  <c r="RU143" i="1"/>
  <c r="RG143" i="1"/>
  <c r="RD143" i="1"/>
  <c r="RA143" i="1"/>
  <c r="QX143" i="1"/>
  <c r="QU143" i="1"/>
  <c r="QR143" i="1"/>
  <c r="QO143" i="1"/>
  <c r="QL143" i="1"/>
  <c r="QI143" i="1"/>
  <c r="QF143" i="1"/>
  <c r="QC143" i="1"/>
  <c r="PZ143" i="1"/>
  <c r="L143" i="1"/>
  <c r="RW143" i="1" s="1"/>
  <c r="K143" i="1"/>
  <c r="B143" i="1"/>
  <c r="RY142" i="1"/>
  <c r="RX142" i="1"/>
  <c r="RW142" i="1"/>
  <c r="RG142" i="1"/>
  <c r="RD142" i="1"/>
  <c r="RA142" i="1"/>
  <c r="QX142" i="1"/>
  <c r="QU142" i="1"/>
  <c r="QR142" i="1"/>
  <c r="QO142" i="1"/>
  <c r="QL142" i="1"/>
  <c r="QI142" i="1"/>
  <c r="QF142" i="1"/>
  <c r="QC142" i="1"/>
  <c r="PZ142" i="1"/>
  <c r="L142" i="1"/>
  <c r="K142" i="1"/>
  <c r="RV142" i="1" s="1"/>
  <c r="B142" i="1"/>
  <c r="RX141" i="1"/>
  <c r="RG141" i="1"/>
  <c r="RD141" i="1"/>
  <c r="RA141" i="1"/>
  <c r="QX141" i="1"/>
  <c r="QU141" i="1"/>
  <c r="QR141" i="1"/>
  <c r="QO141" i="1"/>
  <c r="QL141" i="1"/>
  <c r="QI141" i="1"/>
  <c r="QF141" i="1"/>
  <c r="QC141" i="1"/>
  <c r="PZ141" i="1"/>
  <c r="L141" i="1"/>
  <c r="RW141" i="1" s="1"/>
  <c r="K141" i="1"/>
  <c r="RV141" i="1" s="1"/>
  <c r="B141" i="1"/>
  <c r="RY141" i="1" s="1"/>
  <c r="RX140" i="1"/>
  <c r="RW140" i="1"/>
  <c r="RG140" i="1"/>
  <c r="RD140" i="1"/>
  <c r="RA140" i="1"/>
  <c r="QX140" i="1"/>
  <c r="QU140" i="1"/>
  <c r="QR140" i="1"/>
  <c r="QO140" i="1"/>
  <c r="QL140" i="1"/>
  <c r="QI140" i="1"/>
  <c r="QF140" i="1"/>
  <c r="QC140" i="1"/>
  <c r="PZ140" i="1"/>
  <c r="L140" i="1"/>
  <c r="K140" i="1"/>
  <c r="RV140" i="1" s="1"/>
  <c r="B140" i="1"/>
  <c r="RY140" i="1" s="1"/>
  <c r="RX139" i="1"/>
  <c r="RW139" i="1"/>
  <c r="RG139" i="1"/>
  <c r="RD139" i="1"/>
  <c r="RA139" i="1"/>
  <c r="QX139" i="1"/>
  <c r="QU139" i="1"/>
  <c r="QR139" i="1"/>
  <c r="QO139" i="1"/>
  <c r="QL139" i="1"/>
  <c r="QI139" i="1"/>
  <c r="QF139" i="1"/>
  <c r="QC139" i="1"/>
  <c r="PZ139" i="1"/>
  <c r="L139" i="1"/>
  <c r="K139" i="1"/>
  <c r="RV139" i="1" s="1"/>
  <c r="B139" i="1"/>
  <c r="RY139" i="1" s="1"/>
  <c r="RY138" i="1"/>
  <c r="RX138" i="1"/>
  <c r="RU138" i="1"/>
  <c r="RG138" i="1"/>
  <c r="RD138" i="1"/>
  <c r="RA138" i="1"/>
  <c r="QX138" i="1"/>
  <c r="QU138" i="1"/>
  <c r="QR138" i="1"/>
  <c r="QO138" i="1"/>
  <c r="QL138" i="1"/>
  <c r="QI138" i="1"/>
  <c r="QF138" i="1"/>
  <c r="QC138" i="1"/>
  <c r="PZ138" i="1"/>
  <c r="L138" i="1"/>
  <c r="RW138" i="1" s="1"/>
  <c r="K138" i="1"/>
  <c r="RV138" i="1" s="1"/>
  <c r="B138" i="1"/>
  <c r="RX137" i="1"/>
  <c r="RG137" i="1"/>
  <c r="RD137" i="1"/>
  <c r="RA137" i="1"/>
  <c r="QX137" i="1"/>
  <c r="QU137" i="1"/>
  <c r="QR137" i="1"/>
  <c r="QO137" i="1"/>
  <c r="QL137" i="1"/>
  <c r="QI137" i="1"/>
  <c r="QF137" i="1"/>
  <c r="QC137" i="1"/>
  <c r="PZ137" i="1"/>
  <c r="L137" i="1"/>
  <c r="RW137" i="1" s="1"/>
  <c r="K137" i="1"/>
  <c r="RU137" i="1" s="1"/>
  <c r="B137" i="1"/>
  <c r="RY137" i="1" s="1"/>
  <c r="RX136" i="1"/>
  <c r="RV136" i="1"/>
  <c r="RG136" i="1"/>
  <c r="RD136" i="1"/>
  <c r="RA136" i="1"/>
  <c r="QX136" i="1"/>
  <c r="QU136" i="1"/>
  <c r="QR136" i="1"/>
  <c r="QO136" i="1"/>
  <c r="QL136" i="1"/>
  <c r="QI136" i="1"/>
  <c r="QF136" i="1"/>
  <c r="QC136" i="1"/>
  <c r="PZ136" i="1"/>
  <c r="L136" i="1"/>
  <c r="RW136" i="1" s="1"/>
  <c r="K136" i="1"/>
  <c r="RU136" i="1" s="1"/>
  <c r="B136" i="1"/>
  <c r="RY136" i="1" s="1"/>
  <c r="RY135" i="1"/>
  <c r="RX135" i="1"/>
  <c r="RW135" i="1"/>
  <c r="RG135" i="1"/>
  <c r="RD135" i="1"/>
  <c r="RA135" i="1"/>
  <c r="QX135" i="1"/>
  <c r="QU135" i="1"/>
  <c r="QR135" i="1"/>
  <c r="QO135" i="1"/>
  <c r="QL135" i="1"/>
  <c r="QI135" i="1"/>
  <c r="QF135" i="1"/>
  <c r="QC135" i="1"/>
  <c r="PZ135" i="1"/>
  <c r="L135" i="1"/>
  <c r="K135" i="1"/>
  <c r="B135" i="1"/>
  <c r="RX134" i="1"/>
  <c r="RG134" i="1"/>
  <c r="RD134" i="1"/>
  <c r="RA134" i="1"/>
  <c r="QX134" i="1"/>
  <c r="QU134" i="1"/>
  <c r="QR134" i="1"/>
  <c r="QO134" i="1"/>
  <c r="QL134" i="1"/>
  <c r="QI134" i="1"/>
  <c r="QF134" i="1"/>
  <c r="QC134" i="1"/>
  <c r="PZ134" i="1"/>
  <c r="L134" i="1"/>
  <c r="RW134" i="1" s="1"/>
  <c r="K134" i="1"/>
  <c r="RU134" i="1" s="1"/>
  <c r="B134" i="1"/>
  <c r="RY134" i="1" s="1"/>
  <c r="RX133" i="1"/>
  <c r="RW133" i="1"/>
  <c r="RU133" i="1"/>
  <c r="RG133" i="1"/>
  <c r="RD133" i="1"/>
  <c r="RA133" i="1"/>
  <c r="QX133" i="1"/>
  <c r="QU133" i="1"/>
  <c r="QR133" i="1"/>
  <c r="QO133" i="1"/>
  <c r="QL133" i="1"/>
  <c r="QI133" i="1"/>
  <c r="QF133" i="1"/>
  <c r="QC133" i="1"/>
  <c r="PZ133" i="1"/>
  <c r="L133" i="1"/>
  <c r="K133" i="1"/>
  <c r="RV133" i="1" s="1"/>
  <c r="B133" i="1"/>
  <c r="RY133" i="1" s="1"/>
  <c r="RX132" i="1"/>
  <c r="RW132" i="1"/>
  <c r="RU132" i="1"/>
  <c r="RG132" i="1"/>
  <c r="RD132" i="1"/>
  <c r="RA132" i="1"/>
  <c r="QX132" i="1"/>
  <c r="QU132" i="1"/>
  <c r="QR132" i="1"/>
  <c r="QO132" i="1"/>
  <c r="QL132" i="1"/>
  <c r="QI132" i="1"/>
  <c r="QF132" i="1"/>
  <c r="QC132" i="1"/>
  <c r="PZ132" i="1"/>
  <c r="L132" i="1"/>
  <c r="K132" i="1"/>
  <c r="RV132" i="1" s="1"/>
  <c r="B132" i="1"/>
  <c r="RY132" i="1" s="1"/>
  <c r="RX131" i="1"/>
  <c r="RV131" i="1"/>
  <c r="RG131" i="1"/>
  <c r="RD131" i="1"/>
  <c r="RA131" i="1"/>
  <c r="QX131" i="1"/>
  <c r="QU131" i="1"/>
  <c r="QR131" i="1"/>
  <c r="QO131" i="1"/>
  <c r="QL131" i="1"/>
  <c r="QI131" i="1"/>
  <c r="QF131" i="1"/>
  <c r="QC131" i="1"/>
  <c r="PZ131" i="1"/>
  <c r="L131" i="1"/>
  <c r="RW131" i="1" s="1"/>
  <c r="K131" i="1"/>
  <c r="RU131" i="1" s="1"/>
  <c r="B131" i="1"/>
  <c r="RY131" i="1" s="1"/>
  <c r="RY130" i="1"/>
  <c r="RX130" i="1"/>
  <c r="RV130" i="1"/>
  <c r="RG130" i="1"/>
  <c r="RD130" i="1"/>
  <c r="RA130" i="1"/>
  <c r="QX130" i="1"/>
  <c r="QU130" i="1"/>
  <c r="QR130" i="1"/>
  <c r="QO130" i="1"/>
  <c r="QL130" i="1"/>
  <c r="QI130" i="1"/>
  <c r="QF130" i="1"/>
  <c r="QC130" i="1"/>
  <c r="PZ130" i="1"/>
  <c r="L130" i="1"/>
  <c r="RW130" i="1" s="1"/>
  <c r="K130" i="1"/>
  <c r="RU130" i="1" s="1"/>
  <c r="B130" i="1"/>
  <c r="RX129" i="1"/>
  <c r="RG129" i="1"/>
  <c r="RD129" i="1"/>
  <c r="RA129" i="1"/>
  <c r="QX129" i="1"/>
  <c r="QU129" i="1"/>
  <c r="QR129" i="1"/>
  <c r="QO129" i="1"/>
  <c r="QL129" i="1"/>
  <c r="QI129" i="1"/>
  <c r="QF129" i="1"/>
  <c r="QC129" i="1"/>
  <c r="PZ129" i="1"/>
  <c r="L129" i="1"/>
  <c r="RW129" i="1" s="1"/>
  <c r="K129" i="1"/>
  <c r="RV129" i="1" s="1"/>
  <c r="B129" i="1"/>
  <c r="RY129" i="1" s="1"/>
  <c r="RX128" i="1"/>
  <c r="RV128" i="1"/>
  <c r="RG128" i="1"/>
  <c r="RD128" i="1"/>
  <c r="RA128" i="1"/>
  <c r="QX128" i="1"/>
  <c r="QU128" i="1"/>
  <c r="QR128" i="1"/>
  <c r="QO128" i="1"/>
  <c r="QL128" i="1"/>
  <c r="QI128" i="1"/>
  <c r="QF128" i="1"/>
  <c r="QC128" i="1"/>
  <c r="PZ128" i="1"/>
  <c r="L128" i="1"/>
  <c r="RW128" i="1" s="1"/>
  <c r="K128" i="1"/>
  <c r="RU128" i="1" s="1"/>
  <c r="B128" i="1"/>
  <c r="RY128" i="1" s="1"/>
  <c r="RX127" i="1"/>
  <c r="RW127" i="1"/>
  <c r="RV127" i="1"/>
  <c r="RG127" i="1"/>
  <c r="RD127" i="1"/>
  <c r="RA127" i="1"/>
  <c r="QX127" i="1"/>
  <c r="QU127" i="1"/>
  <c r="QR127" i="1"/>
  <c r="QO127" i="1"/>
  <c r="QL127" i="1"/>
  <c r="QI127" i="1"/>
  <c r="QF127" i="1"/>
  <c r="QC127" i="1"/>
  <c r="PZ127" i="1"/>
  <c r="L127" i="1"/>
  <c r="K127" i="1"/>
  <c r="RU127" i="1" s="1"/>
  <c r="B127" i="1"/>
  <c r="RY127" i="1" s="1"/>
  <c r="RX126" i="1"/>
  <c r="RV126" i="1"/>
  <c r="RU126" i="1"/>
  <c r="RG126" i="1"/>
  <c r="RD126" i="1"/>
  <c r="RA126" i="1"/>
  <c r="QX126" i="1"/>
  <c r="QU126" i="1"/>
  <c r="QR126" i="1"/>
  <c r="QO126" i="1"/>
  <c r="QL126" i="1"/>
  <c r="QI126" i="1"/>
  <c r="QF126" i="1"/>
  <c r="QC126" i="1"/>
  <c r="PZ126" i="1"/>
  <c r="L126" i="1"/>
  <c r="RW126" i="1" s="1"/>
  <c r="K126" i="1"/>
  <c r="B126" i="1"/>
  <c r="RY126" i="1" s="1"/>
  <c r="RY125" i="1"/>
  <c r="RX125" i="1"/>
  <c r="RU125" i="1"/>
  <c r="RG125" i="1"/>
  <c r="RD125" i="1"/>
  <c r="RA125" i="1"/>
  <c r="QX125" i="1"/>
  <c r="QU125" i="1"/>
  <c r="QR125" i="1"/>
  <c r="QO125" i="1"/>
  <c r="QL125" i="1"/>
  <c r="QI125" i="1"/>
  <c r="QF125" i="1"/>
  <c r="QC125" i="1"/>
  <c r="PZ125" i="1"/>
  <c r="L125" i="1"/>
  <c r="RW125" i="1" s="1"/>
  <c r="K125" i="1"/>
  <c r="RV125" i="1" s="1"/>
  <c r="B125" i="1"/>
  <c r="RX124" i="1"/>
  <c r="RW124" i="1"/>
  <c r="RG124" i="1"/>
  <c r="RD124" i="1"/>
  <c r="RA124" i="1"/>
  <c r="QX124" i="1"/>
  <c r="QU124" i="1"/>
  <c r="QR124" i="1"/>
  <c r="QO124" i="1"/>
  <c r="QL124" i="1"/>
  <c r="QI124" i="1"/>
  <c r="QF124" i="1"/>
  <c r="QC124" i="1"/>
  <c r="PZ124" i="1"/>
  <c r="L124" i="1"/>
  <c r="K124" i="1"/>
  <c r="RV124" i="1" s="1"/>
  <c r="B124" i="1"/>
  <c r="RY124" i="1" s="1"/>
  <c r="RY123" i="1"/>
  <c r="RX123" i="1"/>
  <c r="RW123" i="1"/>
  <c r="RU123" i="1"/>
  <c r="RG123" i="1"/>
  <c r="RD123" i="1"/>
  <c r="RA123" i="1"/>
  <c r="QX123" i="1"/>
  <c r="QU123" i="1"/>
  <c r="QR123" i="1"/>
  <c r="QO123" i="1"/>
  <c r="QL123" i="1"/>
  <c r="QI123" i="1"/>
  <c r="QF123" i="1"/>
  <c r="QC123" i="1"/>
  <c r="PZ123" i="1"/>
  <c r="L123" i="1"/>
  <c r="K123" i="1"/>
  <c r="RV123" i="1" s="1"/>
  <c r="B123" i="1"/>
  <c r="RX122" i="1"/>
  <c r="RG122" i="1"/>
  <c r="RD122" i="1"/>
  <c r="RA122" i="1"/>
  <c r="QX122" i="1"/>
  <c r="QU122" i="1"/>
  <c r="QR122" i="1"/>
  <c r="QO122" i="1"/>
  <c r="QL122" i="1"/>
  <c r="QI122" i="1"/>
  <c r="QF122" i="1"/>
  <c r="QC122" i="1"/>
  <c r="PZ122" i="1"/>
  <c r="L122" i="1"/>
  <c r="RW122" i="1" s="1"/>
  <c r="K122" i="1"/>
  <c r="B122" i="1"/>
  <c r="RY122" i="1" s="1"/>
  <c r="RX121" i="1"/>
  <c r="RG121" i="1"/>
  <c r="RD121" i="1"/>
  <c r="RA121" i="1"/>
  <c r="QX121" i="1"/>
  <c r="QU121" i="1"/>
  <c r="QR121" i="1"/>
  <c r="QO121" i="1"/>
  <c r="QL121" i="1"/>
  <c r="QI121" i="1"/>
  <c r="QF121" i="1"/>
  <c r="QC121" i="1"/>
  <c r="PZ121" i="1"/>
  <c r="L121" i="1"/>
  <c r="RW121" i="1" s="1"/>
  <c r="K121" i="1"/>
  <c r="RV121" i="1" s="1"/>
  <c r="B121" i="1"/>
  <c r="RY121" i="1" s="1"/>
  <c r="RX120" i="1"/>
  <c r="RG120" i="1"/>
  <c r="RD120" i="1"/>
  <c r="RA120" i="1"/>
  <c r="QX120" i="1"/>
  <c r="QU120" i="1"/>
  <c r="QR120" i="1"/>
  <c r="QO120" i="1"/>
  <c r="QL120" i="1"/>
  <c r="QI120" i="1"/>
  <c r="QF120" i="1"/>
  <c r="QC120" i="1"/>
  <c r="PZ120" i="1"/>
  <c r="L120" i="1"/>
  <c r="RW120" i="1" s="1"/>
  <c r="K120" i="1"/>
  <c r="B120" i="1"/>
  <c r="RY120" i="1" s="1"/>
  <c r="RX119" i="1"/>
  <c r="RV119" i="1"/>
  <c r="RG119" i="1"/>
  <c r="RD119" i="1"/>
  <c r="RA119" i="1"/>
  <c r="QX119" i="1"/>
  <c r="QU119" i="1"/>
  <c r="QR119" i="1"/>
  <c r="QO119" i="1"/>
  <c r="QL119" i="1"/>
  <c r="QI119" i="1"/>
  <c r="QF119" i="1"/>
  <c r="QC119" i="1"/>
  <c r="PZ119" i="1"/>
  <c r="L119" i="1"/>
  <c r="RW119" i="1" s="1"/>
  <c r="K119" i="1"/>
  <c r="RU119" i="1" s="1"/>
  <c r="B119" i="1"/>
  <c r="RY119" i="1" s="1"/>
  <c r="RX118" i="1"/>
  <c r="RV118" i="1"/>
  <c r="RG118" i="1"/>
  <c r="RD118" i="1"/>
  <c r="RA118" i="1"/>
  <c r="QX118" i="1"/>
  <c r="QU118" i="1"/>
  <c r="QR118" i="1"/>
  <c r="QO118" i="1"/>
  <c r="QL118" i="1"/>
  <c r="QI118" i="1"/>
  <c r="QF118" i="1"/>
  <c r="QC118" i="1"/>
  <c r="PZ118" i="1"/>
  <c r="L118" i="1"/>
  <c r="RW118" i="1" s="1"/>
  <c r="K118" i="1"/>
  <c r="RU118" i="1" s="1"/>
  <c r="B118" i="1"/>
  <c r="RY118" i="1" s="1"/>
  <c r="RY117" i="1"/>
  <c r="RX117" i="1"/>
  <c r="RG117" i="1"/>
  <c r="RD117" i="1"/>
  <c r="RA117" i="1"/>
  <c r="QX117" i="1"/>
  <c r="QU117" i="1"/>
  <c r="QR117" i="1"/>
  <c r="QO117" i="1"/>
  <c r="QL117" i="1"/>
  <c r="QI117" i="1"/>
  <c r="QF117" i="1"/>
  <c r="QC117" i="1"/>
  <c r="PZ117" i="1"/>
  <c r="L117" i="1"/>
  <c r="RW117" i="1" s="1"/>
  <c r="K117" i="1"/>
  <c r="B117" i="1"/>
  <c r="RX116" i="1"/>
  <c r="RG116" i="1"/>
  <c r="RD116" i="1"/>
  <c r="RA116" i="1"/>
  <c r="QX116" i="1"/>
  <c r="QU116" i="1"/>
  <c r="QR116" i="1"/>
  <c r="QO116" i="1"/>
  <c r="QL116" i="1"/>
  <c r="QI116" i="1"/>
  <c r="QF116" i="1"/>
  <c r="QC116" i="1"/>
  <c r="PZ116" i="1"/>
  <c r="L116" i="1"/>
  <c r="RW116" i="1" s="1"/>
  <c r="K116" i="1"/>
  <c r="RV116" i="1" s="1"/>
  <c r="B116" i="1"/>
  <c r="RY116" i="1" s="1"/>
  <c r="RX115" i="1"/>
  <c r="RG115" i="1"/>
  <c r="RD115" i="1"/>
  <c r="RA115" i="1"/>
  <c r="QX115" i="1"/>
  <c r="QU115" i="1"/>
  <c r="QR115" i="1"/>
  <c r="QO115" i="1"/>
  <c r="QL115" i="1"/>
  <c r="QI115" i="1"/>
  <c r="QF115" i="1"/>
  <c r="QC115" i="1"/>
  <c r="PZ115" i="1"/>
  <c r="L115" i="1"/>
  <c r="RW115" i="1" s="1"/>
  <c r="K115" i="1"/>
  <c r="B115" i="1"/>
  <c r="RY115" i="1" s="1"/>
  <c r="RX114" i="1"/>
  <c r="RG114" i="1"/>
  <c r="RD114" i="1"/>
  <c r="RA114" i="1"/>
  <c r="QX114" i="1"/>
  <c r="QU114" i="1"/>
  <c r="QR114" i="1"/>
  <c r="QO114" i="1"/>
  <c r="QL114" i="1"/>
  <c r="QI114" i="1"/>
  <c r="QF114" i="1"/>
  <c r="QC114" i="1"/>
  <c r="PZ114" i="1"/>
  <c r="L114" i="1"/>
  <c r="RW114" i="1" s="1"/>
  <c r="K114" i="1"/>
  <c r="B114" i="1"/>
  <c r="RY114" i="1" s="1"/>
  <c r="RY113" i="1"/>
  <c r="RX113" i="1"/>
  <c r="RG113" i="1"/>
  <c r="RD113" i="1"/>
  <c r="RA113" i="1"/>
  <c r="QX113" i="1"/>
  <c r="QU113" i="1"/>
  <c r="QR113" i="1"/>
  <c r="QO113" i="1"/>
  <c r="QL113" i="1"/>
  <c r="QI113" i="1"/>
  <c r="QF113" i="1"/>
  <c r="QC113" i="1"/>
  <c r="PZ113" i="1"/>
  <c r="L113" i="1"/>
  <c r="RW113" i="1" s="1"/>
  <c r="K113" i="1"/>
  <c r="B113" i="1"/>
  <c r="RX112" i="1"/>
  <c r="RG112" i="1"/>
  <c r="RD112" i="1"/>
  <c r="RA112" i="1"/>
  <c r="QX112" i="1"/>
  <c r="QU112" i="1"/>
  <c r="QR112" i="1"/>
  <c r="QO112" i="1"/>
  <c r="QL112" i="1"/>
  <c r="QI112" i="1"/>
  <c r="QF112" i="1"/>
  <c r="QC112" i="1"/>
  <c r="PZ112" i="1"/>
  <c r="L112" i="1"/>
  <c r="RW112" i="1" s="1"/>
  <c r="K112" i="1"/>
  <c r="B112" i="1"/>
  <c r="RY112" i="1" s="1"/>
  <c r="RX111" i="1"/>
  <c r="RW111" i="1"/>
  <c r="RG111" i="1"/>
  <c r="RD111" i="1"/>
  <c r="RA111" i="1"/>
  <c r="QX111" i="1"/>
  <c r="QU111" i="1"/>
  <c r="QR111" i="1"/>
  <c r="QO111" i="1"/>
  <c r="QL111" i="1"/>
  <c r="QI111" i="1"/>
  <c r="QF111" i="1"/>
  <c r="QC111" i="1"/>
  <c r="PZ111" i="1"/>
  <c r="L111" i="1"/>
  <c r="K111" i="1"/>
  <c r="B111" i="1"/>
  <c r="RY111" i="1" s="1"/>
  <c r="RX110" i="1"/>
  <c r="RV110" i="1"/>
  <c r="RU110" i="1"/>
  <c r="RG110" i="1"/>
  <c r="RD110" i="1"/>
  <c r="RA110" i="1"/>
  <c r="QX110" i="1"/>
  <c r="QU110" i="1"/>
  <c r="QR110" i="1"/>
  <c r="QO110" i="1"/>
  <c r="QL110" i="1"/>
  <c r="QI110" i="1"/>
  <c r="QF110" i="1"/>
  <c r="QC110" i="1"/>
  <c r="PZ110" i="1"/>
  <c r="L110" i="1"/>
  <c r="RW110" i="1" s="1"/>
  <c r="K110" i="1"/>
  <c r="B110" i="1"/>
  <c r="RY110" i="1" s="1"/>
  <c r="RX109" i="1"/>
  <c r="RG109" i="1"/>
  <c r="RD109" i="1"/>
  <c r="RA109" i="1"/>
  <c r="QX109" i="1"/>
  <c r="QU109" i="1"/>
  <c r="QR109" i="1"/>
  <c r="QO109" i="1"/>
  <c r="QL109" i="1"/>
  <c r="QI109" i="1"/>
  <c r="QF109" i="1"/>
  <c r="QC109" i="1"/>
  <c r="PZ109" i="1"/>
  <c r="L109" i="1"/>
  <c r="RW109" i="1" s="1"/>
  <c r="K109" i="1"/>
  <c r="RV109" i="1" s="1"/>
  <c r="B109" i="1"/>
  <c r="RY109" i="1" s="1"/>
  <c r="RX108" i="1"/>
  <c r="RW108" i="1"/>
  <c r="RG108" i="1"/>
  <c r="RD108" i="1"/>
  <c r="RA108" i="1"/>
  <c r="QX108" i="1"/>
  <c r="QU108" i="1"/>
  <c r="QR108" i="1"/>
  <c r="QO108" i="1"/>
  <c r="QL108" i="1"/>
  <c r="QI108" i="1"/>
  <c r="QF108" i="1"/>
  <c r="QC108" i="1"/>
  <c r="PZ108" i="1"/>
  <c r="L108" i="1"/>
  <c r="K108" i="1"/>
  <c r="B108" i="1"/>
  <c r="RY108" i="1" s="1"/>
  <c r="RX107" i="1"/>
  <c r="RW107" i="1"/>
  <c r="RV107" i="1"/>
  <c r="RU107" i="1"/>
  <c r="RG107" i="1"/>
  <c r="RD107" i="1"/>
  <c r="RA107" i="1"/>
  <c r="QX107" i="1"/>
  <c r="QU107" i="1"/>
  <c r="QR107" i="1"/>
  <c r="QO107" i="1"/>
  <c r="QL107" i="1"/>
  <c r="QI107" i="1"/>
  <c r="QF107" i="1"/>
  <c r="QC107" i="1"/>
  <c r="PZ107" i="1"/>
  <c r="L107" i="1"/>
  <c r="K107" i="1"/>
  <c r="B107" i="1"/>
  <c r="RY107" i="1" s="1"/>
  <c r="RY106" i="1"/>
  <c r="RX106" i="1"/>
  <c r="RW106" i="1"/>
  <c r="RG106" i="1"/>
  <c r="RD106" i="1"/>
  <c r="RA106" i="1"/>
  <c r="QX106" i="1"/>
  <c r="QU106" i="1"/>
  <c r="QR106" i="1"/>
  <c r="QO106" i="1"/>
  <c r="QL106" i="1"/>
  <c r="QI106" i="1"/>
  <c r="QF106" i="1"/>
  <c r="QC106" i="1"/>
  <c r="PZ106" i="1"/>
  <c r="L106" i="1"/>
  <c r="K106" i="1"/>
  <c r="RU106" i="1" s="1"/>
  <c r="B106" i="1"/>
  <c r="RX105" i="1"/>
  <c r="RU105" i="1"/>
  <c r="RG105" i="1"/>
  <c r="RG225" i="1" s="1"/>
  <c r="RD105" i="1"/>
  <c r="RD225" i="1" s="1"/>
  <c r="RA105" i="1"/>
  <c r="RA225" i="1" s="1"/>
  <c r="QX105" i="1"/>
  <c r="QX225" i="1" s="1"/>
  <c r="QU105" i="1"/>
  <c r="QR105" i="1"/>
  <c r="QR225" i="1" s="1"/>
  <c r="QO105" i="1"/>
  <c r="QO225" i="1" s="1"/>
  <c r="QL105" i="1"/>
  <c r="QL225" i="1" s="1"/>
  <c r="QI105" i="1"/>
  <c r="QI225" i="1" s="1"/>
  <c r="QF105" i="1"/>
  <c r="QC105" i="1"/>
  <c r="QC225" i="1" s="1"/>
  <c r="PZ105" i="1"/>
  <c r="L105" i="1"/>
  <c r="RW105" i="1" s="1"/>
  <c r="K105" i="1"/>
  <c r="RV105" i="1" s="1"/>
  <c r="B105" i="1"/>
  <c r="RY105" i="1" s="1"/>
  <c r="RX104" i="1"/>
  <c r="RV104" i="1"/>
  <c r="RG104" i="1"/>
  <c r="RD104" i="1"/>
  <c r="RA104" i="1"/>
  <c r="QX104" i="1"/>
  <c r="QU104" i="1"/>
  <c r="QR104" i="1"/>
  <c r="QO104" i="1"/>
  <c r="QL104" i="1"/>
  <c r="QI104" i="1"/>
  <c r="QF104" i="1"/>
  <c r="QC104" i="1"/>
  <c r="PZ104" i="1"/>
  <c r="L104" i="1"/>
  <c r="RW104" i="1" s="1"/>
  <c r="K104" i="1"/>
  <c r="RU104" i="1" s="1"/>
  <c r="B104" i="1"/>
  <c r="RY104" i="1" s="1"/>
  <c r="RY103" i="1"/>
  <c r="RX103" i="1"/>
  <c r="RW103" i="1"/>
  <c r="RG103" i="1"/>
  <c r="RD103" i="1"/>
  <c r="RA103" i="1"/>
  <c r="QX103" i="1"/>
  <c r="QU103" i="1"/>
  <c r="QR103" i="1"/>
  <c r="QO103" i="1"/>
  <c r="QL103" i="1"/>
  <c r="QI103" i="1"/>
  <c r="QF103" i="1"/>
  <c r="QC103" i="1"/>
  <c r="PZ103" i="1"/>
  <c r="L103" i="1"/>
  <c r="K103" i="1"/>
  <c r="B103" i="1"/>
  <c r="RX102" i="1"/>
  <c r="RW102" i="1"/>
  <c r="RG102" i="1"/>
  <c r="RD102" i="1"/>
  <c r="RA102" i="1"/>
  <c r="QX102" i="1"/>
  <c r="QU102" i="1"/>
  <c r="QR102" i="1"/>
  <c r="QO102" i="1"/>
  <c r="QL102" i="1"/>
  <c r="QI102" i="1"/>
  <c r="QF102" i="1"/>
  <c r="QC102" i="1"/>
  <c r="PZ102" i="1"/>
  <c r="L102" i="1"/>
  <c r="K102" i="1"/>
  <c r="RV102" i="1" s="1"/>
  <c r="B102" i="1"/>
  <c r="RY102" i="1" s="1"/>
  <c r="RY101" i="1"/>
  <c r="RX101" i="1"/>
  <c r="RU101" i="1"/>
  <c r="RG101" i="1"/>
  <c r="RD101" i="1"/>
  <c r="RA101" i="1"/>
  <c r="QX101" i="1"/>
  <c r="QU101" i="1"/>
  <c r="QR101" i="1"/>
  <c r="QO101" i="1"/>
  <c r="QL101" i="1"/>
  <c r="QI101" i="1"/>
  <c r="QF101" i="1"/>
  <c r="QC101" i="1"/>
  <c r="PZ101" i="1"/>
  <c r="L101" i="1"/>
  <c r="RW101" i="1" s="1"/>
  <c r="K101" i="1"/>
  <c r="RV101" i="1" s="1"/>
  <c r="B101" i="1"/>
  <c r="RX100" i="1"/>
  <c r="RU100" i="1"/>
  <c r="RG100" i="1"/>
  <c r="RD100" i="1"/>
  <c r="RA100" i="1"/>
  <c r="QX100" i="1"/>
  <c r="QU100" i="1"/>
  <c r="QR100" i="1"/>
  <c r="QO100" i="1"/>
  <c r="QL100" i="1"/>
  <c r="QI100" i="1"/>
  <c r="QF100" i="1"/>
  <c r="QC100" i="1"/>
  <c r="PZ100" i="1"/>
  <c r="L100" i="1"/>
  <c r="RW100" i="1" s="1"/>
  <c r="K100" i="1"/>
  <c r="RV100" i="1" s="1"/>
  <c r="B100" i="1"/>
  <c r="RY100" i="1" s="1"/>
  <c r="RY99" i="1"/>
  <c r="RX99" i="1"/>
  <c r="RW99" i="1"/>
  <c r="RG99" i="1"/>
  <c r="RD99" i="1"/>
  <c r="RA99" i="1"/>
  <c r="QX99" i="1"/>
  <c r="QU99" i="1"/>
  <c r="QR99" i="1"/>
  <c r="QO99" i="1"/>
  <c r="QL99" i="1"/>
  <c r="QI99" i="1"/>
  <c r="QF99" i="1"/>
  <c r="QC99" i="1"/>
  <c r="PZ99" i="1"/>
  <c r="L99" i="1"/>
  <c r="K99" i="1"/>
  <c r="B99" i="1"/>
  <c r="RX98" i="1"/>
  <c r="RW98" i="1"/>
  <c r="RU98" i="1"/>
  <c r="RG98" i="1"/>
  <c r="RD98" i="1"/>
  <c r="RA98" i="1"/>
  <c r="QX98" i="1"/>
  <c r="QU98" i="1"/>
  <c r="QR98" i="1"/>
  <c r="QO98" i="1"/>
  <c r="QL98" i="1"/>
  <c r="QI98" i="1"/>
  <c r="QF98" i="1"/>
  <c r="QC98" i="1"/>
  <c r="PZ98" i="1"/>
  <c r="L98" i="1"/>
  <c r="K98" i="1"/>
  <c r="RV98" i="1" s="1"/>
  <c r="B98" i="1"/>
  <c r="RY98" i="1" s="1"/>
  <c r="RX97" i="1"/>
  <c r="RV97" i="1"/>
  <c r="RU97" i="1"/>
  <c r="RG97" i="1"/>
  <c r="RD97" i="1"/>
  <c r="RA97" i="1"/>
  <c r="QX97" i="1"/>
  <c r="QU97" i="1"/>
  <c r="QR97" i="1"/>
  <c r="QO97" i="1"/>
  <c r="QL97" i="1"/>
  <c r="QI97" i="1"/>
  <c r="QF97" i="1"/>
  <c r="QC97" i="1"/>
  <c r="PZ97" i="1"/>
  <c r="L97" i="1"/>
  <c r="RW97" i="1" s="1"/>
  <c r="K97" i="1"/>
  <c r="B97" i="1"/>
  <c r="RY97" i="1" s="1"/>
  <c r="RX96" i="1"/>
  <c r="RG96" i="1"/>
  <c r="RD96" i="1"/>
  <c r="RA96" i="1"/>
  <c r="QX96" i="1"/>
  <c r="QU96" i="1"/>
  <c r="QR96" i="1"/>
  <c r="QO96" i="1"/>
  <c r="QL96" i="1"/>
  <c r="QI96" i="1"/>
  <c r="QF96" i="1"/>
  <c r="QC96" i="1"/>
  <c r="PZ96" i="1"/>
  <c r="L96" i="1"/>
  <c r="RW96" i="1" s="1"/>
  <c r="K96" i="1"/>
  <c r="B96" i="1"/>
  <c r="RY96" i="1" s="1"/>
  <c r="RY95" i="1"/>
  <c r="RX95" i="1"/>
  <c r="RG95" i="1"/>
  <c r="RD95" i="1"/>
  <c r="RA95" i="1"/>
  <c r="QX95" i="1"/>
  <c r="QU95" i="1"/>
  <c r="QR95" i="1"/>
  <c r="QO95" i="1"/>
  <c r="QL95" i="1"/>
  <c r="QI95" i="1"/>
  <c r="QF95" i="1"/>
  <c r="QC95" i="1"/>
  <c r="PZ95" i="1"/>
  <c r="L95" i="1"/>
  <c r="RW95" i="1" s="1"/>
  <c r="K95" i="1"/>
  <c r="RU95" i="1" s="1"/>
  <c r="B95" i="1"/>
  <c r="RX94" i="1"/>
  <c r="RG94" i="1"/>
  <c r="RD94" i="1"/>
  <c r="RA94" i="1"/>
  <c r="QX94" i="1"/>
  <c r="QU94" i="1"/>
  <c r="QR94" i="1"/>
  <c r="QO94" i="1"/>
  <c r="QL94" i="1"/>
  <c r="QI94" i="1"/>
  <c r="QF94" i="1"/>
  <c r="QC94" i="1"/>
  <c r="PZ94" i="1"/>
  <c r="L94" i="1"/>
  <c r="RW94" i="1" s="1"/>
  <c r="K94" i="1"/>
  <c r="B94" i="1"/>
  <c r="RY94" i="1" s="1"/>
  <c r="RX93" i="1"/>
  <c r="RW93" i="1"/>
  <c r="RG93" i="1"/>
  <c r="RD93" i="1"/>
  <c r="RA93" i="1"/>
  <c r="QX93" i="1"/>
  <c r="QU93" i="1"/>
  <c r="QR93" i="1"/>
  <c r="QO93" i="1"/>
  <c r="QL93" i="1"/>
  <c r="QI93" i="1"/>
  <c r="QF93" i="1"/>
  <c r="QC93" i="1"/>
  <c r="PZ93" i="1"/>
  <c r="L93" i="1"/>
  <c r="K93" i="1"/>
  <c r="B93" i="1"/>
  <c r="RY93" i="1" s="1"/>
  <c r="RY92" i="1"/>
  <c r="RX92" i="1"/>
  <c r="RW92" i="1"/>
  <c r="RG92" i="1"/>
  <c r="RD92" i="1"/>
  <c r="RA92" i="1"/>
  <c r="QX92" i="1"/>
  <c r="QU92" i="1"/>
  <c r="QR92" i="1"/>
  <c r="QO92" i="1"/>
  <c r="QL92" i="1"/>
  <c r="QI92" i="1"/>
  <c r="QF92" i="1"/>
  <c r="QC92" i="1"/>
  <c r="PZ92" i="1"/>
  <c r="L92" i="1"/>
  <c r="K92" i="1"/>
  <c r="RV92" i="1" s="1"/>
  <c r="B92" i="1"/>
  <c r="RX91" i="1"/>
  <c r="RU91" i="1"/>
  <c r="RG91" i="1"/>
  <c r="RD91" i="1"/>
  <c r="RA91" i="1"/>
  <c r="QX91" i="1"/>
  <c r="QU91" i="1"/>
  <c r="QR91" i="1"/>
  <c r="QO91" i="1"/>
  <c r="QL91" i="1"/>
  <c r="QI91" i="1"/>
  <c r="QF91" i="1"/>
  <c r="QC91" i="1"/>
  <c r="PZ91" i="1"/>
  <c r="L91" i="1"/>
  <c r="RW91" i="1" s="1"/>
  <c r="K91" i="1"/>
  <c r="RV91" i="1" s="1"/>
  <c r="B91" i="1"/>
  <c r="RY91" i="1" s="1"/>
  <c r="RY90" i="1"/>
  <c r="RX90" i="1"/>
  <c r="RW90" i="1"/>
  <c r="RG90" i="1"/>
  <c r="RD90" i="1"/>
  <c r="RA90" i="1"/>
  <c r="QX90" i="1"/>
  <c r="QU90" i="1"/>
  <c r="QR90" i="1"/>
  <c r="QO90" i="1"/>
  <c r="QL90" i="1"/>
  <c r="QI90" i="1"/>
  <c r="QF90" i="1"/>
  <c r="QC90" i="1"/>
  <c r="PZ90" i="1"/>
  <c r="L90" i="1"/>
  <c r="K90" i="1"/>
  <c r="B90" i="1"/>
  <c r="RY89" i="1"/>
  <c r="RX89" i="1"/>
  <c r="RW89" i="1"/>
  <c r="RG89" i="1"/>
  <c r="RD89" i="1"/>
  <c r="RA89" i="1"/>
  <c r="QX89" i="1"/>
  <c r="QU89" i="1"/>
  <c r="QR89" i="1"/>
  <c r="QO89" i="1"/>
  <c r="QL89" i="1"/>
  <c r="QI89" i="1"/>
  <c r="QF89" i="1"/>
  <c r="QC89" i="1"/>
  <c r="PZ89" i="1"/>
  <c r="L89" i="1"/>
  <c r="K89" i="1"/>
  <c r="RV89" i="1" s="1"/>
  <c r="B89" i="1"/>
  <c r="RX88" i="1"/>
  <c r="RV88" i="1"/>
  <c r="RG88" i="1"/>
  <c r="RD88" i="1"/>
  <c r="RA88" i="1"/>
  <c r="QX88" i="1"/>
  <c r="QU88" i="1"/>
  <c r="QR88" i="1"/>
  <c r="QO88" i="1"/>
  <c r="QL88" i="1"/>
  <c r="QI88" i="1"/>
  <c r="QF88" i="1"/>
  <c r="QC88" i="1"/>
  <c r="PZ88" i="1"/>
  <c r="L88" i="1"/>
  <c r="RW88" i="1" s="1"/>
  <c r="K88" i="1"/>
  <c r="RU88" i="1" s="1"/>
  <c r="B88" i="1"/>
  <c r="RY88" i="1" s="1"/>
  <c r="RX87" i="1"/>
  <c r="RV87" i="1"/>
  <c r="RG87" i="1"/>
  <c r="RD87" i="1"/>
  <c r="RA87" i="1"/>
  <c r="QX87" i="1"/>
  <c r="QU87" i="1"/>
  <c r="QR87" i="1"/>
  <c r="QO87" i="1"/>
  <c r="QL87" i="1"/>
  <c r="QI87" i="1"/>
  <c r="QF87" i="1"/>
  <c r="QC87" i="1"/>
  <c r="PZ87" i="1"/>
  <c r="L87" i="1"/>
  <c r="RW87" i="1" s="1"/>
  <c r="K87" i="1"/>
  <c r="RU87" i="1" s="1"/>
  <c r="B87" i="1"/>
  <c r="RY87" i="1" s="1"/>
  <c r="RY86" i="1"/>
  <c r="RX86" i="1"/>
  <c r="RV86" i="1"/>
  <c r="RU86" i="1"/>
  <c r="RG86" i="1"/>
  <c r="RD86" i="1"/>
  <c r="RA86" i="1"/>
  <c r="QX86" i="1"/>
  <c r="QU86" i="1"/>
  <c r="QR86" i="1"/>
  <c r="QO86" i="1"/>
  <c r="QL86" i="1"/>
  <c r="QI86" i="1"/>
  <c r="QF86" i="1"/>
  <c r="QC86" i="1"/>
  <c r="PZ86" i="1"/>
  <c r="L86" i="1"/>
  <c r="RW86" i="1" s="1"/>
  <c r="K86" i="1"/>
  <c r="B86" i="1"/>
  <c r="RY85" i="1"/>
  <c r="RX85" i="1"/>
  <c r="RW85" i="1"/>
  <c r="RV85" i="1"/>
  <c r="RG85" i="1"/>
  <c r="RD85" i="1"/>
  <c r="RA85" i="1"/>
  <c r="QX85" i="1"/>
  <c r="QU85" i="1"/>
  <c r="QR85" i="1"/>
  <c r="QO85" i="1"/>
  <c r="QL85" i="1"/>
  <c r="QI85" i="1"/>
  <c r="QF85" i="1"/>
  <c r="QC85" i="1"/>
  <c r="PZ85" i="1"/>
  <c r="L85" i="1"/>
  <c r="K85" i="1"/>
  <c r="RU85" i="1" s="1"/>
  <c r="B85" i="1"/>
  <c r="RX84" i="1"/>
  <c r="RG84" i="1"/>
  <c r="RD84" i="1"/>
  <c r="RA84" i="1"/>
  <c r="QX84" i="1"/>
  <c r="QU84" i="1"/>
  <c r="QR84" i="1"/>
  <c r="QO84" i="1"/>
  <c r="QL84" i="1"/>
  <c r="QI84" i="1"/>
  <c r="QF84" i="1"/>
  <c r="QC84" i="1"/>
  <c r="PZ84" i="1"/>
  <c r="L84" i="1"/>
  <c r="RW84" i="1" s="1"/>
  <c r="K84" i="1"/>
  <c r="RV84" i="1" s="1"/>
  <c r="B84" i="1"/>
  <c r="RY84" i="1" s="1"/>
  <c r="RY83" i="1"/>
  <c r="RX83" i="1"/>
  <c r="RV83" i="1"/>
  <c r="RU83" i="1"/>
  <c r="RG83" i="1"/>
  <c r="RD83" i="1"/>
  <c r="RA83" i="1"/>
  <c r="QX83" i="1"/>
  <c r="QU83" i="1"/>
  <c r="QR83" i="1"/>
  <c r="QO83" i="1"/>
  <c r="QL83" i="1"/>
  <c r="QI83" i="1"/>
  <c r="QF83" i="1"/>
  <c r="QC83" i="1"/>
  <c r="PZ83" i="1"/>
  <c r="L83" i="1"/>
  <c r="RW83" i="1" s="1"/>
  <c r="K83" i="1"/>
  <c r="B83" i="1"/>
  <c r="RY82" i="1"/>
  <c r="RX82" i="1"/>
  <c r="RW82" i="1"/>
  <c r="RV82" i="1"/>
  <c r="RU82" i="1"/>
  <c r="RG82" i="1"/>
  <c r="RD82" i="1"/>
  <c r="RA82" i="1"/>
  <c r="QX82" i="1"/>
  <c r="QU82" i="1"/>
  <c r="QR82" i="1"/>
  <c r="QO82" i="1"/>
  <c r="QL82" i="1"/>
  <c r="QI82" i="1"/>
  <c r="QF82" i="1"/>
  <c r="QC82" i="1"/>
  <c r="PZ82" i="1"/>
  <c r="L82" i="1"/>
  <c r="K82" i="1"/>
  <c r="B82" i="1"/>
  <c r="RX81" i="1"/>
  <c r="RW81" i="1"/>
  <c r="RU81" i="1"/>
  <c r="RG81" i="1"/>
  <c r="RD81" i="1"/>
  <c r="RA81" i="1"/>
  <c r="QX81" i="1"/>
  <c r="QU81" i="1"/>
  <c r="QR81" i="1"/>
  <c r="QO81" i="1"/>
  <c r="QL81" i="1"/>
  <c r="QI81" i="1"/>
  <c r="QF81" i="1"/>
  <c r="QC81" i="1"/>
  <c r="PZ81" i="1"/>
  <c r="L81" i="1"/>
  <c r="K81" i="1"/>
  <c r="RV81" i="1" s="1"/>
  <c r="B81" i="1"/>
  <c r="RY81" i="1" s="1"/>
  <c r="RY80" i="1"/>
  <c r="RX80" i="1"/>
  <c r="RV80" i="1"/>
  <c r="RU80" i="1"/>
  <c r="RG80" i="1"/>
  <c r="RD80" i="1"/>
  <c r="RA80" i="1"/>
  <c r="QX80" i="1"/>
  <c r="QU80" i="1"/>
  <c r="QR80" i="1"/>
  <c r="QO80" i="1"/>
  <c r="QL80" i="1"/>
  <c r="QI80" i="1"/>
  <c r="QF80" i="1"/>
  <c r="QC80" i="1"/>
  <c r="PZ80" i="1"/>
  <c r="L80" i="1"/>
  <c r="RW80" i="1" s="1"/>
  <c r="K80" i="1"/>
  <c r="B80" i="1"/>
  <c r="RY79" i="1"/>
  <c r="RX79" i="1"/>
  <c r="RW79" i="1"/>
  <c r="RV79" i="1"/>
  <c r="RG79" i="1"/>
  <c r="RD79" i="1"/>
  <c r="RA79" i="1"/>
  <c r="QX79" i="1"/>
  <c r="QU79" i="1"/>
  <c r="QR79" i="1"/>
  <c r="QO79" i="1"/>
  <c r="QL79" i="1"/>
  <c r="QI79" i="1"/>
  <c r="QF79" i="1"/>
  <c r="QC79" i="1"/>
  <c r="PZ79" i="1"/>
  <c r="L79" i="1"/>
  <c r="K79" i="1"/>
  <c r="RU79" i="1" s="1"/>
  <c r="B79" i="1"/>
  <c r="RY78" i="1"/>
  <c r="RX78" i="1"/>
  <c r="RW78" i="1"/>
  <c r="RU78" i="1"/>
  <c r="RG78" i="1"/>
  <c r="RD78" i="1"/>
  <c r="RA78" i="1"/>
  <c r="QX78" i="1"/>
  <c r="QU78" i="1"/>
  <c r="QR78" i="1"/>
  <c r="QO78" i="1"/>
  <c r="QL78" i="1"/>
  <c r="QI78" i="1"/>
  <c r="QF78" i="1"/>
  <c r="QC78" i="1"/>
  <c r="PZ78" i="1"/>
  <c r="L78" i="1"/>
  <c r="K78" i="1"/>
  <c r="RV78" i="1" s="1"/>
  <c r="B78" i="1"/>
  <c r="RX77" i="1"/>
  <c r="RG77" i="1"/>
  <c r="RD77" i="1"/>
  <c r="RA77" i="1"/>
  <c r="QX77" i="1"/>
  <c r="QU77" i="1"/>
  <c r="QR77" i="1"/>
  <c r="QO77" i="1"/>
  <c r="QL77" i="1"/>
  <c r="QI77" i="1"/>
  <c r="QF77" i="1"/>
  <c r="QC77" i="1"/>
  <c r="PZ77" i="1"/>
  <c r="L77" i="1"/>
  <c r="RW77" i="1" s="1"/>
  <c r="K77" i="1"/>
  <c r="RV77" i="1" s="1"/>
  <c r="B77" i="1"/>
  <c r="RY77" i="1" s="1"/>
  <c r="RX76" i="1"/>
  <c r="RV76" i="1"/>
  <c r="RG76" i="1"/>
  <c r="RD76" i="1"/>
  <c r="RA76" i="1"/>
  <c r="QX76" i="1"/>
  <c r="QU76" i="1"/>
  <c r="QR76" i="1"/>
  <c r="QO76" i="1"/>
  <c r="QL76" i="1"/>
  <c r="QI76" i="1"/>
  <c r="QF76" i="1"/>
  <c r="QC76" i="1"/>
  <c r="PZ76" i="1"/>
  <c r="L76" i="1"/>
  <c r="RW76" i="1" s="1"/>
  <c r="K76" i="1"/>
  <c r="RU76" i="1" s="1"/>
  <c r="B76" i="1"/>
  <c r="RY76" i="1" s="1"/>
  <c r="RY75" i="1"/>
  <c r="RX75" i="1"/>
  <c r="RW75" i="1"/>
  <c r="RU75" i="1"/>
  <c r="RG75" i="1"/>
  <c r="RD75" i="1"/>
  <c r="RA75" i="1"/>
  <c r="QX75" i="1"/>
  <c r="QU75" i="1"/>
  <c r="QR75" i="1"/>
  <c r="QO75" i="1"/>
  <c r="QL75" i="1"/>
  <c r="QI75" i="1"/>
  <c r="QF75" i="1"/>
  <c r="QC75" i="1"/>
  <c r="PZ75" i="1"/>
  <c r="L75" i="1"/>
  <c r="K75" i="1"/>
  <c r="RV75" i="1" s="1"/>
  <c r="B75" i="1"/>
  <c r="RX74" i="1"/>
  <c r="RW74" i="1"/>
  <c r="RU74" i="1"/>
  <c r="RG74" i="1"/>
  <c r="RD74" i="1"/>
  <c r="RA74" i="1"/>
  <c r="QX74" i="1"/>
  <c r="QU74" i="1"/>
  <c r="QR74" i="1"/>
  <c r="QO74" i="1"/>
  <c r="QL74" i="1"/>
  <c r="QI74" i="1"/>
  <c r="QF74" i="1"/>
  <c r="QC74" i="1"/>
  <c r="PZ74" i="1"/>
  <c r="L74" i="1"/>
  <c r="K74" i="1"/>
  <c r="RV74" i="1" s="1"/>
  <c r="B74" i="1"/>
  <c r="RY74" i="1" s="1"/>
  <c r="RX73" i="1"/>
  <c r="RW73" i="1"/>
  <c r="RV73" i="1"/>
  <c r="RG73" i="1"/>
  <c r="RD73" i="1"/>
  <c r="RA73" i="1"/>
  <c r="QX73" i="1"/>
  <c r="QU73" i="1"/>
  <c r="QR73" i="1"/>
  <c r="QO73" i="1"/>
  <c r="QL73" i="1"/>
  <c r="QI73" i="1"/>
  <c r="QF73" i="1"/>
  <c r="QC73" i="1"/>
  <c r="PZ73" i="1"/>
  <c r="L73" i="1"/>
  <c r="K73" i="1"/>
  <c r="RU73" i="1" s="1"/>
  <c r="B73" i="1"/>
  <c r="RY73" i="1" s="1"/>
  <c r="RY72" i="1"/>
  <c r="RX72" i="1"/>
  <c r="RW72" i="1"/>
  <c r="RU72" i="1"/>
  <c r="RG72" i="1"/>
  <c r="RD72" i="1"/>
  <c r="RA72" i="1"/>
  <c r="QX72" i="1"/>
  <c r="QU72" i="1"/>
  <c r="QR72" i="1"/>
  <c r="QO72" i="1"/>
  <c r="QL72" i="1"/>
  <c r="QI72" i="1"/>
  <c r="QF72" i="1"/>
  <c r="QC72" i="1"/>
  <c r="PZ72" i="1"/>
  <c r="L72" i="1"/>
  <c r="K72" i="1"/>
  <c r="RV72" i="1" s="1"/>
  <c r="B72" i="1"/>
  <c r="RY71" i="1"/>
  <c r="RX71" i="1"/>
  <c r="RG71" i="1"/>
  <c r="RD71" i="1"/>
  <c r="RA71" i="1"/>
  <c r="QX71" i="1"/>
  <c r="QU71" i="1"/>
  <c r="QR71" i="1"/>
  <c r="QO71" i="1"/>
  <c r="QL71" i="1"/>
  <c r="QI71" i="1"/>
  <c r="QF71" i="1"/>
  <c r="QC71" i="1"/>
  <c r="PZ71" i="1"/>
  <c r="L71" i="1"/>
  <c r="RW71" i="1" s="1"/>
  <c r="K71" i="1"/>
  <c r="RU71" i="1" s="1"/>
  <c r="B71" i="1"/>
  <c r="RX70" i="1"/>
  <c r="RV70" i="1"/>
  <c r="RU70" i="1"/>
  <c r="RG70" i="1"/>
  <c r="RD70" i="1"/>
  <c r="RA70" i="1"/>
  <c r="QX70" i="1"/>
  <c r="QU70" i="1"/>
  <c r="QR70" i="1"/>
  <c r="QO70" i="1"/>
  <c r="QL70" i="1"/>
  <c r="QI70" i="1"/>
  <c r="QF70" i="1"/>
  <c r="QC70" i="1"/>
  <c r="PZ70" i="1"/>
  <c r="L70" i="1"/>
  <c r="RW70" i="1" s="1"/>
  <c r="K70" i="1"/>
  <c r="B70" i="1"/>
  <c r="RY70" i="1" s="1"/>
  <c r="RX69" i="1"/>
  <c r="RW69" i="1"/>
  <c r="RG69" i="1"/>
  <c r="RD69" i="1"/>
  <c r="RA69" i="1"/>
  <c r="QX69" i="1"/>
  <c r="QU69" i="1"/>
  <c r="QR69" i="1"/>
  <c r="QO69" i="1"/>
  <c r="QL69" i="1"/>
  <c r="QI69" i="1"/>
  <c r="QF69" i="1"/>
  <c r="QC69" i="1"/>
  <c r="PZ69" i="1"/>
  <c r="L69" i="1"/>
  <c r="K69" i="1"/>
  <c r="RV69" i="1" s="1"/>
  <c r="B69" i="1"/>
  <c r="RY69" i="1" s="1"/>
  <c r="RX68" i="1"/>
  <c r="RU68" i="1"/>
  <c r="RG68" i="1"/>
  <c r="RD68" i="1"/>
  <c r="RA68" i="1"/>
  <c r="QX68" i="1"/>
  <c r="QU68" i="1"/>
  <c r="QR68" i="1"/>
  <c r="QO68" i="1"/>
  <c r="QL68" i="1"/>
  <c r="QI68" i="1"/>
  <c r="QF68" i="1"/>
  <c r="QC68" i="1"/>
  <c r="PZ68" i="1"/>
  <c r="L68" i="1"/>
  <c r="RW68" i="1" s="1"/>
  <c r="K68" i="1"/>
  <c r="RV68" i="1" s="1"/>
  <c r="B68" i="1"/>
  <c r="RY68" i="1" s="1"/>
  <c r="RY67" i="1"/>
  <c r="RX67" i="1"/>
  <c r="RW67" i="1"/>
  <c r="RV67" i="1"/>
  <c r="RU67" i="1"/>
  <c r="RG67" i="1"/>
  <c r="RD67" i="1"/>
  <c r="RA67" i="1"/>
  <c r="QX67" i="1"/>
  <c r="QU67" i="1"/>
  <c r="QR67" i="1"/>
  <c r="QO67" i="1"/>
  <c r="QL67" i="1"/>
  <c r="QI67" i="1"/>
  <c r="QF67" i="1"/>
  <c r="QC67" i="1"/>
  <c r="PZ67" i="1"/>
  <c r="L67" i="1"/>
  <c r="K67" i="1"/>
  <c r="B67" i="1"/>
  <c r="RX66" i="1"/>
  <c r="RW66" i="1"/>
  <c r="RU66" i="1"/>
  <c r="RG66" i="1"/>
  <c r="RD66" i="1"/>
  <c r="RA66" i="1"/>
  <c r="QX66" i="1"/>
  <c r="QU66" i="1"/>
  <c r="QR66" i="1"/>
  <c r="QO66" i="1"/>
  <c r="QL66" i="1"/>
  <c r="QI66" i="1"/>
  <c r="QF66" i="1"/>
  <c r="QC66" i="1"/>
  <c r="PZ66" i="1"/>
  <c r="L66" i="1"/>
  <c r="K66" i="1"/>
  <c r="RV66" i="1" s="1"/>
  <c r="B66" i="1"/>
  <c r="RY66" i="1" s="1"/>
  <c r="RY65" i="1"/>
  <c r="RX65" i="1"/>
  <c r="RW65" i="1"/>
  <c r="RU65" i="1"/>
  <c r="RG65" i="1"/>
  <c r="RD65" i="1"/>
  <c r="RA65" i="1"/>
  <c r="QX65" i="1"/>
  <c r="QU65" i="1"/>
  <c r="QR65" i="1"/>
  <c r="QO65" i="1"/>
  <c r="QL65" i="1"/>
  <c r="QI65" i="1"/>
  <c r="QF65" i="1"/>
  <c r="QC65" i="1"/>
  <c r="PZ65" i="1"/>
  <c r="L65" i="1"/>
  <c r="K65" i="1"/>
  <c r="RV65" i="1" s="1"/>
  <c r="B65" i="1"/>
  <c r="RX64" i="1"/>
  <c r="RV64" i="1"/>
  <c r="RU64" i="1"/>
  <c r="RG64" i="1"/>
  <c r="RD64" i="1"/>
  <c r="RA64" i="1"/>
  <c r="QX64" i="1"/>
  <c r="QU64" i="1"/>
  <c r="QR64" i="1"/>
  <c r="QO64" i="1"/>
  <c r="QL64" i="1"/>
  <c r="QI64" i="1"/>
  <c r="QF64" i="1"/>
  <c r="QC64" i="1"/>
  <c r="PZ64" i="1"/>
  <c r="L64" i="1"/>
  <c r="RW64" i="1" s="1"/>
  <c r="K64" i="1"/>
  <c r="B64" i="1"/>
  <c r="RY64" i="1" s="1"/>
  <c r="RY63" i="1"/>
  <c r="RX63" i="1"/>
  <c r="RW63" i="1"/>
  <c r="RG63" i="1"/>
  <c r="RD63" i="1"/>
  <c r="RA63" i="1"/>
  <c r="QX63" i="1"/>
  <c r="QU63" i="1"/>
  <c r="QR63" i="1"/>
  <c r="QO63" i="1"/>
  <c r="QL63" i="1"/>
  <c r="QI63" i="1"/>
  <c r="QF63" i="1"/>
  <c r="QC63" i="1"/>
  <c r="PZ63" i="1"/>
  <c r="L63" i="1"/>
  <c r="K63" i="1"/>
  <c r="RV63" i="1" s="1"/>
  <c r="B63" i="1"/>
  <c r="RX62" i="1"/>
  <c r="RG62" i="1"/>
  <c r="RD62" i="1"/>
  <c r="RA62" i="1"/>
  <c r="QX62" i="1"/>
  <c r="QU62" i="1"/>
  <c r="QR62" i="1"/>
  <c r="QO62" i="1"/>
  <c r="QL62" i="1"/>
  <c r="QI62" i="1"/>
  <c r="QF62" i="1"/>
  <c r="QC62" i="1"/>
  <c r="PZ62" i="1"/>
  <c r="L62" i="1"/>
  <c r="RW62" i="1" s="1"/>
  <c r="K62" i="1"/>
  <c r="B62" i="1"/>
  <c r="RY62" i="1" s="1"/>
  <c r="RY61" i="1"/>
  <c r="RX61" i="1"/>
  <c r="RV61" i="1"/>
  <c r="RG61" i="1"/>
  <c r="RD61" i="1"/>
  <c r="RA61" i="1"/>
  <c r="QX61" i="1"/>
  <c r="QU61" i="1"/>
  <c r="QR61" i="1"/>
  <c r="QO61" i="1"/>
  <c r="QL61" i="1"/>
  <c r="QI61" i="1"/>
  <c r="QF61" i="1"/>
  <c r="QC61" i="1"/>
  <c r="PZ61" i="1"/>
  <c r="L61" i="1"/>
  <c r="RW61" i="1" s="1"/>
  <c r="K61" i="1"/>
  <c r="RU61" i="1" s="1"/>
  <c r="B61" i="1"/>
  <c r="RX60" i="1"/>
  <c r="RV60" i="1"/>
  <c r="RG60" i="1"/>
  <c r="RD60" i="1"/>
  <c r="RA60" i="1"/>
  <c r="QX60" i="1"/>
  <c r="QU60" i="1"/>
  <c r="QR60" i="1"/>
  <c r="QO60" i="1"/>
  <c r="QL60" i="1"/>
  <c r="QI60" i="1"/>
  <c r="QF60" i="1"/>
  <c r="QC60" i="1"/>
  <c r="PZ60" i="1"/>
  <c r="L60" i="1"/>
  <c r="RW60" i="1" s="1"/>
  <c r="K60" i="1"/>
  <c r="RU60" i="1" s="1"/>
  <c r="B60" i="1"/>
  <c r="RY60" i="1" s="1"/>
  <c r="RX59" i="1"/>
  <c r="RW59" i="1"/>
  <c r="RV59" i="1"/>
  <c r="RU59" i="1"/>
  <c r="RG59" i="1"/>
  <c r="RD59" i="1"/>
  <c r="RA59" i="1"/>
  <c r="QX59" i="1"/>
  <c r="QU59" i="1"/>
  <c r="QR59" i="1"/>
  <c r="QO59" i="1"/>
  <c r="QL59" i="1"/>
  <c r="QI59" i="1"/>
  <c r="QF59" i="1"/>
  <c r="QC59" i="1"/>
  <c r="PZ59" i="1"/>
  <c r="L59" i="1"/>
  <c r="K59" i="1"/>
  <c r="B59" i="1"/>
  <c r="RY59" i="1" s="1"/>
  <c r="RY58" i="1"/>
  <c r="RX58" i="1"/>
  <c r="RV58" i="1"/>
  <c r="RG58" i="1"/>
  <c r="RD58" i="1"/>
  <c r="RA58" i="1"/>
  <c r="QX58" i="1"/>
  <c r="QU58" i="1"/>
  <c r="QR58" i="1"/>
  <c r="QO58" i="1"/>
  <c r="QL58" i="1"/>
  <c r="QI58" i="1"/>
  <c r="QF58" i="1"/>
  <c r="QC58" i="1"/>
  <c r="PZ58" i="1"/>
  <c r="L58" i="1"/>
  <c r="RW58" i="1" s="1"/>
  <c r="K58" i="1"/>
  <c r="RU58" i="1" s="1"/>
  <c r="B58" i="1"/>
  <c r="RY57" i="1"/>
  <c r="RX57" i="1"/>
  <c r="RW57" i="1"/>
  <c r="RG57" i="1"/>
  <c r="RD57" i="1"/>
  <c r="RA57" i="1"/>
  <c r="QX57" i="1"/>
  <c r="QU57" i="1"/>
  <c r="QR57" i="1"/>
  <c r="QO57" i="1"/>
  <c r="QL57" i="1"/>
  <c r="QI57" i="1"/>
  <c r="QF57" i="1"/>
  <c r="QC57" i="1"/>
  <c r="PZ57" i="1"/>
  <c r="L57" i="1"/>
  <c r="K57" i="1"/>
  <c r="RU57" i="1" s="1"/>
  <c r="B57" i="1"/>
  <c r="RX56" i="1"/>
  <c r="RG56" i="1"/>
  <c r="RD56" i="1"/>
  <c r="RA56" i="1"/>
  <c r="RA226" i="1" s="1"/>
  <c r="QX56" i="1"/>
  <c r="QU56" i="1"/>
  <c r="QR56" i="1"/>
  <c r="QO56" i="1"/>
  <c r="QL56" i="1"/>
  <c r="QI56" i="1"/>
  <c r="QF56" i="1"/>
  <c r="QC56" i="1"/>
  <c r="PZ56" i="1"/>
  <c r="L56" i="1"/>
  <c r="RW56" i="1" s="1"/>
  <c r="K56" i="1"/>
  <c r="B56" i="1"/>
  <c r="RY56" i="1" s="1"/>
  <c r="RY55" i="1"/>
  <c r="RX55" i="1"/>
  <c r="RG55" i="1"/>
  <c r="RD55" i="1"/>
  <c r="RA55" i="1"/>
  <c r="QX55" i="1"/>
  <c r="QU55" i="1"/>
  <c r="QR55" i="1"/>
  <c r="QO55" i="1"/>
  <c r="QL55" i="1"/>
  <c r="QI55" i="1"/>
  <c r="QF55" i="1"/>
  <c r="QC55" i="1"/>
  <c r="PZ55" i="1"/>
  <c r="L55" i="1"/>
  <c r="RW55" i="1" s="1"/>
  <c r="K55" i="1"/>
  <c r="RV55" i="1" s="1"/>
  <c r="B55" i="1"/>
  <c r="RY54" i="1"/>
  <c r="RX54" i="1"/>
  <c r="RW54" i="1"/>
  <c r="RG54" i="1"/>
  <c r="RD54" i="1"/>
  <c r="RA54" i="1"/>
  <c r="QX54" i="1"/>
  <c r="QU54" i="1"/>
  <c r="QR54" i="1"/>
  <c r="QO54" i="1"/>
  <c r="QL54" i="1"/>
  <c r="QI54" i="1"/>
  <c r="QF54" i="1"/>
  <c r="QC54" i="1"/>
  <c r="PZ54" i="1"/>
  <c r="L54" i="1"/>
  <c r="K54" i="1"/>
  <c r="RV54" i="1" s="1"/>
  <c r="B54" i="1"/>
  <c r="RX53" i="1"/>
  <c r="RW53" i="1"/>
  <c r="RU53" i="1"/>
  <c r="RG53" i="1"/>
  <c r="RD53" i="1"/>
  <c r="RA53" i="1"/>
  <c r="QX53" i="1"/>
  <c r="QU53" i="1"/>
  <c r="QR53" i="1"/>
  <c r="QO53" i="1"/>
  <c r="QL53" i="1"/>
  <c r="QI53" i="1"/>
  <c r="QF53" i="1"/>
  <c r="QC53" i="1"/>
  <c r="PZ53" i="1"/>
  <c r="L53" i="1"/>
  <c r="K53" i="1"/>
  <c r="RV53" i="1" s="1"/>
  <c r="B53" i="1"/>
  <c r="RY53" i="1" s="1"/>
  <c r="RY52" i="1"/>
  <c r="RX52" i="1"/>
  <c r="RW52" i="1"/>
  <c r="RG52" i="1"/>
  <c r="RD52" i="1"/>
  <c r="RA52" i="1"/>
  <c r="QX52" i="1"/>
  <c r="QU52" i="1"/>
  <c r="QR52" i="1"/>
  <c r="QO52" i="1"/>
  <c r="QL52" i="1"/>
  <c r="QI52" i="1"/>
  <c r="QF52" i="1"/>
  <c r="QC52" i="1"/>
  <c r="PZ52" i="1"/>
  <c r="L52" i="1"/>
  <c r="K52" i="1"/>
  <c r="RU52" i="1" s="1"/>
  <c r="B52" i="1"/>
  <c r="RY51" i="1"/>
  <c r="RX51" i="1"/>
  <c r="RV51" i="1"/>
  <c r="RG51" i="1"/>
  <c r="RD51" i="1"/>
  <c r="RA51" i="1"/>
  <c r="QX51" i="1"/>
  <c r="QU51" i="1"/>
  <c r="QR51" i="1"/>
  <c r="QO51" i="1"/>
  <c r="QL51" i="1"/>
  <c r="QI51" i="1"/>
  <c r="QF51" i="1"/>
  <c r="QC51" i="1"/>
  <c r="PZ51" i="1"/>
  <c r="L51" i="1"/>
  <c r="RW51" i="1" s="1"/>
  <c r="K51" i="1"/>
  <c r="RU51" i="1" s="1"/>
  <c r="B51" i="1"/>
  <c r="RX50" i="1"/>
  <c r="RW50" i="1"/>
  <c r="RU50" i="1"/>
  <c r="RG50" i="1"/>
  <c r="RD50" i="1"/>
  <c r="RA50" i="1"/>
  <c r="QX50" i="1"/>
  <c r="QU50" i="1"/>
  <c r="QR50" i="1"/>
  <c r="QO50" i="1"/>
  <c r="QL50" i="1"/>
  <c r="QI50" i="1"/>
  <c r="QF50" i="1"/>
  <c r="QC50" i="1"/>
  <c r="PZ50" i="1"/>
  <c r="L50" i="1"/>
  <c r="K50" i="1"/>
  <c r="RV50" i="1" s="1"/>
  <c r="B50" i="1"/>
  <c r="RY50" i="1" s="1"/>
  <c r="RY49" i="1"/>
  <c r="RX49" i="1"/>
  <c r="RV49" i="1"/>
  <c r="RG49" i="1"/>
  <c r="RD49" i="1"/>
  <c r="RA49" i="1"/>
  <c r="QX49" i="1"/>
  <c r="QU49" i="1"/>
  <c r="QR49" i="1"/>
  <c r="QO49" i="1"/>
  <c r="QL49" i="1"/>
  <c r="QI49" i="1"/>
  <c r="QF49" i="1"/>
  <c r="QC49" i="1"/>
  <c r="PZ49" i="1"/>
  <c r="L49" i="1"/>
  <c r="RW49" i="1" s="1"/>
  <c r="K49" i="1"/>
  <c r="RU49" i="1" s="1"/>
  <c r="B49" i="1"/>
  <c r="RX48" i="1"/>
  <c r="RG48" i="1"/>
  <c r="RD48" i="1"/>
  <c r="RA48" i="1"/>
  <c r="QX48" i="1"/>
  <c r="QU48" i="1"/>
  <c r="QR48" i="1"/>
  <c r="QO48" i="1"/>
  <c r="QL48" i="1"/>
  <c r="QI48" i="1"/>
  <c r="QF48" i="1"/>
  <c r="QC48" i="1"/>
  <c r="PZ48" i="1"/>
  <c r="L48" i="1"/>
  <c r="RW48" i="1" s="1"/>
  <c r="K48" i="1"/>
  <c r="B48" i="1"/>
  <c r="RY48" i="1" s="1"/>
  <c r="RY47" i="1"/>
  <c r="RX47" i="1"/>
  <c r="RG47" i="1"/>
  <c r="RD47" i="1"/>
  <c r="RA47" i="1"/>
  <c r="QX47" i="1"/>
  <c r="QU47" i="1"/>
  <c r="QR47" i="1"/>
  <c r="QO47" i="1"/>
  <c r="QL47" i="1"/>
  <c r="QI47" i="1"/>
  <c r="QF47" i="1"/>
  <c r="QC47" i="1"/>
  <c r="PZ47" i="1"/>
  <c r="L47" i="1"/>
  <c r="RW47" i="1" s="1"/>
  <c r="K47" i="1"/>
  <c r="RV47" i="1" s="1"/>
  <c r="B47" i="1"/>
  <c r="RX46" i="1"/>
  <c r="RV46" i="1"/>
  <c r="RG46" i="1"/>
  <c r="RD46" i="1"/>
  <c r="RA46" i="1"/>
  <c r="QX46" i="1"/>
  <c r="QU46" i="1"/>
  <c r="QR46" i="1"/>
  <c r="QO46" i="1"/>
  <c r="QL46" i="1"/>
  <c r="QI46" i="1"/>
  <c r="QF46" i="1"/>
  <c r="QC46" i="1"/>
  <c r="PZ46" i="1"/>
  <c r="L46" i="1"/>
  <c r="RW46" i="1" s="1"/>
  <c r="K46" i="1"/>
  <c r="RU46" i="1" s="1"/>
  <c r="B46" i="1"/>
  <c r="RY46" i="1" s="1"/>
  <c r="RX45" i="1"/>
  <c r="RG45" i="1"/>
  <c r="RD45" i="1"/>
  <c r="RA45" i="1"/>
  <c r="QX45" i="1"/>
  <c r="QU45" i="1"/>
  <c r="QR45" i="1"/>
  <c r="QO45" i="1"/>
  <c r="QL45" i="1"/>
  <c r="QI45" i="1"/>
  <c r="QF45" i="1"/>
  <c r="QC45" i="1"/>
  <c r="PZ45" i="1"/>
  <c r="L45" i="1"/>
  <c r="RW45" i="1" s="1"/>
  <c r="K45" i="1"/>
  <c r="B45" i="1"/>
  <c r="RY45" i="1" s="1"/>
  <c r="RY44" i="1"/>
  <c r="RX44" i="1"/>
  <c r="RV44" i="1"/>
  <c r="RG44" i="1"/>
  <c r="RD44" i="1"/>
  <c r="RA44" i="1"/>
  <c r="QX44" i="1"/>
  <c r="QU44" i="1"/>
  <c r="QR44" i="1"/>
  <c r="QO44" i="1"/>
  <c r="QL44" i="1"/>
  <c r="QI44" i="1"/>
  <c r="QF44" i="1"/>
  <c r="QC44" i="1"/>
  <c r="PZ44" i="1"/>
  <c r="L44" i="1"/>
  <c r="RW44" i="1" s="1"/>
  <c r="K44" i="1"/>
  <c r="RU44" i="1" s="1"/>
  <c r="B44" i="1"/>
  <c r="RX43" i="1"/>
  <c r="RV43" i="1"/>
  <c r="RU43" i="1"/>
  <c r="RG43" i="1"/>
  <c r="RD43" i="1"/>
  <c r="RA43" i="1"/>
  <c r="QX43" i="1"/>
  <c r="QU43" i="1"/>
  <c r="QR43" i="1"/>
  <c r="QO43" i="1"/>
  <c r="QL43" i="1"/>
  <c r="QI43" i="1"/>
  <c r="QF43" i="1"/>
  <c r="QC43" i="1"/>
  <c r="PZ43" i="1"/>
  <c r="L43" i="1"/>
  <c r="RW43" i="1" s="1"/>
  <c r="K43" i="1"/>
  <c r="B43" i="1"/>
  <c r="RY43" i="1" s="1"/>
  <c r="RX42" i="1"/>
  <c r="RW42" i="1"/>
  <c r="RG42" i="1"/>
  <c r="RD42" i="1"/>
  <c r="RA42" i="1"/>
  <c r="QX42" i="1"/>
  <c r="QU42" i="1"/>
  <c r="QR42" i="1"/>
  <c r="QO42" i="1"/>
  <c r="QL42" i="1"/>
  <c r="QI42" i="1"/>
  <c r="QF42" i="1"/>
  <c r="QC42" i="1"/>
  <c r="PZ42" i="1"/>
  <c r="L42" i="1"/>
  <c r="K42" i="1"/>
  <c r="RV42" i="1" s="1"/>
  <c r="B42" i="1"/>
  <c r="RY42" i="1" s="1"/>
  <c r="RY41" i="1"/>
  <c r="RX41" i="1"/>
  <c r="RV41" i="1"/>
  <c r="RU41" i="1"/>
  <c r="RG41" i="1"/>
  <c r="RD41" i="1"/>
  <c r="RA41" i="1"/>
  <c r="QX41" i="1"/>
  <c r="QU41" i="1"/>
  <c r="QR41" i="1"/>
  <c r="QO41" i="1"/>
  <c r="QL41" i="1"/>
  <c r="QI41" i="1"/>
  <c r="QF41" i="1"/>
  <c r="QC41" i="1"/>
  <c r="PZ41" i="1"/>
  <c r="L41" i="1"/>
  <c r="RW41" i="1" s="1"/>
  <c r="K41" i="1"/>
  <c r="B41" i="1"/>
  <c r="RY40" i="1"/>
  <c r="RX40" i="1"/>
  <c r="RW40" i="1"/>
  <c r="RV40" i="1"/>
  <c r="RG40" i="1"/>
  <c r="RD40" i="1"/>
  <c r="RA40" i="1"/>
  <c r="QX40" i="1"/>
  <c r="QU40" i="1"/>
  <c r="QR40" i="1"/>
  <c r="QO40" i="1"/>
  <c r="QL40" i="1"/>
  <c r="QI40" i="1"/>
  <c r="QF40" i="1"/>
  <c r="QC40" i="1"/>
  <c r="PZ40" i="1"/>
  <c r="L40" i="1"/>
  <c r="K40" i="1"/>
  <c r="RU40" i="1" s="1"/>
  <c r="B40" i="1"/>
  <c r="RX39" i="1"/>
  <c r="RW39" i="1"/>
  <c r="RU39" i="1"/>
  <c r="RG39" i="1"/>
  <c r="RD39" i="1"/>
  <c r="RD223" i="1" s="1"/>
  <c r="RA39" i="1"/>
  <c r="RA223" i="1" s="1"/>
  <c r="QX39" i="1"/>
  <c r="QX223" i="1" s="1"/>
  <c r="QU39" i="1"/>
  <c r="QU223" i="1" s="1"/>
  <c r="QR39" i="1"/>
  <c r="QO39" i="1"/>
  <c r="QO223" i="1" s="1"/>
  <c r="QL39" i="1"/>
  <c r="QI39" i="1"/>
  <c r="QI223" i="1" s="1"/>
  <c r="QF39" i="1"/>
  <c r="QF223" i="1" s="1"/>
  <c r="QC39" i="1"/>
  <c r="QC223" i="1" s="1"/>
  <c r="PZ39" i="1"/>
  <c r="PZ223" i="1" s="1"/>
  <c r="L39" i="1"/>
  <c r="K39" i="1"/>
  <c r="RV39" i="1" s="1"/>
  <c r="B39" i="1"/>
  <c r="RY39" i="1" s="1"/>
  <c r="RY38" i="1"/>
  <c r="RX38" i="1"/>
  <c r="RW38" i="1"/>
  <c r="RU38" i="1"/>
  <c r="RG38" i="1"/>
  <c r="RD38" i="1"/>
  <c r="RA38" i="1"/>
  <c r="QX38" i="1"/>
  <c r="QU38" i="1"/>
  <c r="QR38" i="1"/>
  <c r="QO38" i="1"/>
  <c r="QL38" i="1"/>
  <c r="QI38" i="1"/>
  <c r="QF38" i="1"/>
  <c r="QC38" i="1"/>
  <c r="PZ38" i="1"/>
  <c r="L38" i="1"/>
  <c r="K38" i="1"/>
  <c r="RV38" i="1" s="1"/>
  <c r="B38" i="1"/>
  <c r="RY37" i="1"/>
  <c r="RX37" i="1"/>
  <c r="RW37" i="1"/>
  <c r="RV37" i="1"/>
  <c r="RG37" i="1"/>
  <c r="RD37" i="1"/>
  <c r="RA37" i="1"/>
  <c r="QX37" i="1"/>
  <c r="QU37" i="1"/>
  <c r="QR37" i="1"/>
  <c r="QO37" i="1"/>
  <c r="QL37" i="1"/>
  <c r="QI37" i="1"/>
  <c r="QF37" i="1"/>
  <c r="QC37" i="1"/>
  <c r="PZ37" i="1"/>
  <c r="L37" i="1"/>
  <c r="K37" i="1"/>
  <c r="RU37" i="1" s="1"/>
  <c r="B37" i="1"/>
  <c r="RY36" i="1"/>
  <c r="RX36" i="1"/>
  <c r="RW36" i="1"/>
  <c r="RV36" i="1"/>
  <c r="RU36" i="1"/>
  <c r="RG36" i="1"/>
  <c r="RD36" i="1"/>
  <c r="RA36" i="1"/>
  <c r="QX36" i="1"/>
  <c r="QU36" i="1"/>
  <c r="QR36" i="1"/>
  <c r="QO36" i="1"/>
  <c r="QL36" i="1"/>
  <c r="QI36" i="1"/>
  <c r="QF36" i="1"/>
  <c r="QC36" i="1"/>
  <c r="PZ36" i="1"/>
  <c r="L36" i="1"/>
  <c r="K36" i="1"/>
  <c r="B36" i="1"/>
  <c r="RX35" i="1"/>
  <c r="RV35" i="1"/>
  <c r="RU35" i="1"/>
  <c r="RG35" i="1"/>
  <c r="RD35" i="1"/>
  <c r="RA35" i="1"/>
  <c r="QX35" i="1"/>
  <c r="QU35" i="1"/>
  <c r="QR35" i="1"/>
  <c r="QO35" i="1"/>
  <c r="QL35" i="1"/>
  <c r="QI35" i="1"/>
  <c r="QF35" i="1"/>
  <c r="QC35" i="1"/>
  <c r="PZ35" i="1"/>
  <c r="L35" i="1"/>
  <c r="RW35" i="1" s="1"/>
  <c r="K35" i="1"/>
  <c r="B35" i="1"/>
  <c r="RY35" i="1" s="1"/>
  <c r="RY34" i="1"/>
  <c r="RX34" i="1"/>
  <c r="RW34" i="1"/>
  <c r="RV34" i="1"/>
  <c r="RG34" i="1"/>
  <c r="RD34" i="1"/>
  <c r="RA34" i="1"/>
  <c r="QX34" i="1"/>
  <c r="QU34" i="1"/>
  <c r="QR34" i="1"/>
  <c r="QO34" i="1"/>
  <c r="QL34" i="1"/>
  <c r="QI34" i="1"/>
  <c r="QF34" i="1"/>
  <c r="QC34" i="1"/>
  <c r="PZ34" i="1"/>
  <c r="L34" i="1"/>
  <c r="K34" i="1"/>
  <c r="RU34" i="1" s="1"/>
  <c r="B34" i="1"/>
  <c r="RX33" i="1"/>
  <c r="RW33" i="1"/>
  <c r="RV33" i="1"/>
  <c r="RU33" i="1"/>
  <c r="RG33" i="1"/>
  <c r="RD33" i="1"/>
  <c r="RA33" i="1"/>
  <c r="QX33" i="1"/>
  <c r="QU33" i="1"/>
  <c r="QR33" i="1"/>
  <c r="QO33" i="1"/>
  <c r="QL33" i="1"/>
  <c r="QI33" i="1"/>
  <c r="QF33" i="1"/>
  <c r="QC33" i="1"/>
  <c r="PZ33" i="1"/>
  <c r="L33" i="1"/>
  <c r="K33" i="1"/>
  <c r="B33" i="1"/>
  <c r="RY33" i="1" s="1"/>
  <c r="RY32" i="1"/>
  <c r="RX32" i="1"/>
  <c r="RG32" i="1"/>
  <c r="RD32" i="1"/>
  <c r="RA32" i="1"/>
  <c r="QX32" i="1"/>
  <c r="QU32" i="1"/>
  <c r="QR32" i="1"/>
  <c r="QO32" i="1"/>
  <c r="QL32" i="1"/>
  <c r="QI32" i="1"/>
  <c r="QF32" i="1"/>
  <c r="QC32" i="1"/>
  <c r="PZ32" i="1"/>
  <c r="L32" i="1"/>
  <c r="RW32" i="1" s="1"/>
  <c r="K32" i="1"/>
  <c r="RU32" i="1" s="1"/>
  <c r="B32" i="1"/>
  <c r="RX31" i="1"/>
  <c r="RV31" i="1"/>
  <c r="RU31" i="1"/>
  <c r="RG31" i="1"/>
  <c r="RD31" i="1"/>
  <c r="RA31" i="1"/>
  <c r="QX31" i="1"/>
  <c r="QU31" i="1"/>
  <c r="QR31" i="1"/>
  <c r="QO31" i="1"/>
  <c r="QL31" i="1"/>
  <c r="QI31" i="1"/>
  <c r="QF31" i="1"/>
  <c r="QC31" i="1"/>
  <c r="PZ31" i="1"/>
  <c r="L31" i="1"/>
  <c r="RW31" i="1" s="1"/>
  <c r="K31" i="1"/>
  <c r="B31" i="1"/>
  <c r="RY31" i="1" s="1"/>
  <c r="RX30" i="1"/>
  <c r="RW30" i="1"/>
  <c r="RU30" i="1"/>
  <c r="RG30" i="1"/>
  <c r="RD30" i="1"/>
  <c r="RA30" i="1"/>
  <c r="QX30" i="1"/>
  <c r="QU30" i="1"/>
  <c r="QR30" i="1"/>
  <c r="QO30" i="1"/>
  <c r="QL30" i="1"/>
  <c r="QI30" i="1"/>
  <c r="QF30" i="1"/>
  <c r="QC30" i="1"/>
  <c r="PZ30" i="1"/>
  <c r="L30" i="1"/>
  <c r="K30" i="1"/>
  <c r="RV30" i="1" s="1"/>
  <c r="B30" i="1"/>
  <c r="RY30" i="1" s="1"/>
  <c r="RY29" i="1"/>
  <c r="RX29" i="1"/>
  <c r="RG29" i="1"/>
  <c r="RD29" i="1"/>
  <c r="RA29" i="1"/>
  <c r="QX29" i="1"/>
  <c r="QU29" i="1"/>
  <c r="QR29" i="1"/>
  <c r="QO29" i="1"/>
  <c r="QL29" i="1"/>
  <c r="QI29" i="1"/>
  <c r="QF29" i="1"/>
  <c r="QC29" i="1"/>
  <c r="PZ29" i="1"/>
  <c r="L29" i="1"/>
  <c r="RW29" i="1" s="1"/>
  <c r="K29" i="1"/>
  <c r="B29" i="1"/>
  <c r="RY28" i="1"/>
  <c r="RX28" i="1"/>
  <c r="RG28" i="1"/>
  <c r="RD28" i="1"/>
  <c r="RA28" i="1"/>
  <c r="QX28" i="1"/>
  <c r="QU28" i="1"/>
  <c r="QR28" i="1"/>
  <c r="QO28" i="1"/>
  <c r="QL28" i="1"/>
  <c r="QI28" i="1"/>
  <c r="QF28" i="1"/>
  <c r="QC28" i="1"/>
  <c r="PZ28" i="1"/>
  <c r="L28" i="1"/>
  <c r="RW28" i="1" s="1"/>
  <c r="K28" i="1"/>
  <c r="RV28" i="1" s="1"/>
  <c r="B28" i="1"/>
  <c r="RX27" i="1"/>
  <c r="RU27" i="1"/>
  <c r="RG27" i="1"/>
  <c r="RD27" i="1"/>
  <c r="RA27" i="1"/>
  <c r="QX27" i="1"/>
  <c r="QU27" i="1"/>
  <c r="QR27" i="1"/>
  <c r="QO27" i="1"/>
  <c r="QL27" i="1"/>
  <c r="QI27" i="1"/>
  <c r="QF27" i="1"/>
  <c r="QC27" i="1"/>
  <c r="PZ27" i="1"/>
  <c r="L27" i="1"/>
  <c r="RW27" i="1" s="1"/>
  <c r="K27" i="1"/>
  <c r="RV27" i="1" s="1"/>
  <c r="B27" i="1"/>
  <c r="RY27" i="1" s="1"/>
  <c r="RY26" i="1"/>
  <c r="RX26" i="1"/>
  <c r="RW26" i="1"/>
  <c r="RV26" i="1"/>
  <c r="RG26" i="1"/>
  <c r="RD26" i="1"/>
  <c r="RA26" i="1"/>
  <c r="QX26" i="1"/>
  <c r="QU26" i="1"/>
  <c r="QR26" i="1"/>
  <c r="QO26" i="1"/>
  <c r="QL26" i="1"/>
  <c r="QI26" i="1"/>
  <c r="QF26" i="1"/>
  <c r="QC26" i="1"/>
  <c r="PZ26" i="1"/>
  <c r="L26" i="1"/>
  <c r="K26" i="1"/>
  <c r="RU26" i="1" s="1"/>
  <c r="B26" i="1"/>
  <c r="RX25" i="1"/>
  <c r="RV25" i="1"/>
  <c r="RG25" i="1"/>
  <c r="RD25" i="1"/>
  <c r="RA25" i="1"/>
  <c r="QX25" i="1"/>
  <c r="QU25" i="1"/>
  <c r="QR25" i="1"/>
  <c r="QO25" i="1"/>
  <c r="QL25" i="1"/>
  <c r="QI25" i="1"/>
  <c r="QF25" i="1"/>
  <c r="QC25" i="1"/>
  <c r="PZ25" i="1"/>
  <c r="L25" i="1"/>
  <c r="RW25" i="1" s="1"/>
  <c r="K25" i="1"/>
  <c r="RU25" i="1" s="1"/>
  <c r="B25" i="1"/>
  <c r="RY25" i="1" s="1"/>
  <c r="RY24" i="1"/>
  <c r="RX24" i="1"/>
  <c r="RV24" i="1"/>
  <c r="RG24" i="1"/>
  <c r="RD24" i="1"/>
  <c r="RA24" i="1"/>
  <c r="QX24" i="1"/>
  <c r="QU24" i="1"/>
  <c r="QR24" i="1"/>
  <c r="QO24" i="1"/>
  <c r="QL24" i="1"/>
  <c r="QI24" i="1"/>
  <c r="QF24" i="1"/>
  <c r="QC24" i="1"/>
  <c r="PZ24" i="1"/>
  <c r="L24" i="1"/>
  <c r="RW24" i="1" s="1"/>
  <c r="K24" i="1"/>
  <c r="RU24" i="1" s="1"/>
  <c r="B24" i="1"/>
  <c r="RX23" i="1"/>
  <c r="RV23" i="1"/>
  <c r="RG23" i="1"/>
  <c r="RD23" i="1"/>
  <c r="RA23" i="1"/>
  <c r="QX23" i="1"/>
  <c r="QU23" i="1"/>
  <c r="QR23" i="1"/>
  <c r="QO23" i="1"/>
  <c r="QL23" i="1"/>
  <c r="QI23" i="1"/>
  <c r="QF23" i="1"/>
  <c r="QC23" i="1"/>
  <c r="PZ23" i="1"/>
  <c r="L23" i="1"/>
  <c r="RW23" i="1" s="1"/>
  <c r="K23" i="1"/>
  <c r="RU23" i="1" s="1"/>
  <c r="B23" i="1"/>
  <c r="RY23" i="1" s="1"/>
  <c r="RY22" i="1"/>
  <c r="RX22" i="1"/>
  <c r="RG22" i="1"/>
  <c r="RD22" i="1"/>
  <c r="RA22" i="1"/>
  <c r="QX22" i="1"/>
  <c r="QU22" i="1"/>
  <c r="QR22" i="1"/>
  <c r="QO22" i="1"/>
  <c r="QL22" i="1"/>
  <c r="QI22" i="1"/>
  <c r="QF22" i="1"/>
  <c r="QC22" i="1"/>
  <c r="PZ22" i="1"/>
  <c r="L22" i="1"/>
  <c r="RW22" i="1" s="1"/>
  <c r="K22" i="1"/>
  <c r="B22" i="1"/>
  <c r="RY21" i="1"/>
  <c r="RX21" i="1"/>
  <c r="RV21" i="1"/>
  <c r="RG21" i="1"/>
  <c r="RD21" i="1"/>
  <c r="RA21" i="1"/>
  <c r="QX21" i="1"/>
  <c r="QU21" i="1"/>
  <c r="QR21" i="1"/>
  <c r="QO21" i="1"/>
  <c r="QL21" i="1"/>
  <c r="QI21" i="1"/>
  <c r="QF21" i="1"/>
  <c r="QC21" i="1"/>
  <c r="PZ21" i="1"/>
  <c r="L21" i="1"/>
  <c r="RW21" i="1" s="1"/>
  <c r="K21" i="1"/>
  <c r="RU21" i="1" s="1"/>
  <c r="B21" i="1"/>
  <c r="RX20" i="1"/>
  <c r="RW20" i="1"/>
  <c r="RU20" i="1"/>
  <c r="RG20" i="1"/>
  <c r="RD20" i="1"/>
  <c r="RA20" i="1"/>
  <c r="QX20" i="1"/>
  <c r="QU20" i="1"/>
  <c r="QR20" i="1"/>
  <c r="QO20" i="1"/>
  <c r="QL20" i="1"/>
  <c r="QI20" i="1"/>
  <c r="QF20" i="1"/>
  <c r="QC20" i="1"/>
  <c r="PZ20" i="1"/>
  <c r="L20" i="1"/>
  <c r="K20" i="1"/>
  <c r="RV20" i="1" s="1"/>
  <c r="B20" i="1"/>
  <c r="RY20" i="1" s="1"/>
  <c r="RY19" i="1"/>
  <c r="RX19" i="1"/>
  <c r="RW19" i="1"/>
  <c r="RG19" i="1"/>
  <c r="RD19" i="1"/>
  <c r="RA19" i="1"/>
  <c r="QX19" i="1"/>
  <c r="QU19" i="1"/>
  <c r="QR19" i="1"/>
  <c r="QO19" i="1"/>
  <c r="QL19" i="1"/>
  <c r="QI19" i="1"/>
  <c r="QF19" i="1"/>
  <c r="QC19" i="1"/>
  <c r="PZ19" i="1"/>
  <c r="L19" i="1"/>
  <c r="K19" i="1"/>
  <c r="RV19" i="1" s="1"/>
  <c r="B19" i="1"/>
  <c r="RY18" i="1"/>
  <c r="RX18" i="1"/>
  <c r="RW18" i="1"/>
  <c r="RV18" i="1"/>
  <c r="RG18" i="1"/>
  <c r="RD18" i="1"/>
  <c r="RA18" i="1"/>
  <c r="QX18" i="1"/>
  <c r="QU18" i="1"/>
  <c r="QR18" i="1"/>
  <c r="QO18" i="1"/>
  <c r="QL18" i="1"/>
  <c r="QI18" i="1"/>
  <c r="QF18" i="1"/>
  <c r="QC18" i="1"/>
  <c r="PZ18" i="1"/>
  <c r="PZ5" i="1" s="1"/>
  <c r="L18" i="1"/>
  <c r="K18" i="1"/>
  <c r="RU18" i="1" s="1"/>
  <c r="B18" i="1"/>
  <c r="RX17" i="1"/>
  <c r="RW17" i="1"/>
  <c r="RG17" i="1"/>
  <c r="RD17" i="1"/>
  <c r="RA17" i="1"/>
  <c r="QX17" i="1"/>
  <c r="QU17" i="1"/>
  <c r="QR17" i="1"/>
  <c r="QR222" i="1" s="1"/>
  <c r="QO17" i="1"/>
  <c r="QL17" i="1"/>
  <c r="QI17" i="1"/>
  <c r="QF17" i="1"/>
  <c r="QC17" i="1"/>
  <c r="PZ17" i="1"/>
  <c r="L17" i="1"/>
  <c r="K17" i="1"/>
  <c r="RV17" i="1" s="1"/>
  <c r="B17" i="1"/>
  <c r="RY17" i="1" s="1"/>
  <c r="RY16" i="1"/>
  <c r="RX16" i="1"/>
  <c r="RW16" i="1"/>
  <c r="RG16" i="1"/>
  <c r="RD16" i="1"/>
  <c r="RA16" i="1"/>
  <c r="QX16" i="1"/>
  <c r="QU16" i="1"/>
  <c r="QR16" i="1"/>
  <c r="QO16" i="1"/>
  <c r="QL16" i="1"/>
  <c r="QI16" i="1"/>
  <c r="QF16" i="1"/>
  <c r="QC16" i="1"/>
  <c r="PZ16" i="1"/>
  <c r="L16" i="1"/>
  <c r="K16" i="1"/>
  <c r="RV16" i="1" s="1"/>
  <c r="B16" i="1"/>
  <c r="RX15" i="1"/>
  <c r="RV15" i="1"/>
  <c r="RG15" i="1"/>
  <c r="RD15" i="1"/>
  <c r="RA15" i="1"/>
  <c r="QX15" i="1"/>
  <c r="QU15" i="1"/>
  <c r="QR15" i="1"/>
  <c r="QO15" i="1"/>
  <c r="QL15" i="1"/>
  <c r="QI15" i="1"/>
  <c r="QF15" i="1"/>
  <c r="QC15" i="1"/>
  <c r="PZ15" i="1"/>
  <c r="L15" i="1"/>
  <c r="RW15" i="1" s="1"/>
  <c r="K15" i="1"/>
  <c r="RU15" i="1" s="1"/>
  <c r="B15" i="1"/>
  <c r="RY15" i="1" s="1"/>
  <c r="RY14" i="1"/>
  <c r="RX14" i="1"/>
  <c r="RW14" i="1"/>
  <c r="RV14" i="1"/>
  <c r="RG14" i="1"/>
  <c r="RD14" i="1"/>
  <c r="RA14" i="1"/>
  <c r="QX14" i="1"/>
  <c r="QU14" i="1"/>
  <c r="QR14" i="1"/>
  <c r="QO14" i="1"/>
  <c r="QL14" i="1"/>
  <c r="QI14" i="1"/>
  <c r="QF14" i="1"/>
  <c r="QC14" i="1"/>
  <c r="PZ14" i="1"/>
  <c r="L14" i="1"/>
  <c r="K14" i="1"/>
  <c r="RU14" i="1" s="1"/>
  <c r="B14" i="1"/>
  <c r="RX13" i="1"/>
  <c r="RV13" i="1"/>
  <c r="RU13" i="1"/>
  <c r="RG13" i="1"/>
  <c r="RD13" i="1"/>
  <c r="RA13" i="1"/>
  <c r="QX13" i="1"/>
  <c r="QU13" i="1"/>
  <c r="QR13" i="1"/>
  <c r="QO13" i="1"/>
  <c r="QL13" i="1"/>
  <c r="QI13" i="1"/>
  <c r="QF13" i="1"/>
  <c r="QC13" i="1"/>
  <c r="PZ13" i="1"/>
  <c r="L13" i="1"/>
  <c r="RW13" i="1" s="1"/>
  <c r="K13" i="1"/>
  <c r="B13" i="1"/>
  <c r="RY13" i="1" s="1"/>
  <c r="RY12" i="1"/>
  <c r="RX12" i="1"/>
  <c r="RV12" i="1"/>
  <c r="RG12" i="1"/>
  <c r="RD12" i="1"/>
  <c r="RA12" i="1"/>
  <c r="QX12" i="1"/>
  <c r="QU12" i="1"/>
  <c r="QR12" i="1"/>
  <c r="QO12" i="1"/>
  <c r="QL12" i="1"/>
  <c r="QI12" i="1"/>
  <c r="QF12" i="1"/>
  <c r="QC12" i="1"/>
  <c r="PZ12" i="1"/>
  <c r="L12" i="1"/>
  <c r="RW12" i="1" s="1"/>
  <c r="K12" i="1"/>
  <c r="RU12" i="1" s="1"/>
  <c r="B12" i="1"/>
  <c r="RX11" i="1"/>
  <c r="RV11" i="1"/>
  <c r="RG11" i="1"/>
  <c r="RD11" i="1"/>
  <c r="RA11" i="1"/>
  <c r="QX11" i="1"/>
  <c r="QU11" i="1"/>
  <c r="QR11" i="1"/>
  <c r="QO11" i="1"/>
  <c r="QL11" i="1"/>
  <c r="QI11" i="1"/>
  <c r="QF11" i="1"/>
  <c r="QC11" i="1"/>
  <c r="PZ11" i="1"/>
  <c r="L11" i="1"/>
  <c r="RW11" i="1" s="1"/>
  <c r="K11" i="1"/>
  <c r="RU11" i="1" s="1"/>
  <c r="B11" i="1"/>
  <c r="RY11" i="1" s="1"/>
  <c r="RY10" i="1"/>
  <c r="RX10" i="1"/>
  <c r="RU10" i="1"/>
  <c r="RG10" i="1"/>
  <c r="RD10" i="1"/>
  <c r="RD224" i="1" s="1"/>
  <c r="RD227" i="1" s="1"/>
  <c r="RA10" i="1"/>
  <c r="QX10" i="1"/>
  <c r="QU10" i="1"/>
  <c r="QR10" i="1"/>
  <c r="QO10" i="1"/>
  <c r="QL10" i="1"/>
  <c r="QI10" i="1"/>
  <c r="QF10" i="1"/>
  <c r="QC10" i="1"/>
  <c r="PZ10" i="1"/>
  <c r="L10" i="1"/>
  <c r="RW10" i="1" s="1"/>
  <c r="K10" i="1"/>
  <c r="RV10" i="1" s="1"/>
  <c r="B10" i="1"/>
  <c r="RY9" i="1"/>
  <c r="RX9" i="1"/>
  <c r="RG9" i="1"/>
  <c r="RG231" i="1" s="1"/>
  <c r="RD9" i="1"/>
  <c r="RD231" i="1" s="1"/>
  <c r="RA9" i="1"/>
  <c r="QX9" i="1"/>
  <c r="QX231" i="1" s="1"/>
  <c r="QU9" i="1"/>
  <c r="QU231" i="1" s="1"/>
  <c r="QR9" i="1"/>
  <c r="QR231" i="1" s="1"/>
  <c r="QO9" i="1"/>
  <c r="QL9" i="1"/>
  <c r="QL231" i="1" s="1"/>
  <c r="QI9" i="1"/>
  <c r="QI231" i="1" s="1"/>
  <c r="QF9" i="1"/>
  <c r="QF231" i="1" s="1"/>
  <c r="QC9" i="1"/>
  <c r="PZ9" i="1"/>
  <c r="L9" i="1"/>
  <c r="RW9" i="1" s="1"/>
  <c r="K9" i="1"/>
  <c r="RU9" i="1" s="1"/>
  <c r="B9" i="1"/>
  <c r="RX8" i="1"/>
  <c r="RW8" i="1"/>
  <c r="RU8" i="1"/>
  <c r="RG8" i="1"/>
  <c r="RD8" i="1"/>
  <c r="RA8" i="1"/>
  <c r="QX8" i="1"/>
  <c r="QU8" i="1"/>
  <c r="QR8" i="1"/>
  <c r="QO8" i="1"/>
  <c r="QL8" i="1"/>
  <c r="QI8" i="1"/>
  <c r="QF8" i="1"/>
  <c r="QC8" i="1"/>
  <c r="PZ8" i="1"/>
  <c r="ET8" i="1"/>
  <c r="L8" i="1"/>
  <c r="K8" i="1"/>
  <c r="RV8" i="1" s="1"/>
  <c r="B8" i="1"/>
  <c r="RY8" i="1" s="1"/>
  <c r="RY7" i="1"/>
  <c r="RX7" i="1"/>
  <c r="RW7" i="1"/>
  <c r="RV7" i="1"/>
  <c r="RG7" i="1"/>
  <c r="RD7" i="1"/>
  <c r="RA7" i="1"/>
  <c r="QX7" i="1"/>
  <c r="QU7" i="1"/>
  <c r="QR7" i="1"/>
  <c r="QO7" i="1"/>
  <c r="QL7" i="1"/>
  <c r="QI7" i="1"/>
  <c r="QF7" i="1"/>
  <c r="QC7" i="1"/>
  <c r="QD7" i="1" s="1"/>
  <c r="PZ7" i="1"/>
  <c r="L7" i="1"/>
  <c r="K7" i="1"/>
  <c r="RU7" i="1" s="1"/>
  <c r="B7" i="1"/>
  <c r="RX6" i="1"/>
  <c r="RV6" i="1"/>
  <c r="RU6" i="1"/>
  <c r="RG6" i="1"/>
  <c r="RD6" i="1"/>
  <c r="RA6" i="1"/>
  <c r="QX6" i="1"/>
  <c r="QU6" i="1"/>
  <c r="QU5" i="1" s="1"/>
  <c r="QR6" i="1"/>
  <c r="QR221" i="1" s="1"/>
  <c r="QO6" i="1"/>
  <c r="QL6" i="1"/>
  <c r="QI6" i="1"/>
  <c r="QF6" i="1"/>
  <c r="QC6" i="1"/>
  <c r="QC221" i="1" s="1"/>
  <c r="PZ6" i="1"/>
  <c r="L6" i="1"/>
  <c r="RW6" i="1" s="1"/>
  <c r="K6" i="1"/>
  <c r="B6" i="1"/>
  <c r="RY6" i="1" s="1"/>
  <c r="RY5" i="1"/>
  <c r="RW5" i="1"/>
  <c r="RV5" i="1"/>
  <c r="QX5" i="1"/>
  <c r="QY47" i="1" s="1"/>
  <c r="QC5" i="1"/>
  <c r="QD26" i="1" s="1"/>
  <c r="OX5" i="1"/>
  <c r="OU5" i="1"/>
  <c r="OR5" i="1"/>
  <c r="OO5" i="1"/>
  <c r="OM5" i="1"/>
  <c r="OL5" i="1"/>
  <c r="OI5" i="1"/>
  <c r="NZ5" i="1"/>
  <c r="NW5" i="1"/>
  <c r="NV5" i="1"/>
  <c r="NT5" i="1"/>
  <c r="NN5" i="1"/>
  <c r="NK5" i="1"/>
  <c r="NH5" i="1"/>
  <c r="NB5" i="1"/>
  <c r="MZ5" i="1"/>
  <c r="MY5" i="1"/>
  <c r="MV5" i="1"/>
  <c r="MP5" i="1"/>
  <c r="MM5" i="1"/>
  <c r="MJ5" i="1"/>
  <c r="MI5" i="1"/>
  <c r="MH5" i="1"/>
  <c r="MD5" i="1"/>
  <c r="MA5" i="1"/>
  <c r="LX5" i="1"/>
  <c r="LR5" i="1"/>
  <c r="LP5" i="1"/>
  <c r="LO5" i="1"/>
  <c r="LF5" i="1"/>
  <c r="LC5" i="1"/>
  <c r="KZ5" i="1"/>
  <c r="KU5" i="1"/>
  <c r="KT5" i="1"/>
  <c r="KQ5" i="1"/>
  <c r="KP5" i="1"/>
  <c r="KN5" i="1"/>
  <c r="KH5" i="1"/>
  <c r="KE5" i="1"/>
  <c r="KB5" i="1"/>
  <c r="JV5" i="1"/>
  <c r="JS5" i="1"/>
  <c r="JP5" i="1"/>
  <c r="JK5" i="1"/>
  <c r="JJ5" i="1"/>
  <c r="JG5" i="1"/>
  <c r="JD5" i="1"/>
  <c r="JC5" i="1"/>
  <c r="IX5" i="1"/>
  <c r="IU5" i="1"/>
  <c r="IP5" i="1"/>
  <c r="IO5" i="1"/>
  <c r="IL5" i="1"/>
  <c r="IJ5" i="1"/>
  <c r="II5" i="1"/>
  <c r="IF5" i="1"/>
  <c r="HZ5" i="1"/>
  <c r="HW5" i="1"/>
  <c r="HV5" i="1"/>
  <c r="HT5" i="1"/>
  <c r="HN5" i="1"/>
  <c r="HK5" i="1"/>
  <c r="HH5" i="1"/>
  <c r="HF5" i="1"/>
  <c r="HB5" i="1"/>
  <c r="GY5" i="1"/>
  <c r="GV5" i="1"/>
  <c r="GP5" i="1"/>
  <c r="GM5" i="1"/>
  <c r="GJ5" i="1"/>
  <c r="GI5" i="1"/>
  <c r="GE5" i="1"/>
  <c r="GD5" i="1"/>
  <c r="GA5" i="1"/>
  <c r="FR5" i="1"/>
  <c r="FP5" i="1"/>
  <c r="FO5" i="1"/>
  <c r="FL5" i="1"/>
  <c r="FF5" i="1"/>
  <c r="FC5" i="1"/>
  <c r="EZ5" i="1"/>
  <c r="ET5" i="1"/>
  <c r="ER5" i="1"/>
  <c r="EQ5" i="1"/>
  <c r="EN5" i="1"/>
  <c r="EH5" i="1"/>
  <c r="EE5" i="1"/>
  <c r="ED5" i="1"/>
  <c r="EB5" i="1"/>
  <c r="DV5" i="1"/>
  <c r="DS5" i="1"/>
  <c r="DP5" i="1"/>
  <c r="DO5" i="1"/>
  <c r="DN5" i="1"/>
  <c r="DJ5" i="1"/>
  <c r="DG5" i="1"/>
  <c r="CX5" i="1"/>
  <c r="CV5" i="1"/>
  <c r="CU5" i="1"/>
  <c r="CR5" i="1"/>
  <c r="CL5" i="1"/>
  <c r="CI5" i="1"/>
  <c r="CF5" i="1"/>
  <c r="BZ5" i="1"/>
  <c r="BW5" i="1"/>
  <c r="BT5" i="1"/>
  <c r="BO5" i="1"/>
  <c r="BN5" i="1"/>
  <c r="BK5" i="1"/>
  <c r="BH5" i="1"/>
  <c r="BB5" i="1"/>
  <c r="RY4" i="1"/>
  <c r="RW4" i="1"/>
  <c r="RV4" i="1"/>
  <c r="RR3" i="1"/>
  <c r="PB3" i="1"/>
  <c r="PB5" i="1" s="1"/>
  <c r="PA3" i="1"/>
  <c r="PA5" i="1" s="1"/>
  <c r="OZ3" i="1"/>
  <c r="OZ5" i="1" s="1"/>
  <c r="OY3" i="1"/>
  <c r="OY5" i="1" s="1"/>
  <c r="OX3" i="1"/>
  <c r="OW3" i="1"/>
  <c r="OW5" i="1" s="1"/>
  <c r="OV3" i="1"/>
  <c r="OV5" i="1" s="1"/>
  <c r="OU3" i="1"/>
  <c r="OT3" i="1"/>
  <c r="OT5" i="1" s="1"/>
  <c r="OS3" i="1"/>
  <c r="OS5" i="1" s="1"/>
  <c r="OR3" i="1"/>
  <c r="OQ3" i="1"/>
  <c r="OQ5" i="1" s="1"/>
  <c r="OP3" i="1"/>
  <c r="OP5" i="1" s="1"/>
  <c r="OO3" i="1"/>
  <c r="ON3" i="1"/>
  <c r="ON5" i="1" s="1"/>
  <c r="OM3" i="1"/>
  <c r="OL3" i="1"/>
  <c r="OK3" i="1"/>
  <c r="OK5" i="1" s="1"/>
  <c r="OJ3" i="1"/>
  <c r="OJ5" i="1" s="1"/>
  <c r="OI3" i="1"/>
  <c r="OH3" i="1"/>
  <c r="OH5" i="1" s="1"/>
  <c r="OG3" i="1"/>
  <c r="OG5" i="1" s="1"/>
  <c r="OF3" i="1"/>
  <c r="OF5" i="1" s="1"/>
  <c r="OE3" i="1"/>
  <c r="OE5" i="1" s="1"/>
  <c r="OD3" i="1"/>
  <c r="OD5" i="1" s="1"/>
  <c r="OC3" i="1"/>
  <c r="OC5" i="1" s="1"/>
  <c r="OB3" i="1"/>
  <c r="OB5" i="1" s="1"/>
  <c r="OA3" i="1"/>
  <c r="OA5" i="1" s="1"/>
  <c r="NZ3" i="1"/>
  <c r="NY3" i="1"/>
  <c r="NY5" i="1" s="1"/>
  <c r="NX3" i="1"/>
  <c r="NX5" i="1" s="1"/>
  <c r="NW3" i="1"/>
  <c r="NV3" i="1"/>
  <c r="NU3" i="1"/>
  <c r="NU5" i="1" s="1"/>
  <c r="NT3" i="1"/>
  <c r="NS3" i="1"/>
  <c r="NS5" i="1" s="1"/>
  <c r="NR3" i="1"/>
  <c r="NR5" i="1" s="1"/>
  <c r="NQ3" i="1"/>
  <c r="NQ5" i="1" s="1"/>
  <c r="NP3" i="1"/>
  <c r="NP5" i="1" s="1"/>
  <c r="NO3" i="1"/>
  <c r="NO5" i="1" s="1"/>
  <c r="NN3" i="1"/>
  <c r="NM3" i="1"/>
  <c r="NM5" i="1" s="1"/>
  <c r="NL3" i="1"/>
  <c r="NL5" i="1" s="1"/>
  <c r="NK3" i="1"/>
  <c r="NJ3" i="1"/>
  <c r="NJ5" i="1" s="1"/>
  <c r="NI3" i="1"/>
  <c r="NI5" i="1" s="1"/>
  <c r="NH3" i="1"/>
  <c r="NG3" i="1"/>
  <c r="NG5" i="1" s="1"/>
  <c r="NF3" i="1"/>
  <c r="NF5" i="1" s="1"/>
  <c r="NE3" i="1"/>
  <c r="NE5" i="1" s="1"/>
  <c r="ND3" i="1"/>
  <c r="ND5" i="1" s="1"/>
  <c r="NC3" i="1"/>
  <c r="NC5" i="1" s="1"/>
  <c r="NB3" i="1"/>
  <c r="NA3" i="1"/>
  <c r="NA5" i="1" s="1"/>
  <c r="MZ3" i="1"/>
  <c r="MY3" i="1"/>
  <c r="MX3" i="1"/>
  <c r="MX5" i="1" s="1"/>
  <c r="MW3" i="1"/>
  <c r="MW5" i="1" s="1"/>
  <c r="MV3" i="1"/>
  <c r="MU3" i="1"/>
  <c r="MU5" i="1" s="1"/>
  <c r="MT3" i="1"/>
  <c r="MT5" i="1" s="1"/>
  <c r="MS3" i="1"/>
  <c r="MS5" i="1" s="1"/>
  <c r="MR3" i="1"/>
  <c r="MR5" i="1" s="1"/>
  <c r="MQ3" i="1"/>
  <c r="MQ5" i="1" s="1"/>
  <c r="MP3" i="1"/>
  <c r="MO3" i="1"/>
  <c r="MO5" i="1" s="1"/>
  <c r="MN3" i="1"/>
  <c r="MN5" i="1" s="1"/>
  <c r="MM3" i="1"/>
  <c r="ML3" i="1"/>
  <c r="ML5" i="1" s="1"/>
  <c r="MK3" i="1"/>
  <c r="MK5" i="1" s="1"/>
  <c r="MJ3" i="1"/>
  <c r="MI3" i="1"/>
  <c r="MH3" i="1"/>
  <c r="MG3" i="1"/>
  <c r="MG5" i="1" s="1"/>
  <c r="MF3" i="1"/>
  <c r="MF5" i="1" s="1"/>
  <c r="ME3" i="1"/>
  <c r="ME5" i="1" s="1"/>
  <c r="MD3" i="1"/>
  <c r="MC3" i="1"/>
  <c r="MC5" i="1" s="1"/>
  <c r="MB3" i="1"/>
  <c r="MB5" i="1" s="1"/>
  <c r="MA3" i="1"/>
  <c r="LZ3" i="1"/>
  <c r="LZ5" i="1" s="1"/>
  <c r="LY3" i="1"/>
  <c r="LY5" i="1" s="1"/>
  <c r="LX3" i="1"/>
  <c r="LW3" i="1"/>
  <c r="LW5" i="1" s="1"/>
  <c r="LV3" i="1"/>
  <c r="LV5" i="1" s="1"/>
  <c r="LU3" i="1"/>
  <c r="LU5" i="1" s="1"/>
  <c r="LT3" i="1"/>
  <c r="LT5" i="1" s="1"/>
  <c r="LS3" i="1"/>
  <c r="LS5" i="1" s="1"/>
  <c r="LR3" i="1"/>
  <c r="LQ3" i="1"/>
  <c r="LQ5" i="1" s="1"/>
  <c r="LP3" i="1"/>
  <c r="LO3" i="1"/>
  <c r="LN3" i="1"/>
  <c r="LN5" i="1" s="1"/>
  <c r="LM3" i="1"/>
  <c r="LM5" i="1" s="1"/>
  <c r="LL3" i="1"/>
  <c r="LL5" i="1" s="1"/>
  <c r="LK3" i="1"/>
  <c r="LK5" i="1" s="1"/>
  <c r="LJ3" i="1"/>
  <c r="LJ5" i="1" s="1"/>
  <c r="LI3" i="1"/>
  <c r="LI5" i="1" s="1"/>
  <c r="LH3" i="1"/>
  <c r="LH5" i="1" s="1"/>
  <c r="LG3" i="1"/>
  <c r="LG5" i="1" s="1"/>
  <c r="LF3" i="1"/>
  <c r="LE3" i="1"/>
  <c r="LE5" i="1" s="1"/>
  <c r="LD3" i="1"/>
  <c r="LD5" i="1" s="1"/>
  <c r="LC3" i="1"/>
  <c r="LB3" i="1"/>
  <c r="LB5" i="1" s="1"/>
  <c r="LA3" i="1"/>
  <c r="LA5" i="1" s="1"/>
  <c r="KZ3" i="1"/>
  <c r="KY3" i="1"/>
  <c r="KY5" i="1" s="1"/>
  <c r="KX3" i="1"/>
  <c r="KX5" i="1" s="1"/>
  <c r="KW3" i="1"/>
  <c r="KW5" i="1" s="1"/>
  <c r="KV3" i="1"/>
  <c r="KV5" i="1" s="1"/>
  <c r="KU3" i="1"/>
  <c r="KT3" i="1"/>
  <c r="KS3" i="1"/>
  <c r="KS5" i="1" s="1"/>
  <c r="KR3" i="1"/>
  <c r="KR5" i="1" s="1"/>
  <c r="KQ3" i="1"/>
  <c r="KP3" i="1"/>
  <c r="KO3" i="1"/>
  <c r="KO5" i="1" s="1"/>
  <c r="KN3" i="1"/>
  <c r="KM3" i="1"/>
  <c r="KM5" i="1" s="1"/>
  <c r="KL3" i="1"/>
  <c r="KL5" i="1" s="1"/>
  <c r="KK3" i="1"/>
  <c r="KK5" i="1" s="1"/>
  <c r="KJ3" i="1"/>
  <c r="KJ5" i="1" s="1"/>
  <c r="KI3" i="1"/>
  <c r="KI5" i="1" s="1"/>
  <c r="KH3" i="1"/>
  <c r="KG3" i="1"/>
  <c r="KG5" i="1" s="1"/>
  <c r="KF3" i="1"/>
  <c r="KF5" i="1" s="1"/>
  <c r="KE3" i="1"/>
  <c r="KD3" i="1"/>
  <c r="KD5" i="1" s="1"/>
  <c r="KC3" i="1"/>
  <c r="KC5" i="1" s="1"/>
  <c r="KB3" i="1"/>
  <c r="KA3" i="1"/>
  <c r="KA5" i="1" s="1"/>
  <c r="JZ3" i="1"/>
  <c r="JZ5" i="1" s="1"/>
  <c r="JY3" i="1"/>
  <c r="JY5" i="1" s="1"/>
  <c r="JX3" i="1"/>
  <c r="JX5" i="1" s="1"/>
  <c r="JW3" i="1"/>
  <c r="JW5" i="1" s="1"/>
  <c r="JV3" i="1"/>
  <c r="JU3" i="1"/>
  <c r="JU5" i="1" s="1"/>
  <c r="JT3" i="1"/>
  <c r="JT5" i="1" s="1"/>
  <c r="JS3" i="1"/>
  <c r="JR3" i="1"/>
  <c r="JR5" i="1" s="1"/>
  <c r="JQ3" i="1"/>
  <c r="JQ5" i="1" s="1"/>
  <c r="JP3" i="1"/>
  <c r="JO3" i="1"/>
  <c r="JO5" i="1" s="1"/>
  <c r="JN3" i="1"/>
  <c r="JN5" i="1" s="1"/>
  <c r="JM3" i="1"/>
  <c r="JM5" i="1" s="1"/>
  <c r="JL3" i="1"/>
  <c r="JL5" i="1" s="1"/>
  <c r="JK3" i="1"/>
  <c r="JJ3" i="1"/>
  <c r="JI3" i="1"/>
  <c r="JI5" i="1" s="1"/>
  <c r="JH3" i="1"/>
  <c r="JH5" i="1" s="1"/>
  <c r="JG3" i="1"/>
  <c r="JF3" i="1"/>
  <c r="JF5" i="1" s="1"/>
  <c r="JE3" i="1"/>
  <c r="JE5" i="1" s="1"/>
  <c r="JD3" i="1"/>
  <c r="JC3" i="1"/>
  <c r="JB3" i="1"/>
  <c r="JB5" i="1" s="1"/>
  <c r="JA3" i="1"/>
  <c r="JA5" i="1" s="1"/>
  <c r="IZ3" i="1"/>
  <c r="IZ5" i="1" s="1"/>
  <c r="IY3" i="1"/>
  <c r="IY5" i="1" s="1"/>
  <c r="IX3" i="1"/>
  <c r="IW3" i="1"/>
  <c r="IW5" i="1" s="1"/>
  <c r="IV3" i="1"/>
  <c r="IV5" i="1" s="1"/>
  <c r="IU3" i="1"/>
  <c r="IT3" i="1"/>
  <c r="IT5" i="1" s="1"/>
  <c r="IS3" i="1"/>
  <c r="IS5" i="1" s="1"/>
  <c r="IR3" i="1"/>
  <c r="IR5" i="1" s="1"/>
  <c r="IQ3" i="1"/>
  <c r="IQ5" i="1" s="1"/>
  <c r="IP3" i="1"/>
  <c r="IO3" i="1"/>
  <c r="IN3" i="1"/>
  <c r="IN5" i="1" s="1"/>
  <c r="IM3" i="1"/>
  <c r="IM5" i="1" s="1"/>
  <c r="IL3" i="1"/>
  <c r="IK3" i="1"/>
  <c r="IK5" i="1" s="1"/>
  <c r="IJ3" i="1"/>
  <c r="II3" i="1"/>
  <c r="IH3" i="1"/>
  <c r="IH5" i="1" s="1"/>
  <c r="IG3" i="1"/>
  <c r="IG5" i="1" s="1"/>
  <c r="IF3" i="1"/>
  <c r="IE3" i="1"/>
  <c r="IE5" i="1" s="1"/>
  <c r="ID3" i="1"/>
  <c r="ID5" i="1" s="1"/>
  <c r="IC3" i="1"/>
  <c r="IC5" i="1" s="1"/>
  <c r="IB3" i="1"/>
  <c r="IB5" i="1" s="1"/>
  <c r="IA3" i="1"/>
  <c r="IA5" i="1" s="1"/>
  <c r="HZ3" i="1"/>
  <c r="HY3" i="1"/>
  <c r="HY5" i="1" s="1"/>
  <c r="HX3" i="1"/>
  <c r="HX5" i="1" s="1"/>
  <c r="HW3" i="1"/>
  <c r="HV3" i="1"/>
  <c r="HU3" i="1"/>
  <c r="HU5" i="1" s="1"/>
  <c r="HT3" i="1"/>
  <c r="HS3" i="1"/>
  <c r="HS5" i="1" s="1"/>
  <c r="HR3" i="1"/>
  <c r="HR5" i="1" s="1"/>
  <c r="HQ3" i="1"/>
  <c r="HQ5" i="1" s="1"/>
  <c r="HP3" i="1"/>
  <c r="HP5" i="1" s="1"/>
  <c r="HO3" i="1"/>
  <c r="HO5" i="1" s="1"/>
  <c r="HN3" i="1"/>
  <c r="HM3" i="1"/>
  <c r="HM5" i="1" s="1"/>
  <c r="HL3" i="1"/>
  <c r="HL5" i="1" s="1"/>
  <c r="HK3" i="1"/>
  <c r="HJ3" i="1"/>
  <c r="HJ5" i="1" s="1"/>
  <c r="HI3" i="1"/>
  <c r="HI5" i="1" s="1"/>
  <c r="HH3" i="1"/>
  <c r="HG3" i="1"/>
  <c r="HG5" i="1" s="1"/>
  <c r="HF3" i="1"/>
  <c r="HE3" i="1"/>
  <c r="HE5" i="1" s="1"/>
  <c r="HD3" i="1"/>
  <c r="HD5" i="1" s="1"/>
  <c r="HC3" i="1"/>
  <c r="HC5" i="1" s="1"/>
  <c r="HB3" i="1"/>
  <c r="HA3" i="1"/>
  <c r="HA5" i="1" s="1"/>
  <c r="GZ3" i="1"/>
  <c r="GZ5" i="1" s="1"/>
  <c r="GY3" i="1"/>
  <c r="GX3" i="1"/>
  <c r="GX5" i="1" s="1"/>
  <c r="GW3" i="1"/>
  <c r="GW5" i="1" s="1"/>
  <c r="GV3" i="1"/>
  <c r="GU3" i="1"/>
  <c r="GU5" i="1" s="1"/>
  <c r="GT3" i="1"/>
  <c r="GT5" i="1" s="1"/>
  <c r="GS3" i="1"/>
  <c r="GS5" i="1" s="1"/>
  <c r="GR3" i="1"/>
  <c r="GR5" i="1" s="1"/>
  <c r="GQ3" i="1"/>
  <c r="GQ5" i="1" s="1"/>
  <c r="GP3" i="1"/>
  <c r="GO3" i="1"/>
  <c r="GO5" i="1" s="1"/>
  <c r="GN3" i="1"/>
  <c r="GN5" i="1" s="1"/>
  <c r="GM3" i="1"/>
  <c r="GL3" i="1"/>
  <c r="GL5" i="1" s="1"/>
  <c r="GK3" i="1"/>
  <c r="GK5" i="1" s="1"/>
  <c r="GJ3" i="1"/>
  <c r="GI3" i="1"/>
  <c r="GH3" i="1"/>
  <c r="GH5" i="1" s="1"/>
  <c r="GG3" i="1"/>
  <c r="GG5" i="1" s="1"/>
  <c r="GF3" i="1"/>
  <c r="GF5" i="1" s="1"/>
  <c r="GE3" i="1"/>
  <c r="GD3" i="1"/>
  <c r="GC3" i="1"/>
  <c r="GC5" i="1" s="1"/>
  <c r="GB3" i="1"/>
  <c r="GB5" i="1" s="1"/>
  <c r="GA3" i="1"/>
  <c r="FZ3" i="1"/>
  <c r="FZ5" i="1" s="1"/>
  <c r="FY3" i="1"/>
  <c r="FY5" i="1" s="1"/>
  <c r="FX3" i="1"/>
  <c r="FX5" i="1" s="1"/>
  <c r="FW3" i="1"/>
  <c r="FW5" i="1" s="1"/>
  <c r="FV3" i="1"/>
  <c r="FV5" i="1" s="1"/>
  <c r="FU3" i="1"/>
  <c r="FU5" i="1" s="1"/>
  <c r="FT3" i="1"/>
  <c r="FT5" i="1" s="1"/>
  <c r="FS3" i="1"/>
  <c r="FS5" i="1" s="1"/>
  <c r="FR3" i="1"/>
  <c r="FQ3" i="1"/>
  <c r="FQ5" i="1" s="1"/>
  <c r="FP3" i="1"/>
  <c r="FO3" i="1"/>
  <c r="FN3" i="1"/>
  <c r="FN5" i="1" s="1"/>
  <c r="FM3" i="1"/>
  <c r="FM5" i="1" s="1"/>
  <c r="FL3" i="1"/>
  <c r="FK3" i="1"/>
  <c r="FK5" i="1" s="1"/>
  <c r="FJ3" i="1"/>
  <c r="FJ5" i="1" s="1"/>
  <c r="FI3" i="1"/>
  <c r="FI5" i="1" s="1"/>
  <c r="FH3" i="1"/>
  <c r="FH5" i="1" s="1"/>
  <c r="FG3" i="1"/>
  <c r="FG5" i="1" s="1"/>
  <c r="FF3" i="1"/>
  <c r="FE3" i="1"/>
  <c r="FE5" i="1" s="1"/>
  <c r="FD3" i="1"/>
  <c r="FD5" i="1" s="1"/>
  <c r="FC3" i="1"/>
  <c r="FB3" i="1"/>
  <c r="FB5" i="1" s="1"/>
  <c r="FA3" i="1"/>
  <c r="FA5" i="1" s="1"/>
  <c r="EZ3" i="1"/>
  <c r="EY3" i="1"/>
  <c r="EY5" i="1" s="1"/>
  <c r="EX3" i="1"/>
  <c r="EX5" i="1" s="1"/>
  <c r="EW3" i="1"/>
  <c r="EW5" i="1" s="1"/>
  <c r="EV3" i="1"/>
  <c r="EV5" i="1" s="1"/>
  <c r="EU3" i="1"/>
  <c r="EU5" i="1" s="1"/>
  <c r="ET3" i="1"/>
  <c r="ES3" i="1"/>
  <c r="ES5" i="1" s="1"/>
  <c r="ER3" i="1"/>
  <c r="EQ3" i="1"/>
  <c r="EP3" i="1"/>
  <c r="EP5" i="1" s="1"/>
  <c r="EO3" i="1"/>
  <c r="EO5" i="1" s="1"/>
  <c r="EN3" i="1"/>
  <c r="EM3" i="1"/>
  <c r="EM5" i="1" s="1"/>
  <c r="EL3" i="1"/>
  <c r="EL5" i="1" s="1"/>
  <c r="EK3" i="1"/>
  <c r="EK5" i="1" s="1"/>
  <c r="EJ3" i="1"/>
  <c r="EJ5" i="1" s="1"/>
  <c r="EI3" i="1"/>
  <c r="EI5" i="1" s="1"/>
  <c r="EH3" i="1"/>
  <c r="EG3" i="1"/>
  <c r="EG5" i="1" s="1"/>
  <c r="EF3" i="1"/>
  <c r="EF5" i="1" s="1"/>
  <c r="EE3" i="1"/>
  <c r="ED3" i="1"/>
  <c r="EC3" i="1"/>
  <c r="EC5" i="1" s="1"/>
  <c r="EB3" i="1"/>
  <c r="EA3" i="1"/>
  <c r="EA5" i="1" s="1"/>
  <c r="DZ3" i="1"/>
  <c r="DZ5" i="1" s="1"/>
  <c r="DY3" i="1"/>
  <c r="DY5" i="1" s="1"/>
  <c r="DX3" i="1"/>
  <c r="DX5" i="1" s="1"/>
  <c r="DW3" i="1"/>
  <c r="DW5" i="1" s="1"/>
  <c r="DV3" i="1"/>
  <c r="DU3" i="1"/>
  <c r="DU5" i="1" s="1"/>
  <c r="DT3" i="1"/>
  <c r="DT5" i="1" s="1"/>
  <c r="DS3" i="1"/>
  <c r="DR3" i="1"/>
  <c r="DR5" i="1" s="1"/>
  <c r="DQ3" i="1"/>
  <c r="DQ5" i="1" s="1"/>
  <c r="DP3" i="1"/>
  <c r="DO3" i="1"/>
  <c r="DN3" i="1"/>
  <c r="DM3" i="1"/>
  <c r="DM5" i="1" s="1"/>
  <c r="DL3" i="1"/>
  <c r="DL5" i="1" s="1"/>
  <c r="DK3" i="1"/>
  <c r="DK5" i="1" s="1"/>
  <c r="DJ3" i="1"/>
  <c r="DI3" i="1"/>
  <c r="DI5" i="1" s="1"/>
  <c r="DH3" i="1"/>
  <c r="DH5" i="1" s="1"/>
  <c r="DG3" i="1"/>
  <c r="DF3" i="1"/>
  <c r="DF5" i="1" s="1"/>
  <c r="DE3" i="1"/>
  <c r="DE5" i="1" s="1"/>
  <c r="DD3" i="1"/>
  <c r="DD5" i="1" s="1"/>
  <c r="DC3" i="1"/>
  <c r="DC5" i="1" s="1"/>
  <c r="DB3" i="1"/>
  <c r="DB5" i="1" s="1"/>
  <c r="DA3" i="1"/>
  <c r="DA5" i="1" s="1"/>
  <c r="CZ3" i="1"/>
  <c r="CZ5" i="1" s="1"/>
  <c r="CY3" i="1"/>
  <c r="CY5" i="1" s="1"/>
  <c r="CX3" i="1"/>
  <c r="CW3" i="1"/>
  <c r="CW5" i="1" s="1"/>
  <c r="CV3" i="1"/>
  <c r="CU3" i="1"/>
  <c r="CT3" i="1"/>
  <c r="CT5" i="1" s="1"/>
  <c r="CS3" i="1"/>
  <c r="CS5" i="1" s="1"/>
  <c r="CR3" i="1"/>
  <c r="CQ3" i="1"/>
  <c r="CQ5" i="1" s="1"/>
  <c r="CP3" i="1"/>
  <c r="CP5" i="1" s="1"/>
  <c r="CO3" i="1"/>
  <c r="CO5" i="1" s="1"/>
  <c r="CN3" i="1"/>
  <c r="CN5" i="1" s="1"/>
  <c r="CM3" i="1"/>
  <c r="CM5" i="1" s="1"/>
  <c r="CL3" i="1"/>
  <c r="CK3" i="1"/>
  <c r="CK5" i="1" s="1"/>
  <c r="CJ3" i="1"/>
  <c r="CJ5" i="1" s="1"/>
  <c r="CI3" i="1"/>
  <c r="CH3" i="1"/>
  <c r="CH5" i="1" s="1"/>
  <c r="CG3" i="1"/>
  <c r="CG5" i="1" s="1"/>
  <c r="CF3" i="1"/>
  <c r="CE3" i="1"/>
  <c r="CE5" i="1" s="1"/>
  <c r="CD3" i="1"/>
  <c r="CD5" i="1" s="1"/>
  <c r="CC3" i="1"/>
  <c r="CC5" i="1" s="1"/>
  <c r="CB3" i="1"/>
  <c r="CB5" i="1" s="1"/>
  <c r="CA3" i="1"/>
  <c r="CA5" i="1" s="1"/>
  <c r="BZ3" i="1"/>
  <c r="BY3" i="1"/>
  <c r="BY5" i="1" s="1"/>
  <c r="BX3" i="1"/>
  <c r="BX5" i="1" s="1"/>
  <c r="BW3" i="1"/>
  <c r="BV3" i="1"/>
  <c r="BV5" i="1" s="1"/>
  <c r="BU3" i="1"/>
  <c r="BU5" i="1" s="1"/>
  <c r="BT3" i="1"/>
  <c r="BS3" i="1"/>
  <c r="BS5" i="1" s="1"/>
  <c r="BR3" i="1"/>
  <c r="BR5" i="1" s="1"/>
  <c r="BQ3" i="1"/>
  <c r="BQ5" i="1" s="1"/>
  <c r="BP3" i="1"/>
  <c r="BP5" i="1" s="1"/>
  <c r="BO3" i="1"/>
  <c r="BN3" i="1"/>
  <c r="BM3" i="1"/>
  <c r="BM5" i="1" s="1"/>
  <c r="BL3" i="1"/>
  <c r="BL5" i="1" s="1"/>
  <c r="BK3" i="1"/>
  <c r="BJ3" i="1"/>
  <c r="BJ5" i="1" s="1"/>
  <c r="BI3" i="1"/>
  <c r="BI5" i="1" s="1"/>
  <c r="BH3" i="1"/>
  <c r="BG3" i="1"/>
  <c r="BG5" i="1" s="1"/>
  <c r="BF3" i="1"/>
  <c r="BF5" i="1" s="1"/>
  <c r="BE3" i="1"/>
  <c r="BE5" i="1" s="1"/>
  <c r="BD3" i="1"/>
  <c r="BD5" i="1" s="1"/>
  <c r="BC3" i="1"/>
  <c r="BC5" i="1" s="1"/>
  <c r="BB3" i="1"/>
  <c r="BA3" i="1"/>
  <c r="BA5" i="1" s="1"/>
  <c r="L1" i="1"/>
  <c r="K1" i="1"/>
  <c r="RF5" i="1"/>
  <c r="QN5" i="1"/>
  <c r="RI5" i="1"/>
  <c r="QK5" i="1"/>
  <c r="QH5" i="1"/>
  <c r="RC5" i="1"/>
  <c r="QZ5" i="1"/>
  <c r="QW5" i="1"/>
  <c r="QT5" i="1"/>
  <c r="QQ5" i="1"/>
  <c r="QE5" i="1"/>
  <c r="QB5" i="1"/>
  <c r="RK5" i="1" l="1"/>
  <c r="RO5" i="1"/>
  <c r="RQ5" i="1"/>
  <c r="RM5" i="1"/>
  <c r="QE26" i="1"/>
  <c r="QZ47" i="1"/>
  <c r="QA215" i="1"/>
  <c r="QB215" i="1" s="1"/>
  <c r="QA211" i="1"/>
  <c r="QB211" i="1" s="1"/>
  <c r="QA210" i="1"/>
  <c r="QB210" i="1" s="1"/>
  <c r="QA216" i="1"/>
  <c r="QB216" i="1" s="1"/>
  <c r="QA197" i="1"/>
  <c r="QB197" i="1" s="1"/>
  <c r="QA209" i="1"/>
  <c r="QB209" i="1" s="1"/>
  <c r="QA203" i="1"/>
  <c r="QB203" i="1" s="1"/>
  <c r="QA185" i="1"/>
  <c r="QB185" i="1" s="1"/>
  <c r="QA196" i="1"/>
  <c r="QA193" i="1"/>
  <c r="QB193" i="1" s="1"/>
  <c r="QA189" i="1"/>
  <c r="QB189" i="1" s="1"/>
  <c r="QA188" i="1"/>
  <c r="QB188" i="1" s="1"/>
  <c r="QA205" i="1"/>
  <c r="QB205" i="1" s="1"/>
  <c r="QA195" i="1"/>
  <c r="QB195" i="1" s="1"/>
  <c r="QA192" i="1"/>
  <c r="QB192" i="1" s="1"/>
  <c r="QA171" i="1"/>
  <c r="QB171" i="1" s="1"/>
  <c r="QA159" i="1"/>
  <c r="QB159" i="1" s="1"/>
  <c r="QA190" i="1"/>
  <c r="QB190" i="1" s="1"/>
  <c r="QA182" i="1"/>
  <c r="QB182" i="1" s="1"/>
  <c r="QA176" i="1"/>
  <c r="QB176" i="1" s="1"/>
  <c r="QA173" i="1"/>
  <c r="QB173" i="1" s="1"/>
  <c r="QA214" i="1"/>
  <c r="QB214" i="1" s="1"/>
  <c r="QA168" i="1"/>
  <c r="QB168" i="1" s="1"/>
  <c r="QA178" i="1"/>
  <c r="QB178" i="1" s="1"/>
  <c r="QA179" i="1"/>
  <c r="QB179" i="1" s="1"/>
  <c r="RK179" i="1" s="1"/>
  <c r="QA166" i="1"/>
  <c r="QB166" i="1" s="1"/>
  <c r="QA147" i="1"/>
  <c r="QB147" i="1" s="1"/>
  <c r="QA186" i="1"/>
  <c r="QB186" i="1" s="1"/>
  <c r="QA160" i="1"/>
  <c r="QB160" i="1" s="1"/>
  <c r="QA156" i="1"/>
  <c r="QB156" i="1" s="1"/>
  <c r="QA153" i="1"/>
  <c r="QB153" i="1" s="1"/>
  <c r="QA199" i="1"/>
  <c r="QB199" i="1" s="1"/>
  <c r="QA204" i="1"/>
  <c r="QB204" i="1" s="1"/>
  <c r="QA175" i="1"/>
  <c r="QB175" i="1" s="1"/>
  <c r="QA172" i="1"/>
  <c r="QB172" i="1" s="1"/>
  <c r="QA163" i="1"/>
  <c r="QB163" i="1" s="1"/>
  <c r="QA136" i="1"/>
  <c r="QB136" i="1" s="1"/>
  <c r="QA154" i="1"/>
  <c r="QB154" i="1" s="1"/>
  <c r="QA174" i="1"/>
  <c r="QB174" i="1" s="1"/>
  <c r="QA148" i="1"/>
  <c r="QB148" i="1" s="1"/>
  <c r="QA151" i="1"/>
  <c r="QB151" i="1" s="1"/>
  <c r="QA143" i="1"/>
  <c r="QB143" i="1" s="1"/>
  <c r="QA123" i="1"/>
  <c r="QB123" i="1" s="1"/>
  <c r="QA142" i="1"/>
  <c r="QB142" i="1" s="1"/>
  <c r="QA128" i="1"/>
  <c r="QB128" i="1" s="1"/>
  <c r="QA117" i="1"/>
  <c r="QB117" i="1" s="1"/>
  <c r="QA169" i="1"/>
  <c r="QB169" i="1" s="1"/>
  <c r="QA138" i="1"/>
  <c r="QB138" i="1" s="1"/>
  <c r="QA126" i="1"/>
  <c r="QB126" i="1" s="1"/>
  <c r="RK126" i="1" s="1"/>
  <c r="QA145" i="1"/>
  <c r="QA127" i="1"/>
  <c r="QB127" i="1" s="1"/>
  <c r="QA144" i="1"/>
  <c r="QB144" i="1" s="1"/>
  <c r="QA125" i="1"/>
  <c r="QB125" i="1" s="1"/>
  <c r="QA116" i="1"/>
  <c r="QB116" i="1" s="1"/>
  <c r="QA108" i="1"/>
  <c r="QB108" i="1" s="1"/>
  <c r="QA130" i="1"/>
  <c r="QB130" i="1" s="1"/>
  <c r="QA106" i="1"/>
  <c r="QB106" i="1" s="1"/>
  <c r="QA139" i="1"/>
  <c r="QB139" i="1" s="1"/>
  <c r="QA113" i="1"/>
  <c r="QB113" i="1" s="1"/>
  <c r="QA104" i="1"/>
  <c r="QB104" i="1" s="1"/>
  <c r="QA83" i="1"/>
  <c r="QB83" i="1" s="1"/>
  <c r="QA77" i="1"/>
  <c r="QB77" i="1" s="1"/>
  <c r="QA129" i="1"/>
  <c r="QB129" i="1" s="1"/>
  <c r="QA84" i="1"/>
  <c r="QB84" i="1" s="1"/>
  <c r="QA81" i="1"/>
  <c r="QB81" i="1" s="1"/>
  <c r="QA71" i="1"/>
  <c r="QB71" i="1" s="1"/>
  <c r="QA68" i="1"/>
  <c r="QB68" i="1" s="1"/>
  <c r="QA58" i="1"/>
  <c r="QB58" i="1" s="1"/>
  <c r="QA86" i="1"/>
  <c r="QB86" i="1" s="1"/>
  <c r="QA92" i="1"/>
  <c r="QB92" i="1" s="1"/>
  <c r="QA70" i="1"/>
  <c r="QB70" i="1" s="1"/>
  <c r="QA56" i="1"/>
  <c r="QA75" i="1"/>
  <c r="QB75" i="1" s="1"/>
  <c r="RK75" i="1" s="1"/>
  <c r="QA38" i="1"/>
  <c r="QB38" i="1" s="1"/>
  <c r="QA34" i="1"/>
  <c r="QB34" i="1" s="1"/>
  <c r="QA22" i="1"/>
  <c r="QB22" i="1" s="1"/>
  <c r="QA10" i="1"/>
  <c r="QA95" i="1"/>
  <c r="QB95" i="1" s="1"/>
  <c r="QA35" i="1"/>
  <c r="QB35" i="1" s="1"/>
  <c r="QA51" i="1"/>
  <c r="QB51" i="1" s="1"/>
  <c r="QA32" i="1"/>
  <c r="QB32" i="1" s="1"/>
  <c r="QA82" i="1"/>
  <c r="QB82" i="1" s="1"/>
  <c r="QA55" i="1"/>
  <c r="QB55" i="1" s="1"/>
  <c r="QA44" i="1"/>
  <c r="QB44" i="1" s="1"/>
  <c r="QA39" i="1"/>
  <c r="QA65" i="1"/>
  <c r="QB65" i="1" s="1"/>
  <c r="QA19" i="1"/>
  <c r="QB19" i="1" s="1"/>
  <c r="QA41" i="1"/>
  <c r="QB41" i="1" s="1"/>
  <c r="QA36" i="1"/>
  <c r="QB36" i="1" s="1"/>
  <c r="QA33" i="1"/>
  <c r="QB33" i="1" s="1"/>
  <c r="QA24" i="1"/>
  <c r="QB24" i="1" s="1"/>
  <c r="QA12" i="1"/>
  <c r="QB12" i="1" s="1"/>
  <c r="QA52" i="1"/>
  <c r="QB52" i="1" s="1"/>
  <c r="QA60" i="1"/>
  <c r="QB60" i="1" s="1"/>
  <c r="QA25" i="1"/>
  <c r="QB25" i="1" s="1"/>
  <c r="QA50" i="1"/>
  <c r="QB50" i="1" s="1"/>
  <c r="QA21" i="1"/>
  <c r="QB21" i="1" s="1"/>
  <c r="QA11" i="1"/>
  <c r="QB11" i="1" s="1"/>
  <c r="QA47" i="1"/>
  <c r="QB47" i="1" s="1"/>
  <c r="QA7" i="1"/>
  <c r="QB7" i="1" s="1"/>
  <c r="QA13" i="1"/>
  <c r="QB13" i="1" s="1"/>
  <c r="QA43" i="1"/>
  <c r="QB43" i="1" s="1"/>
  <c r="QV212" i="1"/>
  <c r="QW212" i="1" s="1"/>
  <c r="QV207" i="1"/>
  <c r="QW207" i="1" s="1"/>
  <c r="QV197" i="1"/>
  <c r="QW197" i="1" s="1"/>
  <c r="QV211" i="1"/>
  <c r="QW211" i="1" s="1"/>
  <c r="QV199" i="1"/>
  <c r="QW199" i="1" s="1"/>
  <c r="QV195" i="1"/>
  <c r="QW195" i="1" s="1"/>
  <c r="QV178" i="1"/>
  <c r="QW178" i="1" s="1"/>
  <c r="QV186" i="1"/>
  <c r="QW186" i="1" s="1"/>
  <c r="QV198" i="1"/>
  <c r="QW198" i="1" s="1"/>
  <c r="QV214" i="1"/>
  <c r="QW214" i="1" s="1"/>
  <c r="QV208" i="1"/>
  <c r="QW208" i="1" s="1"/>
  <c r="QV184" i="1"/>
  <c r="QW184" i="1" s="1"/>
  <c r="QV183" i="1"/>
  <c r="QW183" i="1" s="1"/>
  <c r="QV177" i="1"/>
  <c r="QW177" i="1" s="1"/>
  <c r="QV168" i="1"/>
  <c r="QW168" i="1" s="1"/>
  <c r="QV187" i="1"/>
  <c r="QW187" i="1" s="1"/>
  <c r="QV165" i="1"/>
  <c r="QW165" i="1" s="1"/>
  <c r="QV188" i="1"/>
  <c r="QW188" i="1" s="1"/>
  <c r="QV175" i="1"/>
  <c r="QW175" i="1" s="1"/>
  <c r="QV162" i="1"/>
  <c r="QW162" i="1" s="1"/>
  <c r="QV154" i="1"/>
  <c r="QW154" i="1" s="1"/>
  <c r="QV148" i="1"/>
  <c r="QW148" i="1" s="1"/>
  <c r="QV179" i="1"/>
  <c r="QW179" i="1" s="1"/>
  <c r="QV166" i="1"/>
  <c r="QW166" i="1" s="1"/>
  <c r="QV163" i="1"/>
  <c r="QW163" i="1" s="1"/>
  <c r="QV203" i="1"/>
  <c r="QW203" i="1" s="1"/>
  <c r="QV144" i="1"/>
  <c r="QW144" i="1" s="1"/>
  <c r="QV156" i="1"/>
  <c r="QW156" i="1" s="1"/>
  <c r="QV136" i="1"/>
  <c r="QW136" i="1" s="1"/>
  <c r="QV132" i="1"/>
  <c r="QW132" i="1" s="1"/>
  <c r="QV129" i="1"/>
  <c r="QW129" i="1" s="1"/>
  <c r="QV113" i="1"/>
  <c r="QW113" i="1" s="1"/>
  <c r="QV172" i="1"/>
  <c r="QW172" i="1" s="1"/>
  <c r="QV135" i="1"/>
  <c r="QW135" i="1" s="1"/>
  <c r="QV126" i="1"/>
  <c r="QW126" i="1" s="1"/>
  <c r="QV125" i="1"/>
  <c r="QW125" i="1" s="1"/>
  <c r="QV123" i="1"/>
  <c r="QW123" i="1" s="1"/>
  <c r="QV153" i="1"/>
  <c r="QW153" i="1" s="1"/>
  <c r="QV121" i="1"/>
  <c r="QW121" i="1" s="1"/>
  <c r="QV116" i="1"/>
  <c r="QW116" i="1" s="1"/>
  <c r="QV115" i="1"/>
  <c r="QW115" i="1" s="1"/>
  <c r="QV117" i="1"/>
  <c r="QW117" i="1" s="1"/>
  <c r="QV110" i="1"/>
  <c r="QW110" i="1" s="1"/>
  <c r="QV114" i="1"/>
  <c r="QW114" i="1" s="1"/>
  <c r="QV101" i="1"/>
  <c r="QW101" i="1" s="1"/>
  <c r="QV133" i="1"/>
  <c r="QW133" i="1" s="1"/>
  <c r="QV111" i="1"/>
  <c r="QW111" i="1" s="1"/>
  <c r="QV97" i="1"/>
  <c r="QW97" i="1" s="1"/>
  <c r="QV89" i="1"/>
  <c r="QW89" i="1" s="1"/>
  <c r="QV102" i="1"/>
  <c r="QW102" i="1" s="1"/>
  <c r="QV83" i="1"/>
  <c r="QW83" i="1" s="1"/>
  <c r="QV127" i="1"/>
  <c r="QW127" i="1" s="1"/>
  <c r="QV80" i="1"/>
  <c r="QW80" i="1" s="1"/>
  <c r="QV95" i="1"/>
  <c r="QW95" i="1" s="1"/>
  <c r="QV107" i="1"/>
  <c r="QW107" i="1" s="1"/>
  <c r="QV96" i="1"/>
  <c r="QW96" i="1" s="1"/>
  <c r="QV92" i="1"/>
  <c r="QW92" i="1" s="1"/>
  <c r="QV62" i="1"/>
  <c r="QW62" i="1" s="1"/>
  <c r="QV99" i="1"/>
  <c r="QW99" i="1" s="1"/>
  <c r="QV64" i="1"/>
  <c r="QW64" i="1" s="1"/>
  <c r="QV93" i="1"/>
  <c r="QW93" i="1" s="1"/>
  <c r="QV70" i="1"/>
  <c r="QW70" i="1" s="1"/>
  <c r="QV72" i="1"/>
  <c r="QW72" i="1" s="1"/>
  <c r="QV65" i="1"/>
  <c r="QW65" i="1" s="1"/>
  <c r="QV75" i="1"/>
  <c r="QW75" i="1" s="1"/>
  <c r="QV44" i="1"/>
  <c r="QW44" i="1" s="1"/>
  <c r="QV28" i="1"/>
  <c r="QW28" i="1" s="1"/>
  <c r="QV19" i="1"/>
  <c r="QW19" i="1" s="1"/>
  <c r="QV41" i="1"/>
  <c r="QW41" i="1" s="1"/>
  <c r="QV38" i="1"/>
  <c r="QW38" i="1" s="1"/>
  <c r="QV68" i="1"/>
  <c r="QW68" i="1" s="1"/>
  <c r="QV67" i="1"/>
  <c r="QW67" i="1" s="1"/>
  <c r="QV55" i="1"/>
  <c r="QW55" i="1" s="1"/>
  <c r="QV78" i="1"/>
  <c r="QW78" i="1" s="1"/>
  <c r="QV47" i="1"/>
  <c r="QW47" i="1" s="1"/>
  <c r="QV21" i="1"/>
  <c r="QW21" i="1" s="1"/>
  <c r="QV82" i="1"/>
  <c r="QW82" i="1" s="1"/>
  <c r="QV36" i="1"/>
  <c r="QW36" i="1" s="1"/>
  <c r="QV71" i="1"/>
  <c r="QW71" i="1" s="1"/>
  <c r="QV9" i="1"/>
  <c r="QV25" i="1"/>
  <c r="QW25" i="1" s="1"/>
  <c r="QV54" i="1"/>
  <c r="QW54" i="1" s="1"/>
  <c r="QV16" i="1"/>
  <c r="QW16" i="1" s="1"/>
  <c r="QV29" i="1"/>
  <c r="QV8" i="1"/>
  <c r="QW8" i="1" s="1"/>
  <c r="QV32" i="1"/>
  <c r="QW32" i="1" s="1"/>
  <c r="QV22" i="1"/>
  <c r="QW22" i="1" s="1"/>
  <c r="QV18" i="1"/>
  <c r="QW18" i="1" s="1"/>
  <c r="QV10" i="1"/>
  <c r="QE7" i="1"/>
  <c r="QV11" i="1"/>
  <c r="QW11" i="1" s="1"/>
  <c r="QV13" i="1"/>
  <c r="QW13" i="1" s="1"/>
  <c r="QF222" i="1"/>
  <c r="QA20" i="1"/>
  <c r="QB20" i="1" s="1"/>
  <c r="QV30" i="1"/>
  <c r="QW30" i="1" s="1"/>
  <c r="RB37" i="1"/>
  <c r="RC37" i="1" s="1"/>
  <c r="QM52" i="1"/>
  <c r="QN52" i="1" s="1"/>
  <c r="PZ221" i="1"/>
  <c r="QD20" i="1"/>
  <c r="QE20" i="1" s="1"/>
  <c r="QA23" i="1"/>
  <c r="QB23" i="1" s="1"/>
  <c r="QY26" i="1"/>
  <c r="QZ26" i="1" s="1"/>
  <c r="QD28" i="1"/>
  <c r="QE28" i="1" s="1"/>
  <c r="QP32" i="1"/>
  <c r="QQ32" i="1" s="1"/>
  <c r="QV43" i="1"/>
  <c r="QW43" i="1" s="1"/>
  <c r="QG7" i="1"/>
  <c r="QH7" i="1" s="1"/>
  <c r="QA6" i="1"/>
  <c r="PZ231" i="1"/>
  <c r="QA9" i="1"/>
  <c r="QD14" i="1"/>
  <c r="QE14" i="1" s="1"/>
  <c r="RB30" i="1"/>
  <c r="RC30" i="1" s="1"/>
  <c r="RB36" i="1"/>
  <c r="RC36" i="1" s="1"/>
  <c r="QA46" i="1"/>
  <c r="QB46" i="1" s="1"/>
  <c r="QD6" i="1"/>
  <c r="QA26" i="1"/>
  <c r="QB26" i="1" s="1"/>
  <c r="QV45" i="1"/>
  <c r="QW45" i="1" s="1"/>
  <c r="QF221" i="1"/>
  <c r="QF5" i="1"/>
  <c r="RJ5" i="1" s="1"/>
  <c r="QF224" i="1"/>
  <c r="QM14" i="1"/>
  <c r="QN14" i="1" s="1"/>
  <c r="QA18" i="1"/>
  <c r="QB18" i="1" s="1"/>
  <c r="QG37" i="1"/>
  <c r="QH37" i="1" s="1"/>
  <c r="QD63" i="1"/>
  <c r="QE63" i="1" s="1"/>
  <c r="QR5" i="1"/>
  <c r="QS14" i="1" s="1"/>
  <c r="QT14" i="1" s="1"/>
  <c r="RH7" i="1"/>
  <c r="RI7" i="1" s="1"/>
  <c r="PZ230" i="1"/>
  <c r="QA29" i="1"/>
  <c r="QY42" i="1"/>
  <c r="QZ42" i="1" s="1"/>
  <c r="QV56" i="1"/>
  <c r="RD5" i="1"/>
  <c r="RG223" i="1"/>
  <c r="QD19" i="1"/>
  <c r="QE19" i="1" s="1"/>
  <c r="RV22" i="1"/>
  <c r="RU22" i="1"/>
  <c r="RV48" i="1"/>
  <c r="RU48" i="1"/>
  <c r="RV9" i="1"/>
  <c r="QV15" i="1"/>
  <c r="QW15" i="1" s="1"/>
  <c r="RD222" i="1"/>
  <c r="QV20" i="1"/>
  <c r="QW20" i="1" s="1"/>
  <c r="RH25" i="1"/>
  <c r="RI25" i="1" s="1"/>
  <c r="QV31" i="1"/>
  <c r="QW31" i="1" s="1"/>
  <c r="RE45" i="1"/>
  <c r="RF45" i="1" s="1"/>
  <c r="QD199" i="1"/>
  <c r="QE199" i="1" s="1"/>
  <c r="QD198" i="1"/>
  <c r="QE198" i="1" s="1"/>
  <c r="QD216" i="1"/>
  <c r="QE216" i="1" s="1"/>
  <c r="QD213" i="1"/>
  <c r="QE213" i="1" s="1"/>
  <c r="QD200" i="1"/>
  <c r="QE200" i="1" s="1"/>
  <c r="QD215" i="1"/>
  <c r="QE215" i="1" s="1"/>
  <c r="QD206" i="1"/>
  <c r="QE206" i="1" s="1"/>
  <c r="QD205" i="1"/>
  <c r="QE205" i="1" s="1"/>
  <c r="QD217" i="1"/>
  <c r="QE217" i="1" s="1"/>
  <c r="QD202" i="1"/>
  <c r="QE202" i="1" s="1"/>
  <c r="QD201" i="1"/>
  <c r="QE201" i="1" s="1"/>
  <c r="QD196" i="1"/>
  <c r="QD203" i="1"/>
  <c r="QE203" i="1" s="1"/>
  <c r="QD182" i="1"/>
  <c r="QE182" i="1" s="1"/>
  <c r="QD208" i="1"/>
  <c r="QE208" i="1" s="1"/>
  <c r="QD176" i="1"/>
  <c r="QE176" i="1" s="1"/>
  <c r="QD162" i="1"/>
  <c r="QE162" i="1" s="1"/>
  <c r="QD192" i="1"/>
  <c r="QE192" i="1" s="1"/>
  <c r="QD183" i="1"/>
  <c r="QE183" i="1" s="1"/>
  <c r="QD177" i="1"/>
  <c r="QE177" i="1" s="1"/>
  <c r="QD181" i="1"/>
  <c r="QE181" i="1" s="1"/>
  <c r="QD209" i="1"/>
  <c r="QE209" i="1" s="1"/>
  <c r="QD171" i="1"/>
  <c r="QE171" i="1" s="1"/>
  <c r="QD186" i="1"/>
  <c r="QE186" i="1" s="1"/>
  <c r="QD178" i="1"/>
  <c r="QE178" i="1" s="1"/>
  <c r="QD146" i="1"/>
  <c r="QE146" i="1" s="1"/>
  <c r="QD169" i="1"/>
  <c r="QE169" i="1" s="1"/>
  <c r="QD197" i="1"/>
  <c r="QE197" i="1" s="1"/>
  <c r="QD195" i="1"/>
  <c r="QE195" i="1" s="1"/>
  <c r="QD173" i="1"/>
  <c r="QE173" i="1" s="1"/>
  <c r="QD166" i="1"/>
  <c r="QE166" i="1" s="1"/>
  <c r="QD150" i="1"/>
  <c r="QE150" i="1" s="1"/>
  <c r="QD160" i="1"/>
  <c r="QE160" i="1" s="1"/>
  <c r="QD163" i="1"/>
  <c r="QE163" i="1" s="1"/>
  <c r="QD157" i="1"/>
  <c r="QE157" i="1" s="1"/>
  <c r="QD156" i="1"/>
  <c r="QE156" i="1" s="1"/>
  <c r="QD153" i="1"/>
  <c r="QE153" i="1" s="1"/>
  <c r="QD147" i="1"/>
  <c r="QE147" i="1" s="1"/>
  <c r="QD148" i="1"/>
  <c r="QE148" i="1" s="1"/>
  <c r="QD131" i="1"/>
  <c r="QE131" i="1" s="1"/>
  <c r="QD120" i="1"/>
  <c r="QE120" i="1" s="1"/>
  <c r="QD107" i="1"/>
  <c r="QE107" i="1" s="1"/>
  <c r="QD168" i="1"/>
  <c r="QE168" i="1" s="1"/>
  <c r="QD122" i="1"/>
  <c r="QE122" i="1" s="1"/>
  <c r="QD119" i="1"/>
  <c r="QE119" i="1" s="1"/>
  <c r="QD132" i="1"/>
  <c r="QE132" i="1" s="1"/>
  <c r="QD116" i="1"/>
  <c r="QE116" i="1" s="1"/>
  <c r="QD114" i="1"/>
  <c r="QE114" i="1" s="1"/>
  <c r="QD129" i="1"/>
  <c r="QE129" i="1" s="1"/>
  <c r="QD140" i="1"/>
  <c r="QE140" i="1" s="1"/>
  <c r="QD138" i="1"/>
  <c r="QE138" i="1" s="1"/>
  <c r="QD151" i="1"/>
  <c r="QE151" i="1" s="1"/>
  <c r="QD137" i="1"/>
  <c r="QE137" i="1" s="1"/>
  <c r="QD123" i="1"/>
  <c r="QE123" i="1" s="1"/>
  <c r="QD111" i="1"/>
  <c r="QE111" i="1" s="1"/>
  <c r="QD108" i="1"/>
  <c r="QE108" i="1" s="1"/>
  <c r="QD127" i="1"/>
  <c r="QE127" i="1" s="1"/>
  <c r="QD109" i="1"/>
  <c r="QE109" i="1" s="1"/>
  <c r="QD103" i="1"/>
  <c r="QE103" i="1" s="1"/>
  <c r="QD93" i="1"/>
  <c r="QE93" i="1" s="1"/>
  <c r="QD95" i="1"/>
  <c r="QE95" i="1" s="1"/>
  <c r="QD106" i="1"/>
  <c r="QE106" i="1" s="1"/>
  <c r="QD105" i="1"/>
  <c r="QD102" i="1"/>
  <c r="QE102" i="1" s="1"/>
  <c r="QD104" i="1"/>
  <c r="QE104" i="1" s="1"/>
  <c r="QD88" i="1"/>
  <c r="QE88" i="1" s="1"/>
  <c r="QD68" i="1"/>
  <c r="QE68" i="1" s="1"/>
  <c r="QD59" i="1"/>
  <c r="QE59" i="1" s="1"/>
  <c r="QD86" i="1"/>
  <c r="QE86" i="1" s="1"/>
  <c r="QD73" i="1"/>
  <c r="QE73" i="1" s="1"/>
  <c r="QD62" i="1"/>
  <c r="QE62" i="1" s="1"/>
  <c r="QD60" i="1"/>
  <c r="QE60" i="1" s="1"/>
  <c r="QD89" i="1"/>
  <c r="QE89" i="1" s="1"/>
  <c r="QD77" i="1"/>
  <c r="QE77" i="1" s="1"/>
  <c r="QD75" i="1"/>
  <c r="QE75" i="1" s="1"/>
  <c r="QD80" i="1"/>
  <c r="QE80" i="1" s="1"/>
  <c r="QD83" i="1"/>
  <c r="QE83" i="1" s="1"/>
  <c r="QD76" i="1"/>
  <c r="QE76" i="1" s="1"/>
  <c r="QD25" i="1"/>
  <c r="QE25" i="1" s="1"/>
  <c r="QD13" i="1"/>
  <c r="QE13" i="1" s="1"/>
  <c r="QD56" i="1"/>
  <c r="QD50" i="1"/>
  <c r="QE50" i="1" s="1"/>
  <c r="QD49" i="1"/>
  <c r="QE49" i="1" s="1"/>
  <c r="QD46" i="1"/>
  <c r="QE46" i="1" s="1"/>
  <c r="QD42" i="1"/>
  <c r="QE42" i="1" s="1"/>
  <c r="QD101" i="1"/>
  <c r="QE101" i="1" s="1"/>
  <c r="QD52" i="1"/>
  <c r="QE52" i="1" s="1"/>
  <c r="QD47" i="1"/>
  <c r="QE47" i="1" s="1"/>
  <c r="QD98" i="1"/>
  <c r="QE98" i="1" s="1"/>
  <c r="QD74" i="1"/>
  <c r="QE74" i="1" s="1"/>
  <c r="QD61" i="1"/>
  <c r="QE61" i="1" s="1"/>
  <c r="QD33" i="1"/>
  <c r="QE33" i="1" s="1"/>
  <c r="QD38" i="1"/>
  <c r="QE38" i="1" s="1"/>
  <c r="QD30" i="1"/>
  <c r="QE30" i="1" s="1"/>
  <c r="QD22" i="1"/>
  <c r="QE22" i="1" s="1"/>
  <c r="QD85" i="1"/>
  <c r="QE85" i="1" s="1"/>
  <c r="QD35" i="1"/>
  <c r="QE35" i="1" s="1"/>
  <c r="QD27" i="1"/>
  <c r="QE27" i="1" s="1"/>
  <c r="QD15" i="1"/>
  <c r="QE15" i="1" s="1"/>
  <c r="QD78" i="1"/>
  <c r="QE78" i="1" s="1"/>
  <c r="QD41" i="1"/>
  <c r="QE41" i="1" s="1"/>
  <c r="QD8" i="1"/>
  <c r="QE8" i="1" s="1"/>
  <c r="QD10" i="1"/>
  <c r="QD65" i="1"/>
  <c r="QE65" i="1" s="1"/>
  <c r="QD24" i="1"/>
  <c r="QE24" i="1" s="1"/>
  <c r="QD16" i="1"/>
  <c r="QE16" i="1" s="1"/>
  <c r="QD36" i="1"/>
  <c r="QE36" i="1" s="1"/>
  <c r="QD12" i="1"/>
  <c r="QE12" i="1" s="1"/>
  <c r="QU221" i="1"/>
  <c r="QV6" i="1"/>
  <c r="QG12" i="1"/>
  <c r="QH12" i="1" s="1"/>
  <c r="QJ23" i="1"/>
  <c r="QK23" i="1" s="1"/>
  <c r="RE26" i="1"/>
  <c r="RF26" i="1" s="1"/>
  <c r="QD37" i="1"/>
  <c r="QE37" i="1" s="1"/>
  <c r="QA8" i="1"/>
  <c r="QB8" i="1" s="1"/>
  <c r="QS7" i="1"/>
  <c r="QT7" i="1" s="1"/>
  <c r="QY20" i="1"/>
  <c r="QZ20" i="1" s="1"/>
  <c r="QM30" i="1"/>
  <c r="QN30" i="1" s="1"/>
  <c r="RV32" i="1"/>
  <c r="QA45" i="1"/>
  <c r="QB45" i="1" s="1"/>
  <c r="QM50" i="1"/>
  <c r="QN50" i="1" s="1"/>
  <c r="QP53" i="1"/>
  <c r="QQ53" i="1" s="1"/>
  <c r="RV56" i="1"/>
  <c r="RU56" i="1"/>
  <c r="QY203" i="1"/>
  <c r="QZ203" i="1" s="1"/>
  <c r="QY216" i="1"/>
  <c r="QZ216" i="1" s="1"/>
  <c r="QY206" i="1"/>
  <c r="QZ206" i="1" s="1"/>
  <c r="QY204" i="1"/>
  <c r="QZ204" i="1" s="1"/>
  <c r="QY210" i="1"/>
  <c r="QZ210" i="1" s="1"/>
  <c r="QY200" i="1"/>
  <c r="QZ200" i="1" s="1"/>
  <c r="QY195" i="1"/>
  <c r="QZ195" i="1" s="1"/>
  <c r="QY186" i="1"/>
  <c r="QZ186" i="1" s="1"/>
  <c r="QY190" i="1"/>
  <c r="QZ190" i="1" s="1"/>
  <c r="QY212" i="1"/>
  <c r="QZ212" i="1" s="1"/>
  <c r="QY192" i="1"/>
  <c r="QZ192" i="1" s="1"/>
  <c r="QY187" i="1"/>
  <c r="QZ187" i="1" s="1"/>
  <c r="QY185" i="1"/>
  <c r="QZ185" i="1" s="1"/>
  <c r="QY209" i="1"/>
  <c r="QZ209" i="1" s="1"/>
  <c r="QY197" i="1"/>
  <c r="QZ197" i="1" s="1"/>
  <c r="QY202" i="1"/>
  <c r="QZ202" i="1" s="1"/>
  <c r="QY194" i="1"/>
  <c r="QZ194" i="1" s="1"/>
  <c r="QY159" i="1"/>
  <c r="QZ159" i="1" s="1"/>
  <c r="QY179" i="1"/>
  <c r="QZ179" i="1" s="1"/>
  <c r="QY189" i="1"/>
  <c r="QZ189" i="1" s="1"/>
  <c r="QY176" i="1"/>
  <c r="QZ176" i="1" s="1"/>
  <c r="QY177" i="1"/>
  <c r="QZ177" i="1" s="1"/>
  <c r="QY168" i="1"/>
  <c r="QZ168" i="1" s="1"/>
  <c r="QY157" i="1"/>
  <c r="QZ157" i="1" s="1"/>
  <c r="QY147" i="1"/>
  <c r="QZ147" i="1" s="1"/>
  <c r="QY178" i="1"/>
  <c r="QZ178" i="1" s="1"/>
  <c r="QY158" i="1"/>
  <c r="QZ158" i="1" s="1"/>
  <c r="QY156" i="1"/>
  <c r="QZ156" i="1" s="1"/>
  <c r="QY153" i="1"/>
  <c r="QZ153" i="1" s="1"/>
  <c r="QY163" i="1"/>
  <c r="QZ163" i="1" s="1"/>
  <c r="QY166" i="1"/>
  <c r="QZ166" i="1" s="1"/>
  <c r="QY188" i="1"/>
  <c r="QZ188" i="1" s="1"/>
  <c r="QY148" i="1"/>
  <c r="QZ148" i="1" s="1"/>
  <c r="QY169" i="1"/>
  <c r="QZ169" i="1" s="1"/>
  <c r="QY165" i="1"/>
  <c r="QZ165" i="1" s="1"/>
  <c r="QY136" i="1"/>
  <c r="QZ136" i="1" s="1"/>
  <c r="QY145" i="1"/>
  <c r="QY172" i="1"/>
  <c r="QZ172" i="1" s="1"/>
  <c r="QY155" i="1"/>
  <c r="QZ155" i="1" s="1"/>
  <c r="QY146" i="1"/>
  <c r="QZ146" i="1" s="1"/>
  <c r="QY149" i="1"/>
  <c r="QZ149" i="1" s="1"/>
  <c r="QY130" i="1"/>
  <c r="QZ130" i="1" s="1"/>
  <c r="QY175" i="1"/>
  <c r="QZ175" i="1" s="1"/>
  <c r="QY129" i="1"/>
  <c r="QZ129" i="1" s="1"/>
  <c r="QY132" i="1"/>
  <c r="QZ132" i="1" s="1"/>
  <c r="QY142" i="1"/>
  <c r="QZ142" i="1" s="1"/>
  <c r="QY126" i="1"/>
  <c r="QZ126" i="1" s="1"/>
  <c r="QY125" i="1"/>
  <c r="QZ125" i="1" s="1"/>
  <c r="QY116" i="1"/>
  <c r="QZ116" i="1" s="1"/>
  <c r="QY105" i="1"/>
  <c r="QY124" i="1"/>
  <c r="QZ124" i="1" s="1"/>
  <c r="QY115" i="1"/>
  <c r="QZ115" i="1" s="1"/>
  <c r="QY119" i="1"/>
  <c r="QZ119" i="1" s="1"/>
  <c r="QY112" i="1"/>
  <c r="QZ112" i="1" s="1"/>
  <c r="QY143" i="1"/>
  <c r="QZ143" i="1" s="1"/>
  <c r="QY117" i="1"/>
  <c r="QZ117" i="1" s="1"/>
  <c r="QY83" i="1"/>
  <c r="QZ83" i="1" s="1"/>
  <c r="QY81" i="1"/>
  <c r="QZ81" i="1" s="1"/>
  <c r="QY104" i="1"/>
  <c r="QZ104" i="1" s="1"/>
  <c r="QY78" i="1"/>
  <c r="QZ78" i="1" s="1"/>
  <c r="QY77" i="1"/>
  <c r="QZ77" i="1" s="1"/>
  <c r="QY100" i="1"/>
  <c r="QZ100" i="1" s="1"/>
  <c r="QY118" i="1"/>
  <c r="QZ118" i="1" s="1"/>
  <c r="QY93" i="1"/>
  <c r="QZ93" i="1" s="1"/>
  <c r="QY70" i="1"/>
  <c r="QZ70" i="1" s="1"/>
  <c r="QY60" i="1"/>
  <c r="QZ60" i="1" s="1"/>
  <c r="QY86" i="1"/>
  <c r="QZ86" i="1" s="1"/>
  <c r="QY69" i="1"/>
  <c r="QZ69" i="1" s="1"/>
  <c r="QY67" i="1"/>
  <c r="QZ67" i="1" s="1"/>
  <c r="QY57" i="1"/>
  <c r="QZ57" i="1" s="1"/>
  <c r="QY92" i="1"/>
  <c r="QZ92" i="1" s="1"/>
  <c r="QY58" i="1"/>
  <c r="QZ58" i="1" s="1"/>
  <c r="QY71" i="1"/>
  <c r="QZ71" i="1" s="1"/>
  <c r="QY96" i="1"/>
  <c r="QZ96" i="1" s="1"/>
  <c r="QY56" i="1"/>
  <c r="QY94" i="1"/>
  <c r="QZ94" i="1" s="1"/>
  <c r="QY52" i="1"/>
  <c r="QZ52" i="1" s="1"/>
  <c r="QY39" i="1"/>
  <c r="QY38" i="1"/>
  <c r="QZ38" i="1" s="1"/>
  <c r="QY22" i="1"/>
  <c r="QZ22" i="1" s="1"/>
  <c r="QY10" i="1"/>
  <c r="QY35" i="1"/>
  <c r="QZ35" i="1" s="1"/>
  <c r="QY32" i="1"/>
  <c r="QZ32" i="1" s="1"/>
  <c r="QY68" i="1"/>
  <c r="QZ68" i="1" s="1"/>
  <c r="QY95" i="1"/>
  <c r="QZ95" i="1" s="1"/>
  <c r="QY128" i="1"/>
  <c r="QZ128" i="1" s="1"/>
  <c r="QY55" i="1"/>
  <c r="QZ55" i="1" s="1"/>
  <c r="QY53" i="1"/>
  <c r="QZ53" i="1" s="1"/>
  <c r="QY48" i="1"/>
  <c r="QZ48" i="1" s="1"/>
  <c r="QY45" i="1"/>
  <c r="QZ45" i="1" s="1"/>
  <c r="QY44" i="1"/>
  <c r="QZ44" i="1" s="1"/>
  <c r="QY74" i="1"/>
  <c r="QZ74" i="1" s="1"/>
  <c r="QY19" i="1"/>
  <c r="QZ19" i="1" s="1"/>
  <c r="QY59" i="1"/>
  <c r="QZ59" i="1" s="1"/>
  <c r="QY46" i="1"/>
  <c r="QZ46" i="1" s="1"/>
  <c r="QY41" i="1"/>
  <c r="QZ41" i="1" s="1"/>
  <c r="QY24" i="1"/>
  <c r="QZ24" i="1" s="1"/>
  <c r="QY12" i="1"/>
  <c r="QZ12" i="1" s="1"/>
  <c r="QY30" i="1"/>
  <c r="QZ30" i="1" s="1"/>
  <c r="QY9" i="1"/>
  <c r="QY25" i="1"/>
  <c r="QZ25" i="1" s="1"/>
  <c r="QY21" i="1"/>
  <c r="QZ21" i="1" s="1"/>
  <c r="QY6" i="1"/>
  <c r="QY50" i="1"/>
  <c r="QZ50" i="1" s="1"/>
  <c r="QY11" i="1"/>
  <c r="QZ11" i="1" s="1"/>
  <c r="QY7" i="1"/>
  <c r="QZ7" i="1" s="1"/>
  <c r="QY13" i="1"/>
  <c r="QZ13" i="1" s="1"/>
  <c r="QO221" i="1"/>
  <c r="QO5" i="1"/>
  <c r="RG221" i="1"/>
  <c r="RG5" i="1"/>
  <c r="RH23" i="1" s="1"/>
  <c r="RI23" i="1" s="1"/>
  <c r="QO231" i="1"/>
  <c r="QP9" i="1"/>
  <c r="QY16" i="1"/>
  <c r="QZ16" i="1" s="1"/>
  <c r="QY23" i="1"/>
  <c r="QZ23" i="1" s="1"/>
  <c r="QP26" i="1"/>
  <c r="QQ26" i="1" s="1"/>
  <c r="QY31" i="1"/>
  <c r="QZ31" i="1" s="1"/>
  <c r="QV37" i="1"/>
  <c r="QW37" i="1" s="1"/>
  <c r="QA42" i="1"/>
  <c r="QB42" i="1" s="1"/>
  <c r="QA49" i="1"/>
  <c r="QB49" i="1" s="1"/>
  <c r="QY82" i="1"/>
  <c r="QZ82" i="1" s="1"/>
  <c r="QG14" i="1"/>
  <c r="QH14" i="1" s="1"/>
  <c r="QD44" i="1"/>
  <c r="QE44" i="1" s="1"/>
  <c r="QV7" i="1"/>
  <c r="QW7" i="1" s="1"/>
  <c r="QY8" i="1"/>
  <c r="QZ8" i="1" s="1"/>
  <c r="QA16" i="1"/>
  <c r="QB16" i="1" s="1"/>
  <c r="RE28" i="1"/>
  <c r="RF28" i="1" s="1"/>
  <c r="QV33" i="1"/>
  <c r="QW33" i="1" s="1"/>
  <c r="RA231" i="1"/>
  <c r="QP11" i="1"/>
  <c r="QQ11" i="1" s="1"/>
  <c r="QV12" i="1"/>
  <c r="QW12" i="1" s="1"/>
  <c r="QA15" i="1"/>
  <c r="QB15" i="1" s="1"/>
  <c r="RE21" i="1"/>
  <c r="RF21" i="1" s="1"/>
  <c r="QV24" i="1"/>
  <c r="QW24" i="1" s="1"/>
  <c r="RH27" i="1"/>
  <c r="RI27" i="1" s="1"/>
  <c r="QJ34" i="1"/>
  <c r="QK34" i="1" s="1"/>
  <c r="QJ40" i="1"/>
  <c r="QK40" i="1" s="1"/>
  <c r="QY43" i="1"/>
  <c r="QZ43" i="1" s="1"/>
  <c r="QS47" i="1"/>
  <c r="QT47" i="1" s="1"/>
  <c r="QS48" i="1"/>
  <c r="QT48" i="1" s="1"/>
  <c r="QA69" i="1"/>
  <c r="QB69" i="1" s="1"/>
  <c r="QY75" i="1"/>
  <c r="QZ75" i="1" s="1"/>
  <c r="QV87" i="1"/>
  <c r="QW87" i="1" s="1"/>
  <c r="RU16" i="1"/>
  <c r="QI222" i="1"/>
  <c r="RG222" i="1"/>
  <c r="RH17" i="1"/>
  <c r="QD18" i="1"/>
  <c r="QE18" i="1" s="1"/>
  <c r="QY18" i="1"/>
  <c r="QZ18" i="1" s="1"/>
  <c r="RV29" i="1"/>
  <c r="RU29" i="1"/>
  <c r="QA31" i="1"/>
  <c r="QB31" i="1" s="1"/>
  <c r="RK31" i="1" s="1"/>
  <c r="QM34" i="1"/>
  <c r="QN34" i="1" s="1"/>
  <c r="RV45" i="1"/>
  <c r="RU45" i="1"/>
  <c r="QV48" i="1"/>
  <c r="QW48" i="1" s="1"/>
  <c r="QP55" i="1"/>
  <c r="QQ55" i="1" s="1"/>
  <c r="QS68" i="1"/>
  <c r="QT68" i="1" s="1"/>
  <c r="QP84" i="1"/>
  <c r="QQ84" i="1" s="1"/>
  <c r="QY87" i="1"/>
  <c r="QZ87" i="1" s="1"/>
  <c r="QG99" i="1"/>
  <c r="QH99" i="1" s="1"/>
  <c r="RZ6" i="1"/>
  <c r="RZ7" i="1" s="1"/>
  <c r="RZ8" i="1" s="1"/>
  <c r="RZ9" i="1" s="1"/>
  <c r="RZ10" i="1" s="1"/>
  <c r="RZ11" i="1" s="1"/>
  <c r="RZ12" i="1" s="1"/>
  <c r="RZ13" i="1" s="1"/>
  <c r="RZ14" i="1" s="1"/>
  <c r="RZ15" i="1" s="1"/>
  <c r="RZ16" i="1" s="1"/>
  <c r="QJ7" i="1"/>
  <c r="QK7" i="1" s="1"/>
  <c r="QJ12" i="1"/>
  <c r="QK12" i="1" s="1"/>
  <c r="QV14" i="1"/>
  <c r="QW14" i="1" s="1"/>
  <c r="QY15" i="1"/>
  <c r="QZ15" i="1" s="1"/>
  <c r="QG20" i="1"/>
  <c r="QH20" i="1" s="1"/>
  <c r="QS23" i="1"/>
  <c r="QT23" i="1" s="1"/>
  <c r="QJ26" i="1"/>
  <c r="QK26" i="1" s="1"/>
  <c r="RH26" i="1"/>
  <c r="RI26" i="1" s="1"/>
  <c r="QP30" i="1"/>
  <c r="QQ30" i="1" s="1"/>
  <c r="QV34" i="1"/>
  <c r="QW34" i="1" s="1"/>
  <c r="QJ42" i="1"/>
  <c r="QK42" i="1" s="1"/>
  <c r="RH42" i="1"/>
  <c r="RI42" i="1" s="1"/>
  <c r="QD43" i="1"/>
  <c r="QE43" i="1" s="1"/>
  <c r="QG44" i="1"/>
  <c r="QH44" i="1" s="1"/>
  <c r="RE44" i="1"/>
  <c r="RF44" i="1" s="1"/>
  <c r="QD45" i="1"/>
  <c r="QE45" i="1" s="1"/>
  <c r="RH45" i="1"/>
  <c r="RI45" i="1" s="1"/>
  <c r="RE46" i="1"/>
  <c r="RF46" i="1" s="1"/>
  <c r="QA48" i="1"/>
  <c r="QB48" i="1" s="1"/>
  <c r="QV50" i="1"/>
  <c r="QW50" i="1" s="1"/>
  <c r="QV57" i="1"/>
  <c r="QW57" i="1" s="1"/>
  <c r="QA91" i="1"/>
  <c r="QB91" i="1" s="1"/>
  <c r="QI221" i="1"/>
  <c r="QI5" i="1"/>
  <c r="QR224" i="1"/>
  <c r="QR227" i="1" s="1"/>
  <c r="QA14" i="1"/>
  <c r="QB14" i="1" s="1"/>
  <c r="RK14" i="1" s="1"/>
  <c r="QY14" i="1"/>
  <c r="QZ14" i="1" s="1"/>
  <c r="QS21" i="1"/>
  <c r="QT21" i="1" s="1"/>
  <c r="QV23" i="1"/>
  <c r="QW23" i="1" s="1"/>
  <c r="QJ24" i="1"/>
  <c r="QK24" i="1" s="1"/>
  <c r="RE24" i="1"/>
  <c r="RF24" i="1" s="1"/>
  <c r="QA27" i="1"/>
  <c r="QB27" i="1" s="1"/>
  <c r="QV27" i="1"/>
  <c r="QW27" i="1" s="1"/>
  <c r="RH28" i="1"/>
  <c r="RI28" i="1" s="1"/>
  <c r="QX230" i="1"/>
  <c r="QY29" i="1"/>
  <c r="QS30" i="1"/>
  <c r="QT30" i="1" s="1"/>
  <c r="RO30" i="1" s="1"/>
  <c r="QD32" i="1"/>
  <c r="QE32" i="1" s="1"/>
  <c r="QY33" i="1"/>
  <c r="QZ33" i="1" s="1"/>
  <c r="QP36" i="1"/>
  <c r="QQ36" i="1" s="1"/>
  <c r="QR223" i="1"/>
  <c r="QD48" i="1"/>
  <c r="QE48" i="1" s="1"/>
  <c r="QA87" i="1"/>
  <c r="QB87" i="1" s="1"/>
  <c r="QX221" i="1"/>
  <c r="QC231" i="1"/>
  <c r="QD9" i="1"/>
  <c r="QD11" i="1"/>
  <c r="QE11" i="1" s="1"/>
  <c r="RE12" i="1"/>
  <c r="RF12" i="1" s="1"/>
  <c r="QJ15" i="1"/>
  <c r="QK15" i="1" s="1"/>
  <c r="QM18" i="1"/>
  <c r="QN18" i="1" s="1"/>
  <c r="QY34" i="1"/>
  <c r="QZ34" i="1" s="1"/>
  <c r="QV40" i="1"/>
  <c r="QW40" i="1" s="1"/>
  <c r="QJ45" i="1"/>
  <c r="QK45" i="1" s="1"/>
  <c r="QG47" i="1"/>
  <c r="QH47" i="1" s="1"/>
  <c r="RE47" i="1"/>
  <c r="RF47" i="1" s="1"/>
  <c r="QG48" i="1"/>
  <c r="QH48" i="1" s="1"/>
  <c r="RE49" i="1"/>
  <c r="RF49" i="1" s="1"/>
  <c r="QJ66" i="1"/>
  <c r="QK66" i="1" s="1"/>
  <c r="QG75" i="1"/>
  <c r="QH75" i="1" s="1"/>
  <c r="RE81" i="1"/>
  <c r="RF81" i="1" s="1"/>
  <c r="QA96" i="1"/>
  <c r="QB96" i="1" s="1"/>
  <c r="QL5" i="1"/>
  <c r="QM45" i="1" s="1"/>
  <c r="QN45" i="1" s="1"/>
  <c r="QU222" i="1"/>
  <c r="QV17" i="1"/>
  <c r="RH24" i="1"/>
  <c r="RI24" i="1" s="1"/>
  <c r="QY27" i="1"/>
  <c r="QZ27" i="1" s="1"/>
  <c r="QM43" i="1"/>
  <c r="QN43" i="1" s="1"/>
  <c r="RH48" i="1"/>
  <c r="RI48" i="1" s="1"/>
  <c r="QY51" i="1"/>
  <c r="QZ51" i="1" s="1"/>
  <c r="QV52" i="1"/>
  <c r="QW52" i="1" s="1"/>
  <c r="QJ75" i="1"/>
  <c r="QK75" i="1" s="1"/>
  <c r="QG11" i="1"/>
  <c r="QH11" i="1" s="1"/>
  <c r="RE11" i="1"/>
  <c r="RF11" i="1" s="1"/>
  <c r="QL221" i="1"/>
  <c r="QL235" i="1" s="1"/>
  <c r="RA221" i="1"/>
  <c r="RA5" i="1"/>
  <c r="RB55" i="1" s="1"/>
  <c r="RC55" i="1" s="1"/>
  <c r="QJ11" i="1"/>
  <c r="QK11" i="1" s="1"/>
  <c r="RH12" i="1"/>
  <c r="RI12" i="1" s="1"/>
  <c r="QM15" i="1"/>
  <c r="QN15" i="1" s="1"/>
  <c r="QP18" i="1"/>
  <c r="QQ18" i="1" s="1"/>
  <c r="QM20" i="1"/>
  <c r="QN20" i="1" s="1"/>
  <c r="QD21" i="1"/>
  <c r="QE21" i="1" s="1"/>
  <c r="QA30" i="1"/>
  <c r="QB30" i="1" s="1"/>
  <c r="QV35" i="1"/>
  <c r="QW35" i="1" s="1"/>
  <c r="QP37" i="1"/>
  <c r="QQ37" i="1" s="1"/>
  <c r="QP43" i="1"/>
  <c r="QQ43" i="1" s="1"/>
  <c r="QA53" i="1"/>
  <c r="QB53" i="1" s="1"/>
  <c r="QD55" i="1"/>
  <c r="QE55" i="1" s="1"/>
  <c r="RV62" i="1"/>
  <c r="RU62" i="1"/>
  <c r="QV69" i="1"/>
  <c r="QW69" i="1" s="1"/>
  <c r="RH94" i="1"/>
  <c r="RI94" i="1" s="1"/>
  <c r="QP20" i="1"/>
  <c r="QQ20" i="1" s="1"/>
  <c r="QD23" i="1"/>
  <c r="QE23" i="1" s="1"/>
  <c r="RB23" i="1"/>
  <c r="RC23" i="1" s="1"/>
  <c r="QS26" i="1"/>
  <c r="QT26" i="1" s="1"/>
  <c r="RO26" i="1" s="1"/>
  <c r="QD34" i="1"/>
  <c r="QE34" i="1" s="1"/>
  <c r="RE40" i="1"/>
  <c r="RF40" i="1" s="1"/>
  <c r="QS42" i="1"/>
  <c r="QT42" i="1" s="1"/>
  <c r="QP45" i="1"/>
  <c r="QQ45" i="1" s="1"/>
  <c r="QD84" i="1"/>
  <c r="QE84" i="1" s="1"/>
  <c r="QJ102" i="1"/>
  <c r="QK102" i="1" s="1"/>
  <c r="RD221" i="1"/>
  <c r="RE7" i="1"/>
  <c r="RF7" i="1" s="1"/>
  <c r="QJ14" i="1"/>
  <c r="QK14" i="1" s="1"/>
  <c r="RH14" i="1"/>
  <c r="RI14" i="1" s="1"/>
  <c r="RH15" i="1"/>
  <c r="RI15" i="1" s="1"/>
  <c r="QS20" i="1"/>
  <c r="QT20" i="1" s="1"/>
  <c r="RO20" i="1" s="1"/>
  <c r="QG21" i="1"/>
  <c r="QH21" i="1" s="1"/>
  <c r="QG23" i="1"/>
  <c r="QH23" i="1" s="1"/>
  <c r="RE23" i="1"/>
  <c r="RF23" i="1" s="1"/>
  <c r="QS24" i="1"/>
  <c r="QT24" i="1" s="1"/>
  <c r="QV26" i="1"/>
  <c r="QW26" i="1" s="1"/>
  <c r="QJ27" i="1"/>
  <c r="QK27" i="1" s="1"/>
  <c r="QL230" i="1"/>
  <c r="QM29" i="1"/>
  <c r="QG34" i="1"/>
  <c r="QH34" i="1" s="1"/>
  <c r="QY36" i="1"/>
  <c r="QZ36" i="1" s="1"/>
  <c r="QD39" i="1"/>
  <c r="QV42" i="1"/>
  <c r="QW42" i="1" s="1"/>
  <c r="QS43" i="1"/>
  <c r="QT43" i="1" s="1"/>
  <c r="QS45" i="1"/>
  <c r="QT45" i="1" s="1"/>
  <c r="QJ50" i="1"/>
  <c r="QK50" i="1" s="1"/>
  <c r="RH50" i="1"/>
  <c r="RI50" i="1" s="1"/>
  <c r="QD51" i="1"/>
  <c r="QE51" i="1" s="1"/>
  <c r="RE51" i="1"/>
  <c r="RF51" i="1" s="1"/>
  <c r="QA67" i="1"/>
  <c r="QB67" i="1" s="1"/>
  <c r="QA74" i="1"/>
  <c r="QB74" i="1" s="1"/>
  <c r="RH88" i="1"/>
  <c r="RI88" i="1" s="1"/>
  <c r="QC224" i="1"/>
  <c r="QC227" i="1" s="1"/>
  <c r="QO224" i="1"/>
  <c r="QO227" i="1" s="1"/>
  <c r="RA224" i="1"/>
  <c r="RA227" i="1" s="1"/>
  <c r="RA234" i="1" s="1"/>
  <c r="QY28" i="1"/>
  <c r="QZ28" i="1" s="1"/>
  <c r="QA40" i="1"/>
  <c r="QB40" i="1" s="1"/>
  <c r="QP40" i="1"/>
  <c r="QQ40" i="1" s="1"/>
  <c r="QJ49" i="1"/>
  <c r="QK49" i="1" s="1"/>
  <c r="QY49" i="1"/>
  <c r="QZ49" i="1" s="1"/>
  <c r="QV53" i="1"/>
  <c r="QW53" i="1" s="1"/>
  <c r="QA54" i="1"/>
  <c r="QB54" i="1" s="1"/>
  <c r="QS61" i="1"/>
  <c r="QT61" i="1" s="1"/>
  <c r="QS66" i="1"/>
  <c r="QT66" i="1" s="1"/>
  <c r="QM69" i="1"/>
  <c r="QN69" i="1" s="1"/>
  <c r="RB75" i="1"/>
  <c r="RC75" i="1" s="1"/>
  <c r="QG100" i="1"/>
  <c r="QH100" i="1" s="1"/>
  <c r="QC222" i="1"/>
  <c r="QO222" i="1"/>
  <c r="RA222" i="1"/>
  <c r="QM28" i="1"/>
  <c r="QN28" i="1" s="1"/>
  <c r="QG31" i="1"/>
  <c r="QH31" i="1" s="1"/>
  <c r="QS34" i="1"/>
  <c r="QT34" i="1" s="1"/>
  <c r="RH34" i="1"/>
  <c r="RI34" i="1" s="1"/>
  <c r="RB39" i="1"/>
  <c r="RB43" i="1"/>
  <c r="RC43" i="1" s="1"/>
  <c r="RV52" i="1"/>
  <c r="QG53" i="1"/>
  <c r="QH53" i="1" s="1"/>
  <c r="RH58" i="1"/>
  <c r="RI58" i="1" s="1"/>
  <c r="QJ64" i="1"/>
  <c r="QK64" i="1" s="1"/>
  <c r="QY65" i="1"/>
  <c r="QZ65" i="1" s="1"/>
  <c r="QV66" i="1"/>
  <c r="QW66" i="1" s="1"/>
  <c r="QJ76" i="1"/>
  <c r="QK76" i="1" s="1"/>
  <c r="RE84" i="1"/>
  <c r="RF84" i="1" s="1"/>
  <c r="RB96" i="1"/>
  <c r="RC96" i="1" s="1"/>
  <c r="QA102" i="1"/>
  <c r="QB102" i="1" s="1"/>
  <c r="QD17" i="1"/>
  <c r="QP17" i="1"/>
  <c r="QA28" i="1"/>
  <c r="QB28" i="1" s="1"/>
  <c r="RH37" i="1"/>
  <c r="RI37" i="1" s="1"/>
  <c r="QD40" i="1"/>
  <c r="QE40" i="1" s="1"/>
  <c r="QM49" i="1"/>
  <c r="QN49" i="1" s="1"/>
  <c r="QV51" i="1"/>
  <c r="QW51" i="1" s="1"/>
  <c r="QD54" i="1"/>
  <c r="QE54" i="1" s="1"/>
  <c r="QO226" i="1"/>
  <c r="QP56" i="1"/>
  <c r="QJ58" i="1"/>
  <c r="QK58" i="1" s="1"/>
  <c r="RE59" i="1"/>
  <c r="RF59" i="1" s="1"/>
  <c r="QV61" i="1"/>
  <c r="QW61" i="1" s="1"/>
  <c r="QP63" i="1"/>
  <c r="QQ63" i="1" s="1"/>
  <c r="QY66" i="1"/>
  <c r="QZ66" i="1" s="1"/>
  <c r="QP68" i="1"/>
  <c r="QQ68" i="1" s="1"/>
  <c r="QV77" i="1"/>
  <c r="QW77" i="1" s="1"/>
  <c r="RE108" i="1"/>
  <c r="RF108" i="1" s="1"/>
  <c r="QM109" i="1"/>
  <c r="QN109" i="1" s="1"/>
  <c r="QS58" i="1"/>
  <c r="QT58" i="1" s="1"/>
  <c r="RO58" i="1" s="1"/>
  <c r="RE60" i="1"/>
  <c r="RF60" i="1" s="1"/>
  <c r="QY62" i="1"/>
  <c r="QZ62" i="1" s="1"/>
  <c r="QP64" i="1"/>
  <c r="QQ64" i="1" s="1"/>
  <c r="QA72" i="1"/>
  <c r="QB72" i="1" s="1"/>
  <c r="QJ94" i="1"/>
  <c r="QK94" i="1" s="1"/>
  <c r="QI224" i="1"/>
  <c r="QI227" i="1" s="1"/>
  <c r="QU224" i="1"/>
  <c r="RG224" i="1"/>
  <c r="RG227" i="1" s="1"/>
  <c r="RG234" i="1" s="1"/>
  <c r="QJ37" i="1"/>
  <c r="QK37" i="1" s="1"/>
  <c r="QY37" i="1"/>
  <c r="QZ37" i="1" s="1"/>
  <c r="QM51" i="1"/>
  <c r="QN51" i="1" s="1"/>
  <c r="QJ54" i="1"/>
  <c r="QK54" i="1" s="1"/>
  <c r="RM54" i="1" s="1"/>
  <c r="RH60" i="1"/>
  <c r="RI60" i="1" s="1"/>
  <c r="RE61" i="1"/>
  <c r="RF61" i="1" s="1"/>
  <c r="QA62" i="1"/>
  <c r="QB62" i="1" s="1"/>
  <c r="QV63" i="1"/>
  <c r="QW63" i="1" s="1"/>
  <c r="QG67" i="1"/>
  <c r="QH67" i="1" s="1"/>
  <c r="RE70" i="1"/>
  <c r="RF70" i="1" s="1"/>
  <c r="QD72" i="1"/>
  <c r="QE72" i="1" s="1"/>
  <c r="QG74" i="1"/>
  <c r="QH74" i="1" s="1"/>
  <c r="RH77" i="1"/>
  <c r="RI77" i="1" s="1"/>
  <c r="QM84" i="1"/>
  <c r="QN84" i="1" s="1"/>
  <c r="RE97" i="1"/>
  <c r="RF97" i="1" s="1"/>
  <c r="RU42" i="1"/>
  <c r="QG43" i="1"/>
  <c r="QH43" i="1" s="1"/>
  <c r="QS46" i="1"/>
  <c r="QT46" i="1" s="1"/>
  <c r="RH46" i="1"/>
  <c r="RI46" i="1" s="1"/>
  <c r="RU54" i="1"/>
  <c r="QA57" i="1"/>
  <c r="QB57" i="1" s="1"/>
  <c r="QV58" i="1"/>
  <c r="QW58" i="1" s="1"/>
  <c r="QA63" i="1"/>
  <c r="QB63" i="1" s="1"/>
  <c r="QY63" i="1"/>
  <c r="QZ63" i="1" s="1"/>
  <c r="QD70" i="1"/>
  <c r="QE70" i="1" s="1"/>
  <c r="QJ74" i="1"/>
  <c r="QK74" i="1" s="1"/>
  <c r="RH82" i="1"/>
  <c r="RI82" i="1" s="1"/>
  <c r="RE87" i="1"/>
  <c r="RF87" i="1" s="1"/>
  <c r="QY89" i="1"/>
  <c r="QZ89" i="1" s="1"/>
  <c r="QA90" i="1"/>
  <c r="QB90" i="1" s="1"/>
  <c r="RH90" i="1"/>
  <c r="RI90" i="1" s="1"/>
  <c r="QM94" i="1"/>
  <c r="QN94" i="1" s="1"/>
  <c r="QM96" i="1"/>
  <c r="QN96" i="1" s="1"/>
  <c r="QG101" i="1"/>
  <c r="QH101" i="1" s="1"/>
  <c r="QP125" i="1"/>
  <c r="QQ125" i="1" s="1"/>
  <c r="RU17" i="1"/>
  <c r="RU28" i="1"/>
  <c r="QC230" i="1"/>
  <c r="QO230" i="1"/>
  <c r="QO233" i="1" s="1"/>
  <c r="RA230" i="1"/>
  <c r="QM37" i="1"/>
  <c r="QN37" i="1" s="1"/>
  <c r="QG39" i="1"/>
  <c r="QV39" i="1"/>
  <c r="QY40" i="1"/>
  <c r="QZ40" i="1" s="1"/>
  <c r="RH49" i="1"/>
  <c r="RI49" i="1" s="1"/>
  <c r="QM54" i="1"/>
  <c r="QN54" i="1" s="1"/>
  <c r="QM60" i="1"/>
  <c r="QN60" i="1" s="1"/>
  <c r="QP65" i="1"/>
  <c r="QQ65" i="1" s="1"/>
  <c r="RH70" i="1"/>
  <c r="RI70" i="1" s="1"/>
  <c r="QY85" i="1"/>
  <c r="QZ85" i="1" s="1"/>
  <c r="RE95" i="1"/>
  <c r="RF95" i="1" s="1"/>
  <c r="QP115" i="1"/>
  <c r="QQ115" i="1" s="1"/>
  <c r="QG9" i="1"/>
  <c r="QS9" i="1"/>
  <c r="RE9" i="1"/>
  <c r="PZ224" i="1"/>
  <c r="QL224" i="1"/>
  <c r="QL227" i="1" s="1"/>
  <c r="QX224" i="1"/>
  <c r="QX227" i="1" s="1"/>
  <c r="QD29" i="1"/>
  <c r="QP29" i="1"/>
  <c r="QP31" i="1"/>
  <c r="QQ31" i="1" s="1"/>
  <c r="RE31" i="1"/>
  <c r="RF31" i="1" s="1"/>
  <c r="QG46" i="1"/>
  <c r="QH46" i="1" s="1"/>
  <c r="QV46" i="1"/>
  <c r="QW46" i="1" s="1"/>
  <c r="QP54" i="1"/>
  <c r="QQ54" i="1" s="1"/>
  <c r="QD57" i="1"/>
  <c r="QE57" i="1" s="1"/>
  <c r="RH57" i="1"/>
  <c r="RI57" i="1" s="1"/>
  <c r="QD58" i="1"/>
  <c r="QE58" i="1" s="1"/>
  <c r="QV59" i="1"/>
  <c r="QW59" i="1" s="1"/>
  <c r="QA64" i="1"/>
  <c r="QB64" i="1" s="1"/>
  <c r="QG68" i="1"/>
  <c r="QH68" i="1" s="1"/>
  <c r="QD69" i="1"/>
  <c r="QE69" i="1" s="1"/>
  <c r="QV79" i="1"/>
  <c r="QW79" i="1" s="1"/>
  <c r="RH86" i="1"/>
  <c r="RI86" i="1" s="1"/>
  <c r="QS88" i="1"/>
  <c r="QT88" i="1" s="1"/>
  <c r="QD97" i="1"/>
  <c r="QE97" i="1" s="1"/>
  <c r="PZ222" i="1"/>
  <c r="QL222" i="1"/>
  <c r="QX222" i="1"/>
  <c r="RU19" i="1"/>
  <c r="QA37" i="1"/>
  <c r="QB37" i="1" s="1"/>
  <c r="RK37" i="1" s="1"/>
  <c r="QM40" i="1"/>
  <c r="QN40" i="1" s="1"/>
  <c r="RU47" i="1"/>
  <c r="QV49" i="1"/>
  <c r="QW49" i="1" s="1"/>
  <c r="RU55" i="1"/>
  <c r="QG57" i="1"/>
  <c r="QH57" i="1" s="1"/>
  <c r="RH62" i="1"/>
  <c r="RI62" i="1" s="1"/>
  <c r="QM66" i="1"/>
  <c r="QN66" i="1" s="1"/>
  <c r="QP73" i="1"/>
  <c r="QQ73" i="1" s="1"/>
  <c r="QS78" i="1"/>
  <c r="QT78" i="1" s="1"/>
  <c r="RO78" i="1" s="1"/>
  <c r="QD81" i="1"/>
  <c r="QE81" i="1" s="1"/>
  <c r="QA89" i="1"/>
  <c r="QB89" i="1" s="1"/>
  <c r="QJ90" i="1"/>
  <c r="QK90" i="1" s="1"/>
  <c r="QM93" i="1"/>
  <c r="QN93" i="1" s="1"/>
  <c r="QG97" i="1"/>
  <c r="QH97" i="1" s="1"/>
  <c r="QY99" i="1"/>
  <c r="QZ99" i="1" s="1"/>
  <c r="RH100" i="1"/>
  <c r="RI100" i="1" s="1"/>
  <c r="QM113" i="1"/>
  <c r="QN113" i="1" s="1"/>
  <c r="QA17" i="1"/>
  <c r="QM17" i="1"/>
  <c r="QY17" i="1"/>
  <c r="QD31" i="1"/>
  <c r="QE31" i="1" s="1"/>
  <c r="QS31" i="1"/>
  <c r="QT31" i="1" s="1"/>
  <c r="RE34" i="1"/>
  <c r="RF34" i="1" s="1"/>
  <c r="QL223" i="1"/>
  <c r="QJ46" i="1"/>
  <c r="QK46" i="1" s="1"/>
  <c r="RH51" i="1"/>
  <c r="RI51" i="1" s="1"/>
  <c r="QD53" i="1"/>
  <c r="QE53" i="1" s="1"/>
  <c r="QI226" i="1"/>
  <c r="QJ56" i="1"/>
  <c r="QA59" i="1"/>
  <c r="QB59" i="1" s="1"/>
  <c r="QJ69" i="1"/>
  <c r="QK69" i="1" s="1"/>
  <c r="QS73" i="1"/>
  <c r="QT73" i="1" s="1"/>
  <c r="QY79" i="1"/>
  <c r="QZ79" i="1" s="1"/>
  <c r="QG95" i="1"/>
  <c r="QH95" i="1" s="1"/>
  <c r="QJ97" i="1"/>
  <c r="QK97" i="1" s="1"/>
  <c r="QV104" i="1"/>
  <c r="QW104" i="1" s="1"/>
  <c r="RV57" i="1"/>
  <c r="RH63" i="1"/>
  <c r="RI63" i="1" s="1"/>
  <c r="QY64" i="1"/>
  <c r="QZ64" i="1" s="1"/>
  <c r="QP67" i="1"/>
  <c r="QQ67" i="1" s="1"/>
  <c r="RE67" i="1"/>
  <c r="RF67" i="1" s="1"/>
  <c r="QJ70" i="1"/>
  <c r="QK70" i="1" s="1"/>
  <c r="QD71" i="1"/>
  <c r="QE71" i="1" s="1"/>
  <c r="QS71" i="1"/>
  <c r="QT71" i="1" s="1"/>
  <c r="QS74" i="1"/>
  <c r="QT74" i="1" s="1"/>
  <c r="QP82" i="1"/>
  <c r="QQ82" i="1" s="1"/>
  <c r="QA85" i="1"/>
  <c r="QB85" i="1" s="1"/>
  <c r="QS85" i="1"/>
  <c r="QT85" i="1" s="1"/>
  <c r="QG86" i="1"/>
  <c r="QH86" i="1" s="1"/>
  <c r="RB93" i="1"/>
  <c r="RC93" i="1" s="1"/>
  <c r="QA94" i="1"/>
  <c r="QB94" i="1" s="1"/>
  <c r="RH103" i="1"/>
  <c r="RI103" i="1" s="1"/>
  <c r="QJ104" i="1"/>
  <c r="QK104" i="1" s="1"/>
  <c r="QD118" i="1"/>
  <c r="QE118" i="1" s="1"/>
  <c r="QP69" i="1"/>
  <c r="QQ69" i="1" s="1"/>
  <c r="QM70" i="1"/>
  <c r="QN70" i="1" s="1"/>
  <c r="RE72" i="1"/>
  <c r="RF72" i="1" s="1"/>
  <c r="QY73" i="1"/>
  <c r="QZ73" i="1" s="1"/>
  <c r="QV74" i="1"/>
  <c r="QW74" i="1" s="1"/>
  <c r="QG76" i="1"/>
  <c r="QH76" i="1" s="1"/>
  <c r="QA78" i="1"/>
  <c r="QB78" i="1" s="1"/>
  <c r="QS82" i="1"/>
  <c r="QT82" i="1" s="1"/>
  <c r="RO82" i="1" s="1"/>
  <c r="QJ86" i="1"/>
  <c r="QK86" i="1" s="1"/>
  <c r="QD90" i="1"/>
  <c r="QE90" i="1" s="1"/>
  <c r="QS91" i="1"/>
  <c r="QT91" i="1" s="1"/>
  <c r="QG93" i="1"/>
  <c r="QH93" i="1" s="1"/>
  <c r="RE93" i="1"/>
  <c r="RF93" i="1" s="1"/>
  <c r="RV96" i="1"/>
  <c r="RU96" i="1"/>
  <c r="QA99" i="1"/>
  <c r="QB99" i="1" s="1"/>
  <c r="RB102" i="1"/>
  <c r="RC102" i="1" s="1"/>
  <c r="QS57" i="1"/>
  <c r="QT57" i="1" s="1"/>
  <c r="RH61" i="1"/>
  <c r="RI61" i="1" s="1"/>
  <c r="QM64" i="1"/>
  <c r="QN64" i="1" s="1"/>
  <c r="RB64" i="1"/>
  <c r="RC64" i="1" s="1"/>
  <c r="RB66" i="1"/>
  <c r="RC66" i="1" s="1"/>
  <c r="QD67" i="1"/>
  <c r="QE67" i="1" s="1"/>
  <c r="QS67" i="1"/>
  <c r="QT67" i="1" s="1"/>
  <c r="QS69" i="1"/>
  <c r="QT69" i="1" s="1"/>
  <c r="RO69" i="1" s="1"/>
  <c r="QG71" i="1"/>
  <c r="QH71" i="1" s="1"/>
  <c r="QJ73" i="1"/>
  <c r="QK73" i="1" s="1"/>
  <c r="RE76" i="1"/>
  <c r="RF76" i="1" s="1"/>
  <c r="QY80" i="1"/>
  <c r="QZ80" i="1" s="1"/>
  <c r="RH84" i="1"/>
  <c r="RI84" i="1" s="1"/>
  <c r="RE86" i="1"/>
  <c r="RF86" i="1" s="1"/>
  <c r="QS87" i="1"/>
  <c r="QT87" i="1" s="1"/>
  <c r="QG90" i="1"/>
  <c r="QH90" i="1" s="1"/>
  <c r="QV91" i="1"/>
  <c r="QW91" i="1" s="1"/>
  <c r="QA97" i="1"/>
  <c r="QB97" i="1" s="1"/>
  <c r="RK97" i="1" s="1"/>
  <c r="RE101" i="1"/>
  <c r="RF101" i="1" s="1"/>
  <c r="RE102" i="1"/>
  <c r="RF102" i="1" s="1"/>
  <c r="QM115" i="1"/>
  <c r="QN115" i="1" s="1"/>
  <c r="QF230" i="1"/>
  <c r="QR230" i="1"/>
  <c r="RD230" i="1"/>
  <c r="QJ51" i="1"/>
  <c r="QK51" i="1" s="1"/>
  <c r="RD226" i="1"/>
  <c r="RD234" i="1" s="1"/>
  <c r="QJ61" i="1"/>
  <c r="QK61" i="1" s="1"/>
  <c r="QY61" i="1"/>
  <c r="QZ61" i="1" s="1"/>
  <c r="QD64" i="1"/>
  <c r="QE64" i="1" s="1"/>
  <c r="QP66" i="1"/>
  <c r="QQ66" i="1" s="1"/>
  <c r="QG69" i="1"/>
  <c r="QH69" i="1" s="1"/>
  <c r="QS70" i="1"/>
  <c r="QT70" i="1" s="1"/>
  <c r="QP76" i="1"/>
  <c r="QQ76" i="1" s="1"/>
  <c r="RU77" i="1"/>
  <c r="QM80" i="1"/>
  <c r="QN80" i="1" s="1"/>
  <c r="RH81" i="1"/>
  <c r="RI81" i="1" s="1"/>
  <c r="QD82" i="1"/>
  <c r="QE82" i="1" s="1"/>
  <c r="RU84" i="1"/>
  <c r="RE85" i="1"/>
  <c r="RF85" i="1" s="1"/>
  <c r="QD91" i="1"/>
  <c r="QE91" i="1" s="1"/>
  <c r="QP93" i="1"/>
  <c r="QQ93" i="1" s="1"/>
  <c r="RH98" i="1"/>
  <c r="RI98" i="1" s="1"/>
  <c r="QM99" i="1"/>
  <c r="QN99" i="1" s="1"/>
  <c r="RH110" i="1"/>
  <c r="RI110" i="1" s="1"/>
  <c r="QC226" i="1"/>
  <c r="QS60" i="1"/>
  <c r="QT60" i="1" s="1"/>
  <c r="QA73" i="1"/>
  <c r="QB73" i="1" s="1"/>
  <c r="QM75" i="1"/>
  <c r="QN75" i="1" s="1"/>
  <c r="QS76" i="1"/>
  <c r="QT76" i="1" s="1"/>
  <c r="RE82" i="1"/>
  <c r="RF82" i="1" s="1"/>
  <c r="QM85" i="1"/>
  <c r="QN85" i="1" s="1"/>
  <c r="QS86" i="1"/>
  <c r="QT86" i="1" s="1"/>
  <c r="QD87" i="1"/>
  <c r="QE87" i="1" s="1"/>
  <c r="QP90" i="1"/>
  <c r="QQ90" i="1" s="1"/>
  <c r="QG91" i="1"/>
  <c r="QH91" i="1" s="1"/>
  <c r="QS93" i="1"/>
  <c r="QT93" i="1" s="1"/>
  <c r="RO93" i="1" s="1"/>
  <c r="QP99" i="1"/>
  <c r="QQ99" i="1" s="1"/>
  <c r="QP101" i="1"/>
  <c r="QQ101" i="1" s="1"/>
  <c r="PZ225" i="1"/>
  <c r="QA105" i="1"/>
  <c r="QD110" i="1"/>
  <c r="QE110" i="1" s="1"/>
  <c r="QA112" i="1"/>
  <c r="QB112" i="1" s="1"/>
  <c r="QD126" i="1"/>
  <c r="QE126" i="1" s="1"/>
  <c r="QR226" i="1"/>
  <c r="QV60" i="1"/>
  <c r="QW60" i="1" s="1"/>
  <c r="QM61" i="1"/>
  <c r="QN61" i="1" s="1"/>
  <c r="QJ63" i="1"/>
  <c r="QK63" i="1" s="1"/>
  <c r="RB71" i="1"/>
  <c r="RC71" i="1" s="1"/>
  <c r="RE74" i="1"/>
  <c r="RF74" i="1" s="1"/>
  <c r="QP75" i="1"/>
  <c r="QQ75" i="1" s="1"/>
  <c r="RE78" i="1"/>
  <c r="RF78" i="1" s="1"/>
  <c r="RH79" i="1"/>
  <c r="RI79" i="1" s="1"/>
  <c r="QG82" i="1"/>
  <c r="QH82" i="1" s="1"/>
  <c r="QV84" i="1"/>
  <c r="QW84" i="1" s="1"/>
  <c r="RH85" i="1"/>
  <c r="RI85" i="1" s="1"/>
  <c r="QV86" i="1"/>
  <c r="QW86" i="1" s="1"/>
  <c r="QG87" i="1"/>
  <c r="QH87" i="1" s="1"/>
  <c r="QS90" i="1"/>
  <c r="QT90" i="1" s="1"/>
  <c r="QJ91" i="1"/>
  <c r="QK91" i="1" s="1"/>
  <c r="QS99" i="1"/>
  <c r="QT99" i="1" s="1"/>
  <c r="QV103" i="1"/>
  <c r="QW103" i="1" s="1"/>
  <c r="RH107" i="1"/>
  <c r="RI107" i="1" s="1"/>
  <c r="QM119" i="1"/>
  <c r="QN119" i="1" s="1"/>
  <c r="QI230" i="1"/>
  <c r="QI233" i="1" s="1"/>
  <c r="QU230" i="1"/>
  <c r="RG230" i="1"/>
  <c r="QY54" i="1"/>
  <c r="QZ54" i="1" s="1"/>
  <c r="QS56" i="1"/>
  <c r="RG226" i="1"/>
  <c r="QM63" i="1"/>
  <c r="QN63" i="1" s="1"/>
  <c r="QA66" i="1"/>
  <c r="QB66" i="1" s="1"/>
  <c r="RB69" i="1"/>
  <c r="RC69" i="1" s="1"/>
  <c r="RU69" i="1"/>
  <c r="RV71" i="1"/>
  <c r="RH73" i="1"/>
  <c r="RI73" i="1" s="1"/>
  <c r="RH74" i="1"/>
  <c r="RI74" i="1" s="1"/>
  <c r="QM78" i="1"/>
  <c r="QN78" i="1" s="1"/>
  <c r="QY84" i="1"/>
  <c r="QZ84" i="1" s="1"/>
  <c r="RV90" i="1"/>
  <c r="RU90" i="1"/>
  <c r="QV90" i="1"/>
  <c r="QW90" i="1" s="1"/>
  <c r="QD92" i="1"/>
  <c r="QE92" i="1" s="1"/>
  <c r="RB92" i="1"/>
  <c r="RC92" i="1" s="1"/>
  <c r="RV93" i="1"/>
  <c r="RU93" i="1"/>
  <c r="RV103" i="1"/>
  <c r="RU103" i="1"/>
  <c r="QY103" i="1"/>
  <c r="QZ103" i="1" s="1"/>
  <c r="QD112" i="1"/>
  <c r="QE112" i="1" s="1"/>
  <c r="QY121" i="1"/>
  <c r="QZ121" i="1" s="1"/>
  <c r="QS143" i="1"/>
  <c r="QT143" i="1" s="1"/>
  <c r="QF226" i="1"/>
  <c r="QG60" i="1"/>
  <c r="QH60" i="1" s="1"/>
  <c r="QA61" i="1"/>
  <c r="QB61" i="1" s="1"/>
  <c r="QD66" i="1"/>
  <c r="QE66" i="1" s="1"/>
  <c r="RB67" i="1"/>
  <c r="RC67" i="1" s="1"/>
  <c r="RE69" i="1"/>
  <c r="RF69" i="1" s="1"/>
  <c r="QP71" i="1"/>
  <c r="QQ71" i="1" s="1"/>
  <c r="RE71" i="1"/>
  <c r="RF71" i="1" s="1"/>
  <c r="QY72" i="1"/>
  <c r="QZ72" i="1" s="1"/>
  <c r="QA80" i="1"/>
  <c r="QB80" i="1" s="1"/>
  <c r="RB84" i="1"/>
  <c r="RC84" i="1" s="1"/>
  <c r="QM87" i="1"/>
  <c r="QN87" i="1" s="1"/>
  <c r="RH87" i="1"/>
  <c r="RI87" i="1" s="1"/>
  <c r="QM89" i="1"/>
  <c r="QN89" i="1" s="1"/>
  <c r="QY90" i="1"/>
  <c r="QZ90" i="1" s="1"/>
  <c r="RV94" i="1"/>
  <c r="RU94" i="1"/>
  <c r="QV94" i="1"/>
  <c r="QW94" i="1" s="1"/>
  <c r="QP96" i="1"/>
  <c r="QQ96" i="1" s="1"/>
  <c r="RB103" i="1"/>
  <c r="RC103" i="1" s="1"/>
  <c r="QY106" i="1"/>
  <c r="QZ106" i="1" s="1"/>
  <c r="QU226" i="1"/>
  <c r="RE57" i="1"/>
  <c r="RF57" i="1" s="1"/>
  <c r="QJ60" i="1"/>
  <c r="QK60" i="1" s="1"/>
  <c r="QG70" i="1"/>
  <c r="QH70" i="1" s="1"/>
  <c r="QY76" i="1"/>
  <c r="QZ76" i="1" s="1"/>
  <c r="QV81" i="1"/>
  <c r="QW81" i="1" s="1"/>
  <c r="QP91" i="1"/>
  <c r="QQ91" i="1" s="1"/>
  <c r="QA93" i="1"/>
  <c r="QB93" i="1" s="1"/>
  <c r="RK93" i="1" s="1"/>
  <c r="QS95" i="1"/>
  <c r="QT95" i="1" s="1"/>
  <c r="QA103" i="1"/>
  <c r="QB103" i="1" s="1"/>
  <c r="RE103" i="1"/>
  <c r="RF103" i="1" s="1"/>
  <c r="QP110" i="1"/>
  <c r="QQ110" i="1" s="1"/>
  <c r="RB111" i="1"/>
  <c r="RC111" i="1" s="1"/>
  <c r="QA118" i="1"/>
  <c r="QB118" i="1" s="1"/>
  <c r="RV95" i="1"/>
  <c r="QG96" i="1"/>
  <c r="QH96" i="1" s="1"/>
  <c r="QY97" i="1"/>
  <c r="QZ97" i="1" s="1"/>
  <c r="RU102" i="1"/>
  <c r="RV108" i="1"/>
  <c r="RU108" i="1"/>
  <c r="QY108" i="1"/>
  <c r="QZ108" i="1" s="1"/>
  <c r="QA109" i="1"/>
  <c r="QB109" i="1" s="1"/>
  <c r="QP111" i="1"/>
  <c r="QQ111" i="1" s="1"/>
  <c r="QS114" i="1"/>
  <c r="QT114" i="1" s="1"/>
  <c r="QV76" i="1"/>
  <c r="QW76" i="1" s="1"/>
  <c r="QA88" i="1"/>
  <c r="QB88" i="1" s="1"/>
  <c r="QM91" i="1"/>
  <c r="QN91" i="1" s="1"/>
  <c r="QM97" i="1"/>
  <c r="QN97" i="1" s="1"/>
  <c r="QA98" i="1"/>
  <c r="QB98" i="1" s="1"/>
  <c r="QD99" i="1"/>
  <c r="QE99" i="1" s="1"/>
  <c r="QA101" i="1"/>
  <c r="QB101" i="1" s="1"/>
  <c r="RK101" i="1" s="1"/>
  <c r="QJ103" i="1"/>
  <c r="QK103" i="1" s="1"/>
  <c r="QP105" i="1"/>
  <c r="QS106" i="1"/>
  <c r="QT106" i="1" s="1"/>
  <c r="RE109" i="1"/>
  <c r="RF109" i="1" s="1"/>
  <c r="QJ110" i="1"/>
  <c r="QK110" i="1" s="1"/>
  <c r="QG113" i="1"/>
  <c r="QH113" i="1" s="1"/>
  <c r="QS140" i="1"/>
  <c r="QT140" i="1" s="1"/>
  <c r="RB108" i="1"/>
  <c r="RC108" i="1" s="1"/>
  <c r="RH109" i="1"/>
  <c r="RI109" i="1" s="1"/>
  <c r="QY114" i="1"/>
  <c r="QZ114" i="1" s="1"/>
  <c r="QJ117" i="1"/>
  <c r="QK117" i="1" s="1"/>
  <c r="QA137" i="1"/>
  <c r="QB137" i="1" s="1"/>
  <c r="QY144" i="1"/>
  <c r="QZ144" i="1" s="1"/>
  <c r="QV73" i="1"/>
  <c r="QW73" i="1" s="1"/>
  <c r="QG85" i="1"/>
  <c r="QH85" i="1" s="1"/>
  <c r="QV85" i="1"/>
  <c r="QW85" i="1" s="1"/>
  <c r="QP94" i="1"/>
  <c r="QQ94" i="1" s="1"/>
  <c r="RE94" i="1"/>
  <c r="RF94" i="1" s="1"/>
  <c r="QP100" i="1"/>
  <c r="QQ100" i="1" s="1"/>
  <c r="RE100" i="1"/>
  <c r="RF100" i="1" s="1"/>
  <c r="QY101" i="1"/>
  <c r="QZ101" i="1" s="1"/>
  <c r="QP109" i="1"/>
  <c r="QQ109" i="1" s="1"/>
  <c r="QA111" i="1"/>
  <c r="QB111" i="1" s="1"/>
  <c r="RE111" i="1"/>
  <c r="RF111" i="1" s="1"/>
  <c r="QJ124" i="1"/>
  <c r="QK124" i="1" s="1"/>
  <c r="QV143" i="1"/>
  <c r="QW143" i="1" s="1"/>
  <c r="QP170" i="1"/>
  <c r="QQ170" i="1" s="1"/>
  <c r="QA76" i="1"/>
  <c r="QB76" i="1" s="1"/>
  <c r="QM79" i="1"/>
  <c r="QN79" i="1" s="1"/>
  <c r="RB79" i="1"/>
  <c r="RC79" i="1" s="1"/>
  <c r="QV88" i="1"/>
  <c r="QW88" i="1" s="1"/>
  <c r="QV98" i="1"/>
  <c r="QW98" i="1" s="1"/>
  <c r="QA100" i="1"/>
  <c r="QB100" i="1" s="1"/>
  <c r="RH106" i="1"/>
  <c r="RI106" i="1" s="1"/>
  <c r="QJ107" i="1"/>
  <c r="QK107" i="1" s="1"/>
  <c r="QY113" i="1"/>
  <c r="QZ113" i="1" s="1"/>
  <c r="RH130" i="1"/>
  <c r="RI130" i="1" s="1"/>
  <c r="QJ131" i="1"/>
  <c r="QK131" i="1" s="1"/>
  <c r="QY134" i="1"/>
  <c r="QZ134" i="1" s="1"/>
  <c r="RU63" i="1"/>
  <c r="QJ85" i="1"/>
  <c r="QK85" i="1" s="1"/>
  <c r="RU89" i="1"/>
  <c r="QD94" i="1"/>
  <c r="QE94" i="1" s="1"/>
  <c r="QS94" i="1"/>
  <c r="QT94" i="1" s="1"/>
  <c r="RO94" i="1" s="1"/>
  <c r="RV99" i="1"/>
  <c r="RU99" i="1"/>
  <c r="QF225" i="1"/>
  <c r="QG105" i="1"/>
  <c r="RB117" i="1"/>
  <c r="RC117" i="1" s="1"/>
  <c r="QG138" i="1"/>
  <c r="QH138" i="1" s="1"/>
  <c r="QG144" i="1"/>
  <c r="QH144" i="1" s="1"/>
  <c r="PZ226" i="1"/>
  <c r="QL226" i="1"/>
  <c r="QX226" i="1"/>
  <c r="QA79" i="1"/>
  <c r="QB79" i="1" s="1"/>
  <c r="QP79" i="1"/>
  <c r="QQ79" i="1" s="1"/>
  <c r="QJ88" i="1"/>
  <c r="QK88" i="1" s="1"/>
  <c r="QY88" i="1"/>
  <c r="QZ88" i="1" s="1"/>
  <c r="QJ98" i="1"/>
  <c r="QK98" i="1" s="1"/>
  <c r="QY98" i="1"/>
  <c r="QZ98" i="1" s="1"/>
  <c r="QD100" i="1"/>
  <c r="QE100" i="1" s="1"/>
  <c r="QP108" i="1"/>
  <c r="QQ108" i="1" s="1"/>
  <c r="QA110" i="1"/>
  <c r="QB110" i="1" s="1"/>
  <c r="RB113" i="1"/>
  <c r="RC113" i="1" s="1"/>
  <c r="RE117" i="1"/>
  <c r="RF117" i="1" s="1"/>
  <c r="QD130" i="1"/>
  <c r="QE130" i="1" s="1"/>
  <c r="QM142" i="1"/>
  <c r="QN142" i="1" s="1"/>
  <c r="RB82" i="1"/>
  <c r="RC82" i="1" s="1"/>
  <c r="RU92" i="1"/>
  <c r="QG94" i="1"/>
  <c r="QH94" i="1" s="1"/>
  <c r="QD96" i="1"/>
  <c r="QE96" i="1" s="1"/>
  <c r="RH96" i="1"/>
  <c r="RI96" i="1" s="1"/>
  <c r="QM101" i="1"/>
  <c r="QN101" i="1" s="1"/>
  <c r="QS112" i="1"/>
  <c r="QT112" i="1" s="1"/>
  <c r="QM114" i="1"/>
  <c r="QN114" i="1" s="1"/>
  <c r="QV160" i="1"/>
  <c r="QW160" i="1" s="1"/>
  <c r="RH76" i="1"/>
  <c r="RI76" i="1" s="1"/>
  <c r="QD79" i="1"/>
  <c r="QE79" i="1" s="1"/>
  <c r="QM88" i="1"/>
  <c r="QN88" i="1" s="1"/>
  <c r="QY91" i="1"/>
  <c r="QZ91" i="1" s="1"/>
  <c r="QM98" i="1"/>
  <c r="QN98" i="1" s="1"/>
  <c r="QV100" i="1"/>
  <c r="QW100" i="1" s="1"/>
  <c r="QY102" i="1"/>
  <c r="QZ102" i="1" s="1"/>
  <c r="QG103" i="1"/>
  <c r="QH103" i="1" s="1"/>
  <c r="QP106" i="1"/>
  <c r="QQ106" i="1" s="1"/>
  <c r="QP114" i="1"/>
  <c r="QQ114" i="1" s="1"/>
  <c r="QV120" i="1"/>
  <c r="QW120" i="1" s="1"/>
  <c r="QS126" i="1"/>
  <c r="QT126" i="1" s="1"/>
  <c r="RB137" i="1"/>
  <c r="RC137" i="1" s="1"/>
  <c r="QM146" i="1"/>
  <c r="QN146" i="1" s="1"/>
  <c r="QY109" i="1"/>
  <c r="QZ109" i="1" s="1"/>
  <c r="RH112" i="1"/>
  <c r="RI112" i="1" s="1"/>
  <c r="RH115" i="1"/>
  <c r="RI115" i="1" s="1"/>
  <c r="QS118" i="1"/>
  <c r="QT118" i="1" s="1"/>
  <c r="QP121" i="1"/>
  <c r="QQ121" i="1" s="1"/>
  <c r="RU122" i="1"/>
  <c r="RV122" i="1"/>
  <c r="QY123" i="1"/>
  <c r="QZ123" i="1" s="1"/>
  <c r="QA124" i="1"/>
  <c r="QB124" i="1" s="1"/>
  <c r="RE124" i="1"/>
  <c r="RF124" i="1" s="1"/>
  <c r="QM127" i="1"/>
  <c r="QN127" i="1" s="1"/>
  <c r="QS129" i="1"/>
  <c r="QT129" i="1" s="1"/>
  <c r="QJ133" i="1"/>
  <c r="QK133" i="1" s="1"/>
  <c r="QJ140" i="1"/>
  <c r="QK140" i="1" s="1"/>
  <c r="RE142" i="1"/>
  <c r="RF142" i="1" s="1"/>
  <c r="QJ143" i="1"/>
  <c r="QK143" i="1" s="1"/>
  <c r="QV173" i="1"/>
  <c r="QW173" i="1" s="1"/>
  <c r="QV108" i="1"/>
  <c r="QW108" i="1" s="1"/>
  <c r="QG111" i="1"/>
  <c r="QH111" i="1" s="1"/>
  <c r="QP112" i="1"/>
  <c r="QQ112" i="1" s="1"/>
  <c r="RB116" i="1"/>
  <c r="RC116" i="1" s="1"/>
  <c r="QM120" i="1"/>
  <c r="QN120" i="1" s="1"/>
  <c r="QY122" i="1"/>
  <c r="QZ122" i="1" s="1"/>
  <c r="RB123" i="1"/>
  <c r="RC123" i="1" s="1"/>
  <c r="QA135" i="1"/>
  <c r="QB135" i="1" s="1"/>
  <c r="QY137" i="1"/>
  <c r="QZ137" i="1" s="1"/>
  <c r="QV141" i="1"/>
  <c r="QW141" i="1" s="1"/>
  <c r="QD142" i="1"/>
  <c r="QE142" i="1" s="1"/>
  <c r="QM143" i="1"/>
  <c r="QN143" i="1" s="1"/>
  <c r="QJ146" i="1"/>
  <c r="QK146" i="1" s="1"/>
  <c r="QV152" i="1"/>
  <c r="QW152" i="1" s="1"/>
  <c r="QG157" i="1"/>
  <c r="QH157" i="1" s="1"/>
  <c r="QJ194" i="1"/>
  <c r="QK194" i="1" s="1"/>
  <c r="RE106" i="1"/>
  <c r="RF106" i="1" s="1"/>
  <c r="QY111" i="1"/>
  <c r="QZ111" i="1" s="1"/>
  <c r="QD117" i="1"/>
  <c r="QE117" i="1" s="1"/>
  <c r="QG124" i="1"/>
  <c r="QH124" i="1" s="1"/>
  <c r="QM125" i="1"/>
  <c r="QN125" i="1" s="1"/>
  <c r="RE130" i="1"/>
  <c r="RF130" i="1" s="1"/>
  <c r="QV134" i="1"/>
  <c r="QW134" i="1" s="1"/>
  <c r="QG139" i="1"/>
  <c r="QH139" i="1" s="1"/>
  <c r="QA165" i="1"/>
  <c r="QB165" i="1" s="1"/>
  <c r="QM170" i="1"/>
  <c r="QN170" i="1" s="1"/>
  <c r="RU109" i="1"/>
  <c r="RV111" i="1"/>
  <c r="RU111" i="1"/>
  <c r="QV112" i="1"/>
  <c r="QW112" i="1" s="1"/>
  <c r="RV114" i="1"/>
  <c r="RU114" i="1"/>
  <c r="QV119" i="1"/>
  <c r="QW119" i="1" s="1"/>
  <c r="RU120" i="1"/>
  <c r="RV120" i="1"/>
  <c r="QM124" i="1"/>
  <c r="QN124" i="1" s="1"/>
  <c r="QY127" i="1"/>
  <c r="QZ127" i="1" s="1"/>
  <c r="RB128" i="1"/>
  <c r="RC128" i="1" s="1"/>
  <c r="RQ128" i="1" s="1"/>
  <c r="RE129" i="1"/>
  <c r="RF129" i="1" s="1"/>
  <c r="QG130" i="1"/>
  <c r="QH130" i="1" s="1"/>
  <c r="QA141" i="1"/>
  <c r="QB141" i="1" s="1"/>
  <c r="QS155" i="1"/>
  <c r="QT155" i="1" s="1"/>
  <c r="RE210" i="1"/>
  <c r="RF210" i="1" s="1"/>
  <c r="RB100" i="1"/>
  <c r="RC100" i="1" s="1"/>
  <c r="RH105" i="1"/>
  <c r="QG106" i="1"/>
  <c r="QH106" i="1" s="1"/>
  <c r="QV106" i="1"/>
  <c r="QW106" i="1" s="1"/>
  <c r="QY107" i="1"/>
  <c r="QZ107" i="1" s="1"/>
  <c r="RE113" i="1"/>
  <c r="RF113" i="1" s="1"/>
  <c r="RV115" i="1"/>
  <c r="RU115" i="1"/>
  <c r="QP116" i="1"/>
  <c r="QQ116" i="1" s="1"/>
  <c r="RB118" i="1"/>
  <c r="RC118" i="1" s="1"/>
  <c r="QY120" i="1"/>
  <c r="QZ120" i="1" s="1"/>
  <c r="QD121" i="1"/>
  <c r="QE121" i="1" s="1"/>
  <c r="QD128" i="1"/>
  <c r="QE128" i="1" s="1"/>
  <c r="RH129" i="1"/>
  <c r="RI129" i="1" s="1"/>
  <c r="QY133" i="1"/>
  <c r="QZ133" i="1" s="1"/>
  <c r="QA134" i="1"/>
  <c r="QB134" i="1" s="1"/>
  <c r="QV155" i="1"/>
  <c r="QW155" i="1" s="1"/>
  <c r="QU225" i="1"/>
  <c r="QA114" i="1"/>
  <c r="QB114" i="1" s="1"/>
  <c r="QA119" i="1"/>
  <c r="QB119" i="1" s="1"/>
  <c r="QA120" i="1"/>
  <c r="QB120" i="1" s="1"/>
  <c r="QM123" i="1"/>
  <c r="QN123" i="1" s="1"/>
  <c r="QD134" i="1"/>
  <c r="QE134" i="1" s="1"/>
  <c r="QD144" i="1"/>
  <c r="QE144" i="1" s="1"/>
  <c r="RE150" i="1"/>
  <c r="RF150" i="1" s="1"/>
  <c r="RU160" i="1"/>
  <c r="RV160" i="1"/>
  <c r="QV105" i="1"/>
  <c r="QJ106" i="1"/>
  <c r="QK106" i="1" s="1"/>
  <c r="QM107" i="1"/>
  <c r="QN107" i="1" s="1"/>
  <c r="QS109" i="1"/>
  <c r="QT109" i="1" s="1"/>
  <c r="QA115" i="1"/>
  <c r="QB115" i="1" s="1"/>
  <c r="QV124" i="1"/>
  <c r="QW124" i="1" s="1"/>
  <c r="QA140" i="1"/>
  <c r="QB140" i="1" s="1"/>
  <c r="QV142" i="1"/>
  <c r="QW142" i="1" s="1"/>
  <c r="QS103" i="1"/>
  <c r="QT103" i="1" s="1"/>
  <c r="QJ105" i="1"/>
  <c r="QY110" i="1"/>
  <c r="QZ110" i="1" s="1"/>
  <c r="RV113" i="1"/>
  <c r="RU113" i="1"/>
  <c r="RB114" i="1"/>
  <c r="RC114" i="1" s="1"/>
  <c r="QD115" i="1"/>
  <c r="QE115" i="1" s="1"/>
  <c r="QS117" i="1"/>
  <c r="QT117" i="1" s="1"/>
  <c r="RE119" i="1"/>
  <c r="RF119" i="1" s="1"/>
  <c r="QP122" i="1"/>
  <c r="QQ122" i="1" s="1"/>
  <c r="RE126" i="1"/>
  <c r="RF126" i="1" s="1"/>
  <c r="QA132" i="1"/>
  <c r="QB132" i="1" s="1"/>
  <c r="RE136" i="1"/>
  <c r="RF136" i="1" s="1"/>
  <c r="QY139" i="1"/>
  <c r="QZ139" i="1" s="1"/>
  <c r="QP183" i="1"/>
  <c r="QQ183" i="1" s="1"/>
  <c r="QA107" i="1"/>
  <c r="QB107" i="1" s="1"/>
  <c r="QV109" i="1"/>
  <c r="QW109" i="1" s="1"/>
  <c r="RH111" i="1"/>
  <c r="RI111" i="1" s="1"/>
  <c r="QP113" i="1"/>
  <c r="QQ113" i="1" s="1"/>
  <c r="RE114" i="1"/>
  <c r="RF114" i="1" s="1"/>
  <c r="RE125" i="1"/>
  <c r="RF125" i="1" s="1"/>
  <c r="QG126" i="1"/>
  <c r="QH126" i="1" s="1"/>
  <c r="QG127" i="1"/>
  <c r="QH127" i="1" s="1"/>
  <c r="QS130" i="1"/>
  <c r="QT130" i="1" s="1"/>
  <c r="QY131" i="1"/>
  <c r="QZ131" i="1" s="1"/>
  <c r="RH136" i="1"/>
  <c r="RI136" i="1" s="1"/>
  <c r="RV112" i="1"/>
  <c r="RU112" i="1"/>
  <c r="RE112" i="1"/>
  <c r="RF112" i="1" s="1"/>
  <c r="QJ115" i="1"/>
  <c r="QK115" i="1" s="1"/>
  <c r="RV117" i="1"/>
  <c r="RU117" i="1"/>
  <c r="QV122" i="1"/>
  <c r="QW122" i="1" s="1"/>
  <c r="QJ127" i="1"/>
  <c r="QK127" i="1" s="1"/>
  <c r="QP128" i="1"/>
  <c r="QQ128" i="1" s="1"/>
  <c r="QG133" i="1"/>
  <c r="QH133" i="1" s="1"/>
  <c r="RV135" i="1"/>
  <c r="RU135" i="1"/>
  <c r="QY138" i="1"/>
  <c r="QZ138" i="1" s="1"/>
  <c r="QG140" i="1"/>
  <c r="QH140" i="1" s="1"/>
  <c r="QV118" i="1"/>
  <c r="QW118" i="1" s="1"/>
  <c r="RH119" i="1"/>
  <c r="RI119" i="1" s="1"/>
  <c r="QG128" i="1"/>
  <c r="QH128" i="1" s="1"/>
  <c r="QV128" i="1"/>
  <c r="QW128" i="1" s="1"/>
  <c r="RH131" i="1"/>
  <c r="RI131" i="1" s="1"/>
  <c r="QA133" i="1"/>
  <c r="QB133" i="1" s="1"/>
  <c r="RU141" i="1"/>
  <c r="QD158" i="1"/>
  <c r="QE158" i="1" s="1"/>
  <c r="QS127" i="1"/>
  <c r="QT127" i="1" s="1"/>
  <c r="QV137" i="1"/>
  <c r="QW137" i="1" s="1"/>
  <c r="RH138" i="1"/>
  <c r="RI138" i="1" s="1"/>
  <c r="QP139" i="1"/>
  <c r="QQ139" i="1" s="1"/>
  <c r="QP152" i="1"/>
  <c r="QQ152" i="1" s="1"/>
  <c r="RE154" i="1"/>
  <c r="RF154" i="1" s="1"/>
  <c r="QM155" i="1"/>
  <c r="QN155" i="1" s="1"/>
  <c r="RE157" i="1"/>
  <c r="RF157" i="1" s="1"/>
  <c r="QG158" i="1"/>
  <c r="QH158" i="1" s="1"/>
  <c r="QG159" i="1"/>
  <c r="QH159" i="1" s="1"/>
  <c r="QJ118" i="1"/>
  <c r="QK118" i="1" s="1"/>
  <c r="QJ119" i="1"/>
  <c r="QK119" i="1" s="1"/>
  <c r="QJ128" i="1"/>
  <c r="QK128" i="1" s="1"/>
  <c r="QV131" i="1"/>
  <c r="QW131" i="1" s="1"/>
  <c r="QD133" i="1"/>
  <c r="QE133" i="1" s="1"/>
  <c r="RB136" i="1"/>
  <c r="RC136" i="1" s="1"/>
  <c r="RQ136" i="1" s="1"/>
  <c r="QG137" i="1"/>
  <c r="QH137" i="1" s="1"/>
  <c r="QP140" i="1"/>
  <c r="QQ140" i="1" s="1"/>
  <c r="QJ142" i="1"/>
  <c r="QK142" i="1" s="1"/>
  <c r="RU142" i="1"/>
  <c r="QG143" i="1"/>
  <c r="QH143" i="1" s="1"/>
  <c r="RV150" i="1"/>
  <c r="RU150" i="1"/>
  <c r="QS152" i="1"/>
  <c r="QT152" i="1" s="1"/>
  <c r="QD154" i="1"/>
  <c r="QE154" i="1" s="1"/>
  <c r="RH154" i="1"/>
  <c r="RI154" i="1" s="1"/>
  <c r="QJ158" i="1"/>
  <c r="QK158" i="1" s="1"/>
  <c r="QP164" i="1"/>
  <c r="QQ164" i="1" s="1"/>
  <c r="QD172" i="1"/>
  <c r="QE172" i="1" s="1"/>
  <c r="QM121" i="1"/>
  <c r="QN121" i="1" s="1"/>
  <c r="QM122" i="1"/>
  <c r="QN122" i="1" s="1"/>
  <c r="RB124" i="1"/>
  <c r="RC124" i="1" s="1"/>
  <c r="RH135" i="1"/>
  <c r="RI135" i="1" s="1"/>
  <c r="QD139" i="1"/>
  <c r="QE139" i="1" s="1"/>
  <c r="QV139" i="1"/>
  <c r="QW139" i="1" s="1"/>
  <c r="QV140" i="1"/>
  <c r="QW140" i="1" s="1"/>
  <c r="QP142" i="1"/>
  <c r="QQ142" i="1" s="1"/>
  <c r="QV167" i="1"/>
  <c r="QW167" i="1" s="1"/>
  <c r="QS170" i="1"/>
  <c r="QT170" i="1" s="1"/>
  <c r="QV215" i="1"/>
  <c r="QW215" i="1" s="1"/>
  <c r="QD113" i="1"/>
  <c r="QE113" i="1" s="1"/>
  <c r="QA122" i="1"/>
  <c r="QB122" i="1" s="1"/>
  <c r="QD125" i="1"/>
  <c r="QE125" i="1" s="1"/>
  <c r="QS125" i="1"/>
  <c r="QT125" i="1" s="1"/>
  <c r="RO125" i="1" s="1"/>
  <c r="QV130" i="1"/>
  <c r="QW130" i="1" s="1"/>
  <c r="QM131" i="1"/>
  <c r="QN131" i="1" s="1"/>
  <c r="RB133" i="1"/>
  <c r="RC133" i="1" s="1"/>
  <c r="QG134" i="1"/>
  <c r="QH134" i="1" s="1"/>
  <c r="QS135" i="1"/>
  <c r="QT135" i="1" s="1"/>
  <c r="QP136" i="1"/>
  <c r="QQ136" i="1" s="1"/>
  <c r="QD141" i="1"/>
  <c r="QE141" i="1" s="1"/>
  <c r="RE143" i="1"/>
  <c r="RF143" i="1" s="1"/>
  <c r="RB144" i="1"/>
  <c r="RC144" i="1" s="1"/>
  <c r="QA149" i="1"/>
  <c r="QB149" i="1" s="1"/>
  <c r="QG150" i="1"/>
  <c r="QH150" i="1" s="1"/>
  <c r="QP151" i="1"/>
  <c r="QQ151" i="1" s="1"/>
  <c r="RH153" i="1"/>
  <c r="RI153" i="1" s="1"/>
  <c r="QV158" i="1"/>
  <c r="QW158" i="1" s="1"/>
  <c r="RE115" i="1"/>
  <c r="RF115" i="1" s="1"/>
  <c r="QA121" i="1"/>
  <c r="QB121" i="1" s="1"/>
  <c r="RU129" i="1"/>
  <c r="QD135" i="1"/>
  <c r="QE135" i="1" s="1"/>
  <c r="RV137" i="1"/>
  <c r="QY140" i="1"/>
  <c r="QZ140" i="1" s="1"/>
  <c r="QV147" i="1"/>
  <c r="QW147" i="1" s="1"/>
  <c r="QJ150" i="1"/>
  <c r="QK150" i="1" s="1"/>
  <c r="QP154" i="1"/>
  <c r="QQ154" i="1" s="1"/>
  <c r="QS161" i="1"/>
  <c r="QT161" i="1" s="1"/>
  <c r="QP163" i="1"/>
  <c r="QQ163" i="1" s="1"/>
  <c r="RH173" i="1"/>
  <c r="RI173" i="1" s="1"/>
  <c r="RE116" i="1"/>
  <c r="RF116" i="1" s="1"/>
  <c r="QP124" i="1"/>
  <c r="QQ124" i="1" s="1"/>
  <c r="RU124" i="1"/>
  <c r="QG125" i="1"/>
  <c r="QH125" i="1" s="1"/>
  <c r="RE128" i="1"/>
  <c r="RF128" i="1" s="1"/>
  <c r="QA131" i="1"/>
  <c r="QB131" i="1" s="1"/>
  <c r="QM133" i="1"/>
  <c r="QN133" i="1" s="1"/>
  <c r="QJ134" i="1"/>
  <c r="QK134" i="1" s="1"/>
  <c r="QJ138" i="1"/>
  <c r="QK138" i="1" s="1"/>
  <c r="RU139" i="1"/>
  <c r="RH143" i="1"/>
  <c r="RI143" i="1" s="1"/>
  <c r="QM144" i="1"/>
  <c r="QN144" i="1" s="1"/>
  <c r="RE144" i="1"/>
  <c r="RF144" i="1" s="1"/>
  <c r="QS174" i="1"/>
  <c r="QT174" i="1" s="1"/>
  <c r="QS115" i="1"/>
  <c r="QT115" i="1" s="1"/>
  <c r="RO115" i="1" s="1"/>
  <c r="QS116" i="1"/>
  <c r="QT116" i="1" s="1"/>
  <c r="RO116" i="1" s="1"/>
  <c r="RU116" i="1"/>
  <c r="RU121" i="1"/>
  <c r="QJ130" i="1"/>
  <c r="QK130" i="1" s="1"/>
  <c r="RB134" i="1"/>
  <c r="RC134" i="1" s="1"/>
  <c r="QG135" i="1"/>
  <c r="QH135" i="1" s="1"/>
  <c r="RU140" i="1"/>
  <c r="QY141" i="1"/>
  <c r="QZ141" i="1" s="1"/>
  <c r="QR228" i="1"/>
  <c r="QS145" i="1"/>
  <c r="QV146" i="1"/>
  <c r="QW146" i="1" s="1"/>
  <c r="QA155" i="1"/>
  <c r="QB155" i="1" s="1"/>
  <c r="RB159" i="1"/>
  <c r="RC159" i="1" s="1"/>
  <c r="QJ160" i="1"/>
  <c r="QK160" i="1" s="1"/>
  <c r="RV106" i="1"/>
  <c r="QG116" i="1"/>
  <c r="QH116" i="1" s="1"/>
  <c r="RH118" i="1"/>
  <c r="RI118" i="1" s="1"/>
  <c r="RE127" i="1"/>
  <c r="RF127" i="1" s="1"/>
  <c r="QS128" i="1"/>
  <c r="QT128" i="1" s="1"/>
  <c r="RO128" i="1" s="1"/>
  <c r="RH128" i="1"/>
  <c r="RI128" i="1" s="1"/>
  <c r="QP133" i="1"/>
  <c r="QQ133" i="1" s="1"/>
  <c r="RV134" i="1"/>
  <c r="QD136" i="1"/>
  <c r="QE136" i="1" s="1"/>
  <c r="QP137" i="1"/>
  <c r="QQ137" i="1" s="1"/>
  <c r="QM138" i="1"/>
  <c r="QN138" i="1" s="1"/>
  <c r="RV152" i="1"/>
  <c r="QA167" i="1"/>
  <c r="QB167" i="1" s="1"/>
  <c r="RK167" i="1" s="1"/>
  <c r="QM182" i="1"/>
  <c r="QN182" i="1" s="1"/>
  <c r="QG115" i="1"/>
  <c r="QH115" i="1" s="1"/>
  <c r="QD124" i="1"/>
  <c r="QE124" i="1" s="1"/>
  <c r="RE134" i="1"/>
  <c r="RF134" i="1" s="1"/>
  <c r="QY135" i="1"/>
  <c r="QZ135" i="1" s="1"/>
  <c r="RE138" i="1"/>
  <c r="RF138" i="1" s="1"/>
  <c r="QM139" i="1"/>
  <c r="QN139" i="1" s="1"/>
  <c r="RE139" i="1"/>
  <c r="RF139" i="1" s="1"/>
  <c r="RE140" i="1"/>
  <c r="RF140" i="1" s="1"/>
  <c r="RB141" i="1"/>
  <c r="RC141" i="1" s="1"/>
  <c r="QU228" i="1"/>
  <c r="QV145" i="1"/>
  <c r="RE147" i="1"/>
  <c r="RF147" i="1" s="1"/>
  <c r="RB154" i="1"/>
  <c r="RC154" i="1" s="1"/>
  <c r="QD159" i="1"/>
  <c r="QE159" i="1" s="1"/>
  <c r="QP165" i="1"/>
  <c r="QQ165" i="1" s="1"/>
  <c r="QS171" i="1"/>
  <c r="QT171" i="1" s="1"/>
  <c r="QJ173" i="1"/>
  <c r="QK173" i="1" s="1"/>
  <c r="QD175" i="1"/>
  <c r="QE175" i="1" s="1"/>
  <c r="QS180" i="1"/>
  <c r="QT180" i="1" s="1"/>
  <c r="RH147" i="1"/>
  <c r="RI147" i="1" s="1"/>
  <c r="QG149" i="1"/>
  <c r="QH149" i="1" s="1"/>
  <c r="QS151" i="1"/>
  <c r="QT151" i="1" s="1"/>
  <c r="QY154" i="1"/>
  <c r="QZ154" i="1" s="1"/>
  <c r="QM161" i="1"/>
  <c r="QN161" i="1" s="1"/>
  <c r="QG164" i="1"/>
  <c r="QH164" i="1" s="1"/>
  <c r="RV169" i="1"/>
  <c r="RU169" i="1"/>
  <c r="QV169" i="1"/>
  <c r="QW169" i="1" s="1"/>
  <c r="QG171" i="1"/>
  <c r="QH171" i="1" s="1"/>
  <c r="QS189" i="1"/>
  <c r="QT189" i="1" s="1"/>
  <c r="QC228" i="1"/>
  <c r="QC233" i="1" s="1"/>
  <c r="QC235" i="1" s="1"/>
  <c r="QS148" i="1"/>
  <c r="QT148" i="1" s="1"/>
  <c r="RO148" i="1" s="1"/>
  <c r="QJ149" i="1"/>
  <c r="QK149" i="1" s="1"/>
  <c r="RH150" i="1"/>
  <c r="RI150" i="1" s="1"/>
  <c r="QV151" i="1"/>
  <c r="QW151" i="1" s="1"/>
  <c r="QM152" i="1"/>
  <c r="QN152" i="1" s="1"/>
  <c r="RH157" i="1"/>
  <c r="RI157" i="1" s="1"/>
  <c r="QM160" i="1"/>
  <c r="QN160" i="1" s="1"/>
  <c r="QM162" i="1"/>
  <c r="QN162" i="1" s="1"/>
  <c r="QJ164" i="1"/>
  <c r="QK164" i="1" s="1"/>
  <c r="QP181" i="1"/>
  <c r="QQ181" i="1" s="1"/>
  <c r="QS184" i="1"/>
  <c r="QT184" i="1" s="1"/>
  <c r="QD188" i="1"/>
  <c r="QE188" i="1" s="1"/>
  <c r="QV138" i="1"/>
  <c r="QW138" i="1" s="1"/>
  <c r="QD145" i="1"/>
  <c r="RB149" i="1"/>
  <c r="RC149" i="1" s="1"/>
  <c r="QM150" i="1"/>
  <c r="QN150" i="1" s="1"/>
  <c r="QY151" i="1"/>
  <c r="QZ151" i="1" s="1"/>
  <c r="QV159" i="1"/>
  <c r="QW159" i="1" s="1"/>
  <c r="QD167" i="1"/>
  <c r="QE167" i="1" s="1"/>
  <c r="RU176" i="1"/>
  <c r="RV176" i="1"/>
  <c r="QM140" i="1"/>
  <c r="QN140" i="1" s="1"/>
  <c r="QP146" i="1"/>
  <c r="QQ146" i="1" s="1"/>
  <c r="QJ147" i="1"/>
  <c r="QK147" i="1" s="1"/>
  <c r="RE151" i="1"/>
  <c r="RF151" i="1" s="1"/>
  <c r="QA152" i="1"/>
  <c r="QB152" i="1" s="1"/>
  <c r="QY152" i="1"/>
  <c r="QZ152" i="1" s="1"/>
  <c r="QA157" i="1"/>
  <c r="QB157" i="1" s="1"/>
  <c r="QP158" i="1"/>
  <c r="QQ158" i="1" s="1"/>
  <c r="RE159" i="1"/>
  <c r="RF159" i="1" s="1"/>
  <c r="QJ169" i="1"/>
  <c r="QK169" i="1" s="1"/>
  <c r="RH169" i="1"/>
  <c r="RI169" i="1" s="1"/>
  <c r="QV170" i="1"/>
  <c r="QW170" i="1" s="1"/>
  <c r="QV171" i="1"/>
  <c r="QW171" i="1" s="1"/>
  <c r="QP211" i="1"/>
  <c r="QQ211" i="1" s="1"/>
  <c r="QS146" i="1"/>
  <c r="QT146" i="1" s="1"/>
  <c r="RO146" i="1" s="1"/>
  <c r="QA150" i="1"/>
  <c r="QB150" i="1" s="1"/>
  <c r="QV150" i="1"/>
  <c r="QW150" i="1" s="1"/>
  <c r="RV154" i="1"/>
  <c r="RU154" i="1"/>
  <c r="QV157" i="1"/>
  <c r="QW157" i="1" s="1"/>
  <c r="RH159" i="1"/>
  <c r="RI159" i="1" s="1"/>
  <c r="QY160" i="1"/>
  <c r="QZ160" i="1" s="1"/>
  <c r="QV164" i="1"/>
  <c r="QW164" i="1" s="1"/>
  <c r="QS166" i="1"/>
  <c r="QT166" i="1" s="1"/>
  <c r="QY170" i="1"/>
  <c r="QZ170" i="1" s="1"/>
  <c r="QY171" i="1"/>
  <c r="QZ171" i="1" s="1"/>
  <c r="RB173" i="1"/>
  <c r="RC173" i="1" s="1"/>
  <c r="RH174" i="1"/>
  <c r="RI174" i="1" s="1"/>
  <c r="RB175" i="1"/>
  <c r="RC175" i="1" s="1"/>
  <c r="QJ176" i="1"/>
  <c r="QK176" i="1" s="1"/>
  <c r="QS179" i="1"/>
  <c r="QT179" i="1" s="1"/>
  <c r="QA181" i="1"/>
  <c r="QB181" i="1" s="1"/>
  <c r="QM200" i="1"/>
  <c r="QN200" i="1" s="1"/>
  <c r="QA146" i="1"/>
  <c r="QB146" i="1" s="1"/>
  <c r="QY150" i="1"/>
  <c r="QZ150" i="1" s="1"/>
  <c r="QD152" i="1"/>
  <c r="QE152" i="1" s="1"/>
  <c r="QS158" i="1"/>
  <c r="QT158" i="1" s="1"/>
  <c r="RO158" i="1" s="1"/>
  <c r="RV164" i="1"/>
  <c r="RU164" i="1"/>
  <c r="QP168" i="1"/>
  <c r="QQ168" i="1" s="1"/>
  <c r="RE173" i="1"/>
  <c r="RF173" i="1" s="1"/>
  <c r="QG174" i="1"/>
  <c r="QH174" i="1" s="1"/>
  <c r="QM176" i="1"/>
  <c r="QN176" i="1" s="1"/>
  <c r="QG178" i="1"/>
  <c r="QH178" i="1" s="1"/>
  <c r="RB143" i="1"/>
  <c r="RC143" i="1" s="1"/>
  <c r="RV151" i="1"/>
  <c r="RU151" i="1"/>
  <c r="RB155" i="1"/>
  <c r="RC155" i="1" s="1"/>
  <c r="QD161" i="1"/>
  <c r="QE161" i="1" s="1"/>
  <c r="RB172" i="1"/>
  <c r="RC172" i="1" s="1"/>
  <c r="QP176" i="1"/>
  <c r="QQ176" i="1" s="1"/>
  <c r="RH180" i="1"/>
  <c r="RI180" i="1" s="1"/>
  <c r="QL228" i="1"/>
  <c r="QL233" i="1" s="1"/>
  <c r="RH148" i="1"/>
  <c r="RI148" i="1" s="1"/>
  <c r="QS154" i="1"/>
  <c r="QT154" i="1" s="1"/>
  <c r="QJ155" i="1"/>
  <c r="QK155" i="1" s="1"/>
  <c r="QG161" i="1"/>
  <c r="QH161" i="1" s="1"/>
  <c r="RH161" i="1"/>
  <c r="RI161" i="1" s="1"/>
  <c r="QS168" i="1"/>
  <c r="QT168" i="1" s="1"/>
  <c r="RO168" i="1" s="1"/>
  <c r="QS176" i="1"/>
  <c r="QT176" i="1" s="1"/>
  <c r="QM193" i="1"/>
  <c r="QN193" i="1" s="1"/>
  <c r="RE135" i="1"/>
  <c r="RF135" i="1" s="1"/>
  <c r="QD143" i="1"/>
  <c r="QE143" i="1" s="1"/>
  <c r="PZ228" i="1"/>
  <c r="QM145" i="1"/>
  <c r="RB145" i="1"/>
  <c r="QG146" i="1"/>
  <c r="QH146" i="1" s="1"/>
  <c r="QD149" i="1"/>
  <c r="QE149" i="1" s="1"/>
  <c r="RV156" i="1"/>
  <c r="QA158" i="1"/>
  <c r="QB158" i="1" s="1"/>
  <c r="QJ162" i="1"/>
  <c r="QK162" i="1" s="1"/>
  <c r="RH162" i="1"/>
  <c r="RI162" i="1" s="1"/>
  <c r="QY167" i="1"/>
  <c r="QZ167" i="1" s="1"/>
  <c r="QA170" i="1"/>
  <c r="QB170" i="1" s="1"/>
  <c r="QV176" i="1"/>
  <c r="QW176" i="1" s="1"/>
  <c r="QV185" i="1"/>
  <c r="QW185" i="1" s="1"/>
  <c r="QP171" i="1"/>
  <c r="QQ171" i="1" s="1"/>
  <c r="QJ174" i="1"/>
  <c r="QK174" i="1" s="1"/>
  <c r="QD180" i="1"/>
  <c r="QE180" i="1" s="1"/>
  <c r="RE180" i="1"/>
  <c r="RF180" i="1" s="1"/>
  <c r="QM187" i="1"/>
  <c r="QN187" i="1" s="1"/>
  <c r="QS190" i="1"/>
  <c r="QT190" i="1" s="1"/>
  <c r="RH149" i="1"/>
  <c r="RI149" i="1" s="1"/>
  <c r="QY162" i="1"/>
  <c r="QZ162" i="1" s="1"/>
  <c r="QP167" i="1"/>
  <c r="QQ167" i="1" s="1"/>
  <c r="RE168" i="1"/>
  <c r="RF168" i="1" s="1"/>
  <c r="RH177" i="1"/>
  <c r="RI177" i="1" s="1"/>
  <c r="QD179" i="1"/>
  <c r="QE179" i="1" s="1"/>
  <c r="RB181" i="1"/>
  <c r="RC181" i="1" s="1"/>
  <c r="QP184" i="1"/>
  <c r="QQ184" i="1" s="1"/>
  <c r="QG186" i="1"/>
  <c r="QH186" i="1" s="1"/>
  <c r="QP187" i="1"/>
  <c r="QQ187" i="1" s="1"/>
  <c r="QV190" i="1"/>
  <c r="QW190" i="1" s="1"/>
  <c r="QV149" i="1"/>
  <c r="QW149" i="1" s="1"/>
  <c r="RE158" i="1"/>
  <c r="RF158" i="1" s="1"/>
  <c r="QJ161" i="1"/>
  <c r="QK161" i="1" s="1"/>
  <c r="QM164" i="1"/>
  <c r="QN164" i="1" s="1"/>
  <c r="RB165" i="1"/>
  <c r="RC165" i="1" s="1"/>
  <c r="QS167" i="1"/>
  <c r="QT167" i="1" s="1"/>
  <c r="QY173" i="1"/>
  <c r="QZ173" i="1" s="1"/>
  <c r="QG179" i="1"/>
  <c r="QH179" i="1" s="1"/>
  <c r="QP155" i="1"/>
  <c r="QQ155" i="1" s="1"/>
  <c r="QJ159" i="1"/>
  <c r="QK159" i="1" s="1"/>
  <c r="QA161" i="1"/>
  <c r="QB161" i="1" s="1"/>
  <c r="QA162" i="1"/>
  <c r="QB162" i="1" s="1"/>
  <c r="QA164" i="1"/>
  <c r="QB164" i="1" s="1"/>
  <c r="QG167" i="1"/>
  <c r="QH167" i="1" s="1"/>
  <c r="QG168" i="1"/>
  <c r="QH168" i="1" s="1"/>
  <c r="QV174" i="1"/>
  <c r="QW174" i="1" s="1"/>
  <c r="RU183" i="1"/>
  <c r="RV183" i="1"/>
  <c r="RH187" i="1"/>
  <c r="RI187" i="1" s="1"/>
  <c r="QV189" i="1"/>
  <c r="QW189" i="1" s="1"/>
  <c r="QS211" i="1"/>
  <c r="QT211" i="1" s="1"/>
  <c r="RD228" i="1"/>
  <c r="QD155" i="1"/>
  <c r="QE155" i="1" s="1"/>
  <c r="QD164" i="1"/>
  <c r="QE164" i="1" s="1"/>
  <c r="QD165" i="1"/>
  <c r="QE165" i="1" s="1"/>
  <c r="RB167" i="1"/>
  <c r="RC167" i="1" s="1"/>
  <c r="QY174" i="1"/>
  <c r="QZ174" i="1" s="1"/>
  <c r="QM194" i="1"/>
  <c r="QN194" i="1" s="1"/>
  <c r="QG197" i="1"/>
  <c r="QH197" i="1" s="1"/>
  <c r="QG210" i="1"/>
  <c r="QH210" i="1" s="1"/>
  <c r="RU148" i="1"/>
  <c r="QV161" i="1"/>
  <c r="QW161" i="1" s="1"/>
  <c r="QY164" i="1"/>
  <c r="QZ164" i="1" s="1"/>
  <c r="RE167" i="1"/>
  <c r="RF167" i="1" s="1"/>
  <c r="QD170" i="1"/>
  <c r="QE170" i="1" s="1"/>
  <c r="RB170" i="1"/>
  <c r="RC170" i="1" s="1"/>
  <c r="RQ170" i="1" s="1"/>
  <c r="RB174" i="1"/>
  <c r="RC174" i="1" s="1"/>
  <c r="QA177" i="1"/>
  <c r="QB177" i="1" s="1"/>
  <c r="QV180" i="1"/>
  <c r="QW180" i="1" s="1"/>
  <c r="QD184" i="1"/>
  <c r="QE184" i="1" s="1"/>
  <c r="RH185" i="1"/>
  <c r="RI185" i="1" s="1"/>
  <c r="QV191" i="1"/>
  <c r="QW191" i="1" s="1"/>
  <c r="QJ210" i="1"/>
  <c r="QK210" i="1" s="1"/>
  <c r="QP143" i="1"/>
  <c r="QQ143" i="1" s="1"/>
  <c r="QF228" i="1"/>
  <c r="QY161" i="1"/>
  <c r="QZ161" i="1" s="1"/>
  <c r="RB164" i="1"/>
  <c r="RC164" i="1" s="1"/>
  <c r="RU166" i="1"/>
  <c r="QG170" i="1"/>
  <c r="QH170" i="1" s="1"/>
  <c r="RE170" i="1"/>
  <c r="RF170" i="1" s="1"/>
  <c r="RU173" i="1"/>
  <c r="QS181" i="1"/>
  <c r="QT181" i="1" s="1"/>
  <c r="RV182" i="1"/>
  <c r="RU182" i="1"/>
  <c r="QV182" i="1"/>
  <c r="QW182" i="1" s="1"/>
  <c r="QG184" i="1"/>
  <c r="QH184" i="1" s="1"/>
  <c r="RV189" i="1"/>
  <c r="RU189" i="1"/>
  <c r="RG228" i="1"/>
  <c r="RG233" i="1" s="1"/>
  <c r="RE146" i="1"/>
  <c r="RF146" i="1" s="1"/>
  <c r="RU163" i="1"/>
  <c r="QJ170" i="1"/>
  <c r="QK170" i="1" s="1"/>
  <c r="RH170" i="1"/>
  <c r="RI170" i="1" s="1"/>
  <c r="RE177" i="1"/>
  <c r="RF177" i="1" s="1"/>
  <c r="QA180" i="1"/>
  <c r="QB180" i="1" s="1"/>
  <c r="QY182" i="1"/>
  <c r="QZ182" i="1" s="1"/>
  <c r="QJ184" i="1"/>
  <c r="QK184" i="1" s="1"/>
  <c r="QJ185" i="1"/>
  <c r="QK185" i="1" s="1"/>
  <c r="QD207" i="1"/>
  <c r="QE207" i="1" s="1"/>
  <c r="RV175" i="1"/>
  <c r="RE179" i="1"/>
  <c r="RF179" i="1" s="1"/>
  <c r="QY184" i="1"/>
  <c r="QZ184" i="1" s="1"/>
  <c r="QP186" i="1"/>
  <c r="QQ186" i="1" s="1"/>
  <c r="RU188" i="1"/>
  <c r="RV188" i="1"/>
  <c r="QJ191" i="1"/>
  <c r="QK191" i="1" s="1"/>
  <c r="QP174" i="1"/>
  <c r="QQ174" i="1" s="1"/>
  <c r="RH178" i="1"/>
  <c r="RI178" i="1" s="1"/>
  <c r="QY183" i="1"/>
  <c r="QZ183" i="1" s="1"/>
  <c r="RB184" i="1"/>
  <c r="RC184" i="1" s="1"/>
  <c r="QG187" i="1"/>
  <c r="QH187" i="1" s="1"/>
  <c r="RV191" i="1"/>
  <c r="RH192" i="1"/>
  <c r="RI192" i="1" s="1"/>
  <c r="RV196" i="1"/>
  <c r="RU196" i="1"/>
  <c r="QD174" i="1"/>
  <c r="QE174" i="1" s="1"/>
  <c r="RH176" i="1"/>
  <c r="RI176" i="1" s="1"/>
  <c r="QP179" i="1"/>
  <c r="QQ179" i="1" s="1"/>
  <c r="QM190" i="1"/>
  <c r="QN190" i="1" s="1"/>
  <c r="QM191" i="1"/>
  <c r="QN191" i="1" s="1"/>
  <c r="RE197" i="1"/>
  <c r="RF197" i="1" s="1"/>
  <c r="RE204" i="1"/>
  <c r="RF204" i="1" s="1"/>
  <c r="QV206" i="1"/>
  <c r="QW206" i="1" s="1"/>
  <c r="QM217" i="1"/>
  <c r="QN217" i="1" s="1"/>
  <c r="RB186" i="1"/>
  <c r="RC186" i="1" s="1"/>
  <c r="QY198" i="1"/>
  <c r="QZ198" i="1" s="1"/>
  <c r="QS177" i="1"/>
  <c r="QT177" i="1" s="1"/>
  <c r="QA183" i="1"/>
  <c r="QB183" i="1" s="1"/>
  <c r="QD185" i="1"/>
  <c r="QE185" i="1" s="1"/>
  <c r="QD189" i="1"/>
  <c r="QE189" i="1" s="1"/>
  <c r="QV192" i="1"/>
  <c r="QW192" i="1" s="1"/>
  <c r="QS194" i="1"/>
  <c r="QT194" i="1" s="1"/>
  <c r="RB198" i="1"/>
  <c r="RC198" i="1" s="1"/>
  <c r="RB208" i="1"/>
  <c r="RC208" i="1" s="1"/>
  <c r="QD214" i="1"/>
  <c r="QE214" i="1" s="1"/>
  <c r="RU179" i="1"/>
  <c r="QV194" i="1"/>
  <c r="QW194" i="1" s="1"/>
  <c r="RE200" i="1"/>
  <c r="RF200" i="1" s="1"/>
  <c r="QV202" i="1"/>
  <c r="QW202" i="1" s="1"/>
  <c r="RE208" i="1"/>
  <c r="RF208" i="1" s="1"/>
  <c r="QM171" i="1"/>
  <c r="QN171" i="1" s="1"/>
  <c r="QY180" i="1"/>
  <c r="QZ180" i="1" s="1"/>
  <c r="QY181" i="1"/>
  <c r="QZ181" i="1" s="1"/>
  <c r="QM186" i="1"/>
  <c r="QN186" i="1" s="1"/>
  <c r="QA187" i="1"/>
  <c r="QB187" i="1" s="1"/>
  <c r="QP188" i="1"/>
  <c r="QQ188" i="1" s="1"/>
  <c r="QY193" i="1"/>
  <c r="QZ193" i="1" s="1"/>
  <c r="QP196" i="1"/>
  <c r="QA198" i="1"/>
  <c r="QB198" i="1" s="1"/>
  <c r="RB207" i="1"/>
  <c r="RC207" i="1" s="1"/>
  <c r="QG177" i="1"/>
  <c r="QH177" i="1" s="1"/>
  <c r="RE178" i="1"/>
  <c r="RF178" i="1" s="1"/>
  <c r="RB180" i="1"/>
  <c r="RC180" i="1" s="1"/>
  <c r="QG181" i="1"/>
  <c r="QH181" i="1" s="1"/>
  <c r="QD187" i="1"/>
  <c r="QE187" i="1" s="1"/>
  <c r="QS188" i="1"/>
  <c r="QT188" i="1" s="1"/>
  <c r="RH189" i="1"/>
  <c r="RI189" i="1" s="1"/>
  <c r="QD190" i="1"/>
  <c r="QE190" i="1" s="1"/>
  <c r="QV204" i="1"/>
  <c r="QW204" i="1" s="1"/>
  <c r="QY191" i="1"/>
  <c r="QZ191" i="1" s="1"/>
  <c r="QS198" i="1"/>
  <c r="QT198" i="1" s="1"/>
  <c r="RE201" i="1"/>
  <c r="RF201" i="1" s="1"/>
  <c r="QJ202" i="1"/>
  <c r="QK202" i="1" s="1"/>
  <c r="QG188" i="1"/>
  <c r="QH188" i="1" s="1"/>
  <c r="QM202" i="1"/>
  <c r="QN202" i="1" s="1"/>
  <c r="QP213" i="1"/>
  <c r="QQ213" i="1" s="1"/>
  <c r="QS187" i="1"/>
  <c r="QT187" i="1" s="1"/>
  <c r="RO187" i="1" s="1"/>
  <c r="RB191" i="1"/>
  <c r="RC191" i="1" s="1"/>
  <c r="QG194" i="1"/>
  <c r="QH194" i="1" s="1"/>
  <c r="QY199" i="1"/>
  <c r="QZ199" i="1" s="1"/>
  <c r="QS203" i="1"/>
  <c r="QT203" i="1" s="1"/>
  <c r="RO203" i="1" s="1"/>
  <c r="QS206" i="1"/>
  <c r="QT206" i="1" s="1"/>
  <c r="RO206" i="1" s="1"/>
  <c r="QY214" i="1"/>
  <c r="QZ214" i="1" s="1"/>
  <c r="QS215" i="1"/>
  <c r="QT215" i="1" s="1"/>
  <c r="RO215" i="1" s="1"/>
  <c r="RU178" i="1"/>
  <c r="RH181" i="1"/>
  <c r="RI181" i="1" s="1"/>
  <c r="RE203" i="1"/>
  <c r="RF203" i="1" s="1"/>
  <c r="QD204" i="1"/>
  <c r="QE204" i="1" s="1"/>
  <c r="RH204" i="1"/>
  <c r="RI204" i="1" s="1"/>
  <c r="QA206" i="1"/>
  <c r="QB206" i="1" s="1"/>
  <c r="QJ208" i="1"/>
  <c r="QK208" i="1" s="1"/>
  <c r="QV181" i="1"/>
  <c r="QW181" i="1" s="1"/>
  <c r="QM184" i="1"/>
  <c r="QN184" i="1" s="1"/>
  <c r="QG190" i="1"/>
  <c r="QH190" i="1" s="1"/>
  <c r="QA191" i="1"/>
  <c r="QB191" i="1" s="1"/>
  <c r="QJ192" i="1"/>
  <c r="QK192" i="1" s="1"/>
  <c r="QG198" i="1"/>
  <c r="QH198" i="1" s="1"/>
  <c r="QJ207" i="1"/>
  <c r="QK207" i="1" s="1"/>
  <c r="QJ181" i="1"/>
  <c r="QK181" i="1" s="1"/>
  <c r="RB187" i="1"/>
  <c r="RC187" i="1" s="1"/>
  <c r="QD191" i="1"/>
  <c r="QE191" i="1" s="1"/>
  <c r="QS193" i="1"/>
  <c r="QT193" i="1" s="1"/>
  <c r="QA212" i="1"/>
  <c r="QB212" i="1" s="1"/>
  <c r="QA184" i="1"/>
  <c r="QB184" i="1" s="1"/>
  <c r="RB185" i="1"/>
  <c r="RC185" i="1" s="1"/>
  <c r="QJ190" i="1"/>
  <c r="QK190" i="1" s="1"/>
  <c r="QD193" i="1"/>
  <c r="QE193" i="1" s="1"/>
  <c r="QC229" i="1"/>
  <c r="QX229" i="1"/>
  <c r="QX233" i="1" s="1"/>
  <c r="QY196" i="1"/>
  <c r="QM198" i="1"/>
  <c r="QN198" i="1" s="1"/>
  <c r="QY201" i="1"/>
  <c r="QZ201" i="1" s="1"/>
  <c r="RH202" i="1"/>
  <c r="RI202" i="1" s="1"/>
  <c r="QG203" i="1"/>
  <c r="QH203" i="1" s="1"/>
  <c r="QS208" i="1"/>
  <c r="QT208" i="1" s="1"/>
  <c r="QP185" i="1"/>
  <c r="QQ185" i="1" s="1"/>
  <c r="RE187" i="1"/>
  <c r="RF187" i="1" s="1"/>
  <c r="RE188" i="1"/>
  <c r="RF188" i="1" s="1"/>
  <c r="QG191" i="1"/>
  <c r="QH191" i="1" s="1"/>
  <c r="QV193" i="1"/>
  <c r="QW193" i="1" s="1"/>
  <c r="QA194" i="1"/>
  <c r="QB194" i="1" s="1"/>
  <c r="RB201" i="1"/>
  <c r="RC201" i="1" s="1"/>
  <c r="QS207" i="1"/>
  <c r="QT207" i="1" s="1"/>
  <c r="QD212" i="1"/>
  <c r="QE212" i="1" s="1"/>
  <c r="QS209" i="1"/>
  <c r="QT209" i="1" s="1"/>
  <c r="QJ211" i="1"/>
  <c r="QK211" i="1" s="1"/>
  <c r="RE211" i="1"/>
  <c r="RF211" i="1" s="1"/>
  <c r="QM215" i="1"/>
  <c r="QN215" i="1" s="1"/>
  <c r="QL229" i="1"/>
  <c r="QM199" i="1"/>
  <c r="QN199" i="1" s="1"/>
  <c r="QP204" i="1"/>
  <c r="QQ204" i="1" s="1"/>
  <c r="QP205" i="1"/>
  <c r="QQ205" i="1" s="1"/>
  <c r="QA208" i="1"/>
  <c r="QB208" i="1" s="1"/>
  <c r="RH211" i="1"/>
  <c r="RI211" i="1" s="1"/>
  <c r="QG213" i="1"/>
  <c r="QH213" i="1" s="1"/>
  <c r="RE213" i="1"/>
  <c r="RF213" i="1" s="1"/>
  <c r="QJ216" i="1"/>
  <c r="QK216" i="1" s="1"/>
  <c r="PZ229" i="1"/>
  <c r="QM196" i="1"/>
  <c r="QV201" i="1"/>
  <c r="QW201" i="1" s="1"/>
  <c r="QG202" i="1"/>
  <c r="QH202" i="1" s="1"/>
  <c r="QA207" i="1"/>
  <c r="QB207" i="1" s="1"/>
  <c r="QV209" i="1"/>
  <c r="QW209" i="1" s="1"/>
  <c r="QM211" i="1"/>
  <c r="QN211" i="1" s="1"/>
  <c r="QJ213" i="1"/>
  <c r="QK213" i="1" s="1"/>
  <c r="RU214" i="1"/>
  <c r="RB194" i="1"/>
  <c r="RC194" i="1" s="1"/>
  <c r="QR229" i="1"/>
  <c r="QY207" i="1"/>
  <c r="QZ207" i="1" s="1"/>
  <c r="QG208" i="1"/>
  <c r="QH208" i="1" s="1"/>
  <c r="QG209" i="1"/>
  <c r="QH209" i="1" s="1"/>
  <c r="RV211" i="1"/>
  <c r="RU211" i="1"/>
  <c r="QG214" i="1"/>
  <c r="QH214" i="1" s="1"/>
  <c r="RB214" i="1"/>
  <c r="RC214" i="1" s="1"/>
  <c r="QV216" i="1"/>
  <c r="QW216" i="1" s="1"/>
  <c r="QP194" i="1"/>
  <c r="QQ194" i="1" s="1"/>
  <c r="QF229" i="1"/>
  <c r="QA200" i="1"/>
  <c r="QB200" i="1" s="1"/>
  <c r="RE202" i="1"/>
  <c r="RF202" i="1" s="1"/>
  <c r="QY205" i="1"/>
  <c r="QZ205" i="1" s="1"/>
  <c r="QS217" i="1"/>
  <c r="QT217" i="1" s="1"/>
  <c r="QD194" i="1"/>
  <c r="QE194" i="1" s="1"/>
  <c r="RH200" i="1"/>
  <c r="RI200" i="1" s="1"/>
  <c r="RU203" i="1"/>
  <c r="QG205" i="1"/>
  <c r="QH205" i="1" s="1"/>
  <c r="RE209" i="1"/>
  <c r="RF209" i="1" s="1"/>
  <c r="QP210" i="1"/>
  <c r="QQ210" i="1" s="1"/>
  <c r="QV217" i="1"/>
  <c r="QW217" i="1" s="1"/>
  <c r="QJ205" i="1"/>
  <c r="QK205" i="1" s="1"/>
  <c r="RE207" i="1"/>
  <c r="RF207" i="1" s="1"/>
  <c r="QM209" i="1"/>
  <c r="QN209" i="1" s="1"/>
  <c r="RH209" i="1"/>
  <c r="RI209" i="1" s="1"/>
  <c r="QD211" i="1"/>
  <c r="QE211" i="1" s="1"/>
  <c r="QM212" i="1"/>
  <c r="QN212" i="1" s="1"/>
  <c r="RE212" i="1"/>
  <c r="RF212" i="1" s="1"/>
  <c r="QA213" i="1"/>
  <c r="QB213" i="1" s="1"/>
  <c r="QV213" i="1"/>
  <c r="QW213" i="1" s="1"/>
  <c r="RH214" i="1"/>
  <c r="RI214" i="1" s="1"/>
  <c r="RE215" i="1"/>
  <c r="RF215" i="1" s="1"/>
  <c r="QY217" i="1"/>
  <c r="QZ217" i="1" s="1"/>
  <c r="QV196" i="1"/>
  <c r="RV199" i="1"/>
  <c r="QA201" i="1"/>
  <c r="QB201" i="1" s="1"/>
  <c r="QA202" i="1"/>
  <c r="QB202" i="1" s="1"/>
  <c r="QS202" i="1"/>
  <c r="QT202" i="1" s="1"/>
  <c r="QJ206" i="1"/>
  <c r="QK206" i="1" s="1"/>
  <c r="RB216" i="1"/>
  <c r="RC216" i="1" s="1"/>
  <c r="RQ216" i="1" s="1"/>
  <c r="QA217" i="1"/>
  <c r="QB217" i="1" s="1"/>
  <c r="RV198" i="1"/>
  <c r="RU198" i="1"/>
  <c r="QP198" i="1"/>
  <c r="QQ198" i="1" s="1"/>
  <c r="QV200" i="1"/>
  <c r="QW200" i="1" s="1"/>
  <c r="QP208" i="1"/>
  <c r="QQ208" i="1" s="1"/>
  <c r="QV210" i="1"/>
  <c r="QW210" i="1" s="1"/>
  <c r="QY213" i="1"/>
  <c r="QZ213" i="1" s="1"/>
  <c r="QM214" i="1"/>
  <c r="QN214" i="1" s="1"/>
  <c r="QJ215" i="1"/>
  <c r="QK215" i="1" s="1"/>
  <c r="QG216" i="1"/>
  <c r="QH216" i="1" s="1"/>
  <c r="QY211" i="1"/>
  <c r="QZ211" i="1" s="1"/>
  <c r="RU200" i="1"/>
  <c r="QJ200" i="1"/>
  <c r="QK200" i="1" s="1"/>
  <c r="RH205" i="1"/>
  <c r="RI205" i="1" s="1"/>
  <c r="RU206" i="1"/>
  <c r="RE214" i="1"/>
  <c r="RF214" i="1" s="1"/>
  <c r="QY215" i="1"/>
  <c r="QZ215" i="1" s="1"/>
  <c r="RA229" i="1"/>
  <c r="RA233" i="1" s="1"/>
  <c r="QV205" i="1"/>
  <c r="QW205" i="1" s="1"/>
  <c r="QG207" i="1"/>
  <c r="QH207" i="1" s="1"/>
  <c r="RB210" i="1"/>
  <c r="RC210" i="1" s="1"/>
  <c r="QS212" i="1"/>
  <c r="QT212" i="1" s="1"/>
  <c r="QG212" i="1"/>
  <c r="QH212" i="1" s="1"/>
  <c r="RH216" i="1"/>
  <c r="RI216" i="1" s="1"/>
  <c r="RD229" i="1"/>
  <c r="QM201" i="1"/>
  <c r="QN201" i="1" s="1"/>
  <c r="QY208" i="1"/>
  <c r="QZ208" i="1" s="1"/>
  <c r="QS214" i="1"/>
  <c r="QT214" i="1" s="1"/>
  <c r="QP216" i="1"/>
  <c r="QQ216" i="1" s="1"/>
  <c r="RE217" i="1"/>
  <c r="RF217" i="1" s="1"/>
  <c r="RB204" i="1"/>
  <c r="RC204" i="1" s="1"/>
  <c r="QM208" i="1"/>
  <c r="QN208" i="1" s="1"/>
  <c r="QD210" i="1"/>
  <c r="QE210" i="1" s="1"/>
  <c r="RB213" i="1"/>
  <c r="RC213" i="1" s="1"/>
  <c r="QS216" i="1"/>
  <c r="QT216" i="1" s="1"/>
  <c r="RE216" i="1"/>
  <c r="RF216" i="1" s="1"/>
  <c r="QG217" i="1"/>
  <c r="QH217" i="1" s="1"/>
  <c r="RO166" i="1" l="1"/>
  <c r="RO112" i="1"/>
  <c r="RO71" i="1"/>
  <c r="RO21" i="1"/>
  <c r="RO99" i="1"/>
  <c r="RO70" i="1"/>
  <c r="RM69" i="1"/>
  <c r="RO214" i="1"/>
  <c r="RK146" i="1"/>
  <c r="RO88" i="1"/>
  <c r="RO45" i="1"/>
  <c r="RK94" i="1"/>
  <c r="RO151" i="1"/>
  <c r="RO170" i="1"/>
  <c r="RK91" i="1"/>
  <c r="RK44" i="1"/>
  <c r="RK178" i="1"/>
  <c r="RQ159" i="1"/>
  <c r="RO66" i="1"/>
  <c r="RO208" i="1"/>
  <c r="RM184" i="1"/>
  <c r="RK150" i="1"/>
  <c r="RO135" i="1"/>
  <c r="RO129" i="1"/>
  <c r="RO76" i="1"/>
  <c r="RO61" i="1"/>
  <c r="RO68" i="1"/>
  <c r="RO202" i="1"/>
  <c r="RO217" i="1"/>
  <c r="RO194" i="1"/>
  <c r="RQ173" i="1"/>
  <c r="RO114" i="1"/>
  <c r="RK67" i="1"/>
  <c r="RK87" i="1"/>
  <c r="RK48" i="1"/>
  <c r="RO14" i="1"/>
  <c r="RK202" i="1"/>
  <c r="RO209" i="1"/>
  <c r="RK170" i="1"/>
  <c r="RO189" i="1"/>
  <c r="RO126" i="1"/>
  <c r="RO34" i="1"/>
  <c r="RO23" i="1"/>
  <c r="RO90" i="1"/>
  <c r="RO179" i="1"/>
  <c r="RK205" i="1"/>
  <c r="RQ187" i="1"/>
  <c r="RM194" i="1"/>
  <c r="RK124" i="1"/>
  <c r="RK103" i="1"/>
  <c r="RO60" i="1"/>
  <c r="RJ216" i="1"/>
  <c r="RJ210" i="1"/>
  <c r="RJ203" i="1"/>
  <c r="RJ217" i="1"/>
  <c r="RJ208" i="1"/>
  <c r="RJ214" i="1"/>
  <c r="RJ211" i="1"/>
  <c r="RJ206" i="1"/>
  <c r="RJ197" i="1"/>
  <c r="RJ212" i="1"/>
  <c r="RJ207" i="1"/>
  <c r="RJ204" i="1"/>
  <c r="RJ202" i="1"/>
  <c r="RJ201" i="1"/>
  <c r="RJ200" i="1"/>
  <c r="RJ215" i="1"/>
  <c r="RJ196" i="1"/>
  <c r="RJ229" i="1" s="1"/>
  <c r="RJ193" i="1"/>
  <c r="RJ190" i="1"/>
  <c r="RJ188" i="1"/>
  <c r="RJ209" i="1"/>
  <c r="RJ195" i="1"/>
  <c r="RJ192" i="1"/>
  <c r="RJ179" i="1"/>
  <c r="RJ213" i="1"/>
  <c r="RJ189" i="1"/>
  <c r="RJ205" i="1"/>
  <c r="RJ198" i="1"/>
  <c r="RJ194" i="1"/>
  <c r="RJ178" i="1"/>
  <c r="RJ191" i="1"/>
  <c r="RJ181" i="1"/>
  <c r="RJ176" i="1"/>
  <c r="RJ199" i="1"/>
  <c r="RJ186" i="1"/>
  <c r="RJ166" i="1"/>
  <c r="RJ177" i="1"/>
  <c r="RJ159" i="1"/>
  <c r="RJ147" i="1"/>
  <c r="RJ183" i="1"/>
  <c r="RJ182" i="1"/>
  <c r="RJ174" i="1"/>
  <c r="RJ171" i="1"/>
  <c r="RJ169" i="1"/>
  <c r="RJ184" i="1"/>
  <c r="RJ175" i="1"/>
  <c r="RJ172" i="1"/>
  <c r="RJ163" i="1"/>
  <c r="RJ168" i="1"/>
  <c r="RJ185" i="1"/>
  <c r="RJ154" i="1"/>
  <c r="RJ151" i="1"/>
  <c r="RJ162" i="1"/>
  <c r="RJ136" i="1"/>
  <c r="RJ187" i="1"/>
  <c r="RJ157" i="1"/>
  <c r="RJ150" i="1"/>
  <c r="RJ165" i="1"/>
  <c r="RJ153" i="1"/>
  <c r="RJ173" i="1"/>
  <c r="RJ156" i="1"/>
  <c r="RJ155" i="1"/>
  <c r="RJ152" i="1"/>
  <c r="RJ167" i="1"/>
  <c r="RJ170" i="1"/>
  <c r="RJ180" i="1"/>
  <c r="RJ161" i="1"/>
  <c r="RJ148" i="1"/>
  <c r="RJ128" i="1"/>
  <c r="RJ116" i="1"/>
  <c r="RJ146" i="1"/>
  <c r="RJ126" i="1"/>
  <c r="RJ149" i="1"/>
  <c r="RJ145" i="1"/>
  <c r="RJ144" i="1"/>
  <c r="RJ129" i="1"/>
  <c r="RJ117" i="1"/>
  <c r="RJ140" i="1"/>
  <c r="RJ139" i="1"/>
  <c r="RJ134" i="1"/>
  <c r="RJ164" i="1"/>
  <c r="RJ160" i="1"/>
  <c r="RJ143" i="1"/>
  <c r="RJ132" i="1"/>
  <c r="RJ112" i="1"/>
  <c r="RJ104" i="1"/>
  <c r="RJ125" i="1"/>
  <c r="RJ142" i="1"/>
  <c r="RJ135" i="1"/>
  <c r="RJ141" i="1"/>
  <c r="RJ130" i="1"/>
  <c r="RJ123" i="1"/>
  <c r="RJ138" i="1"/>
  <c r="RJ131" i="1"/>
  <c r="RJ119" i="1"/>
  <c r="RJ114" i="1"/>
  <c r="RJ158" i="1"/>
  <c r="RJ121" i="1"/>
  <c r="RJ137" i="1"/>
  <c r="RJ133" i="1"/>
  <c r="RJ124" i="1"/>
  <c r="RJ118" i="1"/>
  <c r="RJ115" i="1"/>
  <c r="RJ113" i="1"/>
  <c r="RJ111" i="1"/>
  <c r="RJ120" i="1"/>
  <c r="RJ127" i="1"/>
  <c r="RJ109" i="1"/>
  <c r="RJ95" i="1"/>
  <c r="RJ83" i="1"/>
  <c r="RJ71" i="1"/>
  <c r="RJ105" i="1"/>
  <c r="RJ110" i="1"/>
  <c r="RJ106" i="1"/>
  <c r="RJ86" i="1"/>
  <c r="RJ122" i="1"/>
  <c r="RJ103" i="1"/>
  <c r="RJ108" i="1"/>
  <c r="RJ94" i="1"/>
  <c r="RJ58" i="1"/>
  <c r="RJ100" i="1"/>
  <c r="RJ90" i="1"/>
  <c r="RJ97" i="1"/>
  <c r="RJ91" i="1"/>
  <c r="RJ68" i="1"/>
  <c r="RJ56" i="1"/>
  <c r="RJ87" i="1"/>
  <c r="RJ84" i="1"/>
  <c r="RJ80" i="1"/>
  <c r="RJ70" i="1"/>
  <c r="RJ61" i="1"/>
  <c r="RJ98" i="1"/>
  <c r="RJ88" i="1"/>
  <c r="RJ81" i="1"/>
  <c r="RJ107" i="1"/>
  <c r="RJ102" i="1"/>
  <c r="RJ85" i="1"/>
  <c r="RJ77" i="1"/>
  <c r="RJ101" i="1"/>
  <c r="RJ93" i="1"/>
  <c r="RJ76" i="1"/>
  <c r="RJ74" i="1"/>
  <c r="RJ96" i="1"/>
  <c r="RJ82" i="1"/>
  <c r="RJ78" i="1"/>
  <c r="RJ62" i="1"/>
  <c r="RJ79" i="1"/>
  <c r="RJ75" i="1"/>
  <c r="RJ73" i="1"/>
  <c r="RJ64" i="1"/>
  <c r="RJ66" i="1"/>
  <c r="RJ44" i="1"/>
  <c r="RJ32" i="1"/>
  <c r="RJ60" i="1"/>
  <c r="RJ72" i="1"/>
  <c r="RJ65" i="1"/>
  <c r="RJ47" i="1"/>
  <c r="RJ35" i="1"/>
  <c r="RJ59" i="1"/>
  <c r="RJ92" i="1"/>
  <c r="RJ89" i="1"/>
  <c r="RJ55" i="1"/>
  <c r="RJ63" i="1"/>
  <c r="RJ57" i="1"/>
  <c r="RJ48" i="1"/>
  <c r="RJ45" i="1"/>
  <c r="RJ41" i="1"/>
  <c r="RJ28" i="1"/>
  <c r="RJ24" i="1"/>
  <c r="RJ12" i="1"/>
  <c r="RJ69" i="1"/>
  <c r="RJ53" i="1"/>
  <c r="RJ49" i="1"/>
  <c r="RJ42" i="1"/>
  <c r="RJ17" i="1"/>
  <c r="RJ67" i="1"/>
  <c r="RJ46" i="1"/>
  <c r="RJ38" i="1"/>
  <c r="RJ22" i="1"/>
  <c r="RJ10" i="1"/>
  <c r="RJ43" i="1"/>
  <c r="RJ27" i="1"/>
  <c r="RJ15" i="1"/>
  <c r="RJ39" i="1"/>
  <c r="RJ52" i="1"/>
  <c r="RJ40" i="1"/>
  <c r="RJ25" i="1"/>
  <c r="RJ13" i="1"/>
  <c r="RJ99" i="1"/>
  <c r="RJ31" i="1"/>
  <c r="RJ21" i="1"/>
  <c r="RJ9" i="1"/>
  <c r="RJ231" i="1" s="1"/>
  <c r="RJ54" i="1"/>
  <c r="RJ51" i="1"/>
  <c r="RJ26" i="1"/>
  <c r="RJ19" i="1"/>
  <c r="RJ34" i="1"/>
  <c r="RJ11" i="1"/>
  <c r="RJ16" i="1"/>
  <c r="RJ20" i="1"/>
  <c r="RJ18" i="1"/>
  <c r="RJ37" i="1"/>
  <c r="RJ36" i="1"/>
  <c r="RJ6" i="1"/>
  <c r="RJ23" i="1"/>
  <c r="RJ29" i="1"/>
  <c r="RJ33" i="1"/>
  <c r="RJ7" i="1"/>
  <c r="RJ30" i="1"/>
  <c r="RJ50" i="1"/>
  <c r="RJ8" i="1"/>
  <c r="RJ14" i="1"/>
  <c r="RO216" i="1"/>
  <c r="RK184" i="1"/>
  <c r="QN145" i="1"/>
  <c r="RK157" i="1"/>
  <c r="QV228" i="1"/>
  <c r="QW145" i="1"/>
  <c r="QW228" i="1" s="1"/>
  <c r="RO140" i="1"/>
  <c r="RM60" i="1"/>
  <c r="QT56" i="1"/>
  <c r="RO86" i="1"/>
  <c r="RO73" i="1"/>
  <c r="QY222" i="1"/>
  <c r="QZ17" i="1"/>
  <c r="QZ222" i="1" s="1"/>
  <c r="RE231" i="1"/>
  <c r="RF9" i="1"/>
  <c r="RF231" i="1" s="1"/>
  <c r="QV223" i="1"/>
  <c r="QW39" i="1"/>
  <c r="QW223" i="1" s="1"/>
  <c r="RB54" i="1"/>
  <c r="RC54" i="1" s="1"/>
  <c r="RM94" i="1"/>
  <c r="RS94" i="1" s="1"/>
  <c r="RB17" i="1"/>
  <c r="RO43" i="1"/>
  <c r="RB21" i="1"/>
  <c r="RC21" i="1" s="1"/>
  <c r="QP215" i="1"/>
  <c r="QQ215" i="1" s="1"/>
  <c r="QP217" i="1"/>
  <c r="QQ217" i="1" s="1"/>
  <c r="QP209" i="1"/>
  <c r="QQ209" i="1" s="1"/>
  <c r="QP203" i="1"/>
  <c r="QQ203" i="1" s="1"/>
  <c r="QP201" i="1"/>
  <c r="QQ201" i="1" s="1"/>
  <c r="QP202" i="1"/>
  <c r="QQ202" i="1" s="1"/>
  <c r="RM202" i="1" s="1"/>
  <c r="QP191" i="1"/>
  <c r="QQ191" i="1" s="1"/>
  <c r="RM191" i="1" s="1"/>
  <c r="QP200" i="1"/>
  <c r="QQ200" i="1" s="1"/>
  <c r="QP206" i="1"/>
  <c r="QQ206" i="1" s="1"/>
  <c r="QP214" i="1"/>
  <c r="QQ214" i="1" s="1"/>
  <c r="QP207" i="1"/>
  <c r="QQ207" i="1" s="1"/>
  <c r="QP212" i="1"/>
  <c r="QQ212" i="1" s="1"/>
  <c r="QP199" i="1"/>
  <c r="QQ199" i="1" s="1"/>
  <c r="QP197" i="1"/>
  <c r="QQ197" i="1" s="1"/>
  <c r="QP193" i="1"/>
  <c r="QQ193" i="1" s="1"/>
  <c r="QP189" i="1"/>
  <c r="QQ189" i="1" s="1"/>
  <c r="QP177" i="1"/>
  <c r="QQ177" i="1" s="1"/>
  <c r="QP182" i="1"/>
  <c r="QQ182" i="1" s="1"/>
  <c r="QP192" i="1"/>
  <c r="QQ192" i="1" s="1"/>
  <c r="QP173" i="1"/>
  <c r="QQ173" i="1" s="1"/>
  <c r="QP162" i="1"/>
  <c r="QQ162" i="1" s="1"/>
  <c r="RM162" i="1" s="1"/>
  <c r="QP195" i="1"/>
  <c r="QQ195" i="1" s="1"/>
  <c r="QP178" i="1"/>
  <c r="QQ178" i="1" s="1"/>
  <c r="QP190" i="1"/>
  <c r="QQ190" i="1" s="1"/>
  <c r="RM190" i="1" s="1"/>
  <c r="QP166" i="1"/>
  <c r="QQ166" i="1" s="1"/>
  <c r="QP160" i="1"/>
  <c r="QQ160" i="1" s="1"/>
  <c r="QP149" i="1"/>
  <c r="QQ149" i="1" s="1"/>
  <c r="QP157" i="1"/>
  <c r="QQ157" i="1" s="1"/>
  <c r="QP150" i="1"/>
  <c r="QQ150" i="1" s="1"/>
  <c r="QP175" i="1"/>
  <c r="QQ175" i="1" s="1"/>
  <c r="QP172" i="1"/>
  <c r="QQ172" i="1" s="1"/>
  <c r="QP159" i="1"/>
  <c r="QQ159" i="1" s="1"/>
  <c r="QP156" i="1"/>
  <c r="QQ156" i="1" s="1"/>
  <c r="QP169" i="1"/>
  <c r="QQ169" i="1" s="1"/>
  <c r="QP153" i="1"/>
  <c r="QQ153" i="1" s="1"/>
  <c r="QP147" i="1"/>
  <c r="QQ147" i="1" s="1"/>
  <c r="QP138" i="1"/>
  <c r="QQ138" i="1" s="1"/>
  <c r="QP161" i="1"/>
  <c r="QQ161" i="1" s="1"/>
  <c r="QP145" i="1"/>
  <c r="QP148" i="1"/>
  <c r="QQ148" i="1" s="1"/>
  <c r="QP144" i="1"/>
  <c r="QQ144" i="1" s="1"/>
  <c r="QP123" i="1"/>
  <c r="QQ123" i="1" s="1"/>
  <c r="QP180" i="1"/>
  <c r="QQ180" i="1" s="1"/>
  <c r="QP107" i="1"/>
  <c r="QQ107" i="1" s="1"/>
  <c r="QP131" i="1"/>
  <c r="QQ131" i="1" s="1"/>
  <c r="RM131" i="1" s="1"/>
  <c r="QP120" i="1"/>
  <c r="QQ120" i="1" s="1"/>
  <c r="QP119" i="1"/>
  <c r="QQ119" i="1" s="1"/>
  <c r="QP118" i="1"/>
  <c r="QQ118" i="1" s="1"/>
  <c r="QP117" i="1"/>
  <c r="QQ117" i="1" s="1"/>
  <c r="QP132" i="1"/>
  <c r="QQ132" i="1" s="1"/>
  <c r="QP129" i="1"/>
  <c r="QQ129" i="1" s="1"/>
  <c r="QP135" i="1"/>
  <c r="QQ135" i="1" s="1"/>
  <c r="QP134" i="1"/>
  <c r="QQ134" i="1" s="1"/>
  <c r="QP127" i="1"/>
  <c r="QQ127" i="1" s="1"/>
  <c r="RM127" i="1" s="1"/>
  <c r="QP141" i="1"/>
  <c r="QQ141" i="1" s="1"/>
  <c r="QP130" i="1"/>
  <c r="QQ130" i="1" s="1"/>
  <c r="QP103" i="1"/>
  <c r="QQ103" i="1" s="1"/>
  <c r="QP126" i="1"/>
  <c r="QQ126" i="1" s="1"/>
  <c r="QP104" i="1"/>
  <c r="QQ104" i="1" s="1"/>
  <c r="QP95" i="1"/>
  <c r="QQ95" i="1" s="1"/>
  <c r="QP98" i="1"/>
  <c r="QQ98" i="1" s="1"/>
  <c r="QP74" i="1"/>
  <c r="QQ74" i="1" s="1"/>
  <c r="QP61" i="1"/>
  <c r="QQ61" i="1" s="1"/>
  <c r="RM61" i="1" s="1"/>
  <c r="QP58" i="1"/>
  <c r="QQ58" i="1" s="1"/>
  <c r="QP85" i="1"/>
  <c r="QQ85" i="1" s="1"/>
  <c r="RM85" i="1" s="1"/>
  <c r="QP80" i="1"/>
  <c r="QQ80" i="1" s="1"/>
  <c r="QP59" i="1"/>
  <c r="QQ59" i="1" s="1"/>
  <c r="QP102" i="1"/>
  <c r="QQ102" i="1" s="1"/>
  <c r="QP97" i="1"/>
  <c r="QQ97" i="1" s="1"/>
  <c r="RM97" i="1" s="1"/>
  <c r="RS97" i="1" s="1"/>
  <c r="QP83" i="1"/>
  <c r="QQ83" i="1" s="1"/>
  <c r="QP81" i="1"/>
  <c r="QQ81" i="1" s="1"/>
  <c r="QP62" i="1"/>
  <c r="QQ62" i="1" s="1"/>
  <c r="QP88" i="1"/>
  <c r="QQ88" i="1" s="1"/>
  <c r="QP77" i="1"/>
  <c r="QQ77" i="1" s="1"/>
  <c r="QP89" i="1"/>
  <c r="QQ89" i="1" s="1"/>
  <c r="QP87" i="1"/>
  <c r="QQ87" i="1" s="1"/>
  <c r="QP78" i="1"/>
  <c r="QQ78" i="1" s="1"/>
  <c r="QP72" i="1"/>
  <c r="QQ72" i="1" s="1"/>
  <c r="QP25" i="1"/>
  <c r="QQ25" i="1" s="1"/>
  <c r="QP13" i="1"/>
  <c r="QQ13" i="1" s="1"/>
  <c r="QP50" i="1"/>
  <c r="QQ50" i="1" s="1"/>
  <c r="RM50" i="1" s="1"/>
  <c r="QP48" i="1"/>
  <c r="QQ48" i="1" s="1"/>
  <c r="QP47" i="1"/>
  <c r="QQ47" i="1" s="1"/>
  <c r="QP38" i="1"/>
  <c r="QQ38" i="1" s="1"/>
  <c r="QP22" i="1"/>
  <c r="QQ22" i="1" s="1"/>
  <c r="QP70" i="1"/>
  <c r="QQ70" i="1" s="1"/>
  <c r="QP35" i="1"/>
  <c r="QQ35" i="1" s="1"/>
  <c r="QP33" i="1"/>
  <c r="QQ33" i="1" s="1"/>
  <c r="QP27" i="1"/>
  <c r="QQ27" i="1" s="1"/>
  <c r="QP15" i="1"/>
  <c r="QQ15" i="1" s="1"/>
  <c r="RM15" i="1" s="1"/>
  <c r="QP46" i="1"/>
  <c r="QQ46" i="1" s="1"/>
  <c r="QP44" i="1"/>
  <c r="QQ44" i="1" s="1"/>
  <c r="QP24" i="1"/>
  <c r="QQ24" i="1" s="1"/>
  <c r="QP12" i="1"/>
  <c r="QQ12" i="1" s="1"/>
  <c r="QP8" i="1"/>
  <c r="QQ8" i="1" s="1"/>
  <c r="QP28" i="1"/>
  <c r="QQ28" i="1" s="1"/>
  <c r="QP52" i="1"/>
  <c r="QQ52" i="1" s="1"/>
  <c r="QP41" i="1"/>
  <c r="QQ41" i="1" s="1"/>
  <c r="QP10" i="1"/>
  <c r="QP86" i="1"/>
  <c r="QQ86" i="1" s="1"/>
  <c r="QP14" i="1"/>
  <c r="QQ14" i="1" s="1"/>
  <c r="RM14" i="1" s="1"/>
  <c r="QP16" i="1"/>
  <c r="QQ16" i="1" s="1"/>
  <c r="QP49" i="1"/>
  <c r="QQ49" i="1" s="1"/>
  <c r="RM49" i="1" s="1"/>
  <c r="QP39" i="1"/>
  <c r="QY228" i="1"/>
  <c r="QZ145" i="1"/>
  <c r="QZ228" i="1" s="1"/>
  <c r="RH59" i="1"/>
  <c r="RI59" i="1" s="1"/>
  <c r="RH52" i="1"/>
  <c r="RI52" i="1" s="1"/>
  <c r="QP7" i="1"/>
  <c r="QQ7" i="1" s="1"/>
  <c r="QP60" i="1"/>
  <c r="QQ60" i="1" s="1"/>
  <c r="QD221" i="1"/>
  <c r="QE6" i="1"/>
  <c r="QS6" i="1"/>
  <c r="RK47" i="1"/>
  <c r="RK144" i="1"/>
  <c r="RK186" i="1"/>
  <c r="RK171" i="1"/>
  <c r="RK216" i="1"/>
  <c r="QA223" i="1"/>
  <c r="QB39" i="1"/>
  <c r="RO212" i="1"/>
  <c r="QN196" i="1"/>
  <c r="RK212" i="1"/>
  <c r="RM208" i="1"/>
  <c r="RK187" i="1"/>
  <c r="PZ233" i="1"/>
  <c r="RM176" i="1"/>
  <c r="QU233" i="1"/>
  <c r="QU235" i="1" s="1"/>
  <c r="RM160" i="1"/>
  <c r="RO117" i="1"/>
  <c r="RK115" i="1"/>
  <c r="RQ84" i="1"/>
  <c r="RO143" i="1"/>
  <c r="RO91" i="1"/>
  <c r="QN17" i="1"/>
  <c r="QS231" i="1"/>
  <c r="QT9" i="1"/>
  <c r="QH39" i="1"/>
  <c r="RK90" i="1"/>
  <c r="QP222" i="1"/>
  <c r="QQ17" i="1"/>
  <c r="QO234" i="1"/>
  <c r="RO42" i="1"/>
  <c r="RK53" i="1"/>
  <c r="RB215" i="1"/>
  <c r="RC215" i="1" s="1"/>
  <c r="RB209" i="1"/>
  <c r="RC209" i="1" s="1"/>
  <c r="RQ209" i="1" s="1"/>
  <c r="RB202" i="1"/>
  <c r="RC202" i="1" s="1"/>
  <c r="RQ202" i="1" s="1"/>
  <c r="RB200" i="1"/>
  <c r="RC200" i="1" s="1"/>
  <c r="RQ200" i="1" s="1"/>
  <c r="RB206" i="1"/>
  <c r="RC206" i="1" s="1"/>
  <c r="RB217" i="1"/>
  <c r="RC217" i="1" s="1"/>
  <c r="RB211" i="1"/>
  <c r="RC211" i="1" s="1"/>
  <c r="RQ211" i="1" s="1"/>
  <c r="RB205" i="1"/>
  <c r="RC205" i="1" s="1"/>
  <c r="RQ205" i="1" s="1"/>
  <c r="RB212" i="1"/>
  <c r="RC212" i="1" s="1"/>
  <c r="RB203" i="1"/>
  <c r="RC203" i="1" s="1"/>
  <c r="RB199" i="1"/>
  <c r="RC199" i="1" s="1"/>
  <c r="RB192" i="1"/>
  <c r="RC192" i="1" s="1"/>
  <c r="RB183" i="1"/>
  <c r="RC183" i="1" s="1"/>
  <c r="RB188" i="1"/>
  <c r="RC188" i="1" s="1"/>
  <c r="RB179" i="1"/>
  <c r="RC179" i="1" s="1"/>
  <c r="RB177" i="1"/>
  <c r="RC177" i="1" s="1"/>
  <c r="RQ177" i="1" s="1"/>
  <c r="RB182" i="1"/>
  <c r="RC182" i="1" s="1"/>
  <c r="RB195" i="1"/>
  <c r="RC195" i="1" s="1"/>
  <c r="RB196" i="1"/>
  <c r="RB190" i="1"/>
  <c r="RC190" i="1" s="1"/>
  <c r="RB162" i="1"/>
  <c r="RC162" i="1" s="1"/>
  <c r="RB189" i="1"/>
  <c r="RC189" i="1" s="1"/>
  <c r="RB178" i="1"/>
  <c r="RC178" i="1" s="1"/>
  <c r="RQ178" i="1" s="1"/>
  <c r="RB176" i="1"/>
  <c r="RC176" i="1" s="1"/>
  <c r="RB197" i="1"/>
  <c r="RC197" i="1" s="1"/>
  <c r="RB193" i="1"/>
  <c r="RC193" i="1" s="1"/>
  <c r="RB168" i="1"/>
  <c r="RC168" i="1" s="1"/>
  <c r="RB163" i="1"/>
  <c r="RC163" i="1" s="1"/>
  <c r="RB160" i="1"/>
  <c r="RC160" i="1" s="1"/>
  <c r="RB166" i="1"/>
  <c r="RC166" i="1" s="1"/>
  <c r="RB146" i="1"/>
  <c r="RC146" i="1" s="1"/>
  <c r="RB171" i="1"/>
  <c r="RC171" i="1" s="1"/>
  <c r="RB169" i="1"/>
  <c r="RC169" i="1" s="1"/>
  <c r="RB157" i="1"/>
  <c r="RC157" i="1" s="1"/>
  <c r="RQ157" i="1" s="1"/>
  <c r="RB150" i="1"/>
  <c r="RC150" i="1" s="1"/>
  <c r="RQ150" i="1" s="1"/>
  <c r="RB161" i="1"/>
  <c r="RC161" i="1" s="1"/>
  <c r="RB158" i="1"/>
  <c r="RC158" i="1" s="1"/>
  <c r="RB156" i="1"/>
  <c r="RC156" i="1" s="1"/>
  <c r="RB152" i="1"/>
  <c r="RC152" i="1" s="1"/>
  <c r="RB148" i="1"/>
  <c r="RC148" i="1" s="1"/>
  <c r="RB147" i="1"/>
  <c r="RC147" i="1" s="1"/>
  <c r="RQ147" i="1" s="1"/>
  <c r="RB153" i="1"/>
  <c r="RC153" i="1" s="1"/>
  <c r="RQ153" i="1" s="1"/>
  <c r="RB151" i="1"/>
  <c r="RC151" i="1" s="1"/>
  <c r="RB140" i="1"/>
  <c r="RC140" i="1" s="1"/>
  <c r="RB138" i="1"/>
  <c r="RC138" i="1" s="1"/>
  <c r="RQ138" i="1" s="1"/>
  <c r="RB107" i="1"/>
  <c r="RC107" i="1" s="1"/>
  <c r="RQ107" i="1" s="1"/>
  <c r="RB127" i="1"/>
  <c r="RC127" i="1" s="1"/>
  <c r="RB120" i="1"/>
  <c r="RC120" i="1" s="1"/>
  <c r="RB131" i="1"/>
  <c r="RC131" i="1" s="1"/>
  <c r="RQ131" i="1" s="1"/>
  <c r="RB119" i="1"/>
  <c r="RC119" i="1" s="1"/>
  <c r="RQ119" i="1" s="1"/>
  <c r="RB129" i="1"/>
  <c r="RC129" i="1" s="1"/>
  <c r="RQ129" i="1" s="1"/>
  <c r="RB130" i="1"/>
  <c r="RC130" i="1" s="1"/>
  <c r="RQ130" i="1" s="1"/>
  <c r="RB142" i="1"/>
  <c r="RC142" i="1" s="1"/>
  <c r="RB110" i="1"/>
  <c r="RC110" i="1" s="1"/>
  <c r="RQ110" i="1" s="1"/>
  <c r="RB115" i="1"/>
  <c r="RC115" i="1" s="1"/>
  <c r="RQ115" i="1" s="1"/>
  <c r="RB132" i="1"/>
  <c r="RC132" i="1" s="1"/>
  <c r="RB105" i="1"/>
  <c r="RB106" i="1"/>
  <c r="RC106" i="1" s="1"/>
  <c r="RQ106" i="1" s="1"/>
  <c r="RB109" i="1"/>
  <c r="RC109" i="1" s="1"/>
  <c r="RQ109" i="1" s="1"/>
  <c r="RB104" i="1"/>
  <c r="RC104" i="1" s="1"/>
  <c r="RB95" i="1"/>
  <c r="RC95" i="1" s="1"/>
  <c r="RB98" i="1"/>
  <c r="RC98" i="1" s="1"/>
  <c r="RB77" i="1"/>
  <c r="RC77" i="1" s="1"/>
  <c r="RB58" i="1"/>
  <c r="RC58" i="1" s="1"/>
  <c r="RB61" i="1"/>
  <c r="RC61" i="1" s="1"/>
  <c r="RQ61" i="1" s="1"/>
  <c r="RB89" i="1"/>
  <c r="RC89" i="1" s="1"/>
  <c r="RQ89" i="1" s="1"/>
  <c r="RB63" i="1"/>
  <c r="RC63" i="1" s="1"/>
  <c r="RB87" i="1"/>
  <c r="RC87" i="1" s="1"/>
  <c r="RQ87" i="1" s="1"/>
  <c r="RB78" i="1"/>
  <c r="RC78" i="1" s="1"/>
  <c r="RB74" i="1"/>
  <c r="RC74" i="1" s="1"/>
  <c r="RQ74" i="1" s="1"/>
  <c r="RB68" i="1"/>
  <c r="RC68" i="1" s="1"/>
  <c r="RB59" i="1"/>
  <c r="RC59" i="1" s="1"/>
  <c r="RB81" i="1"/>
  <c r="RC81" i="1" s="1"/>
  <c r="RQ81" i="1" s="1"/>
  <c r="RB90" i="1"/>
  <c r="RC90" i="1" s="1"/>
  <c r="RB88" i="1"/>
  <c r="RC88" i="1" s="1"/>
  <c r="RB70" i="1"/>
  <c r="RC70" i="1" s="1"/>
  <c r="RQ70" i="1" s="1"/>
  <c r="RB86" i="1"/>
  <c r="RC86" i="1" s="1"/>
  <c r="RQ86" i="1" s="1"/>
  <c r="RB80" i="1"/>
  <c r="RC80" i="1" s="1"/>
  <c r="RQ80" i="1" s="1"/>
  <c r="RB85" i="1"/>
  <c r="RC85" i="1" s="1"/>
  <c r="RQ85" i="1" s="1"/>
  <c r="RB33" i="1"/>
  <c r="RC33" i="1" s="1"/>
  <c r="RB25" i="1"/>
  <c r="RC25" i="1" s="1"/>
  <c r="RB13" i="1"/>
  <c r="RC13" i="1" s="1"/>
  <c r="RB62" i="1"/>
  <c r="RC62" i="1" s="1"/>
  <c r="RB56" i="1"/>
  <c r="RB50" i="1"/>
  <c r="RC50" i="1" s="1"/>
  <c r="RB51" i="1"/>
  <c r="RC51" i="1" s="1"/>
  <c r="RQ51" i="1" s="1"/>
  <c r="RB47" i="1"/>
  <c r="RC47" i="1" s="1"/>
  <c r="RP5" i="1"/>
  <c r="RB38" i="1"/>
  <c r="RC38" i="1" s="1"/>
  <c r="RB22" i="1"/>
  <c r="RC22" i="1" s="1"/>
  <c r="RB52" i="1"/>
  <c r="RC52" i="1" s="1"/>
  <c r="RB35" i="1"/>
  <c r="RC35" i="1" s="1"/>
  <c r="RB27" i="1"/>
  <c r="RC27" i="1" s="1"/>
  <c r="RB15" i="1"/>
  <c r="RC15" i="1" s="1"/>
  <c r="RB41" i="1"/>
  <c r="RC41" i="1" s="1"/>
  <c r="RB83" i="1"/>
  <c r="RC83" i="1" s="1"/>
  <c r="RB8" i="1"/>
  <c r="RC8" i="1" s="1"/>
  <c r="RB16" i="1"/>
  <c r="RC16" i="1" s="1"/>
  <c r="RB49" i="1"/>
  <c r="RC49" i="1" s="1"/>
  <c r="RQ49" i="1" s="1"/>
  <c r="RB12" i="1"/>
  <c r="RC12" i="1" s="1"/>
  <c r="RQ12" i="1" s="1"/>
  <c r="RB42" i="1"/>
  <c r="RC42" i="1" s="1"/>
  <c r="RB28" i="1"/>
  <c r="RC28" i="1" s="1"/>
  <c r="RQ28" i="1" s="1"/>
  <c r="RB73" i="1"/>
  <c r="RC73" i="1" s="1"/>
  <c r="RB10" i="1"/>
  <c r="RB26" i="1"/>
  <c r="RC26" i="1" s="1"/>
  <c r="RQ26" i="1" s="1"/>
  <c r="RB24" i="1"/>
  <c r="RC24" i="1" s="1"/>
  <c r="RQ24" i="1" s="1"/>
  <c r="RB45" i="1"/>
  <c r="RC45" i="1" s="1"/>
  <c r="RQ45" i="1" s="1"/>
  <c r="RB6" i="1"/>
  <c r="RB46" i="1"/>
  <c r="RC46" i="1" s="1"/>
  <c r="RQ46" i="1" s="1"/>
  <c r="RB44" i="1"/>
  <c r="RC44" i="1" s="1"/>
  <c r="RB34" i="1"/>
  <c r="RC34" i="1" s="1"/>
  <c r="RQ34" i="1" s="1"/>
  <c r="QD231" i="1"/>
  <c r="QE9" i="1"/>
  <c r="QE231" i="1" s="1"/>
  <c r="QY230" i="1"/>
  <c r="QZ29" i="1"/>
  <c r="QZ230" i="1" s="1"/>
  <c r="QR234" i="1"/>
  <c r="QO235" i="1"/>
  <c r="QD226" i="1"/>
  <c r="QE56" i="1"/>
  <c r="QE226" i="1" s="1"/>
  <c r="QP42" i="1"/>
  <c r="QQ42" i="1" s="1"/>
  <c r="RE199" i="1"/>
  <c r="RF199" i="1" s="1"/>
  <c r="RE205" i="1"/>
  <c r="RF205" i="1" s="1"/>
  <c r="RE198" i="1"/>
  <c r="RF198" i="1" s="1"/>
  <c r="RE193" i="1"/>
  <c r="RF193" i="1" s="1"/>
  <c r="RE190" i="1"/>
  <c r="RF190" i="1" s="1"/>
  <c r="RE196" i="1"/>
  <c r="RE206" i="1"/>
  <c r="RF206" i="1" s="1"/>
  <c r="RE182" i="1"/>
  <c r="RF182" i="1" s="1"/>
  <c r="RE189" i="1"/>
  <c r="RF189" i="1" s="1"/>
  <c r="RE194" i="1"/>
  <c r="RF194" i="1" s="1"/>
  <c r="RE192" i="1"/>
  <c r="RF192" i="1" s="1"/>
  <c r="RE185" i="1"/>
  <c r="RF185" i="1" s="1"/>
  <c r="RE165" i="1"/>
  <c r="RF165" i="1" s="1"/>
  <c r="RE191" i="1"/>
  <c r="RF191" i="1" s="1"/>
  <c r="RE186" i="1"/>
  <c r="RF186" i="1" s="1"/>
  <c r="RE175" i="1"/>
  <c r="RF175" i="1" s="1"/>
  <c r="RE172" i="1"/>
  <c r="RF172" i="1" s="1"/>
  <c r="RQ172" i="1" s="1"/>
  <c r="RE162" i="1"/>
  <c r="RF162" i="1" s="1"/>
  <c r="RE176" i="1"/>
  <c r="RF176" i="1" s="1"/>
  <c r="RE174" i="1"/>
  <c r="RF174" i="1" s="1"/>
  <c r="RQ174" i="1" s="1"/>
  <c r="RE149" i="1"/>
  <c r="RF149" i="1" s="1"/>
  <c r="RQ149" i="1" s="1"/>
  <c r="RE183" i="1"/>
  <c r="RF183" i="1" s="1"/>
  <c r="RE171" i="1"/>
  <c r="RF171" i="1" s="1"/>
  <c r="RE155" i="1"/>
  <c r="RF155" i="1" s="1"/>
  <c r="RE152" i="1"/>
  <c r="RF152" i="1" s="1"/>
  <c r="RE184" i="1"/>
  <c r="RF184" i="1" s="1"/>
  <c r="RE163" i="1"/>
  <c r="RF163" i="1" s="1"/>
  <c r="RE195" i="1"/>
  <c r="RF195" i="1" s="1"/>
  <c r="RE166" i="1"/>
  <c r="RF166" i="1" s="1"/>
  <c r="RE164" i="1"/>
  <c r="RF164" i="1" s="1"/>
  <c r="RE160" i="1"/>
  <c r="RF160" i="1" s="1"/>
  <c r="RE161" i="1"/>
  <c r="RF161" i="1" s="1"/>
  <c r="RE148" i="1"/>
  <c r="RF148" i="1" s="1"/>
  <c r="RE153" i="1"/>
  <c r="RF153" i="1" s="1"/>
  <c r="RE181" i="1"/>
  <c r="RF181" i="1" s="1"/>
  <c r="RQ181" i="1" s="1"/>
  <c r="RE156" i="1"/>
  <c r="RF156" i="1" s="1"/>
  <c r="RE145" i="1"/>
  <c r="RE120" i="1"/>
  <c r="RF120" i="1" s="1"/>
  <c r="RE131" i="1"/>
  <c r="RF131" i="1" s="1"/>
  <c r="RE122" i="1"/>
  <c r="RF122" i="1" s="1"/>
  <c r="RE133" i="1"/>
  <c r="RF133" i="1" s="1"/>
  <c r="RE121" i="1"/>
  <c r="RF121" i="1" s="1"/>
  <c r="RE137" i="1"/>
  <c r="RF137" i="1" s="1"/>
  <c r="RE118" i="1"/>
  <c r="RF118" i="1" s="1"/>
  <c r="RQ118" i="1" s="1"/>
  <c r="RE132" i="1"/>
  <c r="RF132" i="1" s="1"/>
  <c r="RE141" i="1"/>
  <c r="RF141" i="1" s="1"/>
  <c r="RE123" i="1"/>
  <c r="RF123" i="1" s="1"/>
  <c r="RE107" i="1"/>
  <c r="RF107" i="1" s="1"/>
  <c r="RE110" i="1"/>
  <c r="RF110" i="1" s="1"/>
  <c r="RE99" i="1"/>
  <c r="RF99" i="1" s="1"/>
  <c r="RE96" i="1"/>
  <c r="RF96" i="1" s="1"/>
  <c r="RE92" i="1"/>
  <c r="RF92" i="1" s="1"/>
  <c r="RE105" i="1"/>
  <c r="RE169" i="1"/>
  <c r="RF169" i="1" s="1"/>
  <c r="RE90" i="1"/>
  <c r="RF90" i="1" s="1"/>
  <c r="RE89" i="1"/>
  <c r="RF89" i="1" s="1"/>
  <c r="RE77" i="1"/>
  <c r="RF77" i="1" s="1"/>
  <c r="RE104" i="1"/>
  <c r="RF104" i="1" s="1"/>
  <c r="RE63" i="1"/>
  <c r="RF63" i="1" s="1"/>
  <c r="RE68" i="1"/>
  <c r="RF68" i="1" s="1"/>
  <c r="RE91" i="1"/>
  <c r="RF91" i="1" s="1"/>
  <c r="RE83" i="1"/>
  <c r="RF83" i="1" s="1"/>
  <c r="RE80" i="1"/>
  <c r="RF80" i="1" s="1"/>
  <c r="RE79" i="1"/>
  <c r="RF79" i="1" s="1"/>
  <c r="RQ79" i="1" s="1"/>
  <c r="RE75" i="1"/>
  <c r="RF75" i="1" s="1"/>
  <c r="RQ75" i="1" s="1"/>
  <c r="RE73" i="1"/>
  <c r="RF73" i="1" s="1"/>
  <c r="RE62" i="1"/>
  <c r="RF62" i="1" s="1"/>
  <c r="RE56" i="1"/>
  <c r="RE55" i="1"/>
  <c r="RF55" i="1" s="1"/>
  <c r="RE50" i="1"/>
  <c r="RF50" i="1" s="1"/>
  <c r="RE16" i="1"/>
  <c r="RF16" i="1" s="1"/>
  <c r="RE53" i="1"/>
  <c r="RF53" i="1" s="1"/>
  <c r="RE48" i="1"/>
  <c r="RF48" i="1" s="1"/>
  <c r="RE41" i="1"/>
  <c r="RF41" i="1" s="1"/>
  <c r="RE65" i="1"/>
  <c r="RF65" i="1" s="1"/>
  <c r="RE88" i="1"/>
  <c r="RF88" i="1" s="1"/>
  <c r="RE64" i="1"/>
  <c r="RF64" i="1" s="1"/>
  <c r="RE32" i="1"/>
  <c r="RF32" i="1" s="1"/>
  <c r="RE25" i="1"/>
  <c r="RF25" i="1" s="1"/>
  <c r="RE58" i="1"/>
  <c r="RF58" i="1" s="1"/>
  <c r="RE37" i="1"/>
  <c r="RF37" i="1" s="1"/>
  <c r="RQ37" i="1" s="1"/>
  <c r="RE33" i="1"/>
  <c r="RF33" i="1" s="1"/>
  <c r="RE30" i="1"/>
  <c r="RF30" i="1" s="1"/>
  <c r="RE29" i="1"/>
  <c r="RE18" i="1"/>
  <c r="RF18" i="1" s="1"/>
  <c r="RE39" i="1"/>
  <c r="RE27" i="1"/>
  <c r="RF27" i="1" s="1"/>
  <c r="RE15" i="1"/>
  <c r="RF15" i="1" s="1"/>
  <c r="RE38" i="1"/>
  <c r="RF38" i="1" s="1"/>
  <c r="RE22" i="1"/>
  <c r="RF22" i="1" s="1"/>
  <c r="RE13" i="1"/>
  <c r="RF13" i="1" s="1"/>
  <c r="RE19" i="1"/>
  <c r="RF19" i="1" s="1"/>
  <c r="RE35" i="1"/>
  <c r="RF35" i="1" s="1"/>
  <c r="RE98" i="1"/>
  <c r="RF98" i="1" s="1"/>
  <c r="RE6" i="1"/>
  <c r="RE52" i="1"/>
  <c r="RF52" i="1" s="1"/>
  <c r="RE10" i="1"/>
  <c r="RE8" i="1"/>
  <c r="RF8" i="1" s="1"/>
  <c r="RB53" i="1"/>
  <c r="RC53" i="1" s="1"/>
  <c r="PZ235" i="1"/>
  <c r="QV231" i="1"/>
  <c r="QW9" i="1"/>
  <c r="QW231" i="1" s="1"/>
  <c r="RK11" i="1"/>
  <c r="RK34" i="1"/>
  <c r="RK127" i="1"/>
  <c r="RK174" i="1"/>
  <c r="RK210" i="1"/>
  <c r="RM215" i="1"/>
  <c r="RM211" i="1"/>
  <c r="RO193" i="1"/>
  <c r="RO188" i="1"/>
  <c r="RO167" i="1"/>
  <c r="QD228" i="1"/>
  <c r="QE145" i="1"/>
  <c r="QE228" i="1" s="1"/>
  <c r="RM149" i="1"/>
  <c r="RM115" i="1"/>
  <c r="RO109" i="1"/>
  <c r="RK76" i="1"/>
  <c r="RQ111" i="1"/>
  <c r="RO87" i="1"/>
  <c r="RM70" i="1"/>
  <c r="QA222" i="1"/>
  <c r="QB17" i="1"/>
  <c r="QG231" i="1"/>
  <c r="QH9" i="1"/>
  <c r="QH231" i="1" s="1"/>
  <c r="RO46" i="1"/>
  <c r="QD222" i="1"/>
  <c r="QE17" i="1"/>
  <c r="QE222" i="1" s="1"/>
  <c r="QC234" i="1"/>
  <c r="QD223" i="1"/>
  <c r="QE39" i="1"/>
  <c r="QE223" i="1" s="1"/>
  <c r="RA235" i="1"/>
  <c r="QJ212" i="1"/>
  <c r="QK212" i="1" s="1"/>
  <c r="QJ209" i="1"/>
  <c r="QK209" i="1" s="1"/>
  <c r="RM209" i="1" s="1"/>
  <c r="QJ199" i="1"/>
  <c r="QK199" i="1" s="1"/>
  <c r="RM199" i="1" s="1"/>
  <c r="QJ196" i="1"/>
  <c r="QJ197" i="1"/>
  <c r="QK197" i="1" s="1"/>
  <c r="QJ214" i="1"/>
  <c r="QK214" i="1" s="1"/>
  <c r="QJ204" i="1"/>
  <c r="QK204" i="1" s="1"/>
  <c r="QJ203" i="1"/>
  <c r="QK203" i="1" s="1"/>
  <c r="QJ198" i="1"/>
  <c r="QK198" i="1" s="1"/>
  <c r="RM198" i="1" s="1"/>
  <c r="QJ195" i="1"/>
  <c r="QK195" i="1" s="1"/>
  <c r="QJ186" i="1"/>
  <c r="QK186" i="1" s="1"/>
  <c r="RM186" i="1" s="1"/>
  <c r="QJ178" i="1"/>
  <c r="QK178" i="1" s="1"/>
  <c r="QJ187" i="1"/>
  <c r="QK187" i="1" s="1"/>
  <c r="RM187" i="1" s="1"/>
  <c r="QJ217" i="1"/>
  <c r="QK217" i="1" s="1"/>
  <c r="RM217" i="1" s="1"/>
  <c r="QJ201" i="1"/>
  <c r="QK201" i="1" s="1"/>
  <c r="RM201" i="1" s="1"/>
  <c r="QJ189" i="1"/>
  <c r="QK189" i="1" s="1"/>
  <c r="QJ168" i="1"/>
  <c r="QK168" i="1" s="1"/>
  <c r="QJ179" i="1"/>
  <c r="QK179" i="1" s="1"/>
  <c r="QJ171" i="1"/>
  <c r="QK171" i="1" s="1"/>
  <c r="RM171" i="1" s="1"/>
  <c r="QJ188" i="1"/>
  <c r="QK188" i="1" s="1"/>
  <c r="QJ182" i="1"/>
  <c r="QK182" i="1" s="1"/>
  <c r="QJ177" i="1"/>
  <c r="QK177" i="1" s="1"/>
  <c r="QJ165" i="1"/>
  <c r="QK165" i="1" s="1"/>
  <c r="QJ180" i="1"/>
  <c r="QK180" i="1" s="1"/>
  <c r="QJ175" i="1"/>
  <c r="QK175" i="1" s="1"/>
  <c r="QJ151" i="1"/>
  <c r="QK151" i="1" s="1"/>
  <c r="QJ167" i="1"/>
  <c r="QK167" i="1" s="1"/>
  <c r="QJ157" i="1"/>
  <c r="QK157" i="1" s="1"/>
  <c r="QJ193" i="1"/>
  <c r="QK193" i="1" s="1"/>
  <c r="RM193" i="1" s="1"/>
  <c r="QJ163" i="1"/>
  <c r="QK163" i="1" s="1"/>
  <c r="QJ172" i="1"/>
  <c r="QK172" i="1" s="1"/>
  <c r="QJ166" i="1"/>
  <c r="QK166" i="1" s="1"/>
  <c r="QJ152" i="1"/>
  <c r="QK152" i="1" s="1"/>
  <c r="RM152" i="1" s="1"/>
  <c r="QJ183" i="1"/>
  <c r="QK183" i="1" s="1"/>
  <c r="QJ145" i="1"/>
  <c r="QJ156" i="1"/>
  <c r="QK156" i="1" s="1"/>
  <c r="QJ153" i="1"/>
  <c r="QK153" i="1" s="1"/>
  <c r="QJ148" i="1"/>
  <c r="QK148" i="1" s="1"/>
  <c r="QJ141" i="1"/>
  <c r="QK141" i="1" s="1"/>
  <c r="QJ135" i="1"/>
  <c r="QK135" i="1" s="1"/>
  <c r="QJ125" i="1"/>
  <c r="QK125" i="1" s="1"/>
  <c r="RM125" i="1" s="1"/>
  <c r="QJ126" i="1"/>
  <c r="QK126" i="1" s="1"/>
  <c r="QJ139" i="1"/>
  <c r="QK139" i="1" s="1"/>
  <c r="RM139" i="1" s="1"/>
  <c r="QJ144" i="1"/>
  <c r="QK144" i="1" s="1"/>
  <c r="RM144" i="1" s="1"/>
  <c r="QJ123" i="1"/>
  <c r="QK123" i="1" s="1"/>
  <c r="QJ154" i="1"/>
  <c r="QK154" i="1" s="1"/>
  <c r="QJ137" i="1"/>
  <c r="QK137" i="1" s="1"/>
  <c r="RM137" i="1" s="1"/>
  <c r="QJ132" i="1"/>
  <c r="QK132" i="1" s="1"/>
  <c r="QJ129" i="1"/>
  <c r="QK129" i="1" s="1"/>
  <c r="QJ120" i="1"/>
  <c r="QK120" i="1" s="1"/>
  <c r="QJ114" i="1"/>
  <c r="QK114" i="1" s="1"/>
  <c r="RM114" i="1" s="1"/>
  <c r="QJ121" i="1"/>
  <c r="QK121" i="1" s="1"/>
  <c r="RM121" i="1" s="1"/>
  <c r="QJ112" i="1"/>
  <c r="QK112" i="1" s="1"/>
  <c r="QJ122" i="1"/>
  <c r="QK122" i="1" s="1"/>
  <c r="RM122" i="1" s="1"/>
  <c r="QJ101" i="1"/>
  <c r="QK101" i="1" s="1"/>
  <c r="RM101" i="1" s="1"/>
  <c r="QJ113" i="1"/>
  <c r="QK113" i="1" s="1"/>
  <c r="RM113" i="1" s="1"/>
  <c r="QJ116" i="1"/>
  <c r="QK116" i="1" s="1"/>
  <c r="QJ136" i="1"/>
  <c r="QK136" i="1" s="1"/>
  <c r="QJ109" i="1"/>
  <c r="QK109" i="1" s="1"/>
  <c r="RM109" i="1" s="1"/>
  <c r="QJ111" i="1"/>
  <c r="QK111" i="1" s="1"/>
  <c r="QJ89" i="1"/>
  <c r="QK89" i="1" s="1"/>
  <c r="RM89" i="1" s="1"/>
  <c r="QJ87" i="1"/>
  <c r="QK87" i="1" s="1"/>
  <c r="RM87" i="1" s="1"/>
  <c r="RS87" i="1" s="1"/>
  <c r="QJ84" i="1"/>
  <c r="QK84" i="1" s="1"/>
  <c r="RM84" i="1" s="1"/>
  <c r="QJ81" i="1"/>
  <c r="QK81" i="1" s="1"/>
  <c r="QJ83" i="1"/>
  <c r="QK83" i="1" s="1"/>
  <c r="QJ82" i="1"/>
  <c r="QK82" i="1" s="1"/>
  <c r="QJ78" i="1"/>
  <c r="QK78" i="1" s="1"/>
  <c r="RM78" i="1" s="1"/>
  <c r="QJ108" i="1"/>
  <c r="QK108" i="1" s="1"/>
  <c r="QJ80" i="1"/>
  <c r="QK80" i="1" s="1"/>
  <c r="QJ100" i="1"/>
  <c r="QK100" i="1" s="1"/>
  <c r="QJ96" i="1"/>
  <c r="QK96" i="1" s="1"/>
  <c r="RM96" i="1" s="1"/>
  <c r="QJ95" i="1"/>
  <c r="QK95" i="1" s="1"/>
  <c r="QJ92" i="1"/>
  <c r="QK92" i="1" s="1"/>
  <c r="QJ77" i="1"/>
  <c r="QK77" i="1" s="1"/>
  <c r="QJ72" i="1"/>
  <c r="QK72" i="1" s="1"/>
  <c r="QJ65" i="1"/>
  <c r="QK65" i="1" s="1"/>
  <c r="QJ57" i="1"/>
  <c r="QK57" i="1" s="1"/>
  <c r="QJ79" i="1"/>
  <c r="QK79" i="1" s="1"/>
  <c r="RM79" i="1" s="1"/>
  <c r="QJ67" i="1"/>
  <c r="QK67" i="1" s="1"/>
  <c r="QJ44" i="1"/>
  <c r="QK44" i="1" s="1"/>
  <c r="QJ71" i="1"/>
  <c r="QK71" i="1" s="1"/>
  <c r="QJ62" i="1"/>
  <c r="QK62" i="1" s="1"/>
  <c r="QJ43" i="1"/>
  <c r="QK43" i="1" s="1"/>
  <c r="RM43" i="1" s="1"/>
  <c r="QJ39" i="1"/>
  <c r="QJ19" i="1"/>
  <c r="QK19" i="1" s="1"/>
  <c r="QJ41" i="1"/>
  <c r="QK41" i="1" s="1"/>
  <c r="QJ38" i="1"/>
  <c r="QK38" i="1" s="1"/>
  <c r="QJ36" i="1"/>
  <c r="QK36" i="1" s="1"/>
  <c r="QJ33" i="1"/>
  <c r="QK33" i="1" s="1"/>
  <c r="QJ55" i="1"/>
  <c r="QK55" i="1" s="1"/>
  <c r="QJ68" i="1"/>
  <c r="QK68" i="1" s="1"/>
  <c r="QJ47" i="1"/>
  <c r="QK47" i="1" s="1"/>
  <c r="QJ21" i="1"/>
  <c r="QK21" i="1" s="1"/>
  <c r="QJ9" i="1"/>
  <c r="QJ32" i="1"/>
  <c r="QK32" i="1" s="1"/>
  <c r="QJ29" i="1"/>
  <c r="QJ22" i="1"/>
  <c r="QK22" i="1" s="1"/>
  <c r="QJ20" i="1"/>
  <c r="QK20" i="1" s="1"/>
  <c r="RM20" i="1" s="1"/>
  <c r="QJ6" i="1"/>
  <c r="QJ18" i="1"/>
  <c r="QK18" i="1" s="1"/>
  <c r="RM18" i="1" s="1"/>
  <c r="QJ16" i="1"/>
  <c r="QK16" i="1" s="1"/>
  <c r="QJ53" i="1"/>
  <c r="QK53" i="1" s="1"/>
  <c r="QJ25" i="1"/>
  <c r="QK25" i="1" s="1"/>
  <c r="QJ59" i="1"/>
  <c r="QK59" i="1" s="1"/>
  <c r="QJ30" i="1"/>
  <c r="QK30" i="1" s="1"/>
  <c r="RM30" i="1" s="1"/>
  <c r="QJ10" i="1"/>
  <c r="QJ13" i="1"/>
  <c r="QK13" i="1" s="1"/>
  <c r="RL5" i="1"/>
  <c r="RH43" i="1"/>
  <c r="RI43" i="1" s="1"/>
  <c r="QS11" i="1"/>
  <c r="QT11" i="1" s="1"/>
  <c r="RO11" i="1" s="1"/>
  <c r="QM27" i="1"/>
  <c r="QN27" i="1" s="1"/>
  <c r="RM27" i="1" s="1"/>
  <c r="RB14" i="1"/>
  <c r="RC14" i="1" s="1"/>
  <c r="QJ31" i="1"/>
  <c r="QK31" i="1" s="1"/>
  <c r="RH35" i="1"/>
  <c r="RI35" i="1" s="1"/>
  <c r="QJ28" i="1"/>
  <c r="QK28" i="1" s="1"/>
  <c r="QM76" i="1"/>
  <c r="QN76" i="1" s="1"/>
  <c r="RM76" i="1" s="1"/>
  <c r="QG33" i="1"/>
  <c r="QH33" i="1" s="1"/>
  <c r="RK46" i="1"/>
  <c r="QG54" i="1"/>
  <c r="QH54" i="1" s="1"/>
  <c r="RK54" i="1" s="1"/>
  <c r="RK21" i="1"/>
  <c r="QA228" i="1"/>
  <c r="QB145" i="1"/>
  <c r="RM51" i="1"/>
  <c r="QJ226" i="1"/>
  <c r="QK56" i="1"/>
  <c r="RO181" i="1"/>
  <c r="RO180" i="1"/>
  <c r="RO174" i="1"/>
  <c r="QA225" i="1"/>
  <c r="QB105" i="1"/>
  <c r="QQ56" i="1"/>
  <c r="QQ226" i="1" s="1"/>
  <c r="RQ96" i="1"/>
  <c r="RK74" i="1"/>
  <c r="QV222" i="1"/>
  <c r="QW17" i="1"/>
  <c r="QW222" i="1" s="1"/>
  <c r="QY224" i="1"/>
  <c r="QZ10" i="1"/>
  <c r="QZ224" i="1" s="1"/>
  <c r="QV224" i="1"/>
  <c r="QW10" i="1"/>
  <c r="QW224" i="1" s="1"/>
  <c r="QA226" i="1"/>
  <c r="QB56" i="1"/>
  <c r="RK138" i="1"/>
  <c r="RQ194" i="1"/>
  <c r="RO207" i="1"/>
  <c r="RQ180" i="1"/>
  <c r="RM161" i="1"/>
  <c r="RO176" i="1"/>
  <c r="RO184" i="1"/>
  <c r="QT145" i="1"/>
  <c r="QV225" i="1"/>
  <c r="QW105" i="1"/>
  <c r="QW225" i="1" s="1"/>
  <c r="RM124" i="1"/>
  <c r="QP225" i="1"/>
  <c r="QQ105" i="1"/>
  <c r="QQ225" i="1" s="1"/>
  <c r="RK109" i="1"/>
  <c r="QN29" i="1"/>
  <c r="RQ23" i="1"/>
  <c r="RM45" i="1"/>
  <c r="RZ17" i="1"/>
  <c r="RZ18" i="1" s="1"/>
  <c r="RZ19" i="1" s="1"/>
  <c r="RZ20" i="1" s="1"/>
  <c r="RZ21" i="1" s="1"/>
  <c r="RZ22" i="1" s="1"/>
  <c r="RZ23" i="1" s="1"/>
  <c r="RZ24" i="1" s="1"/>
  <c r="RZ25" i="1" s="1"/>
  <c r="RZ26" i="1" s="1"/>
  <c r="RZ27" i="1" s="1"/>
  <c r="RZ28" i="1" s="1"/>
  <c r="RZ29" i="1" s="1"/>
  <c r="RZ30" i="1" s="1"/>
  <c r="RZ31" i="1" s="1"/>
  <c r="RZ32" i="1" s="1"/>
  <c r="RZ33" i="1" s="1"/>
  <c r="RZ34" i="1" s="1"/>
  <c r="RZ35" i="1" s="1"/>
  <c r="RZ36" i="1" s="1"/>
  <c r="RZ37" i="1" s="1"/>
  <c r="RZ38" i="1" s="1"/>
  <c r="RZ39" i="1" s="1"/>
  <c r="RZ40" i="1" s="1"/>
  <c r="RZ41" i="1" s="1"/>
  <c r="RZ42" i="1" s="1"/>
  <c r="RZ43" i="1" s="1"/>
  <c r="RZ44" i="1" s="1"/>
  <c r="RZ45" i="1" s="1"/>
  <c r="RZ46" i="1" s="1"/>
  <c r="RZ47" i="1" s="1"/>
  <c r="RZ48" i="1" s="1"/>
  <c r="RZ49" i="1" s="1"/>
  <c r="RZ50" i="1" s="1"/>
  <c r="RZ51" i="1" s="1"/>
  <c r="RZ52" i="1" s="1"/>
  <c r="RZ53" i="1" s="1"/>
  <c r="RZ54" i="1" s="1"/>
  <c r="RZ55" i="1" s="1"/>
  <c r="RZ56" i="1" s="1"/>
  <c r="RZ57" i="1" s="1"/>
  <c r="RZ58" i="1" s="1"/>
  <c r="RZ59" i="1" s="1"/>
  <c r="RZ60" i="1" s="1"/>
  <c r="RZ61" i="1" s="1"/>
  <c r="RZ62" i="1" s="1"/>
  <c r="RZ63" i="1" s="1"/>
  <c r="RZ64" i="1" s="1"/>
  <c r="RZ65" i="1" s="1"/>
  <c r="RZ66" i="1" s="1"/>
  <c r="RZ67" i="1" s="1"/>
  <c r="RZ68" i="1" s="1"/>
  <c r="RZ69" i="1" s="1"/>
  <c r="RZ70" i="1" s="1"/>
  <c r="RZ71" i="1" s="1"/>
  <c r="RZ72" i="1" s="1"/>
  <c r="RZ73" i="1" s="1"/>
  <c r="RZ74" i="1" s="1"/>
  <c r="RZ75" i="1" s="1"/>
  <c r="RZ76" i="1" s="1"/>
  <c r="RZ77" i="1" s="1"/>
  <c r="RZ78" i="1" s="1"/>
  <c r="RZ79" i="1" s="1"/>
  <c r="RZ80" i="1" s="1"/>
  <c r="RZ81" i="1" s="1"/>
  <c r="RZ82" i="1" s="1"/>
  <c r="RZ83" i="1" s="1"/>
  <c r="RZ84" i="1" s="1"/>
  <c r="RZ85" i="1" s="1"/>
  <c r="RZ86" i="1" s="1"/>
  <c r="RZ87" i="1" s="1"/>
  <c r="RZ88" i="1" s="1"/>
  <c r="RZ89" i="1" s="1"/>
  <c r="RZ90" i="1" s="1"/>
  <c r="RZ91" i="1" s="1"/>
  <c r="RZ92" i="1" s="1"/>
  <c r="RZ93" i="1" s="1"/>
  <c r="RZ94" i="1" s="1"/>
  <c r="RZ95" i="1" s="1"/>
  <c r="RZ96" i="1" s="1"/>
  <c r="RZ97" i="1" s="1"/>
  <c r="RZ98" i="1" s="1"/>
  <c r="RZ99" i="1" s="1"/>
  <c r="RZ100" i="1" s="1"/>
  <c r="RZ101" i="1" s="1"/>
  <c r="RZ102" i="1" s="1"/>
  <c r="RZ103" i="1" s="1"/>
  <c r="RZ104" i="1" s="1"/>
  <c r="RZ105" i="1" s="1"/>
  <c r="RZ106" i="1" s="1"/>
  <c r="RZ107" i="1" s="1"/>
  <c r="RZ108" i="1" s="1"/>
  <c r="RZ109" i="1" s="1"/>
  <c r="RZ110" i="1" s="1"/>
  <c r="RZ111" i="1" s="1"/>
  <c r="RZ112" i="1" s="1"/>
  <c r="RZ113" i="1" s="1"/>
  <c r="RZ114" i="1" s="1"/>
  <c r="RZ115" i="1" s="1"/>
  <c r="RZ116" i="1" s="1"/>
  <c r="RZ117" i="1" s="1"/>
  <c r="RZ118" i="1" s="1"/>
  <c r="RZ119" i="1" s="1"/>
  <c r="RZ120" i="1" s="1"/>
  <c r="RZ121" i="1" s="1"/>
  <c r="RZ122" i="1" s="1"/>
  <c r="RZ123" i="1" s="1"/>
  <c r="RZ124" i="1" s="1"/>
  <c r="RZ125" i="1" s="1"/>
  <c r="RZ126" i="1" s="1"/>
  <c r="RZ127" i="1" s="1"/>
  <c r="RZ128" i="1" s="1"/>
  <c r="RZ129" i="1" s="1"/>
  <c r="RZ130" i="1" s="1"/>
  <c r="RZ131" i="1" s="1"/>
  <c r="RZ132" i="1" s="1"/>
  <c r="RZ133" i="1" s="1"/>
  <c r="RZ134" i="1" s="1"/>
  <c r="RZ135" i="1" s="1"/>
  <c r="RZ136" i="1" s="1"/>
  <c r="RZ137" i="1" s="1"/>
  <c r="RZ138" i="1" s="1"/>
  <c r="RZ139" i="1" s="1"/>
  <c r="RZ140" i="1" s="1"/>
  <c r="RZ141" i="1" s="1"/>
  <c r="RZ142" i="1" s="1"/>
  <c r="RZ143" i="1" s="1"/>
  <c r="RZ144" i="1" s="1"/>
  <c r="RZ145" i="1" s="1"/>
  <c r="RZ146" i="1" s="1"/>
  <c r="RZ147" i="1" s="1"/>
  <c r="RZ148" i="1" s="1"/>
  <c r="RZ149" i="1" s="1"/>
  <c r="RZ150" i="1" s="1"/>
  <c r="RZ151" i="1" s="1"/>
  <c r="RZ152" i="1" s="1"/>
  <c r="RZ153" i="1" s="1"/>
  <c r="RZ154" i="1" s="1"/>
  <c r="RZ155" i="1" s="1"/>
  <c r="RZ156" i="1" s="1"/>
  <c r="RZ157" i="1" s="1"/>
  <c r="RZ158" i="1" s="1"/>
  <c r="RZ159" i="1" s="1"/>
  <c r="RZ160" i="1" s="1"/>
  <c r="RZ161" i="1" s="1"/>
  <c r="RZ162" i="1" s="1"/>
  <c r="RZ163" i="1" s="1"/>
  <c r="RZ164" i="1" s="1"/>
  <c r="RZ165" i="1" s="1"/>
  <c r="RZ166" i="1" s="1"/>
  <c r="RZ167" i="1" s="1"/>
  <c r="RZ168" i="1" s="1"/>
  <c r="RZ169" i="1" s="1"/>
  <c r="RZ170" i="1" s="1"/>
  <c r="RZ171" i="1" s="1"/>
  <c r="RZ172" i="1" s="1"/>
  <c r="RZ173" i="1" s="1"/>
  <c r="RZ174" i="1" s="1"/>
  <c r="RZ175" i="1" s="1"/>
  <c r="RZ176" i="1" s="1"/>
  <c r="RZ177" i="1" s="1"/>
  <c r="RZ178" i="1" s="1"/>
  <c r="RZ179" i="1" s="1"/>
  <c r="RZ180" i="1" s="1"/>
  <c r="RZ181" i="1" s="1"/>
  <c r="RZ182" i="1" s="1"/>
  <c r="RZ183" i="1" s="1"/>
  <c r="RZ184" i="1" s="1"/>
  <c r="RZ185" i="1" s="1"/>
  <c r="RZ186" i="1" s="1"/>
  <c r="RZ187" i="1" s="1"/>
  <c r="RZ188" i="1" s="1"/>
  <c r="RZ189" i="1" s="1"/>
  <c r="RZ190" i="1" s="1"/>
  <c r="RZ191" i="1" s="1"/>
  <c r="RZ192" i="1" s="1"/>
  <c r="RZ193" i="1" s="1"/>
  <c r="RZ194" i="1" s="1"/>
  <c r="RZ195" i="1" s="1"/>
  <c r="RZ196" i="1" s="1"/>
  <c r="RZ197" i="1" s="1"/>
  <c r="RZ198" i="1" s="1"/>
  <c r="RZ199" i="1" s="1"/>
  <c r="RZ200" i="1" s="1"/>
  <c r="RZ201" i="1" s="1"/>
  <c r="RZ202" i="1" s="1"/>
  <c r="RZ203" i="1" s="1"/>
  <c r="RZ204" i="1" s="1"/>
  <c r="RZ205" i="1" s="1"/>
  <c r="RZ206" i="1" s="1"/>
  <c r="RZ207" i="1" s="1"/>
  <c r="RZ208" i="1" s="1"/>
  <c r="RZ209" i="1" s="1"/>
  <c r="RZ210" i="1" s="1"/>
  <c r="RZ211" i="1" s="1"/>
  <c r="RZ212" i="1" s="1"/>
  <c r="RZ213" i="1" s="1"/>
  <c r="RZ214" i="1" s="1"/>
  <c r="RZ215" i="1" s="1"/>
  <c r="RZ216" i="1" s="1"/>
  <c r="RZ217" i="1" s="1"/>
  <c r="RK69" i="1"/>
  <c r="RH6" i="1"/>
  <c r="RB18" i="1"/>
  <c r="RC18" i="1" s="1"/>
  <c r="QP34" i="1"/>
  <c r="QQ34" i="1" s="1"/>
  <c r="RM34" i="1" s="1"/>
  <c r="QG10" i="1"/>
  <c r="QG28" i="1"/>
  <c r="QH28" i="1" s="1"/>
  <c r="QJ35" i="1"/>
  <c r="QK35" i="1" s="1"/>
  <c r="RK70" i="1"/>
  <c r="RK113" i="1"/>
  <c r="RK168" i="1"/>
  <c r="RC39" i="1"/>
  <c r="RO106" i="1"/>
  <c r="RQ103" i="1"/>
  <c r="RO57" i="1"/>
  <c r="RK188" i="1"/>
  <c r="QV229" i="1"/>
  <c r="QW196" i="1"/>
  <c r="QW229" i="1" s="1"/>
  <c r="QY229" i="1"/>
  <c r="QZ196" i="1"/>
  <c r="QZ229" i="1" s="1"/>
  <c r="RM207" i="1"/>
  <c r="RM170" i="1"/>
  <c r="RS170" i="1" s="1"/>
  <c r="RK177" i="1"/>
  <c r="RQ167" i="1"/>
  <c r="RM173" i="1"/>
  <c r="QR233" i="1"/>
  <c r="QR235" i="1" s="1"/>
  <c r="RO152" i="1"/>
  <c r="RB125" i="1"/>
  <c r="RC125" i="1" s="1"/>
  <c r="RB135" i="1"/>
  <c r="RC135" i="1" s="1"/>
  <c r="RQ135" i="1" s="1"/>
  <c r="RB139" i="1"/>
  <c r="RC139" i="1" s="1"/>
  <c r="RB112" i="1"/>
  <c r="RC112" i="1" s="1"/>
  <c r="RQ112" i="1" s="1"/>
  <c r="RK134" i="1"/>
  <c r="RB121" i="1"/>
  <c r="RC121" i="1" s="1"/>
  <c r="RM146" i="1"/>
  <c r="QH105" i="1"/>
  <c r="RK137" i="1"/>
  <c r="RO95" i="1"/>
  <c r="RB101" i="1"/>
  <c r="RC101" i="1" s="1"/>
  <c r="RB76" i="1"/>
  <c r="RC76" i="1" s="1"/>
  <c r="RQ76" i="1" s="1"/>
  <c r="RB29" i="1"/>
  <c r="QS12" i="1"/>
  <c r="QT12" i="1" s="1"/>
  <c r="RO12" i="1" s="1"/>
  <c r="QJ93" i="1"/>
  <c r="QK93" i="1" s="1"/>
  <c r="RM93" i="1" s="1"/>
  <c r="QM205" i="1"/>
  <c r="QN205" i="1" s="1"/>
  <c r="RM205" i="1" s="1"/>
  <c r="QM204" i="1"/>
  <c r="QN204" i="1" s="1"/>
  <c r="QM203" i="1"/>
  <c r="QN203" i="1" s="1"/>
  <c r="QM210" i="1"/>
  <c r="QN210" i="1" s="1"/>
  <c r="RM210" i="1" s="1"/>
  <c r="QM207" i="1"/>
  <c r="QN207" i="1" s="1"/>
  <c r="QM197" i="1"/>
  <c r="QN197" i="1" s="1"/>
  <c r="QM206" i="1"/>
  <c r="QN206" i="1" s="1"/>
  <c r="RM206" i="1" s="1"/>
  <c r="QM192" i="1"/>
  <c r="QN192" i="1" s="1"/>
  <c r="QM185" i="1"/>
  <c r="QN185" i="1" s="1"/>
  <c r="RM185" i="1" s="1"/>
  <c r="QM180" i="1"/>
  <c r="QN180" i="1" s="1"/>
  <c r="QM183" i="1"/>
  <c r="QN183" i="1" s="1"/>
  <c r="QM216" i="1"/>
  <c r="QN216" i="1" s="1"/>
  <c r="RM216" i="1" s="1"/>
  <c r="QM188" i="1"/>
  <c r="QN188" i="1" s="1"/>
  <c r="QM213" i="1"/>
  <c r="QN213" i="1" s="1"/>
  <c r="QM195" i="1"/>
  <c r="QN195" i="1" s="1"/>
  <c r="QM174" i="1"/>
  <c r="QN174" i="1" s="1"/>
  <c r="QM159" i="1"/>
  <c r="QN159" i="1" s="1"/>
  <c r="QM178" i="1"/>
  <c r="QN178" i="1" s="1"/>
  <c r="QM173" i="1"/>
  <c r="QN173" i="1" s="1"/>
  <c r="QM189" i="1"/>
  <c r="QN189" i="1" s="1"/>
  <c r="QM181" i="1"/>
  <c r="QN181" i="1" s="1"/>
  <c r="RM181" i="1" s="1"/>
  <c r="QM168" i="1"/>
  <c r="QN168" i="1" s="1"/>
  <c r="QM179" i="1"/>
  <c r="QN179" i="1" s="1"/>
  <c r="QM158" i="1"/>
  <c r="QN158" i="1" s="1"/>
  <c r="RM158" i="1" s="1"/>
  <c r="QM147" i="1"/>
  <c r="QN147" i="1" s="1"/>
  <c r="QM163" i="1"/>
  <c r="QN163" i="1" s="1"/>
  <c r="QM175" i="1"/>
  <c r="QN175" i="1" s="1"/>
  <c r="QM172" i="1"/>
  <c r="QN172" i="1" s="1"/>
  <c r="QM166" i="1"/>
  <c r="QN166" i="1" s="1"/>
  <c r="QM156" i="1"/>
  <c r="QN156" i="1" s="1"/>
  <c r="QM153" i="1"/>
  <c r="QN153" i="1" s="1"/>
  <c r="QM154" i="1"/>
  <c r="QN154" i="1" s="1"/>
  <c r="QM151" i="1"/>
  <c r="QN151" i="1" s="1"/>
  <c r="QM167" i="1"/>
  <c r="QN167" i="1" s="1"/>
  <c r="QM157" i="1"/>
  <c r="QN157" i="1" s="1"/>
  <c r="QM136" i="1"/>
  <c r="QN136" i="1" s="1"/>
  <c r="QM148" i="1"/>
  <c r="QN148" i="1" s="1"/>
  <c r="QM169" i="1"/>
  <c r="QN169" i="1" s="1"/>
  <c r="RM169" i="1" s="1"/>
  <c r="QM149" i="1"/>
  <c r="QN149" i="1" s="1"/>
  <c r="QM134" i="1"/>
  <c r="QN134" i="1" s="1"/>
  <c r="QM165" i="1"/>
  <c r="QN165" i="1" s="1"/>
  <c r="QM137" i="1"/>
  <c r="QN137" i="1" s="1"/>
  <c r="QM128" i="1"/>
  <c r="QN128" i="1" s="1"/>
  <c r="RM128" i="1" s="1"/>
  <c r="QM135" i="1"/>
  <c r="QN135" i="1" s="1"/>
  <c r="QM141" i="1"/>
  <c r="QN141" i="1" s="1"/>
  <c r="QM126" i="1"/>
  <c r="QN126" i="1" s="1"/>
  <c r="QM130" i="1"/>
  <c r="QN130" i="1" s="1"/>
  <c r="RM130" i="1" s="1"/>
  <c r="QM112" i="1"/>
  <c r="QN112" i="1" s="1"/>
  <c r="QM106" i="1"/>
  <c r="QN106" i="1" s="1"/>
  <c r="RM106" i="1" s="1"/>
  <c r="QM177" i="1"/>
  <c r="QN177" i="1" s="1"/>
  <c r="QM118" i="1"/>
  <c r="QN118" i="1" s="1"/>
  <c r="RM118" i="1" s="1"/>
  <c r="QM129" i="1"/>
  <c r="QN129" i="1" s="1"/>
  <c r="QM117" i="1"/>
  <c r="QN117" i="1" s="1"/>
  <c r="RM117" i="1" s="1"/>
  <c r="QM108" i="1"/>
  <c r="QN108" i="1" s="1"/>
  <c r="QM111" i="1"/>
  <c r="QN111" i="1" s="1"/>
  <c r="QM132" i="1"/>
  <c r="QN132" i="1" s="1"/>
  <c r="QM110" i="1"/>
  <c r="QN110" i="1" s="1"/>
  <c r="RM110" i="1" s="1"/>
  <c r="QM105" i="1"/>
  <c r="QM83" i="1"/>
  <c r="QN83" i="1" s="1"/>
  <c r="QM116" i="1"/>
  <c r="QN116" i="1" s="1"/>
  <c r="QM82" i="1"/>
  <c r="QN82" i="1" s="1"/>
  <c r="QM104" i="1"/>
  <c r="QN104" i="1" s="1"/>
  <c r="RM104" i="1" s="1"/>
  <c r="QM77" i="1"/>
  <c r="QN77" i="1" s="1"/>
  <c r="QM102" i="1"/>
  <c r="QN102" i="1" s="1"/>
  <c r="QM65" i="1"/>
  <c r="QN65" i="1" s="1"/>
  <c r="QM57" i="1"/>
  <c r="QN57" i="1" s="1"/>
  <c r="QM67" i="1"/>
  <c r="QN67" i="1" s="1"/>
  <c r="QM95" i="1"/>
  <c r="QN95" i="1" s="1"/>
  <c r="QM100" i="1"/>
  <c r="QN100" i="1" s="1"/>
  <c r="QM74" i="1"/>
  <c r="QN74" i="1" s="1"/>
  <c r="RM74" i="1" s="1"/>
  <c r="QM71" i="1"/>
  <c r="QN71" i="1" s="1"/>
  <c r="QM58" i="1"/>
  <c r="QN58" i="1" s="1"/>
  <c r="RM58" i="1" s="1"/>
  <c r="QM68" i="1"/>
  <c r="QN68" i="1" s="1"/>
  <c r="QM59" i="1"/>
  <c r="QN59" i="1" s="1"/>
  <c r="QM92" i="1"/>
  <c r="QN92" i="1" s="1"/>
  <c r="QM72" i="1"/>
  <c r="QN72" i="1" s="1"/>
  <c r="QM38" i="1"/>
  <c r="QN38" i="1" s="1"/>
  <c r="QM36" i="1"/>
  <c r="QN36" i="1" s="1"/>
  <c r="QM33" i="1"/>
  <c r="QN33" i="1" s="1"/>
  <c r="QM22" i="1"/>
  <c r="QN22" i="1" s="1"/>
  <c r="QM10" i="1"/>
  <c r="QM73" i="1"/>
  <c r="QN73" i="1" s="1"/>
  <c r="RM73" i="1" s="1"/>
  <c r="QM35" i="1"/>
  <c r="QN35" i="1" s="1"/>
  <c r="QM32" i="1"/>
  <c r="QN32" i="1" s="1"/>
  <c r="QM55" i="1"/>
  <c r="QN55" i="1" s="1"/>
  <c r="QM81" i="1"/>
  <c r="QN81" i="1" s="1"/>
  <c r="QM46" i="1"/>
  <c r="QN46" i="1" s="1"/>
  <c r="RM46" i="1" s="1"/>
  <c r="QM44" i="1"/>
  <c r="QN44" i="1" s="1"/>
  <c r="QM86" i="1"/>
  <c r="QN86" i="1" s="1"/>
  <c r="QM56" i="1"/>
  <c r="QM19" i="1"/>
  <c r="QN19" i="1" s="1"/>
  <c r="QM62" i="1"/>
  <c r="QN62" i="1" s="1"/>
  <c r="QM41" i="1"/>
  <c r="QN41" i="1" s="1"/>
  <c r="QM39" i="1"/>
  <c r="QM24" i="1"/>
  <c r="QN24" i="1" s="1"/>
  <c r="QM12" i="1"/>
  <c r="QN12" i="1" s="1"/>
  <c r="RM12" i="1" s="1"/>
  <c r="QM48" i="1"/>
  <c r="QN48" i="1" s="1"/>
  <c r="QM47" i="1"/>
  <c r="QN47" i="1" s="1"/>
  <c r="QM31" i="1"/>
  <c r="QN31" i="1" s="1"/>
  <c r="QM7" i="1"/>
  <c r="QN7" i="1" s="1"/>
  <c r="RM7" i="1" s="1"/>
  <c r="QM42" i="1"/>
  <c r="QN42" i="1" s="1"/>
  <c r="RM42" i="1" s="1"/>
  <c r="QM16" i="1"/>
  <c r="QN16" i="1" s="1"/>
  <c r="QM8" i="1"/>
  <c r="QN8" i="1" s="1"/>
  <c r="QM13" i="1"/>
  <c r="QN13" i="1" s="1"/>
  <c r="QM21" i="1"/>
  <c r="QN21" i="1" s="1"/>
  <c r="QM11" i="1"/>
  <c r="QN11" i="1" s="1"/>
  <c r="RM11" i="1" s="1"/>
  <c r="QM6" i="1"/>
  <c r="QM53" i="1"/>
  <c r="QN53" i="1" s="1"/>
  <c r="QM9" i="1"/>
  <c r="QM23" i="1"/>
  <c r="QN23" i="1" s="1"/>
  <c r="RM23" i="1" s="1"/>
  <c r="QM25" i="1"/>
  <c r="QN25" i="1" s="1"/>
  <c r="QS39" i="1"/>
  <c r="QM26" i="1"/>
  <c r="QN26" i="1" s="1"/>
  <c r="RM26" i="1" s="1"/>
  <c r="QP51" i="1"/>
  <c r="QQ51" i="1" s="1"/>
  <c r="QS49" i="1"/>
  <c r="QT49" i="1" s="1"/>
  <c r="RO49" i="1" s="1"/>
  <c r="QP6" i="1"/>
  <c r="RB20" i="1"/>
  <c r="RC20" i="1" s="1"/>
  <c r="QY221" i="1"/>
  <c r="QZ6" i="1"/>
  <c r="RE42" i="1"/>
  <c r="RF42" i="1" s="1"/>
  <c r="RE17" i="1"/>
  <c r="QM103" i="1"/>
  <c r="QN103" i="1" s="1"/>
  <c r="RM103" i="1" s="1"/>
  <c r="RS103" i="1" s="1"/>
  <c r="QA230" i="1"/>
  <c r="QB29" i="1"/>
  <c r="QF227" i="1"/>
  <c r="QF234" i="1" s="1"/>
  <c r="RK60" i="1"/>
  <c r="RK82" i="1"/>
  <c r="RK139" i="1"/>
  <c r="RK214" i="1"/>
  <c r="RK193" i="1"/>
  <c r="RH8" i="1"/>
  <c r="RI8" i="1" s="1"/>
  <c r="RM213" i="1"/>
  <c r="RK208" i="1"/>
  <c r="RK194" i="1"/>
  <c r="RO177" i="1"/>
  <c r="RK164" i="1"/>
  <c r="RO190" i="1"/>
  <c r="RK158" i="1"/>
  <c r="RM164" i="1"/>
  <c r="RO171" i="1"/>
  <c r="RM119" i="1"/>
  <c r="RO127" i="1"/>
  <c r="RM98" i="1"/>
  <c r="RM107" i="1"/>
  <c r="RK111" i="1"/>
  <c r="RQ67" i="1"/>
  <c r="RB99" i="1"/>
  <c r="RC99" i="1" s="1"/>
  <c r="RO85" i="1"/>
  <c r="RB40" i="1"/>
  <c r="RC40" i="1" s="1"/>
  <c r="QP230" i="1"/>
  <c r="QQ29" i="1"/>
  <c r="RM37" i="1"/>
  <c r="RM75" i="1"/>
  <c r="RK96" i="1"/>
  <c r="RO48" i="1"/>
  <c r="RB48" i="1"/>
  <c r="RC48" i="1" s="1"/>
  <c r="RQ48" i="1" s="1"/>
  <c r="QY223" i="1"/>
  <c r="QZ39" i="1"/>
  <c r="QZ223" i="1" s="1"/>
  <c r="QD225" i="1"/>
  <c r="QE105" i="1"/>
  <c r="QE225" i="1" s="1"/>
  <c r="RH39" i="1"/>
  <c r="QG211" i="1"/>
  <c r="QH211" i="1" s="1"/>
  <c r="RK211" i="1" s="1"/>
  <c r="QG206" i="1"/>
  <c r="QH206" i="1" s="1"/>
  <c r="RK206" i="1" s="1"/>
  <c r="QG215" i="1"/>
  <c r="QH215" i="1" s="1"/>
  <c r="RK215" i="1" s="1"/>
  <c r="QG199" i="1"/>
  <c r="QH199" i="1" s="1"/>
  <c r="RK199" i="1" s="1"/>
  <c r="QG196" i="1"/>
  <c r="QG204" i="1"/>
  <c r="QH204" i="1" s="1"/>
  <c r="RK204" i="1" s="1"/>
  <c r="QG200" i="1"/>
  <c r="QH200" i="1" s="1"/>
  <c r="RK200" i="1" s="1"/>
  <c r="QG182" i="1"/>
  <c r="QH182" i="1" s="1"/>
  <c r="QG195" i="1"/>
  <c r="QH195" i="1" s="1"/>
  <c r="RK195" i="1" s="1"/>
  <c r="QG193" i="1"/>
  <c r="QH193" i="1" s="1"/>
  <c r="QG189" i="1"/>
  <c r="QH189" i="1" s="1"/>
  <c r="RK189" i="1" s="1"/>
  <c r="QG165" i="1"/>
  <c r="QH165" i="1" s="1"/>
  <c r="RK165" i="1" s="1"/>
  <c r="QG185" i="1"/>
  <c r="QH185" i="1" s="1"/>
  <c r="QG201" i="1"/>
  <c r="QH201" i="1" s="1"/>
  <c r="RK201" i="1" s="1"/>
  <c r="QG180" i="1"/>
  <c r="QH180" i="1" s="1"/>
  <c r="RK180" i="1" s="1"/>
  <c r="QG175" i="1"/>
  <c r="QH175" i="1" s="1"/>
  <c r="RK175" i="1" s="1"/>
  <c r="QG172" i="1"/>
  <c r="QH172" i="1" s="1"/>
  <c r="RK172" i="1" s="1"/>
  <c r="QG176" i="1"/>
  <c r="QH176" i="1" s="1"/>
  <c r="RK176" i="1" s="1"/>
  <c r="QG162" i="1"/>
  <c r="QH162" i="1" s="1"/>
  <c r="QG192" i="1"/>
  <c r="QH192" i="1" s="1"/>
  <c r="RK192" i="1" s="1"/>
  <c r="QG183" i="1"/>
  <c r="QH183" i="1" s="1"/>
  <c r="RK183" i="1" s="1"/>
  <c r="QG155" i="1"/>
  <c r="QH155" i="1" s="1"/>
  <c r="RK155" i="1" s="1"/>
  <c r="QG152" i="1"/>
  <c r="QH152" i="1" s="1"/>
  <c r="RK152" i="1" s="1"/>
  <c r="QG169" i="1"/>
  <c r="QH169" i="1" s="1"/>
  <c r="RK169" i="1" s="1"/>
  <c r="QG154" i="1"/>
  <c r="QH154" i="1" s="1"/>
  <c r="RK154" i="1" s="1"/>
  <c r="QG151" i="1"/>
  <c r="QH151" i="1" s="1"/>
  <c r="RK151" i="1" s="1"/>
  <c r="QG148" i="1"/>
  <c r="QH148" i="1" s="1"/>
  <c r="RK148" i="1" s="1"/>
  <c r="QG160" i="1"/>
  <c r="QH160" i="1" s="1"/>
  <c r="RK160" i="1" s="1"/>
  <c r="QG173" i="1"/>
  <c r="QH173" i="1" s="1"/>
  <c r="RK173" i="1" s="1"/>
  <c r="QG166" i="1"/>
  <c r="QH166" i="1" s="1"/>
  <c r="RK166" i="1" s="1"/>
  <c r="QG141" i="1"/>
  <c r="QH141" i="1" s="1"/>
  <c r="RK141" i="1" s="1"/>
  <c r="QG163" i="1"/>
  <c r="QH163" i="1" s="1"/>
  <c r="QG132" i="1"/>
  <c r="QH132" i="1" s="1"/>
  <c r="RK132" i="1" s="1"/>
  <c r="QG117" i="1"/>
  <c r="QH117" i="1" s="1"/>
  <c r="RK117" i="1" s="1"/>
  <c r="QG114" i="1"/>
  <c r="QH114" i="1" s="1"/>
  <c r="RK114" i="1" s="1"/>
  <c r="QG129" i="1"/>
  <c r="QH129" i="1" s="1"/>
  <c r="RK129" i="1" s="1"/>
  <c r="QG156" i="1"/>
  <c r="QH156" i="1" s="1"/>
  <c r="QG153" i="1"/>
  <c r="QH153" i="1" s="1"/>
  <c r="QG145" i="1"/>
  <c r="QG131" i="1"/>
  <c r="QH131" i="1" s="1"/>
  <c r="RK131" i="1" s="1"/>
  <c r="QG147" i="1"/>
  <c r="QH147" i="1" s="1"/>
  <c r="RK147" i="1" s="1"/>
  <c r="QG136" i="1"/>
  <c r="QH136" i="1" s="1"/>
  <c r="RK136" i="1" s="1"/>
  <c r="QG121" i="1"/>
  <c r="QH121" i="1" s="1"/>
  <c r="RK121" i="1" s="1"/>
  <c r="QG120" i="1"/>
  <c r="QH120" i="1" s="1"/>
  <c r="RK120" i="1" s="1"/>
  <c r="QG142" i="1"/>
  <c r="QH142" i="1" s="1"/>
  <c r="QG122" i="1"/>
  <c r="QH122" i="1" s="1"/>
  <c r="RK122" i="1" s="1"/>
  <c r="QG119" i="1"/>
  <c r="QH119" i="1" s="1"/>
  <c r="RK119" i="1" s="1"/>
  <c r="QG118" i="1"/>
  <c r="QH118" i="1" s="1"/>
  <c r="RK118" i="1" s="1"/>
  <c r="QG109" i="1"/>
  <c r="QH109" i="1" s="1"/>
  <c r="QG112" i="1"/>
  <c r="QH112" i="1" s="1"/>
  <c r="RK112" i="1" s="1"/>
  <c r="QG110" i="1"/>
  <c r="QH110" i="1" s="1"/>
  <c r="RK110" i="1" s="1"/>
  <c r="QG108" i="1"/>
  <c r="QH108" i="1" s="1"/>
  <c r="QG102" i="1"/>
  <c r="QH102" i="1" s="1"/>
  <c r="RK102" i="1" s="1"/>
  <c r="QG92" i="1"/>
  <c r="QH92" i="1" s="1"/>
  <c r="RK92" i="1" s="1"/>
  <c r="QG123" i="1"/>
  <c r="QH123" i="1" s="1"/>
  <c r="QG98" i="1"/>
  <c r="QH98" i="1" s="1"/>
  <c r="QG89" i="1"/>
  <c r="QH89" i="1" s="1"/>
  <c r="RK89" i="1" s="1"/>
  <c r="QG88" i="1"/>
  <c r="QH88" i="1" s="1"/>
  <c r="RK88" i="1" s="1"/>
  <c r="QG84" i="1"/>
  <c r="QH84" i="1" s="1"/>
  <c r="RK84" i="1" s="1"/>
  <c r="QG81" i="1"/>
  <c r="QH81" i="1" s="1"/>
  <c r="QG77" i="1"/>
  <c r="QH77" i="1" s="1"/>
  <c r="RK77" i="1" s="1"/>
  <c r="QG107" i="1"/>
  <c r="QH107" i="1" s="1"/>
  <c r="RK107" i="1" s="1"/>
  <c r="QG62" i="1"/>
  <c r="QH62" i="1" s="1"/>
  <c r="RK62" i="1" s="1"/>
  <c r="QG104" i="1"/>
  <c r="QH104" i="1" s="1"/>
  <c r="RK104" i="1" s="1"/>
  <c r="QG64" i="1"/>
  <c r="QH64" i="1" s="1"/>
  <c r="RK64" i="1" s="1"/>
  <c r="QG78" i="1"/>
  <c r="QH78" i="1" s="1"/>
  <c r="RK78" i="1" s="1"/>
  <c r="QG72" i="1"/>
  <c r="QH72" i="1" s="1"/>
  <c r="RK72" i="1" s="1"/>
  <c r="QG65" i="1"/>
  <c r="QH65" i="1" s="1"/>
  <c r="RK65" i="1" s="1"/>
  <c r="QG63" i="1"/>
  <c r="QH63" i="1" s="1"/>
  <c r="RK63" i="1" s="1"/>
  <c r="QG73" i="1"/>
  <c r="QH73" i="1" s="1"/>
  <c r="RK73" i="1" s="1"/>
  <c r="QG55" i="1"/>
  <c r="QH55" i="1" s="1"/>
  <c r="RK55" i="1" s="1"/>
  <c r="QG56" i="1"/>
  <c r="QG50" i="1"/>
  <c r="QH50" i="1" s="1"/>
  <c r="RK50" i="1" s="1"/>
  <c r="QG49" i="1"/>
  <c r="QH49" i="1" s="1"/>
  <c r="RK49" i="1" s="1"/>
  <c r="RS49" i="1" s="1"/>
  <c r="QG45" i="1"/>
  <c r="QH45" i="1" s="1"/>
  <c r="RK45" i="1" s="1"/>
  <c r="RS45" i="1" s="1"/>
  <c r="QG42" i="1"/>
  <c r="QH42" i="1" s="1"/>
  <c r="RK42" i="1" s="1"/>
  <c r="QG16" i="1"/>
  <c r="QH16" i="1" s="1"/>
  <c r="RK16" i="1" s="1"/>
  <c r="QG52" i="1"/>
  <c r="QH52" i="1" s="1"/>
  <c r="RK52" i="1" s="1"/>
  <c r="QG83" i="1"/>
  <c r="QH83" i="1" s="1"/>
  <c r="RK83" i="1" s="1"/>
  <c r="QG66" i="1"/>
  <c r="QH66" i="1" s="1"/>
  <c r="RK66" i="1" s="1"/>
  <c r="QG61" i="1"/>
  <c r="QH61" i="1" s="1"/>
  <c r="RK61" i="1" s="1"/>
  <c r="QG41" i="1"/>
  <c r="QH41" i="1" s="1"/>
  <c r="RK41" i="1" s="1"/>
  <c r="QG59" i="1"/>
  <c r="QH59" i="1" s="1"/>
  <c r="RK59" i="1" s="1"/>
  <c r="QG51" i="1"/>
  <c r="QH51" i="1" s="1"/>
  <c r="QG32" i="1"/>
  <c r="QH32" i="1" s="1"/>
  <c r="QG80" i="1"/>
  <c r="QH80" i="1" s="1"/>
  <c r="RK80" i="1" s="1"/>
  <c r="QG25" i="1"/>
  <c r="QH25" i="1" s="1"/>
  <c r="RK25" i="1" s="1"/>
  <c r="QG58" i="1"/>
  <c r="QH58" i="1" s="1"/>
  <c r="RK58" i="1" s="1"/>
  <c r="QG29" i="1"/>
  <c r="QG18" i="1"/>
  <c r="QH18" i="1" s="1"/>
  <c r="RK18" i="1" s="1"/>
  <c r="QG27" i="1"/>
  <c r="QH27" i="1" s="1"/>
  <c r="RK27" i="1" s="1"/>
  <c r="QG79" i="1"/>
  <c r="QH79" i="1" s="1"/>
  <c r="QG38" i="1"/>
  <c r="QH38" i="1" s="1"/>
  <c r="RK38" i="1" s="1"/>
  <c r="QG15" i="1"/>
  <c r="QH15" i="1" s="1"/>
  <c r="RK15" i="1" s="1"/>
  <c r="QG35" i="1"/>
  <c r="QH35" i="1" s="1"/>
  <c r="RK35" i="1" s="1"/>
  <c r="QG13" i="1"/>
  <c r="QH13" i="1" s="1"/>
  <c r="RK13" i="1" s="1"/>
  <c r="QG36" i="1"/>
  <c r="QH36" i="1" s="1"/>
  <c r="QG30" i="1"/>
  <c r="QH30" i="1" s="1"/>
  <c r="RK30" i="1" s="1"/>
  <c r="QG40" i="1"/>
  <c r="QH40" i="1" s="1"/>
  <c r="RK40" i="1" s="1"/>
  <c r="QG19" i="1"/>
  <c r="QH19" i="1" s="1"/>
  <c r="RK19" i="1" s="1"/>
  <c r="QG8" i="1"/>
  <c r="QH8" i="1" s="1"/>
  <c r="RK8" i="1" s="1"/>
  <c r="QA231" i="1"/>
  <c r="QB9" i="1"/>
  <c r="QG24" i="1"/>
  <c r="QH24" i="1" s="1"/>
  <c r="RK32" i="1"/>
  <c r="RK86" i="1"/>
  <c r="RK106" i="1"/>
  <c r="RK128" i="1"/>
  <c r="QA229" i="1"/>
  <c r="QB196" i="1"/>
  <c r="QP19" i="1"/>
  <c r="QQ19" i="1" s="1"/>
  <c r="RK162" i="1"/>
  <c r="QJ225" i="1"/>
  <c r="QK105" i="1"/>
  <c r="RH225" i="1"/>
  <c r="RI105" i="1"/>
  <c r="RM143" i="1"/>
  <c r="RO118" i="1"/>
  <c r="RK99" i="1"/>
  <c r="RK85" i="1"/>
  <c r="QD230" i="1"/>
  <c r="QE29" i="1"/>
  <c r="QE230" i="1" s="1"/>
  <c r="RM24" i="1"/>
  <c r="RO47" i="1"/>
  <c r="RB9" i="1"/>
  <c r="QP231" i="1"/>
  <c r="QQ9" i="1"/>
  <c r="QQ231" i="1" s="1"/>
  <c r="QV221" i="1"/>
  <c r="QW6" i="1"/>
  <c r="RK23" i="1"/>
  <c r="RK20" i="1"/>
  <c r="RK12" i="1"/>
  <c r="RK51" i="1"/>
  <c r="RS51" i="1" s="1"/>
  <c r="RK130" i="1"/>
  <c r="RK142" i="1"/>
  <c r="RK185" i="1"/>
  <c r="QI235" i="1"/>
  <c r="RQ204" i="1"/>
  <c r="RK163" i="1"/>
  <c r="RQ214" i="1"/>
  <c r="RK191" i="1"/>
  <c r="RO198" i="1"/>
  <c r="RK198" i="1"/>
  <c r="RK161" i="1"/>
  <c r="RM155" i="1"/>
  <c r="RQ143" i="1"/>
  <c r="RO161" i="1"/>
  <c r="RO130" i="1"/>
  <c r="RO103" i="1"/>
  <c r="RQ100" i="1"/>
  <c r="RM88" i="1"/>
  <c r="RK100" i="1"/>
  <c r="RK98" i="1"/>
  <c r="RM91" i="1"/>
  <c r="RM63" i="1"/>
  <c r="QX234" i="1"/>
  <c r="QU227" i="1"/>
  <c r="QU234" i="1" s="1"/>
  <c r="RM64" i="1"/>
  <c r="RO24" i="1"/>
  <c r="RM102" i="1"/>
  <c r="RI17" i="1"/>
  <c r="QY231" i="1"/>
  <c r="QZ9" i="1"/>
  <c r="QZ231" i="1" s="1"/>
  <c r="QG26" i="1"/>
  <c r="QH26" i="1" s="1"/>
  <c r="RK26" i="1" s="1"/>
  <c r="QG6" i="1"/>
  <c r="QJ8" i="1"/>
  <c r="QK8" i="1" s="1"/>
  <c r="RM8" i="1" s="1"/>
  <c r="QP21" i="1"/>
  <c r="QQ21" i="1" s="1"/>
  <c r="QG17" i="1"/>
  <c r="QV230" i="1"/>
  <c r="QW29" i="1"/>
  <c r="QW230" i="1" s="1"/>
  <c r="RK43" i="1"/>
  <c r="RK24" i="1"/>
  <c r="RK68" i="1"/>
  <c r="RK108" i="1"/>
  <c r="RK123" i="1"/>
  <c r="RK153" i="1"/>
  <c r="RK182" i="1"/>
  <c r="RK203" i="1"/>
  <c r="RM200" i="1"/>
  <c r="RK207" i="1"/>
  <c r="QP229" i="1"/>
  <c r="QQ196" i="1"/>
  <c r="QQ229" i="1" s="1"/>
  <c r="RD233" i="1"/>
  <c r="RD235" i="1" s="1"/>
  <c r="RM159" i="1"/>
  <c r="RO154" i="1"/>
  <c r="RQ154" i="1"/>
  <c r="RQ134" i="1"/>
  <c r="RM138" i="1"/>
  <c r="RK133" i="1"/>
  <c r="RM140" i="1"/>
  <c r="RQ82" i="1"/>
  <c r="RO67" i="1"/>
  <c r="RO74" i="1"/>
  <c r="RO31" i="1"/>
  <c r="QL234" i="1"/>
  <c r="RK57" i="1"/>
  <c r="QI234" i="1"/>
  <c r="RM66" i="1"/>
  <c r="RB32" i="1"/>
  <c r="RC32" i="1" s="1"/>
  <c r="RM40" i="1"/>
  <c r="RH198" i="1"/>
  <c r="RI198" i="1" s="1"/>
  <c r="RQ198" i="1" s="1"/>
  <c r="RH212" i="1"/>
  <c r="RI212" i="1" s="1"/>
  <c r="RH208" i="1"/>
  <c r="RI208" i="1" s="1"/>
  <c r="RQ208" i="1" s="1"/>
  <c r="RH203" i="1"/>
  <c r="RI203" i="1" s="1"/>
  <c r="RH215" i="1"/>
  <c r="RI215" i="1" s="1"/>
  <c r="RH207" i="1"/>
  <c r="RI207" i="1" s="1"/>
  <c r="RQ207" i="1" s="1"/>
  <c r="RH201" i="1"/>
  <c r="RI201" i="1" s="1"/>
  <c r="RQ201" i="1" s="1"/>
  <c r="RH196" i="1"/>
  <c r="RH197" i="1"/>
  <c r="RI197" i="1" s="1"/>
  <c r="RH210" i="1"/>
  <c r="RI210" i="1" s="1"/>
  <c r="RQ210" i="1" s="1"/>
  <c r="RH195" i="1"/>
  <c r="RI195" i="1" s="1"/>
  <c r="RH217" i="1"/>
  <c r="RI217" i="1" s="1"/>
  <c r="RH206" i="1"/>
  <c r="RI206" i="1" s="1"/>
  <c r="RH194" i="1"/>
  <c r="RI194" i="1" s="1"/>
  <c r="RH213" i="1"/>
  <c r="RI213" i="1" s="1"/>
  <c r="RQ213" i="1" s="1"/>
  <c r="RH193" i="1"/>
  <c r="RI193" i="1" s="1"/>
  <c r="RH191" i="1"/>
  <c r="RI191" i="1" s="1"/>
  <c r="RQ191" i="1" s="1"/>
  <c r="RH186" i="1"/>
  <c r="RI186" i="1" s="1"/>
  <c r="RQ186" i="1" s="1"/>
  <c r="RH188" i="1"/>
  <c r="RI188" i="1" s="1"/>
  <c r="RH190" i="1"/>
  <c r="RI190" i="1" s="1"/>
  <c r="RH168" i="1"/>
  <c r="RI168" i="1" s="1"/>
  <c r="RH156" i="1"/>
  <c r="RI156" i="1" s="1"/>
  <c r="RH165" i="1"/>
  <c r="RI165" i="1" s="1"/>
  <c r="RQ165" i="1" s="1"/>
  <c r="RH175" i="1"/>
  <c r="RI175" i="1" s="1"/>
  <c r="RH184" i="1"/>
  <c r="RI184" i="1" s="1"/>
  <c r="RH172" i="1"/>
  <c r="RI172" i="1" s="1"/>
  <c r="RH167" i="1"/>
  <c r="RI167" i="1" s="1"/>
  <c r="RH151" i="1"/>
  <c r="RI151" i="1" s="1"/>
  <c r="RH179" i="1"/>
  <c r="RI179" i="1" s="1"/>
  <c r="RH183" i="1"/>
  <c r="RI183" i="1" s="1"/>
  <c r="RH171" i="1"/>
  <c r="RI171" i="1" s="1"/>
  <c r="RH160" i="1"/>
  <c r="RI160" i="1" s="1"/>
  <c r="RH199" i="1"/>
  <c r="RI199" i="1" s="1"/>
  <c r="RH146" i="1"/>
  <c r="RI146" i="1" s="1"/>
  <c r="RH182" i="1"/>
  <c r="RI182" i="1" s="1"/>
  <c r="RH164" i="1"/>
  <c r="RI164" i="1" s="1"/>
  <c r="RH163" i="1"/>
  <c r="RI163" i="1" s="1"/>
  <c r="RH155" i="1"/>
  <c r="RI155" i="1" s="1"/>
  <c r="RQ155" i="1" s="1"/>
  <c r="RH152" i="1"/>
  <c r="RI152" i="1" s="1"/>
  <c r="RH158" i="1"/>
  <c r="RI158" i="1" s="1"/>
  <c r="RH144" i="1"/>
  <c r="RI144" i="1" s="1"/>
  <c r="RQ144" i="1" s="1"/>
  <c r="RH137" i="1"/>
  <c r="RI137" i="1" s="1"/>
  <c r="RH133" i="1"/>
  <c r="RI133" i="1" s="1"/>
  <c r="RH124" i="1"/>
  <c r="RI124" i="1" s="1"/>
  <c r="RQ124" i="1" s="1"/>
  <c r="RS124" i="1" s="1"/>
  <c r="RH121" i="1"/>
  <c r="RI121" i="1" s="1"/>
  <c r="RH116" i="1"/>
  <c r="RI116" i="1" s="1"/>
  <c r="RQ116" i="1" s="1"/>
  <c r="RH113" i="1"/>
  <c r="RI113" i="1" s="1"/>
  <c r="RQ113" i="1" s="1"/>
  <c r="RH132" i="1"/>
  <c r="RI132" i="1" s="1"/>
  <c r="RH126" i="1"/>
  <c r="RI126" i="1" s="1"/>
  <c r="RH142" i="1"/>
  <c r="RI142" i="1" s="1"/>
  <c r="RH125" i="1"/>
  <c r="RI125" i="1" s="1"/>
  <c r="RH141" i="1"/>
  <c r="RI141" i="1" s="1"/>
  <c r="RQ141" i="1" s="1"/>
  <c r="RH166" i="1"/>
  <c r="RI166" i="1" s="1"/>
  <c r="RH140" i="1"/>
  <c r="RI140" i="1" s="1"/>
  <c r="RH134" i="1"/>
  <c r="RI134" i="1" s="1"/>
  <c r="RH139" i="1"/>
  <c r="RI139" i="1" s="1"/>
  <c r="RH127" i="1"/>
  <c r="RI127" i="1" s="1"/>
  <c r="RH122" i="1"/>
  <c r="RI122" i="1" s="1"/>
  <c r="RH120" i="1"/>
  <c r="RI120" i="1" s="1"/>
  <c r="RH117" i="1"/>
  <c r="RI117" i="1" s="1"/>
  <c r="RQ117" i="1" s="1"/>
  <c r="RH114" i="1"/>
  <c r="RI114" i="1" s="1"/>
  <c r="RQ114" i="1" s="1"/>
  <c r="RH108" i="1"/>
  <c r="RI108" i="1" s="1"/>
  <c r="RQ108" i="1" s="1"/>
  <c r="RH101" i="1"/>
  <c r="RI101" i="1" s="1"/>
  <c r="RH89" i="1"/>
  <c r="RI89" i="1" s="1"/>
  <c r="RH83" i="1"/>
  <c r="RI83" i="1" s="1"/>
  <c r="RH97" i="1"/>
  <c r="RI97" i="1" s="1"/>
  <c r="RH91" i="1"/>
  <c r="RI91" i="1" s="1"/>
  <c r="RH123" i="1"/>
  <c r="RI123" i="1" s="1"/>
  <c r="RH80" i="1"/>
  <c r="RI80" i="1" s="1"/>
  <c r="RH99" i="1"/>
  <c r="RI99" i="1" s="1"/>
  <c r="RH95" i="1"/>
  <c r="RI95" i="1" s="1"/>
  <c r="RH145" i="1"/>
  <c r="RH93" i="1"/>
  <c r="RI93" i="1" s="1"/>
  <c r="RQ93" i="1" s="1"/>
  <c r="RS93" i="1" s="1"/>
  <c r="RH92" i="1"/>
  <c r="RI92" i="1" s="1"/>
  <c r="RH104" i="1"/>
  <c r="RI104" i="1" s="1"/>
  <c r="RH78" i="1"/>
  <c r="RI78" i="1" s="1"/>
  <c r="RH56" i="1"/>
  <c r="RH75" i="1"/>
  <c r="RI75" i="1" s="1"/>
  <c r="RH66" i="1"/>
  <c r="RI66" i="1" s="1"/>
  <c r="RH64" i="1"/>
  <c r="RI64" i="1" s="1"/>
  <c r="RH71" i="1"/>
  <c r="RI71" i="1" s="1"/>
  <c r="RQ71" i="1" s="1"/>
  <c r="RH69" i="1"/>
  <c r="RI69" i="1" s="1"/>
  <c r="RQ69" i="1" s="1"/>
  <c r="RH68" i="1"/>
  <c r="RI68" i="1" s="1"/>
  <c r="RH44" i="1"/>
  <c r="RI44" i="1" s="1"/>
  <c r="RH19" i="1"/>
  <c r="RI19" i="1" s="1"/>
  <c r="RH53" i="1"/>
  <c r="RI53" i="1" s="1"/>
  <c r="RH41" i="1"/>
  <c r="RI41" i="1" s="1"/>
  <c r="RH72" i="1"/>
  <c r="RI72" i="1" s="1"/>
  <c r="RH67" i="1"/>
  <c r="RI67" i="1" s="1"/>
  <c r="RH65" i="1"/>
  <c r="RI65" i="1" s="1"/>
  <c r="RH38" i="1"/>
  <c r="RI38" i="1" s="1"/>
  <c r="RH55" i="1"/>
  <c r="RI55" i="1" s="1"/>
  <c r="RH54" i="1"/>
  <c r="RI54" i="1" s="1"/>
  <c r="RH47" i="1"/>
  <c r="RI47" i="1" s="1"/>
  <c r="RH31" i="1"/>
  <c r="RI31" i="1" s="1"/>
  <c r="RH21" i="1"/>
  <c r="RI21" i="1" s="1"/>
  <c r="RH29" i="1"/>
  <c r="RH33" i="1"/>
  <c r="RI33" i="1" s="1"/>
  <c r="RH32" i="1"/>
  <c r="RI32" i="1" s="1"/>
  <c r="RH22" i="1"/>
  <c r="RI22" i="1" s="1"/>
  <c r="RH16" i="1"/>
  <c r="RI16" i="1" s="1"/>
  <c r="RH20" i="1"/>
  <c r="RI20" i="1" s="1"/>
  <c r="RH18" i="1"/>
  <c r="RI18" i="1" s="1"/>
  <c r="RH13" i="1"/>
  <c r="RI13" i="1" s="1"/>
  <c r="RH10" i="1"/>
  <c r="RH9" i="1"/>
  <c r="RH40" i="1"/>
  <c r="RI40" i="1" s="1"/>
  <c r="RH36" i="1"/>
  <c r="RI36" i="1" s="1"/>
  <c r="RH30" i="1"/>
  <c r="RI30" i="1" s="1"/>
  <c r="RQ30" i="1" s="1"/>
  <c r="QY226" i="1"/>
  <c r="QZ56" i="1"/>
  <c r="QZ226" i="1" s="1"/>
  <c r="RO7" i="1"/>
  <c r="QD229" i="1"/>
  <c r="QE196" i="1"/>
  <c r="QE229" i="1" s="1"/>
  <c r="QP92" i="1"/>
  <c r="QQ92" i="1" s="1"/>
  <c r="QP23" i="1"/>
  <c r="QQ23" i="1" s="1"/>
  <c r="QS210" i="1"/>
  <c r="QT210" i="1" s="1"/>
  <c r="RO210" i="1" s="1"/>
  <c r="QS199" i="1"/>
  <c r="QT199" i="1" s="1"/>
  <c r="RO199" i="1" s="1"/>
  <c r="QS200" i="1"/>
  <c r="QT200" i="1" s="1"/>
  <c r="RO200" i="1" s="1"/>
  <c r="QS213" i="1"/>
  <c r="QT213" i="1" s="1"/>
  <c r="RO213" i="1" s="1"/>
  <c r="QS197" i="1"/>
  <c r="QT197" i="1" s="1"/>
  <c r="RO197" i="1" s="1"/>
  <c r="QS196" i="1"/>
  <c r="QS201" i="1"/>
  <c r="QT201" i="1" s="1"/>
  <c r="RO201" i="1" s="1"/>
  <c r="QS182" i="1"/>
  <c r="QT182" i="1" s="1"/>
  <c r="RO182" i="1" s="1"/>
  <c r="QS191" i="1"/>
  <c r="QT191" i="1" s="1"/>
  <c r="RO191" i="1" s="1"/>
  <c r="QS185" i="1"/>
  <c r="QT185" i="1" s="1"/>
  <c r="RO185" i="1" s="1"/>
  <c r="QS204" i="1"/>
  <c r="QT204" i="1" s="1"/>
  <c r="RO204" i="1" s="1"/>
  <c r="QS165" i="1"/>
  <c r="QT165" i="1" s="1"/>
  <c r="RO165" i="1" s="1"/>
  <c r="QS183" i="1"/>
  <c r="QT183" i="1" s="1"/>
  <c r="RO183" i="1" s="1"/>
  <c r="QS175" i="1"/>
  <c r="QT175" i="1" s="1"/>
  <c r="RO175" i="1" s="1"/>
  <c r="QS172" i="1"/>
  <c r="QT172" i="1" s="1"/>
  <c r="RO172" i="1" s="1"/>
  <c r="QS173" i="1"/>
  <c r="QT173" i="1" s="1"/>
  <c r="RO173" i="1" s="1"/>
  <c r="QS162" i="1"/>
  <c r="QT162" i="1" s="1"/>
  <c r="RO162" i="1" s="1"/>
  <c r="QS195" i="1"/>
  <c r="QT195" i="1" s="1"/>
  <c r="RO195" i="1" s="1"/>
  <c r="QS178" i="1"/>
  <c r="QT178" i="1" s="1"/>
  <c r="RO178" i="1" s="1"/>
  <c r="QS169" i="1"/>
  <c r="QT169" i="1" s="1"/>
  <c r="RO169" i="1" s="1"/>
  <c r="QS160" i="1"/>
  <c r="QT160" i="1" s="1"/>
  <c r="RO160" i="1" s="1"/>
  <c r="QS156" i="1"/>
  <c r="QT156" i="1" s="1"/>
  <c r="RO156" i="1" s="1"/>
  <c r="QS149" i="1"/>
  <c r="QT149" i="1" s="1"/>
  <c r="RO149" i="1" s="1"/>
  <c r="QS205" i="1"/>
  <c r="QT205" i="1" s="1"/>
  <c r="RO205" i="1" s="1"/>
  <c r="QS192" i="1"/>
  <c r="QT192" i="1" s="1"/>
  <c r="RO192" i="1" s="1"/>
  <c r="QS186" i="1"/>
  <c r="QT186" i="1" s="1"/>
  <c r="RO186" i="1" s="1"/>
  <c r="QS142" i="1"/>
  <c r="QT142" i="1" s="1"/>
  <c r="RO142" i="1" s="1"/>
  <c r="QS147" i="1"/>
  <c r="QT147" i="1" s="1"/>
  <c r="RO147" i="1" s="1"/>
  <c r="QS159" i="1"/>
  <c r="QT159" i="1" s="1"/>
  <c r="RO159" i="1" s="1"/>
  <c r="QS153" i="1"/>
  <c r="QT153" i="1" s="1"/>
  <c r="RO153" i="1" s="1"/>
  <c r="QS150" i="1"/>
  <c r="QT150" i="1" s="1"/>
  <c r="RO150" i="1" s="1"/>
  <c r="QS124" i="1"/>
  <c r="QT124" i="1" s="1"/>
  <c r="RO124" i="1" s="1"/>
  <c r="QS122" i="1"/>
  <c r="QT122" i="1" s="1"/>
  <c r="RO122" i="1" s="1"/>
  <c r="QS121" i="1"/>
  <c r="QT121" i="1" s="1"/>
  <c r="RO121" i="1" s="1"/>
  <c r="QS119" i="1"/>
  <c r="QT119" i="1" s="1"/>
  <c r="RO119" i="1" s="1"/>
  <c r="QS163" i="1"/>
  <c r="QT163" i="1" s="1"/>
  <c r="RO163" i="1" s="1"/>
  <c r="QS157" i="1"/>
  <c r="QT157" i="1" s="1"/>
  <c r="RO157" i="1" s="1"/>
  <c r="QS136" i="1"/>
  <c r="QT136" i="1" s="1"/>
  <c r="RO136" i="1" s="1"/>
  <c r="QS132" i="1"/>
  <c r="QT132" i="1" s="1"/>
  <c r="RO132" i="1" s="1"/>
  <c r="QS113" i="1"/>
  <c r="QT113" i="1" s="1"/>
  <c r="RO113" i="1" s="1"/>
  <c r="QS141" i="1"/>
  <c r="QT141" i="1" s="1"/>
  <c r="RO141" i="1" s="1"/>
  <c r="QS123" i="1"/>
  <c r="QT123" i="1" s="1"/>
  <c r="RO123" i="1" s="1"/>
  <c r="QS144" i="1"/>
  <c r="QT144" i="1" s="1"/>
  <c r="RO144" i="1" s="1"/>
  <c r="QS133" i="1"/>
  <c r="QT133" i="1" s="1"/>
  <c r="RO133" i="1" s="1"/>
  <c r="QS137" i="1"/>
  <c r="QT137" i="1" s="1"/>
  <c r="RO137" i="1" s="1"/>
  <c r="QS131" i="1"/>
  <c r="QT131" i="1" s="1"/>
  <c r="RO131" i="1" s="1"/>
  <c r="QS120" i="1"/>
  <c r="QT120" i="1" s="1"/>
  <c r="RO120" i="1" s="1"/>
  <c r="QS111" i="1"/>
  <c r="QT111" i="1" s="1"/>
  <c r="RO111" i="1" s="1"/>
  <c r="QS138" i="1"/>
  <c r="QT138" i="1" s="1"/>
  <c r="RO138" i="1" s="1"/>
  <c r="QS139" i="1"/>
  <c r="QT139" i="1" s="1"/>
  <c r="RO139" i="1" s="1"/>
  <c r="QS102" i="1"/>
  <c r="QT102" i="1" s="1"/>
  <c r="RO102" i="1" s="1"/>
  <c r="QS134" i="1"/>
  <c r="QT134" i="1" s="1"/>
  <c r="RO134" i="1" s="1"/>
  <c r="QS107" i="1"/>
  <c r="QT107" i="1" s="1"/>
  <c r="RO107" i="1" s="1"/>
  <c r="QS108" i="1"/>
  <c r="QT108" i="1" s="1"/>
  <c r="RO108" i="1" s="1"/>
  <c r="QS96" i="1"/>
  <c r="QT96" i="1" s="1"/>
  <c r="RO96" i="1" s="1"/>
  <c r="QS164" i="1"/>
  <c r="QT164" i="1" s="1"/>
  <c r="RO164" i="1" s="1"/>
  <c r="QS100" i="1"/>
  <c r="QT100" i="1" s="1"/>
  <c r="RO100" i="1" s="1"/>
  <c r="QS92" i="1"/>
  <c r="QT92" i="1" s="1"/>
  <c r="RO92" i="1" s="1"/>
  <c r="QS97" i="1"/>
  <c r="QT97" i="1" s="1"/>
  <c r="RO97" i="1" s="1"/>
  <c r="QS89" i="1"/>
  <c r="QT89" i="1" s="1"/>
  <c r="RO89" i="1" s="1"/>
  <c r="QS104" i="1"/>
  <c r="QT104" i="1" s="1"/>
  <c r="RO104" i="1" s="1"/>
  <c r="QS77" i="1"/>
  <c r="QT77" i="1" s="1"/>
  <c r="RO77" i="1" s="1"/>
  <c r="QS98" i="1"/>
  <c r="QT98" i="1" s="1"/>
  <c r="RO98" i="1" s="1"/>
  <c r="QS83" i="1"/>
  <c r="QT83" i="1" s="1"/>
  <c r="RO83" i="1" s="1"/>
  <c r="QS80" i="1"/>
  <c r="QT80" i="1" s="1"/>
  <c r="RO80" i="1" s="1"/>
  <c r="QS75" i="1"/>
  <c r="QT75" i="1" s="1"/>
  <c r="RO75" i="1" s="1"/>
  <c r="QS59" i="1"/>
  <c r="QT59" i="1" s="1"/>
  <c r="RO59" i="1" s="1"/>
  <c r="QS81" i="1"/>
  <c r="QT81" i="1" s="1"/>
  <c r="RO81" i="1" s="1"/>
  <c r="QS101" i="1"/>
  <c r="QT101" i="1" s="1"/>
  <c r="RO101" i="1" s="1"/>
  <c r="QS62" i="1"/>
  <c r="QT62" i="1" s="1"/>
  <c r="RO62" i="1" s="1"/>
  <c r="QS84" i="1"/>
  <c r="QT84" i="1" s="1"/>
  <c r="RO84" i="1" s="1"/>
  <c r="QS64" i="1"/>
  <c r="QT64" i="1" s="1"/>
  <c r="RO64" i="1" s="1"/>
  <c r="QS110" i="1"/>
  <c r="QT110" i="1" s="1"/>
  <c r="RO110" i="1" s="1"/>
  <c r="QS79" i="1"/>
  <c r="QT79" i="1" s="1"/>
  <c r="RO79" i="1" s="1"/>
  <c r="QS65" i="1"/>
  <c r="QT65" i="1" s="1"/>
  <c r="RO65" i="1" s="1"/>
  <c r="QS55" i="1"/>
  <c r="QT55" i="1" s="1"/>
  <c r="RO55" i="1" s="1"/>
  <c r="QS53" i="1"/>
  <c r="QT53" i="1" s="1"/>
  <c r="RO53" i="1" s="1"/>
  <c r="QS50" i="1"/>
  <c r="QT50" i="1" s="1"/>
  <c r="RO50" i="1" s="1"/>
  <c r="QS16" i="1"/>
  <c r="QT16" i="1" s="1"/>
  <c r="RO16" i="1" s="1"/>
  <c r="QS52" i="1"/>
  <c r="QT52" i="1" s="1"/>
  <c r="RO52" i="1" s="1"/>
  <c r="QS41" i="1"/>
  <c r="QT41" i="1" s="1"/>
  <c r="RO41" i="1" s="1"/>
  <c r="QS63" i="1"/>
  <c r="QT63" i="1" s="1"/>
  <c r="RO63" i="1" s="1"/>
  <c r="QS37" i="1"/>
  <c r="QT37" i="1" s="1"/>
  <c r="RO37" i="1" s="1"/>
  <c r="QS33" i="1"/>
  <c r="QT33" i="1" s="1"/>
  <c r="RO33" i="1" s="1"/>
  <c r="QS32" i="1"/>
  <c r="QT32" i="1" s="1"/>
  <c r="RO32" i="1" s="1"/>
  <c r="QS72" i="1"/>
  <c r="QT72" i="1" s="1"/>
  <c r="RO72" i="1" s="1"/>
  <c r="QS25" i="1"/>
  <c r="QT25" i="1" s="1"/>
  <c r="RO25" i="1" s="1"/>
  <c r="QS54" i="1"/>
  <c r="QT54" i="1" s="1"/>
  <c r="RO54" i="1" s="1"/>
  <c r="QS51" i="1"/>
  <c r="QT51" i="1" s="1"/>
  <c r="RO51" i="1" s="1"/>
  <c r="QS29" i="1"/>
  <c r="QS18" i="1"/>
  <c r="QT18" i="1" s="1"/>
  <c r="RO18" i="1" s="1"/>
  <c r="QS28" i="1"/>
  <c r="QT28" i="1" s="1"/>
  <c r="RO28" i="1" s="1"/>
  <c r="QS13" i="1"/>
  <c r="QT13" i="1" s="1"/>
  <c r="RO13" i="1" s="1"/>
  <c r="QS36" i="1"/>
  <c r="QT36" i="1" s="1"/>
  <c r="RO36" i="1" s="1"/>
  <c r="QS35" i="1"/>
  <c r="QT35" i="1" s="1"/>
  <c r="RO35" i="1" s="1"/>
  <c r="QS19" i="1"/>
  <c r="QT19" i="1" s="1"/>
  <c r="RO19" i="1" s="1"/>
  <c r="QS17" i="1"/>
  <c r="QS10" i="1"/>
  <c r="QS105" i="1"/>
  <c r="QS40" i="1"/>
  <c r="QT40" i="1" s="1"/>
  <c r="RO40" i="1" s="1"/>
  <c r="QS38" i="1"/>
  <c r="QT38" i="1" s="1"/>
  <c r="RO38" i="1" s="1"/>
  <c r="QS15" i="1"/>
  <c r="QT15" i="1" s="1"/>
  <c r="RO15" i="1" s="1"/>
  <c r="QS27" i="1"/>
  <c r="QT27" i="1" s="1"/>
  <c r="RO27" i="1" s="1"/>
  <c r="RN5" i="1"/>
  <c r="QS8" i="1"/>
  <c r="QT8" i="1" s="1"/>
  <c r="RO8" i="1" s="1"/>
  <c r="QS22" i="1"/>
  <c r="QT22" i="1" s="1"/>
  <c r="RO22" i="1" s="1"/>
  <c r="RE43" i="1"/>
  <c r="RF43" i="1" s="1"/>
  <c r="RQ43" i="1" s="1"/>
  <c r="RB7" i="1"/>
  <c r="RC7" i="1" s="1"/>
  <c r="RQ7" i="1" s="1"/>
  <c r="RK33" i="1"/>
  <c r="RK95" i="1"/>
  <c r="RK71" i="1"/>
  <c r="RK116" i="1"/>
  <c r="RK143" i="1"/>
  <c r="RK156" i="1"/>
  <c r="RK190" i="1"/>
  <c r="RK209" i="1"/>
  <c r="RM86" i="1"/>
  <c r="QX235" i="1"/>
  <c r="QD224" i="1"/>
  <c r="QD227" i="1" s="1"/>
  <c r="QD234" i="1" s="1"/>
  <c r="QE10" i="1"/>
  <c r="QE224" i="1" s="1"/>
  <c r="QE227" i="1" s="1"/>
  <c r="QE234" i="1" s="1"/>
  <c r="QV226" i="1"/>
  <c r="QW56" i="1"/>
  <c r="QW226" i="1" s="1"/>
  <c r="RK217" i="1"/>
  <c r="RK213" i="1"/>
  <c r="RQ185" i="1"/>
  <c r="QF233" i="1"/>
  <c r="QF235" i="1" s="1"/>
  <c r="RO211" i="1"/>
  <c r="RM174" i="1"/>
  <c r="RB228" i="1"/>
  <c r="RC145" i="1"/>
  <c r="RK181" i="1"/>
  <c r="RM134" i="1"/>
  <c r="RM150" i="1"/>
  <c r="RS150" i="1" s="1"/>
  <c r="RK149" i="1"/>
  <c r="RM142" i="1"/>
  <c r="RK140" i="1"/>
  <c r="RB126" i="1"/>
  <c r="RC126" i="1" s="1"/>
  <c r="RO155" i="1"/>
  <c r="RB122" i="1"/>
  <c r="RC122" i="1" s="1"/>
  <c r="RK135" i="1"/>
  <c r="RM133" i="1"/>
  <c r="RK79" i="1"/>
  <c r="RB97" i="1"/>
  <c r="RC97" i="1" s="1"/>
  <c r="RQ97" i="1" s="1"/>
  <c r="RB91" i="1"/>
  <c r="RC91" i="1" s="1"/>
  <c r="RQ91" i="1" s="1"/>
  <c r="RB57" i="1"/>
  <c r="RC57" i="1" s="1"/>
  <c r="RQ57" i="1" s="1"/>
  <c r="RB94" i="1"/>
  <c r="RC94" i="1" s="1"/>
  <c r="RQ94" i="1" s="1"/>
  <c r="RB72" i="1"/>
  <c r="RC72" i="1" s="1"/>
  <c r="PZ227" i="1"/>
  <c r="PZ234" i="1" s="1"/>
  <c r="QJ99" i="1"/>
  <c r="QK99" i="1" s="1"/>
  <c r="RM99" i="1" s="1"/>
  <c r="RB65" i="1"/>
  <c r="RC65" i="1" s="1"/>
  <c r="RK28" i="1"/>
  <c r="QP57" i="1"/>
  <c r="QQ57" i="1" s="1"/>
  <c r="RH102" i="1"/>
  <c r="RI102" i="1" s="1"/>
  <c r="RQ102" i="1" s="1"/>
  <c r="QS44" i="1"/>
  <c r="QT44" i="1" s="1"/>
  <c r="RO44" i="1" s="1"/>
  <c r="RE54" i="1"/>
  <c r="RF54" i="1" s="1"/>
  <c r="RH11" i="1"/>
  <c r="RI11" i="1" s="1"/>
  <c r="QJ48" i="1"/>
  <c r="QK48" i="1" s="1"/>
  <c r="RB60" i="1"/>
  <c r="RC60" i="1" s="1"/>
  <c r="RQ60" i="1" s="1"/>
  <c r="RB11" i="1"/>
  <c r="RC11" i="1" s="1"/>
  <c r="RE20" i="1"/>
  <c r="RF20" i="1" s="1"/>
  <c r="QJ52" i="1"/>
  <c r="QK52" i="1" s="1"/>
  <c r="RM52" i="1" s="1"/>
  <c r="QJ17" i="1"/>
  <c r="RE36" i="1"/>
  <c r="RF36" i="1" s="1"/>
  <c r="RQ36" i="1" s="1"/>
  <c r="RB31" i="1"/>
  <c r="RC31" i="1" s="1"/>
  <c r="RE66" i="1"/>
  <c r="RF66" i="1" s="1"/>
  <c r="RQ66" i="1" s="1"/>
  <c r="RG235" i="1"/>
  <c r="QY225" i="1"/>
  <c r="QZ105" i="1"/>
  <c r="QZ225" i="1" s="1"/>
  <c r="QM90" i="1"/>
  <c r="QN90" i="1" s="1"/>
  <c r="RM90" i="1" s="1"/>
  <c r="QG22" i="1"/>
  <c r="QH22" i="1" s="1"/>
  <c r="RK22" i="1" s="1"/>
  <c r="QA221" i="1"/>
  <c r="QB6" i="1"/>
  <c r="RB19" i="1"/>
  <c r="RC19" i="1" s="1"/>
  <c r="RE14" i="1"/>
  <c r="RF14" i="1" s="1"/>
  <c r="RK7" i="1"/>
  <c r="RK36" i="1"/>
  <c r="QA224" i="1"/>
  <c r="QA227" i="1" s="1"/>
  <c r="QA234" i="1" s="1"/>
  <c r="QB10" i="1"/>
  <c r="RK81" i="1"/>
  <c r="RK125" i="1"/>
  <c r="RK159" i="1"/>
  <c r="RK197" i="1"/>
  <c r="RS5" i="1"/>
  <c r="RS37" i="1" l="1"/>
  <c r="RS61" i="1"/>
  <c r="RS89" i="1"/>
  <c r="RQ99" i="1"/>
  <c r="RQ123" i="1"/>
  <c r="RQ164" i="1"/>
  <c r="RM35" i="1"/>
  <c r="RM28" i="1"/>
  <c r="RS28" i="1" s="1"/>
  <c r="RM204" i="1"/>
  <c r="RS204" i="1" s="1"/>
  <c r="RQ32" i="1"/>
  <c r="RS27" i="1"/>
  <c r="RS200" i="1"/>
  <c r="RM214" i="1"/>
  <c r="RS214" i="1" s="1"/>
  <c r="RQ55" i="1"/>
  <c r="RQ27" i="1"/>
  <c r="RS177" i="1"/>
  <c r="RS91" i="1"/>
  <c r="RS64" i="1"/>
  <c r="RS147" i="1"/>
  <c r="RS173" i="1"/>
  <c r="RM147" i="1"/>
  <c r="RS205" i="1"/>
  <c r="RQ121" i="1"/>
  <c r="RM135" i="1"/>
  <c r="RM189" i="1"/>
  <c r="RQ137" i="1"/>
  <c r="RQ73" i="1"/>
  <c r="RQ52" i="1"/>
  <c r="RS52" i="1" s="1"/>
  <c r="RQ63" i="1"/>
  <c r="RS63" i="1" s="1"/>
  <c r="RQ151" i="1"/>
  <c r="RQ146" i="1"/>
  <c r="RS146" i="1" s="1"/>
  <c r="RM120" i="1"/>
  <c r="RQ64" i="1"/>
  <c r="RQ133" i="1"/>
  <c r="RQ31" i="1"/>
  <c r="RS135" i="1"/>
  <c r="RS24" i="1"/>
  <c r="RS30" i="1"/>
  <c r="RS107" i="1"/>
  <c r="RS201" i="1"/>
  <c r="RM22" i="1"/>
  <c r="RS22" i="1" s="1"/>
  <c r="RM212" i="1"/>
  <c r="RQ92" i="1"/>
  <c r="RQ175" i="1"/>
  <c r="RQ122" i="1"/>
  <c r="RS99" i="1"/>
  <c r="RS154" i="1"/>
  <c r="RS211" i="1"/>
  <c r="QQ230" i="1"/>
  <c r="RM95" i="1"/>
  <c r="RM132" i="1"/>
  <c r="RQ77" i="1"/>
  <c r="RM192" i="1"/>
  <c r="RQ19" i="1"/>
  <c r="RS209" i="1"/>
  <c r="QW221" i="1"/>
  <c r="RS118" i="1"/>
  <c r="RM13" i="1"/>
  <c r="RM32" i="1"/>
  <c r="RM165" i="1"/>
  <c r="RQ184" i="1"/>
  <c r="RS202" i="1"/>
  <c r="RS131" i="1"/>
  <c r="RQ22" i="1"/>
  <c r="RS84" i="1"/>
  <c r="RS119" i="1"/>
  <c r="RM62" i="1"/>
  <c r="RM100" i="1"/>
  <c r="RM154" i="1"/>
  <c r="RM183" i="1"/>
  <c r="RM177" i="1"/>
  <c r="RM195" i="1"/>
  <c r="RS75" i="1"/>
  <c r="RS73" i="1"/>
  <c r="RS122" i="1"/>
  <c r="RQ59" i="1"/>
  <c r="RS165" i="1"/>
  <c r="RS114" i="1"/>
  <c r="RS117" i="1"/>
  <c r="RS155" i="1"/>
  <c r="RS66" i="1"/>
  <c r="RS102" i="1"/>
  <c r="QM231" i="1"/>
  <c r="QN9" i="1"/>
  <c r="QN231" i="1" s="1"/>
  <c r="RS69" i="1"/>
  <c r="RS85" i="1"/>
  <c r="QB230" i="1"/>
  <c r="QS223" i="1"/>
  <c r="QT39" i="1"/>
  <c r="RS137" i="1"/>
  <c r="RC223" i="1"/>
  <c r="QM230" i="1"/>
  <c r="QW227" i="1"/>
  <c r="QW234" i="1" s="1"/>
  <c r="RM41" i="1"/>
  <c r="RM77" i="1"/>
  <c r="RM148" i="1"/>
  <c r="RM151" i="1"/>
  <c r="RS151" i="1" s="1"/>
  <c r="QB222" i="1"/>
  <c r="RE226" i="1"/>
  <c r="RF56" i="1"/>
  <c r="RF226" i="1" s="1"/>
  <c r="RQ15" i="1"/>
  <c r="RS15" i="1" s="1"/>
  <c r="RQ13" i="1"/>
  <c r="RS13" i="1" s="1"/>
  <c r="RQ189" i="1"/>
  <c r="RS189" i="1" s="1"/>
  <c r="RQ203" i="1"/>
  <c r="QM222" i="1"/>
  <c r="RS144" i="1"/>
  <c r="QZ233" i="1"/>
  <c r="RE222" i="1"/>
  <c r="RF17" i="1"/>
  <c r="RF222" i="1" s="1"/>
  <c r="RS79" i="1"/>
  <c r="RS181" i="1"/>
  <c r="RS143" i="1"/>
  <c r="QS230" i="1"/>
  <c r="QT29" i="1"/>
  <c r="QS229" i="1"/>
  <c r="QT196" i="1"/>
  <c r="RS191" i="1"/>
  <c r="RB231" i="1"/>
  <c r="RC9" i="1"/>
  <c r="QH225" i="1"/>
  <c r="RB223" i="1"/>
  <c r="RH221" i="1"/>
  <c r="RI6" i="1"/>
  <c r="QV227" i="1"/>
  <c r="QV234" i="1" s="1"/>
  <c r="RS74" i="1"/>
  <c r="RM19" i="1"/>
  <c r="RS19" i="1" s="1"/>
  <c r="RM92" i="1"/>
  <c r="RM129" i="1"/>
  <c r="RS129" i="1" s="1"/>
  <c r="RM153" i="1"/>
  <c r="RM175" i="1"/>
  <c r="RQ25" i="1"/>
  <c r="RQ78" i="1"/>
  <c r="RS78" i="1" s="1"/>
  <c r="RB225" i="1"/>
  <c r="RC105" i="1"/>
  <c r="RQ169" i="1"/>
  <c r="RS169" i="1" s="1"/>
  <c r="RQ162" i="1"/>
  <c r="RS162" i="1" s="1"/>
  <c r="RQ212" i="1"/>
  <c r="RS212" i="1" s="1"/>
  <c r="QN229" i="1"/>
  <c r="QY233" i="1"/>
  <c r="RS43" i="1"/>
  <c r="RS7" i="1"/>
  <c r="RC228" i="1"/>
  <c r="RH230" i="1"/>
  <c r="RI29" i="1"/>
  <c r="RI230" i="1" s="1"/>
  <c r="RS130" i="1"/>
  <c r="QB231" i="1"/>
  <c r="RK9" i="1"/>
  <c r="QG225" i="1"/>
  <c r="QK226" i="1"/>
  <c r="RL213" i="1"/>
  <c r="RL208" i="1"/>
  <c r="RL201" i="1"/>
  <c r="RL198" i="1"/>
  <c r="RL214" i="1"/>
  <c r="RL211" i="1"/>
  <c r="RL206" i="1"/>
  <c r="RL216" i="1"/>
  <c r="RL212" i="1"/>
  <c r="RL205" i="1"/>
  <c r="RL209" i="1"/>
  <c r="RL196" i="1"/>
  <c r="RL217" i="1"/>
  <c r="RL197" i="1"/>
  <c r="RL200" i="1"/>
  <c r="RL210" i="1"/>
  <c r="RL189" i="1"/>
  <c r="RL199" i="1"/>
  <c r="RL187" i="1"/>
  <c r="RL203" i="1"/>
  <c r="RL207" i="1"/>
  <c r="RL215" i="1"/>
  <c r="RL202" i="1"/>
  <c r="RL181" i="1"/>
  <c r="RL176" i="1"/>
  <c r="RL193" i="1"/>
  <c r="RL191" i="1"/>
  <c r="RL186" i="1"/>
  <c r="RL204" i="1"/>
  <c r="RL195" i="1"/>
  <c r="RL185" i="1"/>
  <c r="RL180" i="1"/>
  <c r="RL190" i="1"/>
  <c r="RL183" i="1"/>
  <c r="RL194" i="1"/>
  <c r="RL188" i="1"/>
  <c r="RL164" i="1"/>
  <c r="RL182" i="1"/>
  <c r="RL174" i="1"/>
  <c r="RL169" i="1"/>
  <c r="RL157" i="1"/>
  <c r="RL145" i="1"/>
  <c r="RL184" i="1"/>
  <c r="RL167" i="1"/>
  <c r="RL173" i="1"/>
  <c r="RL178" i="1"/>
  <c r="RL161" i="1"/>
  <c r="RL166" i="1"/>
  <c r="RL177" i="1"/>
  <c r="RL175" i="1"/>
  <c r="RL162" i="1"/>
  <c r="RL150" i="1"/>
  <c r="RL147" i="1"/>
  <c r="RL165" i="1"/>
  <c r="RL153" i="1"/>
  <c r="RL134" i="1"/>
  <c r="RL192" i="1"/>
  <c r="RL156" i="1"/>
  <c r="RL158" i="1"/>
  <c r="RL160" i="1"/>
  <c r="RL170" i="1"/>
  <c r="RL148" i="1"/>
  <c r="RL172" i="1"/>
  <c r="RL171" i="1"/>
  <c r="RL154" i="1"/>
  <c r="RL151" i="1"/>
  <c r="RL146" i="1"/>
  <c r="RL136" i="1"/>
  <c r="RL126" i="1"/>
  <c r="RL114" i="1"/>
  <c r="RL159" i="1"/>
  <c r="RL124" i="1"/>
  <c r="RL149" i="1"/>
  <c r="RL168" i="1"/>
  <c r="RL143" i="1"/>
  <c r="RL142" i="1"/>
  <c r="RL141" i="1"/>
  <c r="RL135" i="1"/>
  <c r="RL127" i="1"/>
  <c r="RL115" i="1"/>
  <c r="RL163" i="1"/>
  <c r="RL155" i="1"/>
  <c r="RL137" i="1"/>
  <c r="RL152" i="1"/>
  <c r="RL125" i="1"/>
  <c r="RL179" i="1"/>
  <c r="RL111" i="1"/>
  <c r="RL108" i="1"/>
  <c r="RL102" i="1"/>
  <c r="RL123" i="1"/>
  <c r="RL110" i="1"/>
  <c r="RL105" i="1"/>
  <c r="RL225" i="1" s="1"/>
  <c r="RL130" i="1"/>
  <c r="RL120" i="1"/>
  <c r="RL121" i="1"/>
  <c r="RL118" i="1"/>
  <c r="RL116" i="1"/>
  <c r="RL144" i="1"/>
  <c r="RL133" i="1"/>
  <c r="RL129" i="1"/>
  <c r="RL128" i="1"/>
  <c r="RL132" i="1"/>
  <c r="RL140" i="1"/>
  <c r="RL109" i="1"/>
  <c r="RL113" i="1"/>
  <c r="RL93" i="1"/>
  <c r="RL81" i="1"/>
  <c r="RL106" i="1"/>
  <c r="RL117" i="1"/>
  <c r="RL122" i="1"/>
  <c r="RL84" i="1"/>
  <c r="RL107" i="1"/>
  <c r="RL139" i="1"/>
  <c r="RL131" i="1"/>
  <c r="RL119" i="1"/>
  <c r="RL112" i="1"/>
  <c r="RL83" i="1"/>
  <c r="RL68" i="1"/>
  <c r="RL56" i="1"/>
  <c r="RL97" i="1"/>
  <c r="RL91" i="1"/>
  <c r="RL87" i="1"/>
  <c r="RL103" i="1"/>
  <c r="RL73" i="1"/>
  <c r="RL66" i="1"/>
  <c r="RL98" i="1"/>
  <c r="RL88" i="1"/>
  <c r="RL85" i="1"/>
  <c r="RL77" i="1"/>
  <c r="RL59" i="1"/>
  <c r="RL138" i="1"/>
  <c r="RL82" i="1"/>
  <c r="RL78" i="1"/>
  <c r="RL72" i="1"/>
  <c r="RL69" i="1"/>
  <c r="RL96" i="1"/>
  <c r="RL94" i="1"/>
  <c r="RL100" i="1"/>
  <c r="RL79" i="1"/>
  <c r="RL64" i="1"/>
  <c r="RL80" i="1"/>
  <c r="RL95" i="1"/>
  <c r="RL60" i="1"/>
  <c r="RL42" i="1"/>
  <c r="RL30" i="1"/>
  <c r="RL65" i="1"/>
  <c r="RL70" i="1"/>
  <c r="RL67" i="1"/>
  <c r="RL99" i="1"/>
  <c r="RL76" i="1"/>
  <c r="RL58" i="1"/>
  <c r="RL57" i="1"/>
  <c r="RL51" i="1"/>
  <c r="RL45" i="1"/>
  <c r="RL33" i="1"/>
  <c r="RL92" i="1"/>
  <c r="RL63" i="1"/>
  <c r="RL89" i="1"/>
  <c r="RL104" i="1"/>
  <c r="RL75" i="1"/>
  <c r="RL74" i="1"/>
  <c r="RL52" i="1"/>
  <c r="RL62" i="1"/>
  <c r="RL53" i="1"/>
  <c r="RL49" i="1"/>
  <c r="RL46" i="1"/>
  <c r="RL38" i="1"/>
  <c r="RL22" i="1"/>
  <c r="RL10" i="1"/>
  <c r="RL86" i="1"/>
  <c r="RL71" i="1"/>
  <c r="RL61" i="1"/>
  <c r="RL43" i="1"/>
  <c r="RL27" i="1"/>
  <c r="RL15" i="1"/>
  <c r="RL39" i="1"/>
  <c r="RL223" i="1" s="1"/>
  <c r="RL35" i="1"/>
  <c r="RL20" i="1"/>
  <c r="RL8" i="1"/>
  <c r="RL90" i="1"/>
  <c r="RL32" i="1"/>
  <c r="RL25" i="1"/>
  <c r="RL13" i="1"/>
  <c r="RL40" i="1"/>
  <c r="RL36" i="1"/>
  <c r="RL23" i="1"/>
  <c r="RL11" i="1"/>
  <c r="RL6" i="1"/>
  <c r="RL101" i="1"/>
  <c r="RL55" i="1"/>
  <c r="RL54" i="1"/>
  <c r="RL44" i="1"/>
  <c r="RL19" i="1"/>
  <c r="RL48" i="1"/>
  <c r="RL41" i="1"/>
  <c r="RL24" i="1"/>
  <c r="RL28" i="1"/>
  <c r="RL17" i="1"/>
  <c r="RL18" i="1"/>
  <c r="RL47" i="1"/>
  <c r="RL9" i="1"/>
  <c r="RL231" i="1" s="1"/>
  <c r="RL37" i="1"/>
  <c r="RL31" i="1"/>
  <c r="RL26" i="1"/>
  <c r="RL50" i="1"/>
  <c r="RL29" i="1"/>
  <c r="RL34" i="1"/>
  <c r="RL14" i="1"/>
  <c r="RL16" i="1"/>
  <c r="RL21" i="1"/>
  <c r="RL7" i="1"/>
  <c r="RL12" i="1"/>
  <c r="QJ230" i="1"/>
  <c r="QK29" i="1"/>
  <c r="QJ223" i="1"/>
  <c r="QK39" i="1"/>
  <c r="RM111" i="1"/>
  <c r="RS111" i="1" s="1"/>
  <c r="RM156" i="1"/>
  <c r="RM180" i="1"/>
  <c r="RM178" i="1"/>
  <c r="RS178" i="1" s="1"/>
  <c r="RE229" i="1"/>
  <c r="RF196" i="1"/>
  <c r="RF229" i="1" s="1"/>
  <c r="RB224" i="1"/>
  <c r="RC10" i="1"/>
  <c r="RQ35" i="1"/>
  <c r="RS35" i="1" s="1"/>
  <c r="RQ33" i="1"/>
  <c r="RQ132" i="1"/>
  <c r="RQ140" i="1"/>
  <c r="RS140" i="1" s="1"/>
  <c r="RQ171" i="1"/>
  <c r="RS171" i="1" s="1"/>
  <c r="RQ190" i="1"/>
  <c r="QQ222" i="1"/>
  <c r="QM229" i="1"/>
  <c r="QP223" i="1"/>
  <c r="QQ39" i="1"/>
  <c r="QQ223" i="1" s="1"/>
  <c r="RQ21" i="1"/>
  <c r="QW233" i="1"/>
  <c r="RB229" i="1"/>
  <c r="RB233" i="1" s="1"/>
  <c r="RC196" i="1"/>
  <c r="QV233" i="1"/>
  <c r="QS225" i="1"/>
  <c r="QT105" i="1"/>
  <c r="RH222" i="1"/>
  <c r="QB229" i="1"/>
  <c r="QG230" i="1"/>
  <c r="QH29" i="1"/>
  <c r="QH230" i="1" s="1"/>
  <c r="QG229" i="1"/>
  <c r="QH196" i="1"/>
  <c r="QH229" i="1" s="1"/>
  <c r="RS96" i="1"/>
  <c r="RS110" i="1"/>
  <c r="RS113" i="1"/>
  <c r="RQ166" i="1"/>
  <c r="RQ217" i="1"/>
  <c r="RS217" i="1" s="1"/>
  <c r="RJ222" i="1"/>
  <c r="QB221" i="1"/>
  <c r="QJ222" i="1"/>
  <c r="QK17" i="1"/>
  <c r="RQ65" i="1"/>
  <c r="QS224" i="1"/>
  <c r="QS227" i="1" s="1"/>
  <c r="QT10" i="1"/>
  <c r="RH231" i="1"/>
  <c r="RI9" i="1"/>
  <c r="RI231" i="1" s="1"/>
  <c r="RS207" i="1"/>
  <c r="RS12" i="1"/>
  <c r="RS164" i="1"/>
  <c r="QZ221" i="1"/>
  <c r="QM221" i="1"/>
  <c r="QN6" i="1"/>
  <c r="RS134" i="1"/>
  <c r="RS70" i="1"/>
  <c r="QZ227" i="1"/>
  <c r="QZ234" i="1" s="1"/>
  <c r="QB225" i="1"/>
  <c r="RK105" i="1"/>
  <c r="RM21" i="1"/>
  <c r="RS21" i="1" s="1"/>
  <c r="RM71" i="1"/>
  <c r="RM80" i="1"/>
  <c r="RS80" i="1" s="1"/>
  <c r="RM116" i="1"/>
  <c r="RS116" i="1" s="1"/>
  <c r="RM123" i="1"/>
  <c r="RM182" i="1"/>
  <c r="QE233" i="1"/>
  <c r="RS210" i="1"/>
  <c r="RQ53" i="1"/>
  <c r="RQ42" i="1"/>
  <c r="RS42" i="1" s="1"/>
  <c r="RQ38" i="1"/>
  <c r="RQ142" i="1"/>
  <c r="RS142" i="1" s="1"/>
  <c r="RQ160" i="1"/>
  <c r="RS160" i="1" s="1"/>
  <c r="RQ182" i="1"/>
  <c r="RQ206" i="1"/>
  <c r="RS206" i="1" s="1"/>
  <c r="QS221" i="1"/>
  <c r="QT6" i="1"/>
  <c r="QS226" i="1"/>
  <c r="QN228" i="1"/>
  <c r="RR5" i="1"/>
  <c r="RJ226" i="1"/>
  <c r="QP226" i="1"/>
  <c r="RS46" i="1"/>
  <c r="QJ224" i="1"/>
  <c r="QJ227" i="1" s="1"/>
  <c r="QJ234" i="1" s="1"/>
  <c r="QK10" i="1"/>
  <c r="QJ231" i="1"/>
  <c r="QK9" i="1"/>
  <c r="RM136" i="1"/>
  <c r="RS136" i="1" s="1"/>
  <c r="RQ195" i="1"/>
  <c r="RS195" i="1" s="1"/>
  <c r="RB222" i="1"/>
  <c r="RC17" i="1"/>
  <c r="QT226" i="1"/>
  <c r="RO56" i="1"/>
  <c r="RO226" i="1" s="1"/>
  <c r="RS159" i="1"/>
  <c r="RQ126" i="1"/>
  <c r="QS222" i="1"/>
  <c r="QT17" i="1"/>
  <c r="RH224" i="1"/>
  <c r="RH227" i="1" s="1"/>
  <c r="RI10" i="1"/>
  <c r="RI224" i="1" s="1"/>
  <c r="RI227" i="1" s="1"/>
  <c r="RS133" i="1"/>
  <c r="RI225" i="1"/>
  <c r="QG228" i="1"/>
  <c r="QH145" i="1"/>
  <c r="QH228" i="1" s="1"/>
  <c r="QM223" i="1"/>
  <c r="QN39" i="1"/>
  <c r="QN223" i="1" s="1"/>
  <c r="QM225" i="1"/>
  <c r="QN105" i="1"/>
  <c r="QN225" i="1" s="1"/>
  <c r="RS138" i="1"/>
  <c r="QY227" i="1"/>
  <c r="QY234" i="1" s="1"/>
  <c r="RM59" i="1"/>
  <c r="RS59" i="1" s="1"/>
  <c r="RM47" i="1"/>
  <c r="RM44" i="1"/>
  <c r="RM108" i="1"/>
  <c r="RS108" i="1" s="1"/>
  <c r="RM166" i="1"/>
  <c r="RS166" i="1" s="1"/>
  <c r="RM188" i="1"/>
  <c r="RM203" i="1"/>
  <c r="QD233" i="1"/>
  <c r="RE223" i="1"/>
  <c r="RF39" i="1"/>
  <c r="RF223" i="1" s="1"/>
  <c r="RP215" i="1"/>
  <c r="RP213" i="1"/>
  <c r="RP210" i="1"/>
  <c r="RP199" i="1"/>
  <c r="RP202" i="1"/>
  <c r="RP209" i="1"/>
  <c r="RP204" i="1"/>
  <c r="RP201" i="1"/>
  <c r="RP198" i="1"/>
  <c r="RP192" i="1"/>
  <c r="RP214" i="1"/>
  <c r="RP211" i="1"/>
  <c r="RP206" i="1"/>
  <c r="RP205" i="1"/>
  <c r="RP185" i="1"/>
  <c r="RP194" i="1"/>
  <c r="RP191" i="1"/>
  <c r="RP183" i="1"/>
  <c r="RP216" i="1"/>
  <c r="RP212" i="1"/>
  <c r="RP196" i="1"/>
  <c r="RP229" i="1" s="1"/>
  <c r="RP195" i="1"/>
  <c r="RP200" i="1"/>
  <c r="RP190" i="1"/>
  <c r="RP180" i="1"/>
  <c r="RP172" i="1"/>
  <c r="RP203" i="1"/>
  <c r="RP177" i="1"/>
  <c r="RP197" i="1"/>
  <c r="RP188" i="1"/>
  <c r="RP184" i="1"/>
  <c r="RP179" i="1"/>
  <c r="RP187" i="1"/>
  <c r="RP182" i="1"/>
  <c r="RP193" i="1"/>
  <c r="RP186" i="1"/>
  <c r="RP217" i="1"/>
  <c r="RP208" i="1"/>
  <c r="RP173" i="1"/>
  <c r="RP160" i="1"/>
  <c r="RP181" i="1"/>
  <c r="RP165" i="1"/>
  <c r="RP153" i="1"/>
  <c r="RP141" i="1"/>
  <c r="RP176" i="1"/>
  <c r="RP175" i="1"/>
  <c r="RP163" i="1"/>
  <c r="RP168" i="1"/>
  <c r="RP169" i="1"/>
  <c r="RP207" i="1"/>
  <c r="RP189" i="1"/>
  <c r="RP174" i="1"/>
  <c r="RP171" i="1"/>
  <c r="RP162" i="1"/>
  <c r="RP146" i="1"/>
  <c r="RP143" i="1"/>
  <c r="RP140" i="1"/>
  <c r="RP161" i="1"/>
  <c r="RP159" i="1"/>
  <c r="RP149" i="1"/>
  <c r="RP166" i="1"/>
  <c r="RP155" i="1"/>
  <c r="RP152" i="1"/>
  <c r="RP150" i="1"/>
  <c r="RP157" i="1"/>
  <c r="RP156" i="1"/>
  <c r="RP158" i="1"/>
  <c r="RP151" i="1"/>
  <c r="RP145" i="1"/>
  <c r="RP122" i="1"/>
  <c r="RP110" i="1"/>
  <c r="RP154" i="1"/>
  <c r="RP132" i="1"/>
  <c r="RP178" i="1"/>
  <c r="RP123" i="1"/>
  <c r="RP148" i="1"/>
  <c r="RP131" i="1"/>
  <c r="RP170" i="1"/>
  <c r="RP167" i="1"/>
  <c r="RP136" i="1"/>
  <c r="RP135" i="1"/>
  <c r="RP164" i="1"/>
  <c r="RP98" i="1"/>
  <c r="RP130" i="1"/>
  <c r="RP120" i="1"/>
  <c r="RP139" i="1"/>
  <c r="RP134" i="1"/>
  <c r="RP127" i="1"/>
  <c r="RP119" i="1"/>
  <c r="RP114" i="1"/>
  <c r="RP138" i="1"/>
  <c r="RP121" i="1"/>
  <c r="RP117" i="1"/>
  <c r="RP116" i="1"/>
  <c r="RP128" i="1"/>
  <c r="RP126" i="1"/>
  <c r="RP125" i="1"/>
  <c r="RP147" i="1"/>
  <c r="RP142" i="1"/>
  <c r="RP133" i="1"/>
  <c r="RP89" i="1"/>
  <c r="RP77" i="1"/>
  <c r="RP144" i="1"/>
  <c r="RP137" i="1"/>
  <c r="RP129" i="1"/>
  <c r="RP107" i="1"/>
  <c r="RP103" i="1"/>
  <c r="RP92" i="1"/>
  <c r="RP80" i="1"/>
  <c r="RP108" i="1"/>
  <c r="RP109" i="1"/>
  <c r="RP118" i="1"/>
  <c r="RP113" i="1"/>
  <c r="RP106" i="1"/>
  <c r="RP105" i="1"/>
  <c r="RP64" i="1"/>
  <c r="RP52" i="1"/>
  <c r="RP102" i="1"/>
  <c r="RP82" i="1"/>
  <c r="RP111" i="1"/>
  <c r="RP99" i="1"/>
  <c r="RP72" i="1"/>
  <c r="RP62" i="1"/>
  <c r="RP95" i="1"/>
  <c r="RP67" i="1"/>
  <c r="RP55" i="1"/>
  <c r="RP79" i="1"/>
  <c r="RP75" i="1"/>
  <c r="RP112" i="1"/>
  <c r="RP104" i="1"/>
  <c r="RP101" i="1"/>
  <c r="RP96" i="1"/>
  <c r="RP93" i="1"/>
  <c r="RP76" i="1"/>
  <c r="RP74" i="1"/>
  <c r="RP65" i="1"/>
  <c r="RP100" i="1"/>
  <c r="RP97" i="1"/>
  <c r="RP91" i="1"/>
  <c r="RP87" i="1"/>
  <c r="RP115" i="1"/>
  <c r="RP83" i="1"/>
  <c r="RP85" i="1"/>
  <c r="RP70" i="1"/>
  <c r="RP58" i="1"/>
  <c r="RP38" i="1"/>
  <c r="RP94" i="1"/>
  <c r="RP90" i="1"/>
  <c r="RP57" i="1"/>
  <c r="RP81" i="1"/>
  <c r="RP71" i="1"/>
  <c r="RP61" i="1"/>
  <c r="RP124" i="1"/>
  <c r="RP88" i="1"/>
  <c r="RP86" i="1"/>
  <c r="RP69" i="1"/>
  <c r="RP68" i="1"/>
  <c r="RP63" i="1"/>
  <c r="RP41" i="1"/>
  <c r="RP29" i="1"/>
  <c r="RP78" i="1"/>
  <c r="RP73" i="1"/>
  <c r="RP66" i="1"/>
  <c r="RP60" i="1"/>
  <c r="RP18" i="1"/>
  <c r="RP40" i="1"/>
  <c r="RP36" i="1"/>
  <c r="RP23" i="1"/>
  <c r="RP11" i="1"/>
  <c r="RP37" i="1"/>
  <c r="RP34" i="1"/>
  <c r="RP33" i="1"/>
  <c r="RP30" i="1"/>
  <c r="RP16" i="1"/>
  <c r="RP21" i="1"/>
  <c r="RP9" i="1"/>
  <c r="RP231" i="1" s="1"/>
  <c r="RP59" i="1"/>
  <c r="RP50" i="1"/>
  <c r="RP31" i="1"/>
  <c r="RP47" i="1"/>
  <c r="RP44" i="1"/>
  <c r="RP19" i="1"/>
  <c r="RP53" i="1"/>
  <c r="RP27" i="1"/>
  <c r="RP15" i="1"/>
  <c r="RP43" i="1"/>
  <c r="RP39" i="1"/>
  <c r="RP20" i="1"/>
  <c r="RP56" i="1"/>
  <c r="RP226" i="1" s="1"/>
  <c r="RP35" i="1"/>
  <c r="RP32" i="1"/>
  <c r="RP25" i="1"/>
  <c r="RP13" i="1"/>
  <c r="RP24" i="1"/>
  <c r="RP22" i="1"/>
  <c r="RP48" i="1"/>
  <c r="RP84" i="1"/>
  <c r="RP49" i="1"/>
  <c r="RP26" i="1"/>
  <c r="RP6" i="1"/>
  <c r="RP10" i="1"/>
  <c r="RP224" i="1" s="1"/>
  <c r="RP28" i="1"/>
  <c r="RP7" i="1"/>
  <c r="RP46" i="1"/>
  <c r="RP45" i="1"/>
  <c r="RP42" i="1"/>
  <c r="RP8" i="1"/>
  <c r="RP51" i="1"/>
  <c r="RP54" i="1"/>
  <c r="RP12" i="1"/>
  <c r="RP17" i="1"/>
  <c r="RP14" i="1"/>
  <c r="RQ58" i="1"/>
  <c r="RS58" i="1" s="1"/>
  <c r="RQ148" i="1"/>
  <c r="RQ163" i="1"/>
  <c r="QB223" i="1"/>
  <c r="RK39" i="1"/>
  <c r="QE221" i="1"/>
  <c r="RQ54" i="1"/>
  <c r="RS54" i="1" s="1"/>
  <c r="QM228" i="1"/>
  <c r="RH228" i="1"/>
  <c r="RI145" i="1"/>
  <c r="RI228" i="1" s="1"/>
  <c r="QJ228" i="1"/>
  <c r="QK145" i="1"/>
  <c r="RE225" i="1"/>
  <c r="RF105" i="1"/>
  <c r="RF225" i="1" s="1"/>
  <c r="RS26" i="1"/>
  <c r="RH229" i="1"/>
  <c r="RI196" i="1"/>
  <c r="RI229" i="1" s="1"/>
  <c r="QG222" i="1"/>
  <c r="QH17" i="1"/>
  <c r="QH222" i="1" s="1"/>
  <c r="RS23" i="1"/>
  <c r="RQ20" i="1"/>
  <c r="RS20" i="1" s="1"/>
  <c r="QM224" i="1"/>
  <c r="QM227" i="1" s="1"/>
  <c r="QN10" i="1"/>
  <c r="QN224" i="1" s="1"/>
  <c r="QN227" i="1" s="1"/>
  <c r="RB230" i="1"/>
  <c r="RC29" i="1"/>
  <c r="RQ139" i="1"/>
  <c r="RS139" i="1" s="1"/>
  <c r="RS121" i="1"/>
  <c r="RS104" i="1"/>
  <c r="RM25" i="1"/>
  <c r="RS25" i="1" s="1"/>
  <c r="RM68" i="1"/>
  <c r="RM67" i="1"/>
  <c r="RS67" i="1" s="1"/>
  <c r="RM172" i="1"/>
  <c r="RS172" i="1" s="1"/>
  <c r="RE224" i="1"/>
  <c r="RE227" i="1" s="1"/>
  <c r="RE234" i="1" s="1"/>
  <c r="RF10" i="1"/>
  <c r="RF224" i="1" s="1"/>
  <c r="RE228" i="1"/>
  <c r="RE233" i="1" s="1"/>
  <c r="RF145" i="1"/>
  <c r="RF228" i="1" s="1"/>
  <c r="RQ47" i="1"/>
  <c r="RQ88" i="1"/>
  <c r="RS88" i="1" s="1"/>
  <c r="RQ152" i="1"/>
  <c r="RS152" i="1" s="1"/>
  <c r="RQ168" i="1"/>
  <c r="RQ179" i="1"/>
  <c r="QH223" i="1"/>
  <c r="QD235" i="1"/>
  <c r="QP224" i="1"/>
  <c r="QP227" i="1" s="1"/>
  <c r="QP234" i="1" s="1"/>
  <c r="QQ10" i="1"/>
  <c r="QQ224" i="1" s="1"/>
  <c r="QQ227" i="1" s="1"/>
  <c r="QQ234" i="1" s="1"/>
  <c r="QP228" i="1"/>
  <c r="QP233" i="1" s="1"/>
  <c r="QQ145" i="1"/>
  <c r="QQ228" i="1" s="1"/>
  <c r="QQ233" i="1" s="1"/>
  <c r="RJ223" i="1"/>
  <c r="RJ225" i="1"/>
  <c r="RQ11" i="1"/>
  <c r="RS11" i="1" s="1"/>
  <c r="RQ72" i="1"/>
  <c r="RS213" i="1"/>
  <c r="RS203" i="1"/>
  <c r="QK225" i="1"/>
  <c r="RM105" i="1"/>
  <c r="RS128" i="1"/>
  <c r="QP221" i="1"/>
  <c r="QP235" i="1" s="1"/>
  <c r="QQ6" i="1"/>
  <c r="QT228" i="1"/>
  <c r="RO145" i="1"/>
  <c r="RO228" i="1" s="1"/>
  <c r="QB226" i="1"/>
  <c r="RM53" i="1"/>
  <c r="RS53" i="1" s="1"/>
  <c r="RM55" i="1"/>
  <c r="RS55" i="1" s="1"/>
  <c r="RM82" i="1"/>
  <c r="RM126" i="1"/>
  <c r="RS126" i="1" s="1"/>
  <c r="RM163" i="1"/>
  <c r="RM179" i="1"/>
  <c r="RS174" i="1"/>
  <c r="RE230" i="1"/>
  <c r="RF29" i="1"/>
  <c r="RF230" i="1" s="1"/>
  <c r="RQ44" i="1"/>
  <c r="RQ16" i="1"/>
  <c r="RQ90" i="1"/>
  <c r="RS90" i="1" s="1"/>
  <c r="RQ98" i="1"/>
  <c r="RQ156" i="1"/>
  <c r="RQ193" i="1"/>
  <c r="RS193" i="1" s="1"/>
  <c r="RQ188" i="1"/>
  <c r="QG223" i="1"/>
  <c r="RS216" i="1"/>
  <c r="RS149" i="1"/>
  <c r="RS182" i="1"/>
  <c r="RS98" i="1"/>
  <c r="QW235" i="1"/>
  <c r="RS106" i="1"/>
  <c r="QG226" i="1"/>
  <c r="QH56" i="1"/>
  <c r="QH226" i="1" s="1"/>
  <c r="RH223" i="1"/>
  <c r="RI39" i="1"/>
  <c r="RI223" i="1" s="1"/>
  <c r="RS194" i="1"/>
  <c r="RS82" i="1"/>
  <c r="RQ101" i="1"/>
  <c r="RS101" i="1" s="1"/>
  <c r="RQ125" i="1"/>
  <c r="RS125" i="1" s="1"/>
  <c r="QG224" i="1"/>
  <c r="QG227" i="1" s="1"/>
  <c r="QH10" i="1"/>
  <c r="QH224" i="1" s="1"/>
  <c r="QH227" i="1" s="1"/>
  <c r="RS109" i="1"/>
  <c r="QS228" i="1"/>
  <c r="QB228" i="1"/>
  <c r="QB233" i="1" s="1"/>
  <c r="RK145" i="1"/>
  <c r="RM31" i="1"/>
  <c r="RS31" i="1" s="1"/>
  <c r="RM16" i="1"/>
  <c r="RM33" i="1"/>
  <c r="RM57" i="1"/>
  <c r="RS57" i="1" s="1"/>
  <c r="RM83" i="1"/>
  <c r="RM112" i="1"/>
  <c r="RS112" i="1" s="1"/>
  <c r="RM168" i="1"/>
  <c r="RM197" i="1"/>
  <c r="RS197" i="1" s="1"/>
  <c r="RE221" i="1"/>
  <c r="RF6" i="1"/>
  <c r="RF221" i="1" s="1"/>
  <c r="RQ8" i="1"/>
  <c r="RS8" i="1" s="1"/>
  <c r="RQ50" i="1"/>
  <c r="RS50" i="1" s="1"/>
  <c r="RQ95" i="1"/>
  <c r="RS95" i="1" s="1"/>
  <c r="RQ158" i="1"/>
  <c r="RQ197" i="1"/>
  <c r="RQ183" i="1"/>
  <c r="RS183" i="1" s="1"/>
  <c r="RQ215" i="1"/>
  <c r="RS215" i="1" s="1"/>
  <c r="QT231" i="1"/>
  <c r="RO9" i="1"/>
  <c r="RO231" i="1" s="1"/>
  <c r="RJ230" i="1"/>
  <c r="RJ228" i="1"/>
  <c r="RJ233" i="1" s="1"/>
  <c r="RS71" i="1"/>
  <c r="RI222" i="1"/>
  <c r="RS163" i="1"/>
  <c r="RS158" i="1"/>
  <c r="RM48" i="1"/>
  <c r="RS48" i="1" s="1"/>
  <c r="RH226" i="1"/>
  <c r="RI56" i="1"/>
  <c r="RI226" i="1" s="1"/>
  <c r="RS153" i="1"/>
  <c r="QG221" i="1"/>
  <c r="QH6" i="1"/>
  <c r="RS100" i="1"/>
  <c r="RS185" i="1"/>
  <c r="QV235" i="1"/>
  <c r="RS86" i="1"/>
  <c r="RQ40" i="1"/>
  <c r="RS40" i="1" s="1"/>
  <c r="RS208" i="1"/>
  <c r="RS60" i="1"/>
  <c r="QM226" i="1"/>
  <c r="QN56" i="1"/>
  <c r="QN226" i="1" s="1"/>
  <c r="QA233" i="1"/>
  <c r="QA235" i="1" s="1"/>
  <c r="RQ14" i="1"/>
  <c r="RS14" i="1" s="1"/>
  <c r="RM36" i="1"/>
  <c r="RS36" i="1" s="1"/>
  <c r="RM65" i="1"/>
  <c r="RS65" i="1" s="1"/>
  <c r="RM81" i="1"/>
  <c r="RS81" i="1" s="1"/>
  <c r="RM157" i="1"/>
  <c r="RS157" i="1" s="1"/>
  <c r="QJ229" i="1"/>
  <c r="QK196" i="1"/>
  <c r="RS76" i="1"/>
  <c r="RB221" i="1"/>
  <c r="RC6" i="1"/>
  <c r="RQ83" i="1"/>
  <c r="RB226" i="1"/>
  <c r="RC56" i="1"/>
  <c r="RQ104" i="1"/>
  <c r="RQ120" i="1"/>
  <c r="RQ161" i="1"/>
  <c r="RS161" i="1" s="1"/>
  <c r="RQ176" i="1"/>
  <c r="RS176" i="1" s="1"/>
  <c r="RQ192" i="1"/>
  <c r="RS192" i="1" s="1"/>
  <c r="RS187" i="1"/>
  <c r="RS186" i="1"/>
  <c r="QB224" i="1"/>
  <c r="QB227" i="1" s="1"/>
  <c r="RS190" i="1"/>
  <c r="RN215" i="1"/>
  <c r="RN217" i="1"/>
  <c r="RN196" i="1"/>
  <c r="RN204" i="1"/>
  <c r="RN207" i="1"/>
  <c r="RN203" i="1"/>
  <c r="RN208" i="1"/>
  <c r="RN202" i="1"/>
  <c r="RN200" i="1"/>
  <c r="RN199" i="1"/>
  <c r="RN194" i="1"/>
  <c r="RN216" i="1"/>
  <c r="RN214" i="1"/>
  <c r="RN210" i="1"/>
  <c r="RN201" i="1"/>
  <c r="RN187" i="1"/>
  <c r="RN213" i="1"/>
  <c r="RN185" i="1"/>
  <c r="RN212" i="1"/>
  <c r="RN197" i="1"/>
  <c r="RN209" i="1"/>
  <c r="RN174" i="1"/>
  <c r="RN205" i="1"/>
  <c r="RN198" i="1"/>
  <c r="RN180" i="1"/>
  <c r="RN206" i="1"/>
  <c r="RN195" i="1"/>
  <c r="RN190" i="1"/>
  <c r="RN183" i="1"/>
  <c r="RN177" i="1"/>
  <c r="RN192" i="1"/>
  <c r="RN188" i="1"/>
  <c r="RN184" i="1"/>
  <c r="RN179" i="1"/>
  <c r="RN211" i="1"/>
  <c r="RN193" i="1"/>
  <c r="RN191" i="1"/>
  <c r="RN182" i="1"/>
  <c r="RN171" i="1"/>
  <c r="RN162" i="1"/>
  <c r="RN167" i="1"/>
  <c r="RN155" i="1"/>
  <c r="RN143" i="1"/>
  <c r="RN173" i="1"/>
  <c r="RN181" i="1"/>
  <c r="RN165" i="1"/>
  <c r="RN170" i="1"/>
  <c r="RN164" i="1"/>
  <c r="RN189" i="1"/>
  <c r="RN186" i="1"/>
  <c r="RN157" i="1"/>
  <c r="RN156" i="1"/>
  <c r="RN158" i="1"/>
  <c r="RN169" i="1"/>
  <c r="RN163" i="1"/>
  <c r="RN160" i="1"/>
  <c r="RN146" i="1"/>
  <c r="RN168" i="1"/>
  <c r="RN161" i="1"/>
  <c r="RN159" i="1"/>
  <c r="RN175" i="1"/>
  <c r="RN147" i="1"/>
  <c r="RN124" i="1"/>
  <c r="RN112" i="1"/>
  <c r="RN149" i="1"/>
  <c r="RN151" i="1"/>
  <c r="RN145" i="1"/>
  <c r="RN228" i="1" s="1"/>
  <c r="RN154" i="1"/>
  <c r="RN178" i="1"/>
  <c r="RN139" i="1"/>
  <c r="RN138" i="1"/>
  <c r="RN125" i="1"/>
  <c r="RN113" i="1"/>
  <c r="RN150" i="1"/>
  <c r="RN133" i="1"/>
  <c r="RN148" i="1"/>
  <c r="RN172" i="1"/>
  <c r="RN153" i="1"/>
  <c r="RN142" i="1"/>
  <c r="RN136" i="1"/>
  <c r="RN135" i="1"/>
  <c r="RN100" i="1"/>
  <c r="RN141" i="1"/>
  <c r="RN123" i="1"/>
  <c r="RN152" i="1"/>
  <c r="RN130" i="1"/>
  <c r="RN140" i="1"/>
  <c r="RN134" i="1"/>
  <c r="RN127" i="1"/>
  <c r="RN122" i="1"/>
  <c r="RN120" i="1"/>
  <c r="RN176" i="1"/>
  <c r="RN119" i="1"/>
  <c r="RN144" i="1"/>
  <c r="RN129" i="1"/>
  <c r="RN132" i="1"/>
  <c r="RN126" i="1"/>
  <c r="RN166" i="1"/>
  <c r="RN118" i="1"/>
  <c r="RN105" i="1"/>
  <c r="RN106" i="1"/>
  <c r="RN104" i="1"/>
  <c r="RN121" i="1"/>
  <c r="RN117" i="1"/>
  <c r="RN91" i="1"/>
  <c r="RN79" i="1"/>
  <c r="RN128" i="1"/>
  <c r="RN110" i="1"/>
  <c r="RN137" i="1"/>
  <c r="RN116" i="1"/>
  <c r="RN107" i="1"/>
  <c r="RN94" i="1"/>
  <c r="RN82" i="1"/>
  <c r="RN115" i="1"/>
  <c r="RN111" i="1"/>
  <c r="RN109" i="1"/>
  <c r="RN103" i="1"/>
  <c r="RN84" i="1"/>
  <c r="RN73" i="1"/>
  <c r="RN66" i="1"/>
  <c r="RN54" i="1"/>
  <c r="RN98" i="1"/>
  <c r="RN88" i="1"/>
  <c r="RN85" i="1"/>
  <c r="RN81" i="1"/>
  <c r="RN77" i="1"/>
  <c r="RN64" i="1"/>
  <c r="RN102" i="1"/>
  <c r="RN78" i="1"/>
  <c r="RN72" i="1"/>
  <c r="RN69" i="1"/>
  <c r="RN57" i="1"/>
  <c r="RN99" i="1"/>
  <c r="RN114" i="1"/>
  <c r="RN95" i="1"/>
  <c r="RN92" i="1"/>
  <c r="RN75" i="1"/>
  <c r="RN67" i="1"/>
  <c r="RN86" i="1"/>
  <c r="RN83" i="1"/>
  <c r="RN97" i="1"/>
  <c r="RN131" i="1"/>
  <c r="RN87" i="1"/>
  <c r="RN80" i="1"/>
  <c r="RN60" i="1"/>
  <c r="RN65" i="1"/>
  <c r="RN40" i="1"/>
  <c r="RN96" i="1"/>
  <c r="RN76" i="1"/>
  <c r="RN70" i="1"/>
  <c r="RN58" i="1"/>
  <c r="RN101" i="1"/>
  <c r="RN90" i="1"/>
  <c r="RN71" i="1"/>
  <c r="RN43" i="1"/>
  <c r="RN31" i="1"/>
  <c r="RN89" i="1"/>
  <c r="RN62" i="1"/>
  <c r="RN74" i="1"/>
  <c r="RN53" i="1"/>
  <c r="RN61" i="1"/>
  <c r="RN56" i="1"/>
  <c r="RN39" i="1"/>
  <c r="RN223" i="1" s="1"/>
  <c r="RN20" i="1"/>
  <c r="RN35" i="1"/>
  <c r="RN32" i="1"/>
  <c r="RN25" i="1"/>
  <c r="RN13" i="1"/>
  <c r="RN36" i="1"/>
  <c r="RN29" i="1"/>
  <c r="RN18" i="1"/>
  <c r="RN93" i="1"/>
  <c r="RN52" i="1"/>
  <c r="RN33" i="1"/>
  <c r="RN23" i="1"/>
  <c r="RN11" i="1"/>
  <c r="RN55" i="1"/>
  <c r="RN37" i="1"/>
  <c r="RN34" i="1"/>
  <c r="RN59" i="1"/>
  <c r="RN50" i="1"/>
  <c r="RN21" i="1"/>
  <c r="RN9" i="1"/>
  <c r="RN231" i="1" s="1"/>
  <c r="RN45" i="1"/>
  <c r="RN28" i="1"/>
  <c r="RN17" i="1"/>
  <c r="RN63" i="1"/>
  <c r="RN49" i="1"/>
  <c r="RN46" i="1"/>
  <c r="RN42" i="1"/>
  <c r="RN22" i="1"/>
  <c r="RN68" i="1"/>
  <c r="RN38" i="1"/>
  <c r="RN27" i="1"/>
  <c r="RN15" i="1"/>
  <c r="RN12" i="1"/>
  <c r="RN47" i="1"/>
  <c r="RN48" i="1"/>
  <c r="RN24" i="1"/>
  <c r="RN44" i="1"/>
  <c r="RN26" i="1"/>
  <c r="RN6" i="1"/>
  <c r="RN10" i="1"/>
  <c r="RN108" i="1"/>
  <c r="RN30" i="1"/>
  <c r="RN7" i="1"/>
  <c r="RN19" i="1"/>
  <c r="RN51" i="1"/>
  <c r="RN16" i="1"/>
  <c r="RN8" i="1"/>
  <c r="RN41" i="1"/>
  <c r="RN14" i="1"/>
  <c r="RS123" i="1"/>
  <c r="RS198" i="1"/>
  <c r="RS32" i="1"/>
  <c r="RS180" i="1"/>
  <c r="RQ18" i="1"/>
  <c r="RS18" i="1" s="1"/>
  <c r="QN230" i="1"/>
  <c r="QJ221" i="1"/>
  <c r="QK6" i="1"/>
  <c r="RM38" i="1"/>
  <c r="RS38" i="1" s="1"/>
  <c r="RM72" i="1"/>
  <c r="RS72" i="1" s="1"/>
  <c r="RM141" i="1"/>
  <c r="RS141" i="1" s="1"/>
  <c r="RM167" i="1"/>
  <c r="RS167" i="1" s="1"/>
  <c r="RS34" i="1"/>
  <c r="RQ41" i="1"/>
  <c r="RS41" i="1" s="1"/>
  <c r="RQ62" i="1"/>
  <c r="RS62" i="1" s="1"/>
  <c r="RQ68" i="1"/>
  <c r="RQ127" i="1"/>
  <c r="RS127" i="1" s="1"/>
  <c r="RQ199" i="1"/>
  <c r="RS199" i="1" s="1"/>
  <c r="QN222" i="1"/>
  <c r="RS115" i="1"/>
  <c r="RS184" i="1"/>
  <c r="RJ221" i="1"/>
  <c r="RJ224" i="1"/>
  <c r="RJ227" i="1" s="1"/>
  <c r="RJ234" i="1" s="1"/>
  <c r="RS120" i="1" l="1"/>
  <c r="RS47" i="1"/>
  <c r="RK56" i="1"/>
  <c r="RS132" i="1"/>
  <c r="RS168" i="1"/>
  <c r="RK10" i="1"/>
  <c r="QB234" i="1"/>
  <c r="RS83" i="1"/>
  <c r="RF227" i="1"/>
  <c r="RF234" i="1" s="1"/>
  <c r="RS148" i="1"/>
  <c r="RS77" i="1"/>
  <c r="RS33" i="1"/>
  <c r="RS179" i="1"/>
  <c r="RS175" i="1"/>
  <c r="RS16" i="1"/>
  <c r="RS188" i="1"/>
  <c r="RS68" i="1"/>
  <c r="QZ235" i="1"/>
  <c r="RS156" i="1"/>
  <c r="RS92" i="1"/>
  <c r="QT222" i="1"/>
  <c r="RO17" i="1"/>
  <c r="RO222" i="1" s="1"/>
  <c r="QB235" i="1"/>
  <c r="RB227" i="1"/>
  <c r="RB234" i="1" s="1"/>
  <c r="RK231" i="1"/>
  <c r="RK29" i="1"/>
  <c r="QK221" i="1"/>
  <c r="RM6" i="1"/>
  <c r="RN225" i="1"/>
  <c r="RK228" i="1"/>
  <c r="QK231" i="1"/>
  <c r="RM9" i="1"/>
  <c r="RM231" i="1" s="1"/>
  <c r="RK196" i="1"/>
  <c r="RL222" i="1"/>
  <c r="RL228" i="1"/>
  <c r="QT229" i="1"/>
  <c r="RO196" i="1"/>
  <c r="RO229" i="1" s="1"/>
  <c r="QJ235" i="1"/>
  <c r="RN229" i="1"/>
  <c r="QK228" i="1"/>
  <c r="RM145" i="1"/>
  <c r="RM228" i="1" s="1"/>
  <c r="RP228" i="1"/>
  <c r="RN230" i="1"/>
  <c r="QH221" i="1"/>
  <c r="RE235" i="1"/>
  <c r="QS233" i="1"/>
  <c r="QS235" i="1" s="1"/>
  <c r="QJ233" i="1"/>
  <c r="RP221" i="1"/>
  <c r="QY235" i="1"/>
  <c r="QK224" i="1"/>
  <c r="QK227" i="1" s="1"/>
  <c r="QK234" i="1" s="1"/>
  <c r="RM10" i="1"/>
  <c r="RM224" i="1" s="1"/>
  <c r="RC225" i="1"/>
  <c r="RQ105" i="1"/>
  <c r="RQ225" i="1" s="1"/>
  <c r="RI221" i="1"/>
  <c r="QT230" i="1"/>
  <c r="RO29" i="1"/>
  <c r="RO230" i="1" s="1"/>
  <c r="RC226" i="1"/>
  <c r="RQ56" i="1"/>
  <c r="RQ226" i="1" s="1"/>
  <c r="RK226" i="1"/>
  <c r="RI233" i="1"/>
  <c r="RP222" i="1"/>
  <c r="RP223" i="1"/>
  <c r="RP225" i="1"/>
  <c r="RP227" i="1" s="1"/>
  <c r="RP234" i="1" s="1"/>
  <c r="QH233" i="1"/>
  <c r="RK225" i="1"/>
  <c r="RS105" i="1"/>
  <c r="RS225" i="1" s="1"/>
  <c r="QT225" i="1"/>
  <c r="RO105" i="1"/>
  <c r="RO225" i="1" s="1"/>
  <c r="QH234" i="1"/>
  <c r="RH233" i="1"/>
  <c r="RH235" i="1" s="1"/>
  <c r="QG233" i="1"/>
  <c r="QG235" i="1" s="1"/>
  <c r="QT224" i="1"/>
  <c r="RO10" i="1"/>
  <c r="RO224" i="1" s="1"/>
  <c r="RL230" i="1"/>
  <c r="RN224" i="1"/>
  <c r="RN227" i="1" s="1"/>
  <c r="RK224" i="1"/>
  <c r="RK227" i="1" s="1"/>
  <c r="RS10" i="1"/>
  <c r="RS224" i="1" s="1"/>
  <c r="RS227" i="1" s="1"/>
  <c r="QG234" i="1"/>
  <c r="QM233" i="1"/>
  <c r="RS44" i="1"/>
  <c r="QS234" i="1"/>
  <c r="RL224" i="1"/>
  <c r="RL227" i="1" s="1"/>
  <c r="RQ145" i="1"/>
  <c r="RQ228" i="1" s="1"/>
  <c r="RN221" i="1"/>
  <c r="RC221" i="1"/>
  <c r="RQ6" i="1"/>
  <c r="RC230" i="1"/>
  <c r="RQ29" i="1"/>
  <c r="RQ230" i="1" s="1"/>
  <c r="RP230" i="1"/>
  <c r="QK223" i="1"/>
  <c r="RM39" i="1"/>
  <c r="RM223" i="1" s="1"/>
  <c r="RL229" i="1"/>
  <c r="RQ39" i="1"/>
  <c r="RQ223" i="1" s="1"/>
  <c r="RB235" i="1"/>
  <c r="QQ221" i="1"/>
  <c r="QQ235" i="1" s="1"/>
  <c r="RF233" i="1"/>
  <c r="RF235" i="1" s="1"/>
  <c r="QE235" i="1"/>
  <c r="RC222" i="1"/>
  <c r="RQ17" i="1"/>
  <c r="RQ222" i="1" s="1"/>
  <c r="RR217" i="1"/>
  <c r="RR215" i="1"/>
  <c r="RR213" i="1"/>
  <c r="RR212" i="1"/>
  <c r="RR207" i="1"/>
  <c r="RR209" i="1"/>
  <c r="RR210" i="1"/>
  <c r="RR197" i="1"/>
  <c r="RR190" i="1"/>
  <c r="RR208" i="1"/>
  <c r="RR199" i="1"/>
  <c r="RR183" i="1"/>
  <c r="RR206" i="1"/>
  <c r="RR205" i="1"/>
  <c r="RR198" i="1"/>
  <c r="RR193" i="1"/>
  <c r="RR203" i="1"/>
  <c r="RR202" i="1"/>
  <c r="RR200" i="1"/>
  <c r="RR201" i="1"/>
  <c r="RR214" i="1"/>
  <c r="RR184" i="1"/>
  <c r="RR179" i="1"/>
  <c r="RR204" i="1"/>
  <c r="RR192" i="1"/>
  <c r="RR188" i="1"/>
  <c r="RR182" i="1"/>
  <c r="RR187" i="1"/>
  <c r="RR211" i="1"/>
  <c r="RR191" i="1"/>
  <c r="RR195" i="1"/>
  <c r="RR170" i="1"/>
  <c r="RR158" i="1"/>
  <c r="RR176" i="1"/>
  <c r="RR175" i="1"/>
  <c r="RR163" i="1"/>
  <c r="RR151" i="1"/>
  <c r="RR139" i="1"/>
  <c r="RR172" i="1"/>
  <c r="RR180" i="1"/>
  <c r="RR161" i="1"/>
  <c r="RR178" i="1"/>
  <c r="RR186" i="1"/>
  <c r="RR167" i="1"/>
  <c r="RR177" i="1"/>
  <c r="RR173" i="1"/>
  <c r="RR160" i="1"/>
  <c r="RR181" i="1"/>
  <c r="RR196" i="1"/>
  <c r="RR169" i="1"/>
  <c r="RR159" i="1"/>
  <c r="RR149" i="1"/>
  <c r="RR146" i="1"/>
  <c r="RR142" i="1"/>
  <c r="RR168" i="1"/>
  <c r="RR166" i="1"/>
  <c r="RR155" i="1"/>
  <c r="RR152" i="1"/>
  <c r="RR164" i="1"/>
  <c r="RR154" i="1"/>
  <c r="RR165" i="1"/>
  <c r="RR162" i="1"/>
  <c r="RR189" i="1"/>
  <c r="RR185" i="1"/>
  <c r="RR171" i="1"/>
  <c r="RR141" i="1"/>
  <c r="RR135" i="1"/>
  <c r="RR132" i="1"/>
  <c r="RR120" i="1"/>
  <c r="RR108" i="1"/>
  <c r="RR156" i="1"/>
  <c r="RR134" i="1"/>
  <c r="RR130" i="1"/>
  <c r="RR174" i="1"/>
  <c r="RR133" i="1"/>
  <c r="RR121" i="1"/>
  <c r="RR194" i="1"/>
  <c r="RR157" i="1"/>
  <c r="RR144" i="1"/>
  <c r="RR153" i="1"/>
  <c r="RR145" i="1"/>
  <c r="RR228" i="1" s="1"/>
  <c r="RR96" i="1"/>
  <c r="RR122" i="1"/>
  <c r="RR119" i="1"/>
  <c r="RR114" i="1"/>
  <c r="RR140" i="1"/>
  <c r="RR127" i="1"/>
  <c r="RR117" i="1"/>
  <c r="RR138" i="1"/>
  <c r="RR131" i="1"/>
  <c r="RR118" i="1"/>
  <c r="RR116" i="1"/>
  <c r="RR113" i="1"/>
  <c r="RR150" i="1"/>
  <c r="RR128" i="1"/>
  <c r="RR124" i="1"/>
  <c r="RR115" i="1"/>
  <c r="RR137" i="1"/>
  <c r="RR129" i="1"/>
  <c r="RR143" i="1"/>
  <c r="RR148" i="1"/>
  <c r="RR136" i="1"/>
  <c r="RR123" i="1"/>
  <c r="RR110" i="1"/>
  <c r="RR107" i="1"/>
  <c r="RR100" i="1"/>
  <c r="RR97" i="1"/>
  <c r="RR87" i="1"/>
  <c r="RR75" i="1"/>
  <c r="RR112" i="1"/>
  <c r="RR111" i="1"/>
  <c r="RR102" i="1"/>
  <c r="RR90" i="1"/>
  <c r="RR78" i="1"/>
  <c r="RR147" i="1"/>
  <c r="RR105" i="1"/>
  <c r="RR225" i="1" s="1"/>
  <c r="RR106" i="1"/>
  <c r="RR126" i="1"/>
  <c r="RR125" i="1"/>
  <c r="RR82" i="1"/>
  <c r="RR72" i="1"/>
  <c r="RR62" i="1"/>
  <c r="RR99" i="1"/>
  <c r="RR95" i="1"/>
  <c r="RR92" i="1"/>
  <c r="RR79" i="1"/>
  <c r="RR71" i="1"/>
  <c r="RR60" i="1"/>
  <c r="RR101" i="1"/>
  <c r="RR93" i="1"/>
  <c r="RR76" i="1"/>
  <c r="RR74" i="1"/>
  <c r="RR65" i="1"/>
  <c r="RR53" i="1"/>
  <c r="RR104" i="1"/>
  <c r="RR89" i="1"/>
  <c r="RR63" i="1"/>
  <c r="RR98" i="1"/>
  <c r="RR85" i="1"/>
  <c r="RR103" i="1"/>
  <c r="RR91" i="1"/>
  <c r="RR70" i="1"/>
  <c r="RR67" i="1"/>
  <c r="RR94" i="1"/>
  <c r="RR61" i="1"/>
  <c r="RR57" i="1"/>
  <c r="RR48" i="1"/>
  <c r="RR36" i="1"/>
  <c r="RR86" i="1"/>
  <c r="RR81" i="1"/>
  <c r="RR68" i="1"/>
  <c r="RR88" i="1"/>
  <c r="RR69" i="1"/>
  <c r="RR59" i="1"/>
  <c r="RR39" i="1"/>
  <c r="RR223" i="1" s="1"/>
  <c r="RR27" i="1"/>
  <c r="RR66" i="1"/>
  <c r="RR64" i="1"/>
  <c r="RR109" i="1"/>
  <c r="RR83" i="1"/>
  <c r="RR80" i="1"/>
  <c r="RR58" i="1"/>
  <c r="RR52" i="1"/>
  <c r="RR37" i="1"/>
  <c r="RR33" i="1"/>
  <c r="RR30" i="1"/>
  <c r="RR16" i="1"/>
  <c r="RR34" i="1"/>
  <c r="RR21" i="1"/>
  <c r="RR9" i="1"/>
  <c r="RR231" i="1" s="1"/>
  <c r="RR77" i="1"/>
  <c r="RR55" i="1"/>
  <c r="RR26" i="1"/>
  <c r="RR14" i="1"/>
  <c r="RR50" i="1"/>
  <c r="RR47" i="1"/>
  <c r="RR44" i="1"/>
  <c r="RR31" i="1"/>
  <c r="RR19" i="1"/>
  <c r="RR73" i="1"/>
  <c r="RR51" i="1"/>
  <c r="RR41" i="1"/>
  <c r="RR28" i="1"/>
  <c r="RR17" i="1"/>
  <c r="RR54" i="1"/>
  <c r="RR56" i="1"/>
  <c r="RR43" i="1"/>
  <c r="RR35" i="1"/>
  <c r="RR32" i="1"/>
  <c r="RR25" i="1"/>
  <c r="RR13" i="1"/>
  <c r="RR18" i="1"/>
  <c r="RR40" i="1"/>
  <c r="RR29" i="1"/>
  <c r="RR23" i="1"/>
  <c r="RR11" i="1"/>
  <c r="RR49" i="1"/>
  <c r="RR38" i="1"/>
  <c r="RR6" i="1"/>
  <c r="RR84" i="1"/>
  <c r="RR20" i="1"/>
  <c r="RR7" i="1"/>
  <c r="RR46" i="1"/>
  <c r="RR45" i="1"/>
  <c r="RR42" i="1"/>
  <c r="RR8" i="1"/>
  <c r="RR12" i="1"/>
  <c r="RR22" i="1"/>
  <c r="RR15" i="1"/>
  <c r="RR10" i="1"/>
  <c r="RR24" i="1"/>
  <c r="RR216" i="1"/>
  <c r="RC229" i="1"/>
  <c r="RC233" i="1" s="1"/>
  <c r="RQ196" i="1"/>
  <c r="RQ229" i="1" s="1"/>
  <c r="RL226" i="1"/>
  <c r="RM56" i="1"/>
  <c r="RM226" i="1" s="1"/>
  <c r="RC231" i="1"/>
  <c r="RQ9" i="1"/>
  <c r="RQ231" i="1" s="1"/>
  <c r="QN234" i="1"/>
  <c r="RK223" i="1"/>
  <c r="QN233" i="1"/>
  <c r="QN221" i="1"/>
  <c r="QN235" i="1" s="1"/>
  <c r="QK222" i="1"/>
  <c r="RM17" i="1"/>
  <c r="RM222" i="1" s="1"/>
  <c r="QK230" i="1"/>
  <c r="RM29" i="1"/>
  <c r="RM230" i="1" s="1"/>
  <c r="RN233" i="1"/>
  <c r="QK229" i="1"/>
  <c r="RM196" i="1"/>
  <c r="RM229" i="1" s="1"/>
  <c r="QM234" i="1"/>
  <c r="RI234" i="1"/>
  <c r="QM235" i="1"/>
  <c r="QT223" i="1"/>
  <c r="RO39" i="1"/>
  <c r="RO223" i="1" s="1"/>
  <c r="RJ235" i="1"/>
  <c r="RN222" i="1"/>
  <c r="RN226" i="1"/>
  <c r="RM225" i="1"/>
  <c r="RH234" i="1"/>
  <c r="QT221" i="1"/>
  <c r="RO6" i="1"/>
  <c r="RK6" i="1"/>
  <c r="RC224" i="1"/>
  <c r="RC227" i="1" s="1"/>
  <c r="RC234" i="1" s="1"/>
  <c r="RQ10" i="1"/>
  <c r="RQ224" i="1" s="1"/>
  <c r="RQ227" i="1" s="1"/>
  <c r="RQ234" i="1" s="1"/>
  <c r="RL221" i="1"/>
  <c r="RK17" i="1"/>
  <c r="RO233" i="1" l="1"/>
  <c r="QT233" i="1"/>
  <c r="RI235" i="1"/>
  <c r="RQ221" i="1"/>
  <c r="RQ235" i="1" s="1"/>
  <c r="RO227" i="1"/>
  <c r="RO234" i="1" s="1"/>
  <c r="RR224" i="1"/>
  <c r="RR227" i="1" s="1"/>
  <c r="RR234" i="1" s="1"/>
  <c r="RR226" i="1"/>
  <c r="RQ233" i="1"/>
  <c r="QT227" i="1"/>
  <c r="QT234" i="1" s="1"/>
  <c r="RM227" i="1"/>
  <c r="RM234" i="1" s="1"/>
  <c r="QK233" i="1"/>
  <c r="QK235" i="1" s="1"/>
  <c r="RS39" i="1"/>
  <c r="RS223" i="1" s="1"/>
  <c r="RL234" i="1"/>
  <c r="RR222" i="1"/>
  <c r="RS56" i="1"/>
  <c r="RS226" i="1" s="1"/>
  <c r="RM221" i="1"/>
  <c r="RM235" i="1" s="1"/>
  <c r="RK221" i="1"/>
  <c r="RS6" i="1"/>
  <c r="RP235" i="1"/>
  <c r="RO221" i="1"/>
  <c r="RO235" i="1" s="1"/>
  <c r="RR230" i="1"/>
  <c r="RK230" i="1"/>
  <c r="RS29" i="1"/>
  <c r="RS230" i="1" s="1"/>
  <c r="RR229" i="1"/>
  <c r="RR233" i="1" s="1"/>
  <c r="RS9" i="1"/>
  <c r="RS231" i="1" s="1"/>
  <c r="RL233" i="1"/>
  <c r="RL235" i="1" s="1"/>
  <c r="RS234" i="1"/>
  <c r="QH235" i="1"/>
  <c r="RK234" i="1"/>
  <c r="RK229" i="1"/>
  <c r="RS196" i="1"/>
  <c r="RS229" i="1" s="1"/>
  <c r="RN234" i="1"/>
  <c r="RP233" i="1"/>
  <c r="RC235" i="1"/>
  <c r="RK222" i="1"/>
  <c r="RS17" i="1"/>
  <c r="RS222" i="1" s="1"/>
  <c r="RR221" i="1"/>
  <c r="RN235" i="1"/>
  <c r="RM233" i="1"/>
  <c r="RS145" i="1"/>
  <c r="RS228" i="1" s="1"/>
  <c r="RK233" i="1" l="1"/>
  <c r="RK235" i="1" s="1"/>
  <c r="RS233" i="1"/>
  <c r="QT235" i="1"/>
  <c r="RS221" i="1"/>
  <c r="RS235" i="1" s="1"/>
  <c r="RR235" i="1"/>
</calcChain>
</file>

<file path=xl/sharedStrings.xml><?xml version="1.0" encoding="utf-8"?>
<sst xmlns="http://schemas.openxmlformats.org/spreadsheetml/2006/main" count="4406" uniqueCount="1236">
  <si>
    <t>Gestion des PAV, CAV et leurs tournées</t>
  </si>
  <si>
    <t>Année du fichier :</t>
  </si>
  <si>
    <t>(une fois saisie, ne plus modifier)</t>
  </si>
  <si>
    <t>Liste des tournées</t>
  </si>
  <si>
    <t>Critères sectoriels</t>
  </si>
  <si>
    <r>
      <rPr>
        <b/>
        <i/>
        <sz val="9"/>
        <color theme="1"/>
        <rFont val="Calibri"/>
        <family val="2"/>
        <scheme val="minor"/>
      </rPr>
      <t>Etape 1 : Tenir à jour la liste des PAV :</t>
    </r>
    <r>
      <rPr>
        <i/>
        <sz val="9"/>
        <color theme="1"/>
        <rFont val="Calibri"/>
        <family val="2"/>
        <scheme val="minor"/>
      </rPr>
      <t xml:space="preserve">
     Mettre à jours toutes les données, y compris les critères sectoriels.
     Ne pas supprimer de ligne de PAV si le PAV a été exploité au moins une fois dans l'année.
     Si besoin d'ajouter un PAV, ajouter une ligne à la suite.
</t>
    </r>
    <r>
      <rPr>
        <b/>
        <i/>
        <sz val="9"/>
        <color theme="1"/>
        <rFont val="Calibri"/>
        <family val="2"/>
        <scheme val="minor"/>
      </rPr>
      <t>Etape 2 : Tenir à jour les liste de tournée :</t>
    </r>
    <r>
      <rPr>
        <i/>
        <sz val="9"/>
        <color theme="1"/>
        <rFont val="Calibri"/>
        <family val="2"/>
        <scheme val="minor"/>
      </rPr>
      <t xml:space="preserve">
     Leurs dénomination et leurs organisations doivent correspondre aux feuilles de collecte.
     Leurs dénomination doit correspondre à celles utilisées pour la saisies des tonnages et l'onglet Annuel.
</t>
    </r>
    <r>
      <rPr>
        <b/>
        <i/>
        <sz val="9"/>
        <color theme="1"/>
        <rFont val="Calibri"/>
        <family val="2"/>
        <scheme val="minor"/>
      </rPr>
      <t xml:space="preserve">Etape 3 : Renseigner les estimations de volume telles que renseignées sur les feuilles de collecte.
</t>
    </r>
    <r>
      <rPr>
        <b/>
        <i/>
        <sz val="9"/>
        <color rgb="FFC00000"/>
        <rFont val="Calibri"/>
        <family val="2"/>
        <scheme val="minor"/>
      </rPr>
      <t>NE PAS INSERER OU SUPPRIMER DE COLONNES DANS CET ONGLET</t>
    </r>
  </si>
  <si>
    <t>Rouen Rive Droite 1</t>
  </si>
  <si>
    <t>Rouen Rive Droite 2</t>
  </si>
  <si>
    <t>Rive Gauche Ouest 1</t>
  </si>
  <si>
    <t>Rive Gauche Ouest 2</t>
  </si>
  <si>
    <t>Rive Gauche Est 1</t>
  </si>
  <si>
    <t>Rive Gauche Est 2</t>
  </si>
  <si>
    <t>Bords de Seine</t>
  </si>
  <si>
    <t>Boos 1</t>
  </si>
  <si>
    <t>Boos 2</t>
  </si>
  <si>
    <t>Darnétal</t>
  </si>
  <si>
    <t>Anneville-Ambourville</t>
  </si>
  <si>
    <t>Barentin 1</t>
  </si>
  <si>
    <t>Barentin 2</t>
  </si>
  <si>
    <t>Yerville</t>
  </si>
  <si>
    <t>Neufchatel</t>
  </si>
  <si>
    <t>Lions Club Louviers</t>
  </si>
  <si>
    <t>Lions Club 1</t>
  </si>
  <si>
    <t>Lions Club 2</t>
  </si>
  <si>
    <t>Lions Club 3</t>
  </si>
  <si>
    <t xml:space="preserve"> </t>
  </si>
  <si>
    <t>Métropole (public+privé)</t>
  </si>
  <si>
    <t>Métropole déchetteries</t>
  </si>
  <si>
    <t>Métropole 
Habitat 76</t>
  </si>
  <si>
    <t>Métropole 
Lions Club</t>
  </si>
  <si>
    <t>Lions Club 
Hors Métropole</t>
  </si>
  <si>
    <t>BRAY-EAWY</t>
  </si>
  <si>
    <t>Pl Caux Yerville Doudeville</t>
  </si>
  <si>
    <t>Intercaux Vexin</t>
  </si>
  <si>
    <t>Barentin</t>
  </si>
  <si>
    <t>Hors-Métropole 
Privé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</si>
  <si>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</si>
  <si>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</si>
  <si>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</si>
  <si>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</si>
  <si>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</si>
  <si>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</si>
  <si>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</si>
  <si>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</si>
  <si>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</si>
  <si>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</si>
  <si>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</si>
  <si>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</si>
  <si>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T1</t>
  </si>
  <si>
    <t>T2</t>
  </si>
  <si>
    <t>T3</t>
  </si>
  <si>
    <t>T4</t>
  </si>
  <si>
    <t>Taux de remplissage</t>
  </si>
  <si>
    <t>Liste des PAV - Dénomination interne</t>
  </si>
  <si>
    <t>Suivi n° de CAV</t>
  </si>
  <si>
    <t>Qte.</t>
  </si>
  <si>
    <t>Freq.</t>
  </si>
  <si>
    <t>Informations détaillées des lieux de collectes                                                                     Informations détaillées des lieux de collectes                                                                     Informations détaillées des lieux de collectes</t>
  </si>
  <si>
    <t>Estimés :</t>
  </si>
  <si>
    <t>% du total</t>
  </si>
  <si>
    <t>Pesées :</t>
  </si>
  <si>
    <t>Estimé :</t>
  </si>
  <si>
    <t>Taux</t>
  </si>
  <si>
    <t>Nb de</t>
  </si>
  <si>
    <t>Export KML</t>
  </si>
  <si>
    <t>(tel que cela doit être mentionné sur les feuilles de collecte)</t>
  </si>
  <si>
    <t>N°</t>
  </si>
  <si>
    <t>CAV</t>
  </si>
  <si>
    <t>pass.</t>
  </si>
  <si>
    <t>Adresse</t>
  </si>
  <si>
    <t>Complément d'adresse</t>
  </si>
  <si>
    <t>Code postal</t>
  </si>
  <si>
    <t>Ville</t>
  </si>
  <si>
    <t>Latitude (degré décimaux)</t>
  </si>
  <si>
    <t>Longitude (degré décimaux)</t>
  </si>
  <si>
    <t>Communauté de communes</t>
  </si>
  <si>
    <t>Surface</t>
  </si>
  <si>
    <t>Reference Eco TLC</t>
  </si>
  <si>
    <t>Entité détentrice</t>
  </si>
  <si>
    <t>Lun</t>
  </si>
  <si>
    <t>Ven</t>
  </si>
  <si>
    <t>Jeu</t>
  </si>
  <si>
    <t>Mar</t>
  </si>
  <si>
    <t>Mer</t>
  </si>
  <si>
    <t>mensuel</t>
  </si>
  <si>
    <t>par CAV</t>
  </si>
  <si>
    <t>cllct</t>
  </si>
  <si>
    <t>&lt;?xml version="1.0" encoding="UTF-8"?&gt;
&lt;kml xmlns="http://www.opengis.net/kml/2.2"&gt;
  &lt;Document&gt;
    &lt;name&gt;Points de collecte&lt;/name&gt;</t>
  </si>
  <si>
    <t>27 rue Saint-Sever</t>
  </si>
  <si>
    <t>Cours Clémenceau</t>
  </si>
  <si>
    <t>Rouen</t>
  </si>
  <si>
    <t>49.4344744</t>
  </si>
  <si>
    <t>1.0892883</t>
  </si>
  <si>
    <t>Métropole Rouen Normandie</t>
  </si>
  <si>
    <t>Publique</t>
  </si>
  <si>
    <t>TLC_02996129</t>
  </si>
  <si>
    <t>Solidarité Textiles</t>
  </si>
  <si>
    <t>OUI</t>
  </si>
  <si>
    <t>NON</t>
  </si>
  <si>
    <t>46 Rue Desseaux</t>
  </si>
  <si>
    <t>Proche bac verre</t>
  </si>
  <si>
    <t>49.4325742</t>
  </si>
  <si>
    <t>1.0912983</t>
  </si>
  <si>
    <t>TLC_20050800</t>
  </si>
  <si>
    <t>?</t>
  </si>
  <si>
    <t>Centre Commercial La Vatine</t>
  </si>
  <si>
    <t>Parking Carrefour</t>
  </si>
  <si>
    <t>Mont-Saint-Aignan</t>
  </si>
  <si>
    <t>49.469906696445484</t>
  </si>
  <si>
    <t>1.0914162455078147</t>
  </si>
  <si>
    <t>Parking CC</t>
  </si>
  <si>
    <t>TLC_00017941</t>
  </si>
  <si>
    <t>Centre commercial du Mesnil Roux</t>
  </si>
  <si>
    <t>Parking Carrefour en face du Feu Vert</t>
  </si>
  <si>
    <t>49.53551416050364</t>
  </si>
  <si>
    <t>0.9655591899352833</t>
  </si>
  <si>
    <t>TLC_00017922</t>
  </si>
  <si>
    <t>6 Avenue Du Général De Gaulle</t>
  </si>
  <si>
    <t>Centre Commercial Saint Julien</t>
  </si>
  <si>
    <t>Oissel</t>
  </si>
  <si>
    <t>49.3383041</t>
  </si>
  <si>
    <t>1.0831592</t>
  </si>
  <si>
    <t>2019_LCE2</t>
  </si>
  <si>
    <t>Lions Club Elbeuf</t>
  </si>
  <si>
    <t xml:space="preserve">Rue Masson </t>
  </si>
  <si>
    <t>Place de la république</t>
  </si>
  <si>
    <t>49.340531</t>
  </si>
  <si>
    <t>1.094681</t>
  </si>
  <si>
    <t>2019_LCE1</t>
  </si>
  <si>
    <t>Rue Jean Jaures</t>
  </si>
  <si>
    <t>Place de la Poste</t>
  </si>
  <si>
    <t>Tourville-La-Rivière</t>
  </si>
  <si>
    <t>49.2971761</t>
  </si>
  <si>
    <t>1.0160943</t>
  </si>
  <si>
    <t>2019_LCE4</t>
  </si>
  <si>
    <t>Avenue Gustave Picard</t>
  </si>
  <si>
    <t>49.32821531917378</t>
  </si>
  <si>
    <t>1.0973494076568802</t>
  </si>
  <si>
    <t>TLC_00017956</t>
  </si>
  <si>
    <t>28 rue de Ronnenberg</t>
  </si>
  <si>
    <t>Face au Relais Dellard - Parking de droite</t>
  </si>
  <si>
    <t>Duclair</t>
  </si>
  <si>
    <t>49.480997</t>
  </si>
  <si>
    <t>0.875153</t>
  </si>
  <si>
    <t>TLC_02852147</t>
  </si>
  <si>
    <t>53 rue Desseaux</t>
  </si>
  <si>
    <t>Resto du Cœur</t>
  </si>
  <si>
    <t>49.4318405</t>
  </si>
  <si>
    <t>1.0917689</t>
  </si>
  <si>
    <t>TLC_42723800</t>
  </si>
  <si>
    <t>2 Rue du Mail</t>
  </si>
  <si>
    <t>Angle Boulevard de l'Europe</t>
  </si>
  <si>
    <t>49.4287093</t>
  </si>
  <si>
    <t>1.0930389</t>
  </si>
  <si>
    <t>TLC_20050400</t>
  </si>
  <si>
    <t>5 impasse du Maupas</t>
  </si>
  <si>
    <t>Déchetterie Hameau les Monts 9h-12h / 13h30-17h30</t>
  </si>
  <si>
    <t>49.4908143</t>
  </si>
  <si>
    <t>0.8668575</t>
  </si>
  <si>
    <t>Privée - Déchetterie</t>
  </si>
  <si>
    <t>TLC_00055644</t>
  </si>
  <si>
    <t>1061 rue du Village</t>
  </si>
  <si>
    <t>Près de l'église</t>
  </si>
  <si>
    <t>Berville-sur-Seine</t>
  </si>
  <si>
    <t>49.473411</t>
  </si>
  <si>
    <t>0.903698</t>
  </si>
  <si>
    <t>TLC_12137830</t>
  </si>
  <si>
    <t>57 avenue des Canadiens</t>
  </si>
  <si>
    <t>Angle rue L. Antier</t>
  </si>
  <si>
    <t>Le Petit-Quevilly</t>
  </si>
  <si>
    <t>2019_N4</t>
  </si>
  <si>
    <t>136 avenue des Martyrs de la Résistance</t>
  </si>
  <si>
    <t>Angle rue du Maréchal Galliéni</t>
  </si>
  <si>
    <t>2019_N5</t>
  </si>
  <si>
    <t>9 rue Pierre Forfait</t>
  </si>
  <si>
    <t>Angle Place de Lattre de Tassigny</t>
  </si>
  <si>
    <t>49.43754</t>
  </si>
  <si>
    <t>1.0807013</t>
  </si>
  <si>
    <t>TLC_02996133</t>
  </si>
  <si>
    <t>2 rue Blaise Pascal</t>
  </si>
  <si>
    <t>Angle rue d'Elbeuf</t>
  </si>
  <si>
    <t>49.428497</t>
  </si>
  <si>
    <t>1.084405</t>
  </si>
  <si>
    <t>TLC_02996130</t>
  </si>
  <si>
    <t>77 rue Méridienne</t>
  </si>
  <si>
    <t>Angle Rue Octave Crutel</t>
  </si>
  <si>
    <t>49.4250071</t>
  </si>
  <si>
    <t>1.0843887</t>
  </si>
  <si>
    <t>TLC_02996131</t>
  </si>
  <si>
    <t>81 Route de la Fontaine</t>
  </si>
  <si>
    <t>Parking Salle des fêtes</t>
  </si>
  <si>
    <t>Fontaine-sous-Préaux</t>
  </si>
  <si>
    <t>49.4845001</t>
  </si>
  <si>
    <t>1.1655718</t>
  </si>
  <si>
    <t>TLC_00055645</t>
  </si>
  <si>
    <t>10 Rue Louis Lesouef</t>
  </si>
  <si>
    <t>Parking face à Renault</t>
  </si>
  <si>
    <t>Malaunay</t>
  </si>
  <si>
    <t>49.5224944</t>
  </si>
  <si>
    <t>1.0376784</t>
  </si>
  <si>
    <t>TLC_00017938</t>
  </si>
  <si>
    <t>1377 Route de la Vallée</t>
  </si>
  <si>
    <t>Parking a coté de la Mairie</t>
  </si>
  <si>
    <t>Saint-Martin-Du-Vivier</t>
  </si>
  <si>
    <t>49.4675439</t>
  </si>
  <si>
    <t>1.1616814</t>
  </si>
  <si>
    <t>TLC_00017954</t>
  </si>
  <si>
    <t xml:space="preserve">212 Rue du Sansonnet </t>
  </si>
  <si>
    <t>Parking derrière Centre Commercial du Chapitre</t>
  </si>
  <si>
    <t>Bihorel</t>
  </si>
  <si>
    <t>49.4694847</t>
  </si>
  <si>
    <t>1.1423773</t>
  </si>
  <si>
    <t>TLC_03200840</t>
  </si>
  <si>
    <t>20 Impasse Des Prés Verts</t>
  </si>
  <si>
    <t>Parking Centre De Loisirs Les Pépinières</t>
  </si>
  <si>
    <t>Roncherolles-Sur-Le-Vivier</t>
  </si>
  <si>
    <t>49.4642576</t>
  </si>
  <si>
    <t>1.1791064</t>
  </si>
  <si>
    <t>TLC_00061074</t>
  </si>
  <si>
    <t>1 Sentier des Jumelles</t>
  </si>
  <si>
    <t>Parking Intermarché</t>
  </si>
  <si>
    <t>Montville</t>
  </si>
  <si>
    <t>49.5405801</t>
  </si>
  <si>
    <t>1.0634101</t>
  </si>
  <si>
    <t>TLC_00017943</t>
  </si>
  <si>
    <t>693 rue des Reservoirs</t>
  </si>
  <si>
    <t>Déchetterie - 9h30 / 11h45</t>
  </si>
  <si>
    <t>49.5379517</t>
  </si>
  <si>
    <t>1.0999617</t>
  </si>
  <si>
    <t>TLC_00017942</t>
  </si>
  <si>
    <t>318 rue Delamare Deboutteville</t>
  </si>
  <si>
    <t>Fontaine le Bourg</t>
  </si>
  <si>
    <t>49.5616059</t>
  </si>
  <si>
    <t>1.1605071</t>
  </si>
  <si>
    <t>TLC_03267833</t>
  </si>
  <si>
    <t>11 Rue de Cailly</t>
  </si>
  <si>
    <t>Parking du Cimetière</t>
  </si>
  <si>
    <t>Quincampoix</t>
  </si>
  <si>
    <t>49.5145259</t>
  </si>
  <si>
    <t>1.1705615</t>
  </si>
  <si>
    <t>TLC_00017946</t>
  </si>
  <si>
    <t>2 Rue Henri Chivé</t>
  </si>
  <si>
    <t>Val-De-La-Haye</t>
  </si>
  <si>
    <t>49.3776629</t>
  </si>
  <si>
    <t>1.0022928</t>
  </si>
  <si>
    <t>TLC_00055650</t>
  </si>
  <si>
    <t>3 Route de Dieppe</t>
  </si>
  <si>
    <t>Isneauville</t>
  </si>
  <si>
    <t>49.5024921</t>
  </si>
  <si>
    <t>1.1504061</t>
  </si>
  <si>
    <t>TLC_00017934</t>
  </si>
  <si>
    <t>31 Rue André Le Nosle</t>
  </si>
  <si>
    <t>49.4946399</t>
  </si>
  <si>
    <t>1.1446697</t>
  </si>
  <si>
    <t>TLC_00061073</t>
  </si>
  <si>
    <t>86 rue de la Voix Maline</t>
  </si>
  <si>
    <t>A coté de la colonne à verre</t>
  </si>
  <si>
    <t>Houppeville</t>
  </si>
  <si>
    <t>49.511496</t>
  </si>
  <si>
    <t>1.087103</t>
  </si>
  <si>
    <t>TLC_00061072</t>
  </si>
  <si>
    <t>60 Impasse de la Grande Mare</t>
  </si>
  <si>
    <t>Changement pour travaux</t>
  </si>
  <si>
    <t>Boos</t>
  </si>
  <si>
    <t>49.3897847</t>
  </si>
  <si>
    <t>1.2007032</t>
  </si>
  <si>
    <t>TLC_00017925</t>
  </si>
  <si>
    <t>962 Rue Pierre Curie</t>
  </si>
  <si>
    <t>Cimetière</t>
  </si>
  <si>
    <t>Franqueville-Saint-Pierre</t>
  </si>
  <si>
    <t>49.4064014</t>
  </si>
  <si>
    <t>1.1781562</t>
  </si>
  <si>
    <t>TLC_00017931</t>
  </si>
  <si>
    <t>103 rue Pierre Mendès-France</t>
  </si>
  <si>
    <t>Parking Immeuble Habitat 76</t>
  </si>
  <si>
    <t>Sotteville-Lès-Rouen</t>
  </si>
  <si>
    <t>49.4139236</t>
  </si>
  <si>
    <t>1.0927764</t>
  </si>
  <si>
    <t>Privée - Habitat 76</t>
  </si>
  <si>
    <t>2019_N9</t>
  </si>
  <si>
    <t>140 Rue Louis Pasteur</t>
  </si>
  <si>
    <t>Près des Jardins ouvriers</t>
  </si>
  <si>
    <t>49.5095306</t>
  </si>
  <si>
    <t>1.0702444</t>
  </si>
  <si>
    <t>TLC_00017933</t>
  </si>
  <si>
    <t>90 rue des longs Vallons</t>
  </si>
  <si>
    <t>Notre-Dame-De-Bondeville</t>
  </si>
  <si>
    <t>49.4839336</t>
  </si>
  <si>
    <t>1.0494244</t>
  </si>
  <si>
    <t>TLC_00017944</t>
  </si>
  <si>
    <t>Rue des Bernardines</t>
  </si>
  <si>
    <t>Devant les ateliers municipaux</t>
  </si>
  <si>
    <t>49.4907799</t>
  </si>
  <si>
    <t>1.0424471</t>
  </si>
  <si>
    <t>8 rue de l'Eglise</t>
  </si>
  <si>
    <t>Place Poullard</t>
  </si>
  <si>
    <t>Hautot-Sur-Seine</t>
  </si>
  <si>
    <t>49.3603847</t>
  </si>
  <si>
    <t>0.9783553</t>
  </si>
  <si>
    <t>TLC_00062951</t>
  </si>
  <si>
    <t>Côte de la Valette</t>
  </si>
  <si>
    <t>Déchetterie de Maromme - 8h30 /18h30</t>
  </si>
  <si>
    <t>Saint-Jean-du-Cardonnay</t>
  </si>
  <si>
    <t>49.487386476098955</t>
  </si>
  <si>
    <t>1.0248914560668787</t>
  </si>
  <si>
    <t>TLC_00055783</t>
  </si>
  <si>
    <t>64 Boulevard d'Orléans</t>
  </si>
  <si>
    <t>En face du Coccinelle</t>
  </si>
  <si>
    <t>TLC_00017948</t>
  </si>
  <si>
    <t>3 Rue Gontran Pailhès</t>
  </si>
  <si>
    <t>Carrefour Market</t>
  </si>
  <si>
    <t>Le Mesnil-Esnard</t>
  </si>
  <si>
    <t>49.4074142</t>
  </si>
  <si>
    <t>1.1528802</t>
  </si>
  <si>
    <t>TLC_00017940</t>
  </si>
  <si>
    <t>23 Rue Camille Saint Saens</t>
  </si>
  <si>
    <t>Parking du Stade des Hautes Haies</t>
  </si>
  <si>
    <t>Bonsecours</t>
  </si>
  <si>
    <t>49.42201</t>
  </si>
  <si>
    <t>1.1299639</t>
  </si>
  <si>
    <t>TLC_00017924</t>
  </si>
  <si>
    <t>5 Rue des Perets</t>
  </si>
  <si>
    <t>Parking de l'école</t>
  </si>
  <si>
    <t>49.411191</t>
  </si>
  <si>
    <t>1.134608</t>
  </si>
  <si>
    <t>TLC_00017939</t>
  </si>
  <si>
    <t>3 Rue du Bas</t>
  </si>
  <si>
    <t>Parking Place Maurice Alexandre</t>
  </si>
  <si>
    <t>Sahurs</t>
  </si>
  <si>
    <t>49.357756</t>
  </si>
  <si>
    <t>0.943662</t>
  </si>
  <si>
    <t>TLC_00055647</t>
  </si>
  <si>
    <t>1 Quai du Pré aux loups</t>
  </si>
  <si>
    <t>Dechetterie - 8h30 / 18h30</t>
  </si>
  <si>
    <t>49.434978814830345</t>
  </si>
  <si>
    <t>1.1034501640708916</t>
  </si>
  <si>
    <t>TLC_00055780</t>
  </si>
  <si>
    <t>15 Route de Sahurs</t>
  </si>
  <si>
    <t>Parking près de la mairie</t>
  </si>
  <si>
    <t>Saint-Pierre-De-Manneville</t>
  </si>
  <si>
    <t>49.390736</t>
  </si>
  <si>
    <t>0.9316159</t>
  </si>
  <si>
    <t>TLC_00055648</t>
  </si>
  <si>
    <t>2 Chemin des devises</t>
  </si>
  <si>
    <t>Croisement avec Rue des canadiens</t>
  </si>
  <si>
    <t>Sotteville-Sous-Le-Val</t>
  </si>
  <si>
    <t>49.3183323</t>
  </si>
  <si>
    <t>1.1233006</t>
  </si>
  <si>
    <t>2019_LCE3</t>
  </si>
  <si>
    <t>31 Route de Belaitre</t>
  </si>
  <si>
    <t>Parking Verger et Gite de Belaitre</t>
  </si>
  <si>
    <t>Quevillon</t>
  </si>
  <si>
    <t>49.424576</t>
  </si>
  <si>
    <t>0.955078</t>
  </si>
  <si>
    <t>TLC_00017945</t>
  </si>
  <si>
    <t>62 Route de l'Abbaye</t>
  </si>
  <si>
    <t>Au fond du parking</t>
  </si>
  <si>
    <t>Saint-Martin-De-Boscherville</t>
  </si>
  <si>
    <t>49.4486164</t>
  </si>
  <si>
    <t>0.9677917</t>
  </si>
  <si>
    <t>TLC_00017953</t>
  </si>
  <si>
    <t>132 rue du Président Kennedy</t>
  </si>
  <si>
    <t>Croisement rue de la République</t>
  </si>
  <si>
    <t>49.4316933</t>
  </si>
  <si>
    <t>1.0670571</t>
  </si>
  <si>
    <t>TLC_03338409</t>
  </si>
  <si>
    <t>19 Rue des Prés</t>
  </si>
  <si>
    <t>Parking Leclerc</t>
  </si>
  <si>
    <t>Incarville</t>
  </si>
  <si>
    <t>49.2372353</t>
  </si>
  <si>
    <t>1.1808578</t>
  </si>
  <si>
    <t>TLC_03267581</t>
  </si>
  <si>
    <t>25 rue François Mitterrand</t>
  </si>
  <si>
    <t>Amfreville-La-Mi-Voie</t>
  </si>
  <si>
    <t>49.397001</t>
  </si>
  <si>
    <t>1.1257119</t>
  </si>
  <si>
    <t>TLC_00075628</t>
  </si>
  <si>
    <t>Boulevard Industriel</t>
  </si>
  <si>
    <t>Déchetterie LE TRAIT</t>
  </si>
  <si>
    <t>Le Trait</t>
  </si>
  <si>
    <t>49.486032792820005</t>
  </si>
  <si>
    <t>0.7935174407226686</t>
  </si>
  <si>
    <t>TLC_00055649</t>
  </si>
  <si>
    <t>2 rue Saint-Jean</t>
  </si>
  <si>
    <t>CHU - Dans l'enceinte de l'Hôpital - Parking</t>
  </si>
  <si>
    <t>Louviers</t>
  </si>
  <si>
    <t>49.211441967209545</t>
  </si>
  <si>
    <t>1.1766511509956334</t>
  </si>
  <si>
    <t>TLC_02996120</t>
  </si>
  <si>
    <t>300 rue de l’Ecole</t>
  </si>
  <si>
    <t>En face du cimetière</t>
  </si>
  <si>
    <t>Bardouville</t>
  </si>
  <si>
    <t>49.43626</t>
  </si>
  <si>
    <t>0.927723</t>
  </si>
  <si>
    <t>TLC_12137840</t>
  </si>
  <si>
    <t>3 route de Louviers</t>
  </si>
  <si>
    <t>Quatremare</t>
  </si>
  <si>
    <t>49.1854483</t>
  </si>
  <si>
    <t>1.0824028</t>
  </si>
  <si>
    <t>TLC_02996118</t>
  </si>
  <si>
    <t>2001 rue Herbeuse</t>
  </si>
  <si>
    <t>Déchetterie - 9h / 12h - 14h / 17h30</t>
  </si>
  <si>
    <t>Bois-Guillaume</t>
  </si>
  <si>
    <t>TLC_00055642</t>
  </si>
  <si>
    <t>30 Rue de l'Eglise</t>
  </si>
  <si>
    <t>Salle des fêtes</t>
  </si>
  <si>
    <t>Pitres</t>
  </si>
  <si>
    <t>49.3185296</t>
  </si>
  <si>
    <t>1.2295495</t>
  </si>
  <si>
    <t>TLC_02996122</t>
  </si>
  <si>
    <t>2701 route de Bourg Achard</t>
  </si>
  <si>
    <t>Déchetterie</t>
  </si>
  <si>
    <t>49.4331906</t>
  </si>
  <si>
    <t>0.892609</t>
  </si>
  <si>
    <t>TLC_00055640</t>
  </si>
  <si>
    <t>51 Rue de la République</t>
  </si>
  <si>
    <t>Devant Créapolis</t>
  </si>
  <si>
    <t>Déville-Lès-Rouen</t>
  </si>
  <si>
    <t>49.473328</t>
  </si>
  <si>
    <t>1.041946</t>
  </si>
  <si>
    <t>TLC_00017929</t>
  </si>
  <si>
    <t>1674 rue Blingue</t>
  </si>
  <si>
    <t>Romilly-sur-Andelle</t>
  </si>
  <si>
    <t>49.3276351</t>
  </si>
  <si>
    <t>1.2530567</t>
  </si>
  <si>
    <t>TLC_02996119</t>
  </si>
  <si>
    <t>365 Rue Denis Papin</t>
  </si>
  <si>
    <t>Parking Carrefour Market</t>
  </si>
  <si>
    <t>49.4829822</t>
  </si>
  <si>
    <t>0.8071803</t>
  </si>
  <si>
    <t>TLC_00017957</t>
  </si>
  <si>
    <t>9 rue du Stade</t>
  </si>
  <si>
    <t>Salle polyvalente - Ecole</t>
  </si>
  <si>
    <t>Hénouville</t>
  </si>
  <si>
    <t>49.4796359</t>
  </si>
  <si>
    <t>0.9594667</t>
  </si>
  <si>
    <t>TLC_00017932</t>
  </si>
  <si>
    <t>752 Rue Alphonse Calais</t>
  </si>
  <si>
    <t>Parking Camping-car</t>
  </si>
  <si>
    <t>Jumièges</t>
  </si>
  <si>
    <t>49.4304292</t>
  </si>
  <si>
    <t>0.8143114</t>
  </si>
  <si>
    <t>TLC_12137810</t>
  </si>
  <si>
    <t>1 Rue de la République</t>
  </si>
  <si>
    <t>Allée derrière la pharmacie</t>
  </si>
  <si>
    <t>Yainville</t>
  </si>
  <si>
    <t>49.4540569</t>
  </si>
  <si>
    <t>0.8300998</t>
  </si>
  <si>
    <t>TLC_00050602</t>
  </si>
  <si>
    <t>Chaussée Saint-Georges</t>
  </si>
  <si>
    <t>Dechetterie</t>
  </si>
  <si>
    <t>TLC_00055651</t>
  </si>
  <si>
    <t>87 rue Jean Macé</t>
  </si>
  <si>
    <t>Croisement rue Francois Mitterand</t>
  </si>
  <si>
    <t>49.4242357</t>
  </si>
  <si>
    <t>1.0626464</t>
  </si>
  <si>
    <t>TLC_03338407</t>
  </si>
  <si>
    <t>152 rue Gambetta</t>
  </si>
  <si>
    <t>Croisement rue Paul Langevin - Près école de musique</t>
  </si>
  <si>
    <t>49.4141603</t>
  </si>
  <si>
    <t>1.0666575</t>
  </si>
  <si>
    <t>TLC_03338408</t>
  </si>
  <si>
    <t>26 Rue Leveillé</t>
  </si>
  <si>
    <t>Elbeuf</t>
  </si>
  <si>
    <t>49.2844764</t>
  </si>
  <si>
    <t>1.0063901</t>
  </si>
  <si>
    <t>TLC_02853223</t>
  </si>
  <si>
    <t>Rue Marie-Louise et Raymond Boucher</t>
  </si>
  <si>
    <t>Déchetterie de Cléon - 10h / 18h</t>
  </si>
  <si>
    <t>Cléon</t>
  </si>
  <si>
    <t>49.31915735339666</t>
  </si>
  <si>
    <t>1.0562184915405437</t>
  </si>
  <si>
    <t>TLC_00055777</t>
  </si>
  <si>
    <t>4 rue du Docteur Galouen</t>
  </si>
  <si>
    <t>49.400325</t>
  </si>
  <si>
    <t>1.080932</t>
  </si>
  <si>
    <t>2019_N10</t>
  </si>
  <si>
    <t>1 Avenue Jacques Chastellain</t>
  </si>
  <si>
    <t>Ile Lacroix</t>
  </si>
  <si>
    <t>49.4311553</t>
  </si>
  <si>
    <t>1.1022802</t>
  </si>
  <si>
    <t>541 Chemin du Mesnil-Esnard</t>
  </si>
  <si>
    <t>Parking de la crèche - Ecole Maternelle</t>
  </si>
  <si>
    <t>49.4021325</t>
  </si>
  <si>
    <t>1.1314687</t>
  </si>
  <si>
    <t>TLC_00017920</t>
  </si>
  <si>
    <t>34 Rue De Verdun</t>
  </si>
  <si>
    <t>18 Impasse Barbet</t>
  </si>
  <si>
    <t>49.4590316</t>
  </si>
  <si>
    <t>1.0477964</t>
  </si>
  <si>
    <t>TLC_00055782</t>
  </si>
  <si>
    <t>9021 Rue du Canal</t>
  </si>
  <si>
    <t>Derrière la Station Service</t>
  </si>
  <si>
    <t>Bapeaume-Lès-Rouen</t>
  </si>
  <si>
    <t>49.4584663</t>
  </si>
  <si>
    <t>1.0438016</t>
  </si>
  <si>
    <t>TLC_03198773</t>
  </si>
  <si>
    <t>340 Route de Dieppe</t>
  </si>
  <si>
    <t>Parking Salle communale (Mairie)</t>
  </si>
  <si>
    <t>49.4691713</t>
  </si>
  <si>
    <t>1.0516405</t>
  </si>
  <si>
    <t>TLC_00017930</t>
  </si>
  <si>
    <t>8 Rue De Fontenelle</t>
  </si>
  <si>
    <t>49.4762554</t>
  </si>
  <si>
    <t>1.0525354</t>
  </si>
  <si>
    <t>76 rue des Sources</t>
  </si>
  <si>
    <t>Parking Mairie</t>
  </si>
  <si>
    <t>Saint-Léger-Du-Bourg-Denis</t>
  </si>
  <si>
    <t>49.43243</t>
  </si>
  <si>
    <t>1.157459</t>
  </si>
  <si>
    <t>TLC_00017952</t>
  </si>
  <si>
    <t>321 Rue des broches</t>
  </si>
  <si>
    <t>49.4321409</t>
  </si>
  <si>
    <t>1.1461591</t>
  </si>
  <si>
    <t>TLC_00050601</t>
  </si>
  <si>
    <t>2 rue du Collège</t>
  </si>
  <si>
    <t>Parking de la Piscine</t>
  </si>
  <si>
    <t>Pont-Saint-Pierre</t>
  </si>
  <si>
    <t>49.3372127</t>
  </si>
  <si>
    <t>1.2742826</t>
  </si>
  <si>
    <t>TLC_03267579</t>
  </si>
  <si>
    <t>14 Route de Saint Paër</t>
  </si>
  <si>
    <t>Parking</t>
  </si>
  <si>
    <t>Sainte-Marguerite-sur-Duclair</t>
  </si>
  <si>
    <t>49.508078</t>
  </si>
  <si>
    <t>0.8399526</t>
  </si>
  <si>
    <t>TLC_12137850</t>
  </si>
  <si>
    <t>438 Chemin du Gord</t>
  </si>
  <si>
    <t>Déchetterie - 9h / 12h - 14h 17h00</t>
  </si>
  <si>
    <t>49.4266815</t>
  </si>
  <si>
    <t>1.038447</t>
  </si>
  <si>
    <t>TLC_00055774</t>
  </si>
  <si>
    <t>238 Rue Saint Julien</t>
  </si>
  <si>
    <t>Angle Rue Jacquard</t>
  </si>
  <si>
    <t>49.4245683</t>
  </si>
  <si>
    <t>1.0708251</t>
  </si>
  <si>
    <t>TLC_20050300</t>
  </si>
  <si>
    <t>221 Rue Saint Julien</t>
  </si>
  <si>
    <t>Angle allée de la Pépinière</t>
  </si>
  <si>
    <t>49.4252384</t>
  </si>
  <si>
    <t>1.0733795</t>
  </si>
  <si>
    <t>TLC_20050200</t>
  </si>
  <si>
    <t>510 Rue du Dr Duvrac</t>
  </si>
  <si>
    <t>Parking Loic Gréaume</t>
  </si>
  <si>
    <t>Bourg-Achard</t>
  </si>
  <si>
    <t>49.3593819</t>
  </si>
  <si>
    <t>0.8181938</t>
  </si>
  <si>
    <t>TLC_02996076</t>
  </si>
  <si>
    <t xml:space="preserve">111 Allée des Lauriers </t>
  </si>
  <si>
    <t>La Bouille</t>
  </si>
  <si>
    <t>49.3498305</t>
  </si>
  <si>
    <t>0.933767</t>
  </si>
  <si>
    <t>TLC_00067692</t>
  </si>
  <si>
    <t>83 rue Alain Colas</t>
  </si>
  <si>
    <t>Parking Leader Price</t>
  </si>
  <si>
    <t>49.30898629499202</t>
  </si>
  <si>
    <t>1.0371775086677637</t>
  </si>
  <si>
    <t>TLC_02853230</t>
  </si>
  <si>
    <t>7 Rue du Neubourg</t>
  </si>
  <si>
    <t>Carrefour Market - Station Service</t>
  </si>
  <si>
    <t>49.285096</t>
  </si>
  <si>
    <t>1.0099438</t>
  </si>
  <si>
    <t>TLC_02853237</t>
  </si>
  <si>
    <t>8 Rue Lenormand</t>
  </si>
  <si>
    <t>Caudebec-lès-Elbeuf</t>
  </si>
  <si>
    <t>49.284012</t>
  </si>
  <si>
    <t>1.0126363</t>
  </si>
  <si>
    <t>TLC_00067697</t>
  </si>
  <si>
    <t>856 Rue Emile Zola</t>
  </si>
  <si>
    <t>49.2815389</t>
  </si>
  <si>
    <t>1.0204458</t>
  </si>
  <si>
    <t>TLC_00067696</t>
  </si>
  <si>
    <t>67 Rue de Strasbourg</t>
  </si>
  <si>
    <t>Place de l'Assemblée</t>
  </si>
  <si>
    <t>49.2916303</t>
  </si>
  <si>
    <t>1.0284224</t>
  </si>
  <si>
    <t>TLC_02853232</t>
  </si>
  <si>
    <t>127 Rue de l'Eglise</t>
  </si>
  <si>
    <t>Saint-Aubin-Epinay</t>
  </si>
  <si>
    <t>49.4217741</t>
  </si>
  <si>
    <t>1.1770492</t>
  </si>
  <si>
    <t>TLC_00017950</t>
  </si>
  <si>
    <t>35 Rue de Verdun</t>
  </si>
  <si>
    <t>Entre la Mairie et l'Eglise</t>
  </si>
  <si>
    <t>Saint-Jacques-Sur-Darnétal</t>
  </si>
  <si>
    <t>49.4400478</t>
  </si>
  <si>
    <t>1.2027215</t>
  </si>
  <si>
    <t>TLC_00017951</t>
  </si>
  <si>
    <t>79 Chemin des Coquelicots</t>
  </si>
  <si>
    <t>Moulineaux</t>
  </si>
  <si>
    <t>49.3427399</t>
  </si>
  <si>
    <t>0.9664346</t>
  </si>
  <si>
    <t>TLC_00067691</t>
  </si>
  <si>
    <t>30 rue des Fusillés</t>
  </si>
  <si>
    <t>Croisement rue Frete</t>
  </si>
  <si>
    <t>La Londe</t>
  </si>
  <si>
    <t>49.3063384</t>
  </si>
  <si>
    <t>0.9602677</t>
  </si>
  <si>
    <t>TLC_02852242</t>
  </si>
  <si>
    <t>Rue du Froc aux Moines</t>
  </si>
  <si>
    <t>Stade de Foot</t>
  </si>
  <si>
    <t>La Neuville-Chant-d'Oisel</t>
  </si>
  <si>
    <t>49.368749062688885</t>
  </si>
  <si>
    <t>1.2451182344627432</t>
  </si>
  <si>
    <t>TLC_00050599</t>
  </si>
  <si>
    <t>590 rue Adolphe Marie</t>
  </si>
  <si>
    <t>49.3021885</t>
  </si>
  <si>
    <t>0.950701</t>
  </si>
  <si>
    <t>TLC_02853236</t>
  </si>
  <si>
    <t>67 rue Galbois</t>
  </si>
  <si>
    <t>Parking à coté des écoles</t>
  </si>
  <si>
    <t>Saint-Pierre-Lès-Elbeuf</t>
  </si>
  <si>
    <t>49.2712549</t>
  </si>
  <si>
    <t>1.049438</t>
  </si>
  <si>
    <t>TLC_02853225</t>
  </si>
  <si>
    <t>40 rue des Canadiens</t>
  </si>
  <si>
    <t>Face à la Mairie</t>
  </si>
  <si>
    <t>Saint-Ouen-du-Tilleul</t>
  </si>
  <si>
    <t>49.2949586</t>
  </si>
  <si>
    <t>0.9503699</t>
  </si>
  <si>
    <t>Privée</t>
  </si>
  <si>
    <t>TLC_02853235</t>
  </si>
  <si>
    <t>625 rue du Puits Mérot</t>
  </si>
  <si>
    <t>Parking Leader Price / Face à la mairie</t>
  </si>
  <si>
    <t>49.2761596</t>
  </si>
  <si>
    <t>1.0432253</t>
  </si>
  <si>
    <t>TLC_02853227</t>
  </si>
  <si>
    <t>22 Route du Neubourg</t>
  </si>
  <si>
    <t>Derrière le Manoir Saint-Nicolas</t>
  </si>
  <si>
    <t>La Saussaye</t>
  </si>
  <si>
    <t>49.260836</t>
  </si>
  <si>
    <t>0.9767508</t>
  </si>
  <si>
    <t>TLC_02853233</t>
  </si>
  <si>
    <t>318 Rue Antoine de Saint Exupery</t>
  </si>
  <si>
    <t>49.276142</t>
  </si>
  <si>
    <t>1.0267816</t>
  </si>
  <si>
    <t>TLC_00067695</t>
  </si>
  <si>
    <t>Rue du Docteur Villers</t>
  </si>
  <si>
    <t>CHI - Parking usagers</t>
  </si>
  <si>
    <t>Saint-Aubin-Lès-Elbeuf</t>
  </si>
  <si>
    <t>49.30416367931222</t>
  </si>
  <si>
    <t>1.0422025843391358</t>
  </si>
  <si>
    <t>TLC_02853231</t>
  </si>
  <si>
    <t>Entrée EHPAD</t>
  </si>
  <si>
    <t>49.30401280525894</t>
  </si>
  <si>
    <t>1.041674189163202</t>
  </si>
  <si>
    <t>TLC_03342992</t>
  </si>
  <si>
    <t>20 Espace Foudriots</t>
  </si>
  <si>
    <t>Derrière La Poste</t>
  </si>
  <si>
    <t>49.3027597</t>
  </si>
  <si>
    <t>1.0127645</t>
  </si>
  <si>
    <t>TLC_02853228</t>
  </si>
  <si>
    <t>5 rue Pierre Saint Georges</t>
  </si>
  <si>
    <t>Gare de Saint Aubin</t>
  </si>
  <si>
    <t>49.3027374</t>
  </si>
  <si>
    <t>1.0089665</t>
  </si>
  <si>
    <t>TLC_02853229</t>
  </si>
  <si>
    <t>1049 Rue de la Villette</t>
  </si>
  <si>
    <t>49.282711</t>
  </si>
  <si>
    <t>1.035268</t>
  </si>
  <si>
    <t>TLC_00067694</t>
  </si>
  <si>
    <t>2 rue Jean Jaures</t>
  </si>
  <si>
    <t>Sous le pont Jean Jaurès</t>
  </si>
  <si>
    <t>49.2919875</t>
  </si>
  <si>
    <t>1.009519</t>
  </si>
  <si>
    <t>TLC_02853224</t>
  </si>
  <si>
    <t>Route de Neuboug</t>
  </si>
  <si>
    <t>Parking Cimetière</t>
  </si>
  <si>
    <t>Saint-Pierre-des-Fleurs</t>
  </si>
  <si>
    <t>TLC_02853234</t>
  </si>
  <si>
    <t>13 Rue de Rouen</t>
  </si>
  <si>
    <t>D 938 sortie ELBEUF</t>
  </si>
  <si>
    <t>49.2938423</t>
  </si>
  <si>
    <t>0.9962223</t>
  </si>
  <si>
    <t>TLC_02853222</t>
  </si>
  <si>
    <t>26 Rue de Rouen</t>
  </si>
  <si>
    <t>Orival</t>
  </si>
  <si>
    <t>49.2972863</t>
  </si>
  <si>
    <t>0.9944486</t>
  </si>
  <si>
    <t>TLC_02853238</t>
  </si>
  <si>
    <t>627 Rue de la Chaussée</t>
  </si>
  <si>
    <t>49.2908071</t>
  </si>
  <si>
    <t>1.0306552</t>
  </si>
  <si>
    <t>TLC_00055776</t>
  </si>
  <si>
    <t>Oui</t>
  </si>
  <si>
    <t>Route de Pont de l'Arche</t>
  </si>
  <si>
    <t>En face L'Auto E.Leclerc</t>
  </si>
  <si>
    <t>49.290625826596894</t>
  </si>
  <si>
    <t>1.0378892518066296</t>
  </si>
  <si>
    <t>TLC_02853226</t>
  </si>
  <si>
    <t>CHI  rue du docteur Villers</t>
  </si>
  <si>
    <t>entrée des urgences</t>
  </si>
  <si>
    <t>TLC_02853239</t>
  </si>
  <si>
    <t>15 rue du Général Giraud</t>
  </si>
  <si>
    <t>49.4412597</t>
  </si>
  <si>
    <t>1.0867878</t>
  </si>
  <si>
    <t>TLC_02996127</t>
  </si>
  <si>
    <t>26 Rue de Freneuse</t>
  </si>
  <si>
    <t>Croisement ruelle Arthus</t>
  </si>
  <si>
    <t>49.2994624</t>
  </si>
  <si>
    <t>1.0403029</t>
  </si>
  <si>
    <t>TLC_00067693</t>
  </si>
  <si>
    <t>2 Rue Roger Bésus</t>
  </si>
  <si>
    <t>Centre Charlotte Delbo</t>
  </si>
  <si>
    <t>49.4233886</t>
  </si>
  <si>
    <t>1.0706877</t>
  </si>
  <si>
    <t>TLC_20050500</t>
  </si>
  <si>
    <t>132 Rue de la République</t>
  </si>
  <si>
    <t>Centre Marx Dormoy</t>
  </si>
  <si>
    <t>Le Grand-Quevilly</t>
  </si>
  <si>
    <t>49.4136846</t>
  </si>
  <si>
    <t>1.0342013</t>
  </si>
  <si>
    <t>TLC_00067690</t>
  </si>
  <si>
    <t>19 rue Marius Vallée</t>
  </si>
  <si>
    <t>Face au gymnase</t>
  </si>
  <si>
    <t>49.3999258</t>
  </si>
  <si>
    <t>1.08425</t>
  </si>
  <si>
    <t>2019_N11</t>
  </si>
  <si>
    <t>Chemin du Vaudin</t>
  </si>
  <si>
    <t>Quévreville-La-Poterie</t>
  </si>
  <si>
    <t>49.35613833102769</t>
  </si>
  <si>
    <t>1.1879760402282624</t>
  </si>
  <si>
    <t>TLC_00055646</t>
  </si>
  <si>
    <t>Mairie</t>
  </si>
  <si>
    <t>Pôle Déchets</t>
  </si>
  <si>
    <t>Ymare</t>
  </si>
  <si>
    <t>49.3503139</t>
  </si>
  <si>
    <t>1.1778794</t>
  </si>
  <si>
    <t>TLC_00050603</t>
  </si>
  <si>
    <t>260 rue du Docteur Gallouen</t>
  </si>
  <si>
    <t>Parking de la salle des fêtes</t>
  </si>
  <si>
    <t>Les Authieux-Sur-Le-Port-Saint-Ouen</t>
  </si>
  <si>
    <t>49.3408846</t>
  </si>
  <si>
    <t>1.1328675</t>
  </si>
  <si>
    <t>TLC_00061734</t>
  </si>
  <si>
    <t>28 rue du Poste</t>
  </si>
  <si>
    <t>Suivre "Résidence Perelles" - Sur le parking</t>
  </si>
  <si>
    <t>Gouy</t>
  </si>
  <si>
    <t>49.3534984</t>
  </si>
  <si>
    <t>1.1474265</t>
  </si>
  <si>
    <t>TLC_02852243</t>
  </si>
  <si>
    <t>25 rue de la Poterne</t>
  </si>
  <si>
    <t>Entrée escalier Parking</t>
  </si>
  <si>
    <t>49.4435782</t>
  </si>
  <si>
    <t>1.0926687</t>
  </si>
  <si>
    <t>TLC_02996126</t>
  </si>
  <si>
    <t>35 rue Orbe</t>
  </si>
  <si>
    <t>Près de Franprix</t>
  </si>
  <si>
    <t>49.4431433</t>
  </si>
  <si>
    <t>1.1041131</t>
  </si>
  <si>
    <t>TLC_02996125</t>
  </si>
  <si>
    <t>72 rue de Martainville</t>
  </si>
  <si>
    <t>49.4386581</t>
  </si>
  <si>
    <t>1.1036246</t>
  </si>
  <si>
    <t>TLC_02996123</t>
  </si>
  <si>
    <t>2 Rue François Couperin</t>
  </si>
  <si>
    <t>Parking Eglise Sainte-Claire</t>
  </si>
  <si>
    <t>49.4477877</t>
  </si>
  <si>
    <t>1.1406381</t>
  </si>
  <si>
    <t>TLC_02997389</t>
  </si>
  <si>
    <t>Rue du Chanoine Maubec</t>
  </si>
  <si>
    <t>Angle Ferdinand Marrou - Derrière le Coccinelle</t>
  </si>
  <si>
    <t>49.45720248268819</t>
  </si>
  <si>
    <t>1.1296958227538978</t>
  </si>
  <si>
    <t>TLC_02997390</t>
  </si>
  <si>
    <t>30 avenue du 14 juillet</t>
  </si>
  <si>
    <t>Parking Stade Sottevillais</t>
  </si>
  <si>
    <t>49.406198</t>
  </si>
  <si>
    <t>1.0982421</t>
  </si>
  <si>
    <t>TLC_03269155</t>
  </si>
  <si>
    <t>36 rue Léon Salva</t>
  </si>
  <si>
    <t>Angle rue Garibaldi</t>
  </si>
  <si>
    <t>49.4200766</t>
  </si>
  <si>
    <t>1.0907488</t>
  </si>
  <si>
    <t>TLC_03269154</t>
  </si>
  <si>
    <t>98 Rue Sadi Carnot</t>
  </si>
  <si>
    <t>Face à la Mairie</t>
  </si>
  <si>
    <t>49.4406483</t>
  </si>
  <si>
    <t>1.144694</t>
  </si>
  <si>
    <t>TLC_00017927</t>
  </si>
  <si>
    <t>37 Rue Edouard Branly</t>
  </si>
  <si>
    <t>49.4419378</t>
  </si>
  <si>
    <t>1.1433416</t>
  </si>
  <si>
    <t>TLC_00061075</t>
  </si>
  <si>
    <t xml:space="preserve">12 Rue de la Mairie </t>
  </si>
  <si>
    <t>Ruelle Atelier Municipal - Salle des Fêtes</t>
  </si>
  <si>
    <t>Saint-Aubin-Celloville</t>
  </si>
  <si>
    <t>49.364568</t>
  </si>
  <si>
    <t>1.155796</t>
  </si>
  <si>
    <t>TLC_02996134</t>
  </si>
  <si>
    <t>41 Rue des Canadiens</t>
  </si>
  <si>
    <t>49.4524062</t>
  </si>
  <si>
    <t>1.118665</t>
  </si>
  <si>
    <t>TLC_20051600</t>
  </si>
  <si>
    <t>15 Rue Philibert Caux</t>
  </si>
  <si>
    <t>En face de l'école Ste Victrice</t>
  </si>
  <si>
    <t>49.4591153</t>
  </si>
  <si>
    <t>1.1144951</t>
  </si>
  <si>
    <t>TLC_03200841</t>
  </si>
  <si>
    <t>34 Rue de Verdun</t>
  </si>
  <si>
    <t>Parking de la Piscine Transat</t>
  </si>
  <si>
    <t>49.459388</t>
  </si>
  <si>
    <t>1.1233008</t>
  </si>
  <si>
    <t>TLC_03267896</t>
  </si>
  <si>
    <t>1 Rue de Préaux</t>
  </si>
  <si>
    <t>Rond Point de la Girafe - Face à boulangerie</t>
  </si>
  <si>
    <t>49.4493106</t>
  </si>
  <si>
    <t>1.1513028</t>
  </si>
  <si>
    <t>TLC_00017928</t>
  </si>
  <si>
    <t>8 Sente de la Ravine</t>
  </si>
  <si>
    <t>49.4450289</t>
  </si>
  <si>
    <t>1.160058</t>
  </si>
  <si>
    <t>TLC_00055781</t>
  </si>
  <si>
    <t xml:space="preserve">709 Grande Rue </t>
  </si>
  <si>
    <t>Côté Eglise</t>
  </si>
  <si>
    <t>Rocquemont</t>
  </si>
  <si>
    <t>49.603358</t>
  </si>
  <si>
    <t>1.284158</t>
  </si>
  <si>
    <t>TLC_03198778</t>
  </si>
  <si>
    <t>1 Rue du Mesnil</t>
  </si>
  <si>
    <t>Devant le terrain de tennis</t>
  </si>
  <si>
    <t>Monterolier</t>
  </si>
  <si>
    <t>49.6276563</t>
  </si>
  <si>
    <t>1.3446324</t>
  </si>
  <si>
    <t>TLC_03198776</t>
  </si>
  <si>
    <t>479 rue de la Gare</t>
  </si>
  <si>
    <t>Parking Gare</t>
  </si>
  <si>
    <t>Sommery</t>
  </si>
  <si>
    <t>49.6298681</t>
  </si>
  <si>
    <t>1.4354724</t>
  </si>
  <si>
    <t>TLC_03198779</t>
  </si>
  <si>
    <t>29 Impasse de la Gare</t>
  </si>
  <si>
    <t>Face crèperie</t>
  </si>
  <si>
    <t>Neufchatel-en-Bray</t>
  </si>
  <si>
    <t>49.7334807</t>
  </si>
  <si>
    <t>1.4359706</t>
  </si>
  <si>
    <t>TLC_03198777</t>
  </si>
  <si>
    <t>59 Rue Pierre Bérégovoy</t>
  </si>
  <si>
    <t>49.4226399</t>
  </si>
  <si>
    <t>1.08954</t>
  </si>
  <si>
    <t>TLC_03269153</t>
  </si>
  <si>
    <t>11 Rue Antheaume</t>
  </si>
  <si>
    <t>Résidence Vallon Saint Hilaire</t>
  </si>
  <si>
    <t>49.4448577</t>
  </si>
  <si>
    <t>1.1168911</t>
  </si>
  <si>
    <t>TLC_20050900</t>
  </si>
  <si>
    <t>Rue des Canadiens</t>
  </si>
  <si>
    <t>Déchetterie Boos - D91 vers Saint-Aubin-Celloville</t>
  </si>
  <si>
    <t>49.3757041412845</t>
  </si>
  <si>
    <t>1.18180979092406</t>
  </si>
  <si>
    <t>TLC_00055643</t>
  </si>
  <si>
    <t>8 rue des canadiens</t>
  </si>
  <si>
    <t>Parking Salle Jacques Anquetil</t>
  </si>
  <si>
    <t>Belbeuf</t>
  </si>
  <si>
    <t>49.388972</t>
  </si>
  <si>
    <t>1.140556</t>
  </si>
  <si>
    <t>TLC_00055641</t>
  </si>
  <si>
    <t>10 rue aux Juifs</t>
  </si>
  <si>
    <t>49.4373767</t>
  </si>
  <si>
    <t>1.1484635</t>
  </si>
  <si>
    <t>TLC_03198774</t>
  </si>
  <si>
    <t>137 Route de Darnétal</t>
  </si>
  <si>
    <t>49.440485</t>
  </si>
  <si>
    <t>1.1264055</t>
  </si>
  <si>
    <t>TLC_02997388</t>
  </si>
  <si>
    <t>4 Rue Paul Eluard</t>
  </si>
  <si>
    <t>Hôpital Psychiatrique</t>
  </si>
  <si>
    <t>49.39488192605717</t>
  </si>
  <si>
    <t>1.0941487999694788</t>
  </si>
  <si>
    <t>TLC_03337475</t>
  </si>
  <si>
    <t>33 Rue du Roule</t>
  </si>
  <si>
    <t>49.438313</t>
  </si>
  <si>
    <t>1.1668016</t>
  </si>
  <si>
    <t>TLC_00061076</t>
  </si>
  <si>
    <t>47 Rue de Seine</t>
  </si>
  <si>
    <t>Déchetterie - 9h / 12h - 14h / 17h</t>
  </si>
  <si>
    <t>Saint-Étienne-du-Rouvray</t>
  </si>
  <si>
    <t>49.3703846</t>
  </si>
  <si>
    <t>1.1109495</t>
  </si>
  <si>
    <t>TLC_00055778</t>
  </si>
  <si>
    <t>27 Boulevard André Siegfried</t>
  </si>
  <si>
    <t>49.4574649</t>
  </si>
  <si>
    <t>1.0640513</t>
  </si>
  <si>
    <t>TLC_03269156</t>
  </si>
  <si>
    <t>26 Rue Michel Corroy</t>
  </si>
  <si>
    <t>Place Du Québec</t>
  </si>
  <si>
    <t>49.4017997</t>
  </si>
  <si>
    <t>1.057087</t>
  </si>
  <si>
    <t>TLC_00067688</t>
  </si>
  <si>
    <t>18 Rue Maryse Bastié</t>
  </si>
  <si>
    <t>Parking école Maryse Bastié</t>
  </si>
  <si>
    <t>49.4103894</t>
  </si>
  <si>
    <t>1.0566569</t>
  </si>
  <si>
    <t>TLC_02996116</t>
  </si>
  <si>
    <t>1 Rue Joseph-Jérome De Lalande</t>
  </si>
  <si>
    <t>49.4062043</t>
  </si>
  <si>
    <t>1.0636446</t>
  </si>
  <si>
    <t>TLC_02996117</t>
  </si>
  <si>
    <t>106 rue Paul Cezanne</t>
  </si>
  <si>
    <t>49.4022886</t>
  </si>
  <si>
    <t>1.0432186</t>
  </si>
  <si>
    <t>TLC_00050598</t>
  </si>
  <si>
    <t>2 rue de l'Eure</t>
  </si>
  <si>
    <t>Parking Eglise</t>
  </si>
  <si>
    <t>Martot</t>
  </si>
  <si>
    <t>49.297138</t>
  </si>
  <si>
    <t>1.0650021</t>
  </si>
  <si>
    <t>TLC_03342991</t>
  </si>
  <si>
    <t>4 rue Côte aux Blancs</t>
  </si>
  <si>
    <t>Freneuse</t>
  </si>
  <si>
    <t>49.3130842</t>
  </si>
  <si>
    <t>1.0789846</t>
  </si>
  <si>
    <t>TLC_02995403</t>
  </si>
  <si>
    <t>41 Avenue J. F. Kennedy</t>
  </si>
  <si>
    <t>49.4080799</t>
  </si>
  <si>
    <t>1.0544188</t>
  </si>
  <si>
    <t>TLC_00067689</t>
  </si>
  <si>
    <t>37 Rue de l'Enseigne Renaud</t>
  </si>
  <si>
    <t>Angle Chemin de l'école Jules Ferry</t>
  </si>
  <si>
    <t>49.4349673</t>
  </si>
  <si>
    <t>1.123745</t>
  </si>
  <si>
    <t>TLC_20051300</t>
  </si>
  <si>
    <t>5 place Saint Hilaire</t>
  </si>
  <si>
    <t>Rond point Saint Hilaire</t>
  </si>
  <si>
    <t>49.4423987</t>
  </si>
  <si>
    <t>1.1122919</t>
  </si>
  <si>
    <t>TLC_20051700</t>
  </si>
  <si>
    <t>49 Boulevard de Verdun</t>
  </si>
  <si>
    <t>Au pied du Monumental</t>
  </si>
  <si>
    <t>49.4454662</t>
  </si>
  <si>
    <t>1.108453</t>
  </si>
  <si>
    <t>TLC_10142500</t>
  </si>
  <si>
    <t>14 Place du Boulingrin</t>
  </si>
  <si>
    <t>Angle Rampe Beauvoisine</t>
  </si>
  <si>
    <t>49.4473698</t>
  </si>
  <si>
    <t>1.1064779</t>
  </si>
  <si>
    <t>TLC_10142800</t>
  </si>
  <si>
    <t>49 Rue de Bihorel</t>
  </si>
  <si>
    <t>Angle rue Jouvenet</t>
  </si>
  <si>
    <t>49.4498315</t>
  </si>
  <si>
    <t>1.1035948</t>
  </si>
  <si>
    <t>TLC_20051000</t>
  </si>
  <si>
    <t>19 rue Charles de Beaurepaire</t>
  </si>
  <si>
    <t>Angle Côte de Neufchâtel</t>
  </si>
  <si>
    <t>49.4524778</t>
  </si>
  <si>
    <t>1.0981059</t>
  </si>
  <si>
    <t>TLC_10142600</t>
  </si>
  <si>
    <t>80 Boulevard de l'Yser</t>
  </si>
  <si>
    <t>Angle Rue de l'Avalasse</t>
  </si>
  <si>
    <t>49.4473391</t>
  </si>
  <si>
    <t>1.0959108</t>
  </si>
  <si>
    <t>TLC_10142900</t>
  </si>
  <si>
    <t>Rue Sénard</t>
  </si>
  <si>
    <t>En face du 13 rue sénard</t>
  </si>
  <si>
    <t>TLC_10143700</t>
  </si>
  <si>
    <t>27 Rue Verte</t>
  </si>
  <si>
    <t>Gare</t>
  </si>
  <si>
    <t>49.4487775</t>
  </si>
  <si>
    <t>1.0931311</t>
  </si>
  <si>
    <t>TLC_02996124</t>
  </si>
  <si>
    <t>44 Boulevard de la Marne</t>
  </si>
  <si>
    <t>Angle Rampe Bouvreuil</t>
  </si>
  <si>
    <t>49.4469485</t>
  </si>
  <si>
    <t>1.0920252</t>
  </si>
  <si>
    <t>TLC_10143000</t>
  </si>
  <si>
    <t>59 Rue Crevier</t>
  </si>
  <si>
    <t>Angle rue d'Herbouville</t>
  </si>
  <si>
    <t>49.449081</t>
  </si>
  <si>
    <t>1.086073</t>
  </si>
  <si>
    <t>TLC_10143500</t>
  </si>
  <si>
    <t>15 Rue Tabouret</t>
  </si>
  <si>
    <t>Angle rue de la Cavée St Gervais</t>
  </si>
  <si>
    <t>49.449783</t>
  </si>
  <si>
    <t>1.0840698</t>
  </si>
  <si>
    <t>TLC_10143900</t>
  </si>
  <si>
    <t>65 Rue Saint Maur</t>
  </si>
  <si>
    <t>Angle rue Maladrerie</t>
  </si>
  <si>
    <t>49.4513399</t>
  </si>
  <si>
    <t>1.0878016</t>
  </si>
  <si>
    <t>TLC_10143600</t>
  </si>
  <si>
    <t>3 Place Eglise Saint Gervais</t>
  </si>
  <si>
    <t>49.4493018</t>
  </si>
  <si>
    <t>1.0820767</t>
  </si>
  <si>
    <t>TLC_10144000</t>
  </si>
  <si>
    <t>43 Rue Stanislas Girardin</t>
  </si>
  <si>
    <t>Angle rue A. Flaubert</t>
  </si>
  <si>
    <t>49.4472438</t>
  </si>
  <si>
    <t>1.0805579</t>
  </si>
  <si>
    <t>TLC_10144400</t>
  </si>
  <si>
    <t>23 rue Guillaume d'Estouteville</t>
  </si>
  <si>
    <t>49.452936</t>
  </si>
  <si>
    <t>1.0699945</t>
  </si>
  <si>
    <t>TLC_10144100</t>
  </si>
  <si>
    <t>84 Rue du Renard</t>
  </si>
  <si>
    <t>Ecole Achille Lefort</t>
  </si>
  <si>
    <t>49.448144</t>
  </si>
  <si>
    <t>1.080758</t>
  </si>
  <si>
    <t>TLC_10144300</t>
  </si>
  <si>
    <t>1 Place de la Madeleine</t>
  </si>
  <si>
    <t>Angle rue Constantine</t>
  </si>
  <si>
    <t>49.4455345</t>
  </si>
  <si>
    <t>1.0788793</t>
  </si>
  <si>
    <t>TLC_10144500</t>
  </si>
  <si>
    <t>135 rue du Madrillet</t>
  </si>
  <si>
    <t>Bâtiment AFPA</t>
  </si>
  <si>
    <t>49.3909564</t>
  </si>
  <si>
    <t>1.0731051</t>
  </si>
  <si>
    <t>TLC_03479474</t>
  </si>
  <si>
    <t>1 Avenue Charles Gounod</t>
  </si>
  <si>
    <t>En face du collège</t>
  </si>
  <si>
    <t>Canteleu</t>
  </si>
  <si>
    <t>49.4544441</t>
  </si>
  <si>
    <t>1.0323677</t>
  </si>
  <si>
    <t>2019_N3</t>
  </si>
  <si>
    <t>119 Route de Duclair</t>
  </si>
  <si>
    <t>Après le croisement Rue de l'église à coté des bacs à verre</t>
  </si>
  <si>
    <t>Saint-Paër</t>
  </si>
  <si>
    <t>49.5155313</t>
  </si>
  <si>
    <t>0.880296</t>
  </si>
  <si>
    <t>TLC_12137820</t>
  </si>
  <si>
    <t>240 Rue de la Paix</t>
  </si>
  <si>
    <t>Saint-Pierre-De-Varengeville</t>
  </si>
  <si>
    <t>49.5016503</t>
  </si>
  <si>
    <t>0.9217114</t>
  </si>
  <si>
    <t>TLC_00017955</t>
  </si>
  <si>
    <t>7 Rue Alexandre Dumas</t>
  </si>
  <si>
    <t>49.4438684</t>
  </si>
  <si>
    <t>1.0322824</t>
  </si>
  <si>
    <t>2019_N2</t>
  </si>
  <si>
    <t>36 Avenue de Versailles</t>
  </si>
  <si>
    <t>49.446971</t>
  </si>
  <si>
    <t>1.035878</t>
  </si>
  <si>
    <t>2019_N1</t>
  </si>
  <si>
    <t>133 rue de l'Eglise</t>
  </si>
  <si>
    <t>Parking en face de l'Espace WAPALLERIA</t>
  </si>
  <si>
    <t>La Vaupalière</t>
  </si>
  <si>
    <t>49.4895761</t>
  </si>
  <si>
    <t>0.9990714</t>
  </si>
  <si>
    <t>TLC_00017958</t>
  </si>
  <si>
    <t>989 Route de l'Eglise</t>
  </si>
  <si>
    <t>Pommereval</t>
  </si>
  <si>
    <t>49.740456</t>
  </si>
  <si>
    <t>1.319002</t>
  </si>
  <si>
    <t>TLC_12138030</t>
  </si>
  <si>
    <t>4 Rue des Bouleaux</t>
  </si>
  <si>
    <t>Suivre panneau "Foyer des Jeunes"</t>
  </si>
  <si>
    <t>Ardouval</t>
  </si>
  <si>
    <t>49.746722</t>
  </si>
  <si>
    <t>1.273509</t>
  </si>
  <si>
    <t>TLC_12138010</t>
  </si>
  <si>
    <t>2 bis Chemin du Cimetière</t>
  </si>
  <si>
    <t>Bellencombre</t>
  </si>
  <si>
    <t>49.7067743</t>
  </si>
  <si>
    <t>1.2251442</t>
  </si>
  <si>
    <t>TLC_12138040</t>
  </si>
  <si>
    <t>77 Place de l'Eglise</t>
  </si>
  <si>
    <t>En face de l'église - Parking au fond</t>
  </si>
  <si>
    <t>Cottevrard</t>
  </si>
  <si>
    <t>49.6318038</t>
  </si>
  <si>
    <t>1.2212548</t>
  </si>
  <si>
    <t>TLC_12138060</t>
  </si>
  <si>
    <t>159 Rue des Forges</t>
  </si>
  <si>
    <t>Bosc Le Hard</t>
  </si>
  <si>
    <t>49.6290962</t>
  </si>
  <si>
    <t>1.1776388</t>
  </si>
  <si>
    <t>TLC_12138070</t>
  </si>
  <si>
    <t>3 Place Bernard Alexandre</t>
  </si>
  <si>
    <t>49.669995</t>
  </si>
  <si>
    <t>0.8992293</t>
  </si>
  <si>
    <t>TLC_12138120</t>
  </si>
  <si>
    <t>25 rue de la Mare des Champs</t>
  </si>
  <si>
    <t>Entrée parking communal</t>
  </si>
  <si>
    <t>Vibeuf</t>
  </si>
  <si>
    <t>49.693223</t>
  </si>
  <si>
    <t>0.9027505</t>
  </si>
  <si>
    <t>TLC_12138130</t>
  </si>
  <si>
    <t>520 rue du Prieuré</t>
  </si>
  <si>
    <t>Etoutteville</t>
  </si>
  <si>
    <t>49.6758125</t>
  </si>
  <si>
    <t>0.7899252</t>
  </si>
  <si>
    <t>TLC_12138080</t>
  </si>
  <si>
    <t>1 Rue de l'Eglise</t>
  </si>
  <si>
    <t>Intersection Rue de l'Ecole</t>
  </si>
  <si>
    <t>Flamanville</t>
  </si>
  <si>
    <t>49.63501511998083</t>
  </si>
  <si>
    <t>0.8386936533035305</t>
  </si>
  <si>
    <t>TLC_12138100</t>
  </si>
  <si>
    <t>156 Rue de la Gare</t>
  </si>
  <si>
    <t>Face à la gare</t>
  </si>
  <si>
    <t>Motteville</t>
  </si>
  <si>
    <t>49.6372744</t>
  </si>
  <si>
    <t>0.8497941</t>
  </si>
  <si>
    <t>TLC_12138090</t>
  </si>
  <si>
    <t>55 rue du Centre</t>
  </si>
  <si>
    <t>A côté du garage et bacs verre</t>
  </si>
  <si>
    <t>Cideville</t>
  </si>
  <si>
    <t>49.6154562</t>
  </si>
  <si>
    <t>0.8944882</t>
  </si>
  <si>
    <t>TLC_12138110</t>
  </si>
  <si>
    <t>220 Rue Du 14 Juillet</t>
  </si>
  <si>
    <t>Croisement rue du Pommeret</t>
  </si>
  <si>
    <t>Petit-Couronne</t>
  </si>
  <si>
    <t>49.3838783</t>
  </si>
  <si>
    <t>1.028463</t>
  </si>
  <si>
    <t>2019_N8</t>
  </si>
  <si>
    <t>44 Place Pierre Mendès France</t>
  </si>
  <si>
    <t>Parking Coccinelle</t>
  </si>
  <si>
    <t>49.3884892</t>
  </si>
  <si>
    <t>1.0376402</t>
  </si>
  <si>
    <t>2019_N7</t>
  </si>
  <si>
    <t>13 Route de Duclair</t>
  </si>
  <si>
    <t>Parking Signa</t>
  </si>
  <si>
    <t>Maromme</t>
  </si>
  <si>
    <t>49.478762680186776</t>
  </si>
  <si>
    <t>1.023723836245729</t>
  </si>
  <si>
    <t>TLC_12137800</t>
  </si>
  <si>
    <t>5 Allée de la Côté Mutel</t>
  </si>
  <si>
    <t>Déchetterie - 9h / 12h - 14h - 17h30</t>
  </si>
  <si>
    <t>Grand-Couronne</t>
  </si>
  <si>
    <t>49.3667909</t>
  </si>
  <si>
    <t>1.0150717</t>
  </si>
  <si>
    <t>TLC_00055775</t>
  </si>
  <si>
    <t>2 Rue de Binche</t>
  </si>
  <si>
    <t>Parking école Delbos</t>
  </si>
  <si>
    <t>49.474356</t>
  </si>
  <si>
    <t>1.0413057</t>
  </si>
  <si>
    <t>TLC_12137790</t>
  </si>
  <si>
    <t>29 Rue George d'Ambroise</t>
  </si>
  <si>
    <t>Angle rue Duguay Trouin</t>
  </si>
  <si>
    <t>49.4430129</t>
  </si>
  <si>
    <t>1.0808909</t>
  </si>
  <si>
    <t>TLC_10144600</t>
  </si>
  <si>
    <t>79 Rue Amédée Dormoy</t>
  </si>
  <si>
    <t>A coté de l'entrée Intermarché</t>
  </si>
  <si>
    <t>49.4499497</t>
  </si>
  <si>
    <t>1.0665611</t>
  </si>
  <si>
    <t>TLC_10144700</t>
  </si>
  <si>
    <t>Avenue des Martyrs</t>
  </si>
  <si>
    <t>Angle rue Linné</t>
  </si>
  <si>
    <t>TLC_20051100</t>
  </si>
  <si>
    <t>10 Rue Moise</t>
  </si>
  <si>
    <t>49.451788</t>
  </si>
  <si>
    <t>1.064157</t>
  </si>
  <si>
    <t>TLC_20051500</t>
  </si>
  <si>
    <t>145 Boulevard Jean Jaurès</t>
  </si>
  <si>
    <t>Face au n°306</t>
  </si>
  <si>
    <t>49.4527917</t>
  </si>
  <si>
    <t>1.058519</t>
  </si>
  <si>
    <t>TLC_10144800</t>
  </si>
  <si>
    <t>2 rue du Loup</t>
  </si>
  <si>
    <t>49.453197</t>
  </si>
  <si>
    <t>1.05537</t>
  </si>
  <si>
    <t>TLC_10144900</t>
  </si>
  <si>
    <t>2 rue Edouard Branly</t>
  </si>
  <si>
    <t>49.4412967</t>
  </si>
  <si>
    <t>1.1414569</t>
  </si>
  <si>
    <t>TLC_02852146</t>
  </si>
  <si>
    <t>73 A rue du Général de Gaulle</t>
  </si>
  <si>
    <t>Devant l'Association</t>
  </si>
  <si>
    <t>Le Houlme</t>
  </si>
  <si>
    <t>49.501335</t>
  </si>
  <si>
    <t>1.042073</t>
  </si>
  <si>
    <t>TLC_02995133</t>
  </si>
  <si>
    <t>Colonne1</t>
  </si>
  <si>
    <t>Colonne2</t>
  </si>
  <si>
    <t>Colonne3</t>
  </si>
  <si>
    <t>Colonne4</t>
  </si>
  <si>
    <t>Colonne5</t>
  </si>
  <si>
    <t>Colonne6</t>
  </si>
  <si>
    <t>Colonne7</t>
  </si>
  <si>
    <t>Colonne8</t>
  </si>
  <si>
    <t>Colonne9</t>
  </si>
  <si>
    <t>Colonne10</t>
  </si>
  <si>
    <t>Colonne11</t>
  </si>
  <si>
    <t>Colonne12</t>
  </si>
  <si>
    <t>Colonne13</t>
  </si>
  <si>
    <t>Colonne14</t>
  </si>
  <si>
    <t>Colonne15</t>
  </si>
  <si>
    <t>Colonne16</t>
  </si>
  <si>
    <t>Colonne17</t>
  </si>
  <si>
    <t>Colonne18</t>
  </si>
  <si>
    <t>Colonne19</t>
  </si>
  <si>
    <t>Colonne20</t>
  </si>
  <si>
    <t>Colonne21</t>
  </si>
  <si>
    <t>Colonne22</t>
  </si>
  <si>
    <t>Critère</t>
  </si>
  <si>
    <t>Janvier E</t>
  </si>
  <si>
    <t>Janvier %</t>
  </si>
  <si>
    <t>Janvier R</t>
  </si>
  <si>
    <t>Février E</t>
  </si>
  <si>
    <t>Février %</t>
  </si>
  <si>
    <t>Février R</t>
  </si>
  <si>
    <t>Mars A</t>
  </si>
  <si>
    <t>Mars %</t>
  </si>
  <si>
    <t>Mars R</t>
  </si>
  <si>
    <t>Avril E</t>
  </si>
  <si>
    <t>Avril %</t>
  </si>
  <si>
    <t>Avril R</t>
  </si>
  <si>
    <t>Mai E</t>
  </si>
  <si>
    <t>Mai %</t>
  </si>
  <si>
    <t>Mai R</t>
  </si>
  <si>
    <t>Juin E</t>
  </si>
  <si>
    <t>Juin %</t>
  </si>
  <si>
    <t>Juin R</t>
  </si>
  <si>
    <t>Juillet E</t>
  </si>
  <si>
    <t>Juillet %</t>
  </si>
  <si>
    <t>Juillet R</t>
  </si>
  <si>
    <t>Août E</t>
  </si>
  <si>
    <t>Août %</t>
  </si>
  <si>
    <t>Août R</t>
  </si>
  <si>
    <t>Septembre E</t>
  </si>
  <si>
    <t>Septembre %</t>
  </si>
  <si>
    <t>Septembre R</t>
  </si>
  <si>
    <t>Octobre E</t>
  </si>
  <si>
    <t>Octobre %</t>
  </si>
  <si>
    <t>Octobre R</t>
  </si>
  <si>
    <t>Novembre E</t>
  </si>
  <si>
    <t>Novembre %</t>
  </si>
  <si>
    <t>Novembre R</t>
  </si>
  <si>
    <t>Décembre E</t>
  </si>
  <si>
    <t>Décembre %</t>
  </si>
  <si>
    <t>Décembre R</t>
  </si>
  <si>
    <t>T1 E</t>
  </si>
  <si>
    <t>T1 R</t>
  </si>
  <si>
    <t>T2 E</t>
  </si>
  <si>
    <t>T2 R</t>
  </si>
  <si>
    <t>T3 E</t>
  </si>
  <si>
    <t>T3 R</t>
  </si>
  <si>
    <t>T4 E</t>
  </si>
  <si>
    <t>T4 R</t>
  </si>
  <si>
    <t>Annuel E</t>
  </si>
  <si>
    <t>Annuel R</t>
  </si>
  <si>
    <t>TOTAL LIONS CLUB ELBEUF</t>
  </si>
  <si>
    <t>TOTAL HORS METROPOLE</t>
  </si>
  <si>
    <t>Total LIONS CLUB</t>
  </si>
  <si>
    <t>Total SOLIDARITE TEXTILE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</si>
</sst>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&quot; kg&quot;"/>
    <numFmt numFmtId="165" formatCode="0.0%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9"/>
      <color theme="1"/>
      <name val="Calibri"/>
      <family val="2"/>
      <scheme val="minor"/>
    </font>
    <font>
      <i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b/>
      <i/>
      <sz val="9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sz val="11"/>
      <color rgb="FFA726AA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7030A0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AFCF8"/>
        <bgColor indexed="64"/>
      </patternFill>
    </fill>
    <fill>
      <patternFill patternType="solid">
        <fgColor rgb="FFFFFCF5"/>
        <bgColor indexed="64"/>
      </patternFill>
    </fill>
    <fill>
      <patternFill patternType="solid">
        <fgColor rgb="FFF7FAFD"/>
        <bgColor indexed="64"/>
      </patternFill>
    </fill>
    <fill>
      <patternFill patternType="solid">
        <fgColor rgb="FFFEF9F6"/>
        <bgColor indexed="64"/>
      </patternFill>
    </fill>
    <fill>
      <patternFill patternType="solid">
        <fgColor rgb="FF92D050"/>
        <bgColor indexed="64"/>
      </patternFill>
    </fill>
  </fills>
  <borders count="7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61">
    <xf numFmtId="0" fontId="0" fillId="0" borderId="0" xfId="0"/>
    <xf numFmtId="0" fontId="0" fillId="2" borderId="0" xfId="0" applyFill="1"/>
    <xf numFmtId="0" fontId="5" fillId="2" borderId="0" xfId="0" applyFont="1" applyFill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14" fontId="4" fillId="2" borderId="0" xfId="0" applyNumberFormat="1" applyFont="1" applyFill="1"/>
    <xf numFmtId="14" fontId="4" fillId="2" borderId="0" xfId="0" applyNumberFormat="1" applyFont="1" applyFill="1" applyAlignment="1">
      <alignment horizontal="center"/>
    </xf>
    <xf numFmtId="14" fontId="0" fillId="2" borderId="0" xfId="0" applyNumberFormat="1" applyFill="1"/>
    <xf numFmtId="0" fontId="0" fillId="2" borderId="0" xfId="0" applyFill="1" applyAlignment="1">
      <alignment vertical="center"/>
    </xf>
    <xf numFmtId="0" fontId="8" fillId="0" borderId="0" xfId="0" applyFont="1" applyAlignment="1">
      <alignment vertical="center" wrapText="1"/>
    </xf>
    <xf numFmtId="0" fontId="9" fillId="0" borderId="0" xfId="0" applyFont="1"/>
    <xf numFmtId="14" fontId="0" fillId="0" borderId="0" xfId="0" applyNumberFormat="1"/>
    <xf numFmtId="0" fontId="4" fillId="2" borderId="0" xfId="0" applyFont="1" applyFill="1"/>
    <xf numFmtId="0" fontId="0" fillId="2" borderId="0" xfId="0" applyFill="1" applyAlignment="1">
      <alignment horizontal="center"/>
    </xf>
    <xf numFmtId="10" fontId="0" fillId="2" borderId="0" xfId="1" applyNumberFormat="1" applyFont="1" applyFill="1"/>
    <xf numFmtId="0" fontId="5" fillId="2" borderId="4" xfId="0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/>
    </xf>
    <xf numFmtId="14" fontId="0" fillId="2" borderId="0" xfId="0" applyNumberFormat="1" applyFill="1" applyAlignment="1">
      <alignment horizontal="center"/>
    </xf>
    <xf numFmtId="0" fontId="8" fillId="2" borderId="4" xfId="0" applyFont="1" applyFill="1" applyBorder="1" applyAlignment="1">
      <alignment vertical="center" wrapText="1"/>
    </xf>
    <xf numFmtId="0" fontId="8" fillId="0" borderId="4" xfId="0" applyFont="1" applyBorder="1" applyAlignment="1">
      <alignment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0" fillId="0" borderId="4" xfId="0" applyBorder="1"/>
    <xf numFmtId="0" fontId="4" fillId="2" borderId="4" xfId="0" applyFont="1" applyFill="1" applyBorder="1"/>
    <xf numFmtId="0" fontId="0" fillId="0" borderId="0" xfId="0" applyAlignment="1">
      <alignment horizontal="center"/>
    </xf>
    <xf numFmtId="0" fontId="6" fillId="0" borderId="6" xfId="0" applyFont="1" applyBorder="1"/>
    <xf numFmtId="0" fontId="6" fillId="5" borderId="7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0" borderId="4" xfId="0" applyFont="1" applyBorder="1"/>
    <xf numFmtId="0" fontId="0" fillId="0" borderId="10" xfId="0" applyBorder="1"/>
    <xf numFmtId="0" fontId="11" fillId="4" borderId="11" xfId="0" applyFont="1" applyFill="1" applyBorder="1" applyAlignment="1">
      <alignment vertical="top" wrapText="1"/>
    </xf>
    <xf numFmtId="0" fontId="3" fillId="0" borderId="12" xfId="0" applyFont="1" applyBorder="1" applyAlignment="1">
      <alignment horizontal="center" textRotation="45" wrapText="1"/>
    </xf>
    <xf numFmtId="0" fontId="3" fillId="0" borderId="13" xfId="0" applyFont="1" applyBorder="1" applyAlignment="1">
      <alignment horizontal="center" textRotation="45" wrapText="1"/>
    </xf>
    <xf numFmtId="0" fontId="3" fillId="0" borderId="14" xfId="0" applyFont="1" applyBorder="1" applyAlignment="1">
      <alignment horizontal="center" textRotation="45" wrapText="1"/>
    </xf>
    <xf numFmtId="0" fontId="0" fillId="2" borderId="10" xfId="0" applyFill="1" applyBorder="1" applyAlignment="1">
      <alignment horizontal="center" textRotation="45"/>
    </xf>
    <xf numFmtId="0" fontId="0" fillId="2" borderId="15" xfId="0" applyFill="1" applyBorder="1"/>
    <xf numFmtId="14" fontId="0" fillId="2" borderId="12" xfId="0" applyNumberFormat="1" applyFill="1" applyBorder="1" applyAlignment="1">
      <alignment textRotation="45"/>
    </xf>
    <xf numFmtId="14" fontId="0" fillId="2" borderId="13" xfId="0" applyNumberFormat="1" applyFill="1" applyBorder="1" applyAlignment="1">
      <alignment textRotation="45"/>
    </xf>
    <xf numFmtId="14" fontId="0" fillId="2" borderId="14" xfId="0" applyNumberFormat="1" applyFill="1" applyBorder="1" applyAlignment="1">
      <alignment textRotation="45"/>
    </xf>
    <xf numFmtId="14" fontId="0" fillId="2" borderId="10" xfId="0" applyNumberFormat="1" applyFill="1" applyBorder="1" applyAlignment="1">
      <alignment textRotation="45"/>
    </xf>
    <xf numFmtId="14" fontId="0" fillId="2" borderId="16" xfId="0" applyNumberFormat="1" applyFill="1" applyBorder="1" applyAlignment="1">
      <alignment textRotation="45"/>
    </xf>
    <xf numFmtId="0" fontId="0" fillId="2" borderId="17" xfId="0" applyFill="1" applyBorder="1"/>
    <xf numFmtId="0" fontId="0" fillId="6" borderId="12" xfId="0" applyFill="1" applyBorder="1" applyAlignment="1">
      <alignment horizontal="left" textRotation="75" wrapText="1"/>
    </xf>
    <xf numFmtId="0" fontId="0" fillId="7" borderId="13" xfId="0" applyFill="1" applyBorder="1" applyAlignment="1">
      <alignment horizontal="left" textRotation="75" wrapText="1"/>
    </xf>
    <xf numFmtId="0" fontId="14" fillId="7" borderId="13" xfId="0" applyFont="1" applyFill="1" applyBorder="1" applyAlignment="1">
      <alignment horizontal="left" textRotation="75" wrapText="1"/>
    </xf>
    <xf numFmtId="0" fontId="14" fillId="8" borderId="13" xfId="0" applyFont="1" applyFill="1" applyBorder="1" applyAlignment="1">
      <alignment horizontal="left" textRotation="75" wrapText="1"/>
    </xf>
    <xf numFmtId="0" fontId="0" fillId="8" borderId="13" xfId="0" applyFill="1" applyBorder="1" applyAlignment="1">
      <alignment horizontal="left" textRotation="75" wrapText="1"/>
    </xf>
    <xf numFmtId="0" fontId="0" fillId="8" borderId="14" xfId="0" applyFill="1" applyBorder="1" applyAlignment="1">
      <alignment horizontal="left" textRotation="75" wrapText="1"/>
    </xf>
    <xf numFmtId="0" fontId="0" fillId="8" borderId="10" xfId="0" applyFill="1" applyBorder="1" applyAlignment="1">
      <alignment horizontal="left"/>
    </xf>
    <xf numFmtId="0" fontId="15" fillId="9" borderId="12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5" fillId="9" borderId="10" xfId="0" applyFont="1" applyFill="1" applyBorder="1" applyAlignment="1">
      <alignment horizontal="center" vertical="center"/>
    </xf>
    <xf numFmtId="0" fontId="15" fillId="10" borderId="16" xfId="0" applyFont="1" applyFill="1" applyBorder="1" applyAlignment="1">
      <alignment horizontal="center" vertical="center"/>
    </xf>
    <xf numFmtId="0" fontId="15" fillId="10" borderId="13" xfId="0" applyFont="1" applyFill="1" applyBorder="1" applyAlignment="1">
      <alignment horizontal="center" vertical="center"/>
    </xf>
    <xf numFmtId="0" fontId="15" fillId="10" borderId="14" xfId="0" applyFont="1" applyFill="1" applyBorder="1" applyAlignment="1">
      <alignment horizontal="center" vertical="center"/>
    </xf>
    <xf numFmtId="0" fontId="15" fillId="10" borderId="10" xfId="0" applyFont="1" applyFill="1" applyBorder="1" applyAlignment="1">
      <alignment horizontal="center" vertical="center"/>
    </xf>
    <xf numFmtId="0" fontId="15" fillId="6" borderId="16" xfId="0" applyFont="1" applyFill="1" applyBorder="1" applyAlignment="1">
      <alignment horizontal="center" vertical="center"/>
    </xf>
    <xf numFmtId="0" fontId="15" fillId="6" borderId="10" xfId="0" applyFont="1" applyFill="1" applyBorder="1" applyAlignment="1">
      <alignment horizontal="center" vertical="center"/>
    </xf>
    <xf numFmtId="0" fontId="15" fillId="11" borderId="12" xfId="0" applyFont="1" applyFill="1" applyBorder="1" applyAlignment="1">
      <alignment horizontal="center" vertical="center"/>
    </xf>
    <xf numFmtId="0" fontId="15" fillId="11" borderId="10" xfId="0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15" fillId="12" borderId="7" xfId="0" applyFont="1" applyFill="1" applyBorder="1" applyAlignment="1">
      <alignment horizontal="center" vertical="center"/>
    </xf>
    <xf numFmtId="0" fontId="15" fillId="12" borderId="8" xfId="0" applyFont="1" applyFill="1" applyBorder="1" applyAlignment="1">
      <alignment horizontal="center" vertical="center"/>
    </xf>
    <xf numFmtId="0" fontId="15" fillId="12" borderId="9" xfId="0" applyFont="1" applyFill="1" applyBorder="1" applyAlignment="1">
      <alignment horizontal="center" vertical="center"/>
    </xf>
    <xf numFmtId="0" fontId="3" fillId="13" borderId="18" xfId="0" applyFont="1" applyFill="1" applyBorder="1" applyAlignment="1">
      <alignment horizontal="left"/>
    </xf>
    <xf numFmtId="0" fontId="3" fillId="13" borderId="1" xfId="0" applyFont="1" applyFill="1" applyBorder="1" applyAlignment="1">
      <alignment horizontal="center"/>
    </xf>
    <xf numFmtId="0" fontId="3" fillId="13" borderId="2" xfId="0" applyFont="1" applyFill="1" applyBorder="1" applyAlignment="1">
      <alignment horizontal="center"/>
    </xf>
    <xf numFmtId="0" fontId="3" fillId="13" borderId="16" xfId="0" applyFont="1" applyFill="1" applyBorder="1" applyAlignment="1">
      <alignment horizontal="center"/>
    </xf>
    <xf numFmtId="0" fontId="3" fillId="13" borderId="14" xfId="0" applyFont="1" applyFill="1" applyBorder="1"/>
    <xf numFmtId="0" fontId="3" fillId="13" borderId="1" xfId="0" applyFont="1" applyFill="1" applyBorder="1" applyAlignment="1">
      <alignment horizontal="center"/>
    </xf>
    <xf numFmtId="0" fontId="3" fillId="13" borderId="12" xfId="0" applyFont="1" applyFill="1" applyBorder="1" applyAlignment="1">
      <alignment horizontal="center"/>
    </xf>
    <xf numFmtId="0" fontId="3" fillId="13" borderId="13" xfId="0" applyFont="1" applyFill="1" applyBorder="1" applyAlignment="1">
      <alignment horizontal="center"/>
    </xf>
    <xf numFmtId="0" fontId="3" fillId="13" borderId="14" xfId="0" applyFont="1" applyFill="1" applyBorder="1" applyAlignment="1">
      <alignment horizontal="center"/>
    </xf>
    <xf numFmtId="0" fontId="3" fillId="0" borderId="17" xfId="0" applyFont="1" applyBorder="1" applyAlignment="1">
      <alignment vertical="top" wrapText="1"/>
    </xf>
    <xf numFmtId="0" fontId="3" fillId="0" borderId="19" xfId="0" applyFont="1" applyBorder="1" applyAlignment="1">
      <alignment vertical="top" wrapText="1"/>
    </xf>
    <xf numFmtId="0" fontId="3" fillId="2" borderId="15" xfId="0" applyFont="1" applyFill="1" applyBorder="1" applyAlignment="1">
      <alignment horizontal="left"/>
    </xf>
    <xf numFmtId="0" fontId="3" fillId="14" borderId="17" xfId="0" applyFont="1" applyFill="1" applyBorder="1" applyAlignment="1">
      <alignment horizontal="center"/>
    </xf>
    <xf numFmtId="0" fontId="3" fillId="14" borderId="0" xfId="0" applyFont="1" applyFill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20" xfId="0" applyFont="1" applyFill="1" applyBorder="1" applyAlignment="1">
      <alignment horizontal="center"/>
    </xf>
    <xf numFmtId="0" fontId="0" fillId="6" borderId="21" xfId="0" applyFill="1" applyBorder="1" applyAlignment="1">
      <alignment horizontal="center" textRotation="75" wrapText="1"/>
    </xf>
    <xf numFmtId="0" fontId="0" fillId="7" borderId="19" xfId="0" applyFill="1" applyBorder="1" applyAlignment="1">
      <alignment horizontal="center" textRotation="75" wrapText="1"/>
    </xf>
    <xf numFmtId="0" fontId="0" fillId="8" borderId="19" xfId="0" applyFill="1" applyBorder="1" applyAlignment="1">
      <alignment horizontal="center" textRotation="75" wrapText="1"/>
    </xf>
    <xf numFmtId="0" fontId="0" fillId="8" borderId="22" xfId="0" applyFill="1" applyBorder="1" applyAlignment="1">
      <alignment horizontal="center" textRotation="75" wrapText="1"/>
    </xf>
    <xf numFmtId="0" fontId="0" fillId="8" borderId="23" xfId="0" applyFill="1" applyBorder="1" applyAlignment="1">
      <alignment horizontal="center"/>
    </xf>
    <xf numFmtId="0" fontId="0" fillId="15" borderId="21" xfId="0" applyFill="1" applyBorder="1" applyAlignment="1">
      <alignment horizontal="center"/>
    </xf>
    <xf numFmtId="10" fontId="0" fillId="15" borderId="19" xfId="1" applyNumberFormat="1" applyFont="1" applyFill="1" applyBorder="1" applyAlignment="1">
      <alignment horizontal="center"/>
    </xf>
    <xf numFmtId="164" fontId="0" fillId="15" borderId="23" xfId="0" applyNumberFormat="1" applyFill="1" applyBorder="1" applyAlignment="1">
      <alignment horizontal="center"/>
    </xf>
    <xf numFmtId="164" fontId="0" fillId="3" borderId="21" xfId="0" applyNumberFormat="1" applyFill="1" applyBorder="1" applyAlignment="1">
      <alignment horizontal="center"/>
    </xf>
    <xf numFmtId="10" fontId="0" fillId="3" borderId="19" xfId="1" applyNumberFormat="1" applyFont="1" applyFill="1" applyBorder="1" applyAlignment="1">
      <alignment horizontal="center"/>
    </xf>
    <xf numFmtId="164" fontId="0" fillId="3" borderId="23" xfId="0" applyNumberFormat="1" applyFill="1" applyBorder="1" applyAlignment="1">
      <alignment horizontal="center"/>
    </xf>
    <xf numFmtId="164" fontId="0" fillId="15" borderId="21" xfId="0" applyNumberFormat="1" applyFill="1" applyBorder="1" applyAlignment="1">
      <alignment horizontal="center"/>
    </xf>
    <xf numFmtId="164" fontId="0" fillId="16" borderId="21" xfId="0" applyNumberFormat="1" applyFill="1" applyBorder="1" applyAlignment="1">
      <alignment horizontal="center"/>
    </xf>
    <xf numFmtId="164" fontId="0" fillId="16" borderId="23" xfId="0" applyNumberFormat="1" applyFill="1" applyBorder="1" applyAlignment="1">
      <alignment horizontal="center"/>
    </xf>
    <xf numFmtId="164" fontId="0" fillId="17" borderId="21" xfId="0" applyNumberFormat="1" applyFill="1" applyBorder="1" applyAlignment="1">
      <alignment horizontal="center"/>
    </xf>
    <xf numFmtId="164" fontId="0" fillId="17" borderId="23" xfId="0" applyNumberFormat="1" applyFill="1" applyBorder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18" borderId="19" xfId="0" applyFill="1" applyBorder="1"/>
    <xf numFmtId="0" fontId="0" fillId="18" borderId="13" xfId="0" applyFill="1" applyBorder="1"/>
    <xf numFmtId="0" fontId="0" fillId="18" borderId="0" xfId="0" applyFill="1" applyAlignment="1">
      <alignment horizontal="center"/>
    </xf>
    <xf numFmtId="0" fontId="4" fillId="19" borderId="24" xfId="0" applyFont="1" applyFill="1" applyBorder="1" applyAlignment="1">
      <alignment horizontal="center"/>
    </xf>
    <xf numFmtId="0" fontId="16" fillId="13" borderId="25" xfId="0" applyFont="1" applyFill="1" applyBorder="1" applyAlignment="1">
      <alignment horizontal="left" vertical="top"/>
    </xf>
    <xf numFmtId="0" fontId="0" fillId="3" borderId="26" xfId="0" applyFill="1" applyBorder="1" applyAlignment="1">
      <alignment vertical="top"/>
    </xf>
    <xf numFmtId="0" fontId="0" fillId="3" borderId="27" xfId="0" applyFill="1" applyBorder="1" applyAlignment="1">
      <alignment vertical="top"/>
    </xf>
    <xf numFmtId="0" fontId="3" fillId="13" borderId="28" xfId="0" applyFont="1" applyFill="1" applyBorder="1" applyAlignment="1">
      <alignment vertical="top" wrapText="1"/>
    </xf>
    <xf numFmtId="0" fontId="3" fillId="13" borderId="29" xfId="0" applyFont="1" applyFill="1" applyBorder="1" applyAlignment="1">
      <alignment horizontal="center" vertical="top"/>
    </xf>
    <xf numFmtId="0" fontId="0" fillId="3" borderId="26" xfId="0" applyFill="1" applyBorder="1" applyAlignment="1">
      <alignment horizontal="left" vertical="top"/>
    </xf>
    <xf numFmtId="0" fontId="0" fillId="3" borderId="27" xfId="0" applyFill="1" applyBorder="1" applyAlignment="1">
      <alignment horizontal="left" vertical="top"/>
    </xf>
    <xf numFmtId="0" fontId="0" fillId="3" borderId="28" xfId="0" applyFill="1" applyBorder="1" applyAlignment="1">
      <alignment horizontal="left" vertical="top"/>
    </xf>
    <xf numFmtId="0" fontId="17" fillId="0" borderId="26" xfId="0" applyFont="1" applyBorder="1" applyAlignment="1">
      <alignment horizontal="center" vertical="top" wrapText="1"/>
    </xf>
    <xf numFmtId="0" fontId="18" fillId="0" borderId="27" xfId="0" applyFont="1" applyBorder="1" applyAlignment="1">
      <alignment horizontal="center" vertical="top" wrapText="1"/>
    </xf>
    <xf numFmtId="0" fontId="17" fillId="0" borderId="27" xfId="0" applyFont="1" applyBorder="1" applyAlignment="1">
      <alignment horizontal="center" vertical="top" wrapText="1"/>
    </xf>
    <xf numFmtId="0" fontId="19" fillId="0" borderId="27" xfId="0" applyFont="1" applyBorder="1" applyAlignment="1">
      <alignment horizontal="center" vertical="top" wrapText="1"/>
    </xf>
    <xf numFmtId="0" fontId="20" fillId="0" borderId="27" xfId="0" applyFont="1" applyBorder="1" applyAlignment="1">
      <alignment horizontal="center" vertical="top" wrapText="1"/>
    </xf>
    <xf numFmtId="0" fontId="21" fillId="0" borderId="27" xfId="0" applyFont="1" applyBorder="1" applyAlignment="1">
      <alignment horizontal="center" vertical="top" wrapText="1"/>
    </xf>
    <xf numFmtId="0" fontId="21" fillId="2" borderId="28" xfId="0" applyFont="1" applyFill="1" applyBorder="1" applyAlignment="1">
      <alignment horizontal="center" vertical="top" wrapText="1"/>
    </xf>
    <xf numFmtId="0" fontId="0" fillId="2" borderId="24" xfId="0" applyFill="1" applyBorder="1" applyAlignment="1">
      <alignment horizontal="center" vertical="top"/>
    </xf>
    <xf numFmtId="0" fontId="16" fillId="2" borderId="15" xfId="0" applyFont="1" applyFill="1" applyBorder="1" applyAlignment="1">
      <alignment horizontal="left" vertical="top"/>
    </xf>
    <xf numFmtId="0" fontId="22" fillId="2" borderId="21" xfId="0" applyFont="1" applyFill="1" applyBorder="1" applyAlignment="1">
      <alignment horizontal="center" vertical="top" wrapText="1"/>
    </xf>
    <xf numFmtId="0" fontId="22" fillId="2" borderId="19" xfId="0" applyFont="1" applyFill="1" applyBorder="1" applyAlignment="1">
      <alignment horizontal="center" vertical="top" wrapText="1"/>
    </xf>
    <xf numFmtId="0" fontId="22" fillId="2" borderId="22" xfId="0" applyFont="1" applyFill="1" applyBorder="1" applyAlignment="1">
      <alignment horizontal="center" vertical="top" wrapText="1"/>
    </xf>
    <xf numFmtId="0" fontId="22" fillId="2" borderId="23" xfId="0" applyFont="1" applyFill="1" applyBorder="1" applyAlignment="1">
      <alignment horizontal="center" vertical="top" wrapText="1"/>
    </xf>
    <xf numFmtId="0" fontId="22" fillId="2" borderId="30" xfId="0" applyFont="1" applyFill="1" applyBorder="1" applyAlignment="1">
      <alignment horizontal="center" vertical="top" wrapText="1"/>
    </xf>
    <xf numFmtId="0" fontId="0" fillId="6" borderId="31" xfId="0" applyFill="1" applyBorder="1" applyAlignment="1">
      <alignment horizontal="center"/>
    </xf>
    <xf numFmtId="0" fontId="0" fillId="7" borderId="32" xfId="0" applyFill="1" applyBorder="1" applyAlignment="1">
      <alignment horizontal="center"/>
    </xf>
    <xf numFmtId="0" fontId="0" fillId="8" borderId="32" xfId="0" applyFill="1" applyBorder="1" applyAlignment="1">
      <alignment horizontal="center"/>
    </xf>
    <xf numFmtId="0" fontId="0" fillId="8" borderId="32" xfId="0" applyFill="1" applyBorder="1" applyAlignment="1">
      <alignment horizontal="center" textRotation="45"/>
    </xf>
    <xf numFmtId="0" fontId="0" fillId="8" borderId="33" xfId="0" applyFill="1" applyBorder="1" applyAlignment="1">
      <alignment horizontal="center" textRotation="45"/>
    </xf>
    <xf numFmtId="0" fontId="0" fillId="8" borderId="34" xfId="0" applyFill="1" applyBorder="1" applyAlignment="1">
      <alignment horizontal="center" textRotation="45"/>
    </xf>
    <xf numFmtId="0" fontId="0" fillId="2" borderId="0" xfId="0" applyFill="1" applyAlignment="1">
      <alignment textRotation="45"/>
    </xf>
    <xf numFmtId="164" fontId="0" fillId="15" borderId="31" xfId="0" applyNumberFormat="1" applyFill="1" applyBorder="1" applyAlignment="1">
      <alignment horizontal="center" vertical="top"/>
    </xf>
    <xf numFmtId="10" fontId="0" fillId="15" borderId="32" xfId="1" applyNumberFormat="1" applyFont="1" applyFill="1" applyBorder="1" applyAlignment="1">
      <alignment horizontal="center" vertical="top"/>
    </xf>
    <xf numFmtId="164" fontId="0" fillId="15" borderId="34" xfId="0" applyNumberFormat="1" applyFill="1" applyBorder="1" applyAlignment="1">
      <alignment horizontal="center" vertical="top"/>
    </xf>
    <xf numFmtId="164" fontId="0" fillId="3" borderId="31" xfId="0" applyNumberFormat="1" applyFill="1" applyBorder="1" applyAlignment="1">
      <alignment horizontal="center" vertical="top"/>
    </xf>
    <xf numFmtId="10" fontId="0" fillId="3" borderId="32" xfId="1" applyNumberFormat="1" applyFont="1" applyFill="1" applyBorder="1" applyAlignment="1">
      <alignment horizontal="center" vertical="top"/>
    </xf>
    <xf numFmtId="164" fontId="0" fillId="3" borderId="34" xfId="0" applyNumberFormat="1" applyFill="1" applyBorder="1" applyAlignment="1">
      <alignment horizontal="center" vertical="top"/>
    </xf>
    <xf numFmtId="164" fontId="0" fillId="16" borderId="31" xfId="0" applyNumberFormat="1" applyFill="1" applyBorder="1" applyAlignment="1">
      <alignment horizontal="center" vertical="top"/>
    </xf>
    <xf numFmtId="164" fontId="0" fillId="16" borderId="34" xfId="0" applyNumberFormat="1" applyFill="1" applyBorder="1" applyAlignment="1">
      <alignment horizontal="center" vertical="top"/>
    </xf>
    <xf numFmtId="164" fontId="0" fillId="17" borderId="31" xfId="0" applyNumberFormat="1" applyFill="1" applyBorder="1" applyAlignment="1">
      <alignment horizontal="center" vertical="top"/>
    </xf>
    <xf numFmtId="164" fontId="0" fillId="17" borderId="34" xfId="0" applyNumberFormat="1" applyFill="1" applyBorder="1" applyAlignment="1">
      <alignment horizontal="center" vertical="top"/>
    </xf>
    <xf numFmtId="164" fontId="0" fillId="2" borderId="0" xfId="0" applyNumberFormat="1" applyFill="1" applyAlignment="1">
      <alignment horizontal="center" vertical="top"/>
    </xf>
    <xf numFmtId="0" fontId="0" fillId="18" borderId="31" xfId="0" applyFill="1" applyBorder="1" applyAlignment="1">
      <alignment horizontal="center" vertical="top" wrapText="1"/>
    </xf>
    <xf numFmtId="0" fontId="0" fillId="18" borderId="32" xfId="0" applyFill="1" applyBorder="1" applyAlignment="1">
      <alignment vertical="top" wrapText="1"/>
    </xf>
    <xf numFmtId="0" fontId="0" fillId="18" borderId="4" xfId="0" applyFill="1" applyBorder="1" applyAlignment="1">
      <alignment horizontal="center" vertical="top" wrapText="1"/>
    </xf>
    <xf numFmtId="0" fontId="23" fillId="19" borderId="35" xfId="0" applyFont="1" applyFill="1" applyBorder="1" applyAlignment="1">
      <alignment horizontal="left" wrapText="1"/>
    </xf>
    <xf numFmtId="0" fontId="24" fillId="0" borderId="36" xfId="0" applyFont="1" applyBorder="1"/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40" xfId="0" applyBorder="1"/>
    <xf numFmtId="0" fontId="0" fillId="0" borderId="38" xfId="0" applyBorder="1"/>
    <xf numFmtId="0" fontId="0" fillId="0" borderId="39" xfId="0" applyBorder="1"/>
    <xf numFmtId="0" fontId="6" fillId="3" borderId="37" xfId="0" applyFont="1" applyFill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6" fillId="3" borderId="38" xfId="0" applyFont="1" applyFill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6" fillId="2" borderId="35" xfId="0" applyFont="1" applyFill="1" applyBorder="1"/>
    <xf numFmtId="0" fontId="25" fillId="2" borderId="41" xfId="0" applyFont="1" applyFill="1" applyBorder="1" applyAlignment="1">
      <alignment horizontal="center"/>
    </xf>
    <xf numFmtId="0" fontId="25" fillId="2" borderId="42" xfId="0" applyFont="1" applyFill="1" applyBorder="1" applyAlignment="1">
      <alignment horizontal="center"/>
    </xf>
    <xf numFmtId="0" fontId="25" fillId="2" borderId="43" xfId="0" applyFont="1" applyFill="1" applyBorder="1" applyAlignment="1">
      <alignment horizontal="center"/>
    </xf>
    <xf numFmtId="0" fontId="25" fillId="2" borderId="44" xfId="0" applyFont="1" applyFill="1" applyBorder="1" applyAlignment="1">
      <alignment horizontal="center"/>
    </xf>
    <xf numFmtId="0" fontId="25" fillId="2" borderId="45" xfId="0" applyFont="1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4" xfId="0" applyBorder="1" applyAlignment="1">
      <alignment horizontal="center"/>
    </xf>
    <xf numFmtId="164" fontId="0" fillId="20" borderId="26" xfId="0" applyNumberFormat="1" applyFill="1" applyBorder="1" applyAlignment="1">
      <alignment horizontal="center"/>
    </xf>
    <xf numFmtId="10" fontId="0" fillId="20" borderId="27" xfId="1" applyNumberFormat="1" applyFont="1" applyFill="1" applyBorder="1" applyAlignment="1">
      <alignment horizontal="center"/>
    </xf>
    <xf numFmtId="164" fontId="0" fillId="20" borderId="24" xfId="0" applyNumberFormat="1" applyFill="1" applyBorder="1" applyAlignment="1">
      <alignment horizontal="center"/>
    </xf>
    <xf numFmtId="164" fontId="0" fillId="21" borderId="46" xfId="0" applyNumberFormat="1" applyFill="1" applyBorder="1" applyAlignment="1">
      <alignment horizontal="center"/>
    </xf>
    <xf numFmtId="10" fontId="0" fillId="21" borderId="27" xfId="1" applyNumberFormat="1" applyFont="1" applyFill="1" applyBorder="1" applyAlignment="1">
      <alignment horizontal="center"/>
    </xf>
    <xf numFmtId="164" fontId="0" fillId="21" borderId="28" xfId="0" applyNumberFormat="1" applyFill="1" applyBorder="1" applyAlignment="1">
      <alignment horizontal="center"/>
    </xf>
    <xf numFmtId="164" fontId="0" fillId="21" borderId="44" xfId="0" applyNumberFormat="1" applyFill="1" applyBorder="1" applyAlignment="1">
      <alignment horizontal="center"/>
    </xf>
    <xf numFmtId="164" fontId="0" fillId="22" borderId="46" xfId="0" applyNumberFormat="1" applyFill="1" applyBorder="1" applyAlignment="1">
      <alignment horizontal="center"/>
    </xf>
    <xf numFmtId="164" fontId="0" fillId="22" borderId="24" xfId="0" applyNumberFormat="1" applyFill="1" applyBorder="1" applyAlignment="1">
      <alignment horizontal="center"/>
    </xf>
    <xf numFmtId="164" fontId="0" fillId="23" borderId="26" xfId="0" applyNumberFormat="1" applyFill="1" applyBorder="1" applyAlignment="1">
      <alignment horizontal="center"/>
    </xf>
    <xf numFmtId="164" fontId="0" fillId="23" borderId="24" xfId="0" applyNumberFormat="1" applyFill="1" applyBorder="1" applyAlignment="1">
      <alignment horizontal="center"/>
    </xf>
    <xf numFmtId="9" fontId="0" fillId="2" borderId="41" xfId="1" applyFont="1" applyFill="1" applyBorder="1"/>
    <xf numFmtId="0" fontId="0" fillId="2" borderId="42" xfId="1" applyNumberFormat="1" applyFont="1" applyFill="1" applyBorder="1"/>
    <xf numFmtId="0" fontId="0" fillId="0" borderId="47" xfId="0" applyBorder="1"/>
    <xf numFmtId="0" fontId="0" fillId="19" borderId="35" xfId="0" applyFill="1" applyBorder="1" applyAlignment="1">
      <alignment wrapText="1"/>
    </xf>
    <xf numFmtId="0" fontId="25" fillId="2" borderId="37" xfId="0" applyFont="1" applyFill="1" applyBorder="1" applyAlignment="1">
      <alignment horizontal="center"/>
    </xf>
    <xf numFmtId="0" fontId="25" fillId="2" borderId="38" xfId="0" applyFont="1" applyFill="1" applyBorder="1" applyAlignment="1">
      <alignment horizontal="center"/>
    </xf>
    <xf numFmtId="0" fontId="25" fillId="2" borderId="39" xfId="0" applyFont="1" applyFill="1" applyBorder="1" applyAlignment="1">
      <alignment horizontal="center"/>
    </xf>
    <xf numFmtId="0" fontId="25" fillId="2" borderId="35" xfId="0" applyFont="1" applyFill="1" applyBorder="1" applyAlignment="1">
      <alignment horizontal="center"/>
    </xf>
    <xf numFmtId="0" fontId="25" fillId="2" borderId="40" xfId="0" applyFont="1" applyFill="1" applyBorder="1" applyAlignment="1">
      <alignment horizontal="center"/>
    </xf>
    <xf numFmtId="0" fontId="0" fillId="0" borderId="35" xfId="0" applyBorder="1" applyAlignment="1">
      <alignment horizontal="center"/>
    </xf>
    <xf numFmtId="164" fontId="0" fillId="20" borderId="37" xfId="0" applyNumberFormat="1" applyFill="1" applyBorder="1" applyAlignment="1">
      <alignment horizontal="center"/>
    </xf>
    <xf numFmtId="164" fontId="0" fillId="21" borderId="40" xfId="0" applyNumberFormat="1" applyFill="1" applyBorder="1" applyAlignment="1">
      <alignment horizontal="center"/>
    </xf>
    <xf numFmtId="164" fontId="0" fillId="21" borderId="24" xfId="0" applyNumberFormat="1" applyFill="1" applyBorder="1" applyAlignment="1">
      <alignment horizontal="center"/>
    </xf>
    <xf numFmtId="164" fontId="0" fillId="22" borderId="40" xfId="0" applyNumberFormat="1" applyFill="1" applyBorder="1" applyAlignment="1">
      <alignment horizontal="center"/>
    </xf>
    <xf numFmtId="164" fontId="0" fillId="22" borderId="35" xfId="0" applyNumberFormat="1" applyFill="1" applyBorder="1" applyAlignment="1">
      <alignment horizontal="center"/>
    </xf>
    <xf numFmtId="164" fontId="0" fillId="23" borderId="37" xfId="0" applyNumberFormat="1" applyFill="1" applyBorder="1" applyAlignment="1">
      <alignment horizontal="center"/>
    </xf>
    <xf numFmtId="164" fontId="0" fillId="23" borderId="35" xfId="0" applyNumberFormat="1" applyFill="1" applyBorder="1" applyAlignment="1">
      <alignment horizontal="center"/>
    </xf>
    <xf numFmtId="9" fontId="0" fillId="2" borderId="37" xfId="1" applyFont="1" applyFill="1" applyBorder="1"/>
    <xf numFmtId="0" fontId="0" fillId="2" borderId="38" xfId="1" applyNumberFormat="1" applyFont="1" applyFill="1" applyBorder="1"/>
    <xf numFmtId="0" fontId="0" fillId="0" borderId="48" xfId="0" applyBorder="1"/>
    <xf numFmtId="0" fontId="26" fillId="2" borderId="35" xfId="0" applyFont="1" applyFill="1" applyBorder="1" applyAlignment="1">
      <alignment horizontal="center"/>
    </xf>
    <xf numFmtId="0" fontId="6" fillId="3" borderId="38" xfId="0" applyFont="1" applyFill="1" applyBorder="1" applyAlignment="1">
      <alignment horizontal="center" vertical="center" wrapText="1"/>
    </xf>
    <xf numFmtId="0" fontId="2" fillId="0" borderId="36" xfId="0" applyFont="1" applyBorder="1"/>
    <xf numFmtId="0" fontId="27" fillId="0" borderId="40" xfId="0" applyFont="1" applyBorder="1"/>
    <xf numFmtId="0" fontId="6" fillId="0" borderId="37" xfId="0" applyFont="1" applyBorder="1" applyAlignment="1">
      <alignment horizontal="center" vertical="center"/>
    </xf>
    <xf numFmtId="0" fontId="6" fillId="0" borderId="35" xfId="0" applyFont="1" applyBorder="1"/>
    <xf numFmtId="0" fontId="0" fillId="0" borderId="17" xfId="0" applyBorder="1"/>
    <xf numFmtId="0" fontId="27" fillId="0" borderId="37" xfId="0" applyFont="1" applyBorder="1" applyAlignment="1">
      <alignment horizontal="center"/>
    </xf>
    <xf numFmtId="0" fontId="27" fillId="0" borderId="38" xfId="0" applyFont="1" applyBorder="1" applyAlignment="1">
      <alignment horizontal="center"/>
    </xf>
    <xf numFmtId="0" fontId="27" fillId="0" borderId="39" xfId="0" applyFont="1" applyBorder="1" applyAlignment="1">
      <alignment horizontal="center"/>
    </xf>
    <xf numFmtId="0" fontId="27" fillId="0" borderId="36" xfId="0" applyFont="1" applyBorder="1" applyAlignment="1">
      <alignment horizontal="center"/>
    </xf>
    <xf numFmtId="0" fontId="27" fillId="0" borderId="38" xfId="0" applyFont="1" applyBorder="1"/>
    <xf numFmtId="10" fontId="0" fillId="20" borderId="38" xfId="1" applyNumberFormat="1" applyFont="1" applyFill="1" applyBorder="1" applyAlignment="1">
      <alignment horizontal="center"/>
    </xf>
    <xf numFmtId="164" fontId="0" fillId="20" borderId="35" xfId="0" applyNumberFormat="1" applyFill="1" applyBorder="1" applyAlignment="1">
      <alignment horizontal="center"/>
    </xf>
    <xf numFmtId="10" fontId="0" fillId="21" borderId="38" xfId="1" applyNumberFormat="1" applyFont="1" applyFill="1" applyBorder="1" applyAlignment="1">
      <alignment horizontal="center"/>
    </xf>
    <xf numFmtId="164" fontId="0" fillId="21" borderId="39" xfId="0" applyNumberFormat="1" applyFill="1" applyBorder="1" applyAlignment="1">
      <alignment horizontal="center"/>
    </xf>
    <xf numFmtId="164" fontId="0" fillId="21" borderId="35" xfId="0" applyNumberFormat="1" applyFill="1" applyBorder="1" applyAlignment="1">
      <alignment horizontal="center"/>
    </xf>
    <xf numFmtId="0" fontId="0" fillId="0" borderId="36" xfId="0" applyBorder="1"/>
    <xf numFmtId="0" fontId="0" fillId="0" borderId="49" xfId="0" applyBorder="1"/>
    <xf numFmtId="0" fontId="0" fillId="0" borderId="50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3" xfId="0" applyBorder="1"/>
    <xf numFmtId="0" fontId="0" fillId="0" borderId="51" xfId="0" applyBorder="1"/>
    <xf numFmtId="0" fontId="0" fillId="0" borderId="52" xfId="0" applyBorder="1"/>
    <xf numFmtId="0" fontId="6" fillId="0" borderId="50" xfId="0" applyFont="1" applyBorder="1"/>
    <xf numFmtId="0" fontId="6" fillId="0" borderId="51" xfId="0" applyFont="1" applyBorder="1"/>
    <xf numFmtId="0" fontId="6" fillId="0" borderId="52" xfId="0" applyFont="1" applyBorder="1"/>
    <xf numFmtId="0" fontId="6" fillId="2" borderId="54" xfId="0" applyFont="1" applyFill="1" applyBorder="1"/>
    <xf numFmtId="0" fontId="25" fillId="2" borderId="50" xfId="0" applyFont="1" applyFill="1" applyBorder="1" applyAlignment="1">
      <alignment horizontal="center"/>
    </xf>
    <xf numFmtId="0" fontId="25" fillId="2" borderId="51" xfId="0" applyFont="1" applyFill="1" applyBorder="1" applyAlignment="1">
      <alignment horizontal="center"/>
    </xf>
    <xf numFmtId="0" fontId="25" fillId="2" borderId="52" xfId="0" applyFont="1" applyFill="1" applyBorder="1" applyAlignment="1">
      <alignment horizontal="center"/>
    </xf>
    <xf numFmtId="0" fontId="25" fillId="2" borderId="54" xfId="0" applyFont="1" applyFill="1" applyBorder="1" applyAlignment="1">
      <alignment horizontal="center"/>
    </xf>
    <xf numFmtId="0" fontId="25" fillId="2" borderId="53" xfId="0" applyFont="1" applyFill="1" applyBorder="1" applyAlignment="1">
      <alignment horizontal="center"/>
    </xf>
    <xf numFmtId="0" fontId="0" fillId="0" borderId="54" xfId="0" applyBorder="1" applyAlignment="1">
      <alignment horizontal="center"/>
    </xf>
    <xf numFmtId="164" fontId="0" fillId="20" borderId="50" xfId="0" applyNumberFormat="1" applyFill="1" applyBorder="1" applyAlignment="1">
      <alignment horizontal="center"/>
    </xf>
    <xf numFmtId="10" fontId="0" fillId="20" borderId="51" xfId="1" applyNumberFormat="1" applyFont="1" applyFill="1" applyBorder="1" applyAlignment="1">
      <alignment horizontal="center"/>
    </xf>
    <xf numFmtId="164" fontId="0" fillId="20" borderId="54" xfId="0" applyNumberFormat="1" applyFill="1" applyBorder="1" applyAlignment="1">
      <alignment horizontal="center"/>
    </xf>
    <xf numFmtId="164" fontId="0" fillId="21" borderId="53" xfId="0" applyNumberFormat="1" applyFill="1" applyBorder="1" applyAlignment="1">
      <alignment horizontal="center"/>
    </xf>
    <xf numFmtId="10" fontId="0" fillId="21" borderId="51" xfId="1" applyNumberFormat="1" applyFont="1" applyFill="1" applyBorder="1" applyAlignment="1">
      <alignment horizontal="center"/>
    </xf>
    <xf numFmtId="164" fontId="0" fillId="21" borderId="52" xfId="0" applyNumberFormat="1" applyFill="1" applyBorder="1" applyAlignment="1">
      <alignment horizontal="center"/>
    </xf>
    <xf numFmtId="164" fontId="0" fillId="21" borderId="54" xfId="0" applyNumberFormat="1" applyFill="1" applyBorder="1" applyAlignment="1">
      <alignment horizontal="center"/>
    </xf>
    <xf numFmtId="164" fontId="0" fillId="22" borderId="53" xfId="0" applyNumberFormat="1" applyFill="1" applyBorder="1" applyAlignment="1">
      <alignment horizontal="center"/>
    </xf>
    <xf numFmtId="164" fontId="0" fillId="22" borderId="54" xfId="0" applyNumberFormat="1" applyFill="1" applyBorder="1" applyAlignment="1">
      <alignment horizontal="center"/>
    </xf>
    <xf numFmtId="164" fontId="0" fillId="23" borderId="50" xfId="0" applyNumberFormat="1" applyFill="1" applyBorder="1" applyAlignment="1">
      <alignment horizontal="center"/>
    </xf>
    <xf numFmtId="164" fontId="0" fillId="23" borderId="54" xfId="0" applyNumberFormat="1" applyFill="1" applyBorder="1" applyAlignment="1">
      <alignment horizontal="center"/>
    </xf>
    <xf numFmtId="9" fontId="0" fillId="2" borderId="50" xfId="1" applyFont="1" applyFill="1" applyBorder="1"/>
    <xf numFmtId="0" fontId="0" fillId="2" borderId="51" xfId="1" applyNumberFormat="1" applyFont="1" applyFill="1" applyBorder="1"/>
    <xf numFmtId="0" fontId="0" fillId="0" borderId="55" xfId="0" applyBorder="1"/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3" fillId="0" borderId="0" xfId="0" applyFont="1"/>
    <xf numFmtId="0" fontId="3" fillId="2" borderId="56" xfId="0" applyFont="1" applyFill="1" applyBorder="1" applyAlignment="1">
      <alignment horizontal="center"/>
    </xf>
    <xf numFmtId="164" fontId="28" fillId="6" borderId="25" xfId="0" applyNumberFormat="1" applyFont="1" applyFill="1" applyBorder="1" applyAlignment="1">
      <alignment horizontal="left"/>
    </xf>
    <xf numFmtId="164" fontId="28" fillId="6" borderId="57" xfId="0" applyNumberFormat="1" applyFont="1" applyFill="1" applyBorder="1" applyAlignment="1">
      <alignment horizontal="left"/>
    </xf>
    <xf numFmtId="9" fontId="28" fillId="6" borderId="27" xfId="0" applyNumberFormat="1" applyFont="1" applyFill="1" applyBorder="1" applyAlignment="1">
      <alignment horizontal="left"/>
    </xf>
    <xf numFmtId="164" fontId="28" fillId="6" borderId="24" xfId="0" applyNumberFormat="1" applyFont="1" applyFill="1" applyBorder="1" applyAlignment="1">
      <alignment horizontal="left"/>
    </xf>
    <xf numFmtId="164" fontId="28" fillId="6" borderId="26" xfId="0" applyNumberFormat="1" applyFont="1" applyFill="1" applyBorder="1" applyAlignment="1">
      <alignment horizontal="left"/>
    </xf>
    <xf numFmtId="164" fontId="28" fillId="6" borderId="28" xfId="0" applyNumberFormat="1" applyFont="1" applyFill="1" applyBorder="1" applyAlignment="1">
      <alignment horizontal="left"/>
    </xf>
    <xf numFmtId="9" fontId="28" fillId="6" borderId="24" xfId="0" applyNumberFormat="1" applyFont="1" applyFill="1" applyBorder="1" applyAlignment="1">
      <alignment horizontal="left"/>
    </xf>
    <xf numFmtId="9" fontId="28" fillId="6" borderId="28" xfId="0" applyNumberFormat="1" applyFont="1" applyFill="1" applyBorder="1" applyAlignment="1">
      <alignment horizontal="left"/>
    </xf>
    <xf numFmtId="9" fontId="28" fillId="2" borderId="0" xfId="0" applyNumberFormat="1" applyFont="1" applyFill="1" applyAlignment="1">
      <alignment horizontal="left"/>
    </xf>
    <xf numFmtId="0" fontId="3" fillId="6" borderId="47" xfId="0" applyFont="1" applyFill="1" applyBorder="1" applyAlignment="1">
      <alignment horizontal="center"/>
    </xf>
    <xf numFmtId="0" fontId="3" fillId="6" borderId="58" xfId="0" applyFont="1" applyFill="1" applyBorder="1" applyAlignment="1">
      <alignment horizontal="right"/>
    </xf>
    <xf numFmtId="164" fontId="3" fillId="6" borderId="45" xfId="0" applyNumberFormat="1" applyFont="1" applyFill="1" applyBorder="1" applyAlignment="1">
      <alignment horizontal="center"/>
    </xf>
    <xf numFmtId="165" fontId="3" fillId="6" borderId="42" xfId="1" applyNumberFormat="1" applyFont="1" applyFill="1" applyBorder="1" applyAlignment="1">
      <alignment horizontal="center"/>
    </xf>
    <xf numFmtId="164" fontId="3" fillId="6" borderId="44" xfId="0" applyNumberFormat="1" applyFont="1" applyFill="1" applyBorder="1" applyAlignment="1">
      <alignment horizontal="center"/>
    </xf>
    <xf numFmtId="164" fontId="3" fillId="6" borderId="41" xfId="0" applyNumberFormat="1" applyFont="1" applyFill="1" applyBorder="1" applyAlignment="1">
      <alignment horizontal="center"/>
    </xf>
    <xf numFmtId="164" fontId="3" fillId="6" borderId="43" xfId="0" applyNumberFormat="1" applyFont="1" applyFill="1" applyBorder="1" applyAlignment="1">
      <alignment horizontal="center"/>
    </xf>
    <xf numFmtId="164" fontId="3" fillId="6" borderId="59" xfId="0" applyNumberFormat="1" applyFont="1" applyFill="1" applyBorder="1" applyAlignment="1">
      <alignment horizontal="center"/>
    </xf>
    <xf numFmtId="164" fontId="3" fillId="2" borderId="0" xfId="0" applyNumberFormat="1" applyFont="1" applyFill="1" applyAlignment="1">
      <alignment horizontal="center"/>
    </xf>
    <xf numFmtId="0" fontId="0" fillId="16" borderId="48" xfId="0" applyFill="1" applyBorder="1" applyAlignment="1">
      <alignment horizontal="center"/>
    </xf>
    <xf numFmtId="0" fontId="0" fillId="16" borderId="60" xfId="0" applyFill="1" applyBorder="1" applyAlignment="1">
      <alignment horizontal="right"/>
    </xf>
    <xf numFmtId="164" fontId="0" fillId="16" borderId="40" xfId="0" applyNumberFormat="1" applyFill="1" applyBorder="1" applyAlignment="1">
      <alignment horizontal="center"/>
    </xf>
    <xf numFmtId="165" fontId="0" fillId="16" borderId="38" xfId="1" applyNumberFormat="1" applyFont="1" applyFill="1" applyBorder="1" applyAlignment="1">
      <alignment horizontal="center"/>
    </xf>
    <xf numFmtId="164" fontId="0" fillId="16" borderId="35" xfId="0" applyNumberFormat="1" applyFill="1" applyBorder="1" applyAlignment="1">
      <alignment horizontal="center"/>
    </xf>
    <xf numFmtId="164" fontId="0" fillId="16" borderId="37" xfId="0" applyNumberFormat="1" applyFill="1" applyBorder="1" applyAlignment="1">
      <alignment horizontal="center"/>
    </xf>
    <xf numFmtId="164" fontId="0" fillId="16" borderId="39" xfId="0" applyNumberFormat="1" applyFill="1" applyBorder="1" applyAlignment="1">
      <alignment horizontal="center"/>
    </xf>
    <xf numFmtId="164" fontId="0" fillId="16" borderId="61" xfId="0" applyNumberFormat="1" applyFill="1" applyBorder="1" applyAlignment="1">
      <alignment horizontal="center"/>
    </xf>
    <xf numFmtId="0" fontId="14" fillId="16" borderId="60" xfId="0" applyFont="1" applyFill="1" applyBorder="1" applyAlignment="1">
      <alignment horizontal="right"/>
    </xf>
    <xf numFmtId="164" fontId="14" fillId="16" borderId="40" xfId="0" applyNumberFormat="1" applyFont="1" applyFill="1" applyBorder="1" applyAlignment="1">
      <alignment horizontal="center"/>
    </xf>
    <xf numFmtId="165" fontId="14" fillId="16" borderId="38" xfId="1" applyNumberFormat="1" applyFont="1" applyFill="1" applyBorder="1" applyAlignment="1">
      <alignment horizontal="center"/>
    </xf>
    <xf numFmtId="164" fontId="14" fillId="16" borderId="35" xfId="0" applyNumberFormat="1" applyFont="1" applyFill="1" applyBorder="1" applyAlignment="1">
      <alignment horizontal="center"/>
    </xf>
    <xf numFmtId="164" fontId="14" fillId="16" borderId="37" xfId="0" applyNumberFormat="1" applyFont="1" applyFill="1" applyBorder="1" applyAlignment="1">
      <alignment horizontal="center"/>
    </xf>
    <xf numFmtId="164" fontId="14" fillId="16" borderId="39" xfId="0" applyNumberFormat="1" applyFont="1" applyFill="1" applyBorder="1" applyAlignment="1">
      <alignment horizontal="center"/>
    </xf>
    <xf numFmtId="164" fontId="14" fillId="16" borderId="61" xfId="0" applyNumberFormat="1" applyFont="1" applyFill="1" applyBorder="1" applyAlignment="1">
      <alignment horizontal="center"/>
    </xf>
    <xf numFmtId="164" fontId="14" fillId="2" borderId="0" xfId="0" applyNumberFormat="1" applyFont="1" applyFill="1" applyAlignment="1">
      <alignment horizontal="center"/>
    </xf>
    <xf numFmtId="0" fontId="29" fillId="2" borderId="0" xfId="0" applyFont="1" applyFill="1"/>
    <xf numFmtId="0" fontId="29" fillId="2" borderId="0" xfId="0" applyFont="1" applyFill="1" applyAlignment="1">
      <alignment horizontal="center"/>
    </xf>
    <xf numFmtId="0" fontId="29" fillId="0" borderId="0" xfId="0" applyFont="1"/>
    <xf numFmtId="0" fontId="0" fillId="2" borderId="48" xfId="0" applyFill="1" applyBorder="1" applyAlignment="1">
      <alignment horizontal="center"/>
    </xf>
    <xf numFmtId="0" fontId="14" fillId="2" borderId="60" xfId="0" applyFont="1" applyFill="1" applyBorder="1" applyAlignment="1">
      <alignment horizontal="right"/>
    </xf>
    <xf numFmtId="164" fontId="14" fillId="20" borderId="40" xfId="0" applyNumberFormat="1" applyFont="1" applyFill="1" applyBorder="1" applyAlignment="1">
      <alignment horizontal="center"/>
    </xf>
    <xf numFmtId="165" fontId="14" fillId="20" borderId="38" xfId="1" applyNumberFormat="1" applyFont="1" applyFill="1" applyBorder="1" applyAlignment="1">
      <alignment horizontal="center"/>
    </xf>
    <xf numFmtId="164" fontId="14" fillId="20" borderId="35" xfId="0" applyNumberFormat="1" applyFont="1" applyFill="1" applyBorder="1" applyAlignment="1">
      <alignment horizontal="center"/>
    </xf>
    <xf numFmtId="164" fontId="14" fillId="20" borderId="37" xfId="0" applyNumberFormat="1" applyFont="1" applyFill="1" applyBorder="1" applyAlignment="1">
      <alignment horizontal="center"/>
    </xf>
    <xf numFmtId="164" fontId="14" fillId="20" borderId="39" xfId="0" applyNumberFormat="1" applyFont="1" applyFill="1" applyBorder="1" applyAlignment="1">
      <alignment horizontal="center"/>
    </xf>
    <xf numFmtId="164" fontId="14" fillId="20" borderId="61" xfId="0" applyNumberFormat="1" applyFont="1" applyFill="1" applyBorder="1" applyAlignment="1">
      <alignment horizontal="center"/>
    </xf>
    <xf numFmtId="0" fontId="20" fillId="2" borderId="0" xfId="0" applyFont="1" applyFill="1"/>
    <xf numFmtId="0" fontId="20" fillId="2" borderId="0" xfId="0" applyFont="1" applyFill="1" applyAlignment="1">
      <alignment horizontal="center"/>
    </xf>
    <xf numFmtId="0" fontId="20" fillId="0" borderId="0" xfId="0" applyFont="1"/>
    <xf numFmtId="0" fontId="29" fillId="2" borderId="48" xfId="0" applyFont="1" applyFill="1" applyBorder="1" applyAlignment="1">
      <alignment horizontal="center"/>
    </xf>
    <xf numFmtId="0" fontId="29" fillId="2" borderId="60" xfId="0" applyFont="1" applyFill="1" applyBorder="1" applyAlignment="1">
      <alignment horizontal="right"/>
    </xf>
    <xf numFmtId="164" fontId="29" fillId="20" borderId="40" xfId="0" applyNumberFormat="1" applyFont="1" applyFill="1" applyBorder="1" applyAlignment="1">
      <alignment horizontal="center"/>
    </xf>
    <xf numFmtId="165" fontId="29" fillId="20" borderId="38" xfId="1" applyNumberFormat="1" applyFont="1" applyFill="1" applyBorder="1" applyAlignment="1">
      <alignment horizontal="center"/>
    </xf>
    <xf numFmtId="164" fontId="29" fillId="20" borderId="35" xfId="0" applyNumberFormat="1" applyFont="1" applyFill="1" applyBorder="1" applyAlignment="1">
      <alignment horizontal="center"/>
    </xf>
    <xf numFmtId="164" fontId="29" fillId="20" borderId="37" xfId="0" applyNumberFormat="1" applyFont="1" applyFill="1" applyBorder="1" applyAlignment="1">
      <alignment horizontal="center"/>
    </xf>
    <xf numFmtId="164" fontId="29" fillId="20" borderId="39" xfId="0" applyNumberFormat="1" applyFont="1" applyFill="1" applyBorder="1" applyAlignment="1">
      <alignment horizontal="center"/>
    </xf>
    <xf numFmtId="164" fontId="29" fillId="20" borderId="61" xfId="0" applyNumberFormat="1" applyFont="1" applyFill="1" applyBorder="1" applyAlignment="1">
      <alignment horizontal="center"/>
    </xf>
    <xf numFmtId="164" fontId="29" fillId="2" borderId="0" xfId="0" applyNumberFormat="1" applyFont="1" applyFill="1" applyAlignment="1">
      <alignment horizontal="center"/>
    </xf>
    <xf numFmtId="0" fontId="20" fillId="2" borderId="48" xfId="0" applyFont="1" applyFill="1" applyBorder="1" applyAlignment="1">
      <alignment horizontal="center"/>
    </xf>
    <xf numFmtId="0" fontId="20" fillId="2" borderId="60" xfId="0" applyFont="1" applyFill="1" applyBorder="1" applyAlignment="1">
      <alignment horizontal="right"/>
    </xf>
    <xf numFmtId="164" fontId="20" fillId="20" borderId="40" xfId="0" applyNumberFormat="1" applyFont="1" applyFill="1" applyBorder="1" applyAlignment="1">
      <alignment horizontal="center"/>
    </xf>
    <xf numFmtId="165" fontId="20" fillId="20" borderId="38" xfId="1" applyNumberFormat="1" applyFont="1" applyFill="1" applyBorder="1" applyAlignment="1">
      <alignment horizontal="center"/>
    </xf>
    <xf numFmtId="164" fontId="20" fillId="20" borderId="35" xfId="0" applyNumberFormat="1" applyFont="1" applyFill="1" applyBorder="1" applyAlignment="1">
      <alignment horizontal="center"/>
    </xf>
    <xf numFmtId="164" fontId="20" fillId="20" borderId="37" xfId="0" applyNumberFormat="1" applyFont="1" applyFill="1" applyBorder="1" applyAlignment="1">
      <alignment horizontal="center"/>
    </xf>
    <xf numFmtId="164" fontId="20" fillId="20" borderId="39" xfId="0" applyNumberFormat="1" applyFont="1" applyFill="1" applyBorder="1" applyAlignment="1">
      <alignment horizontal="center"/>
    </xf>
    <xf numFmtId="164" fontId="20" fillId="20" borderId="61" xfId="0" applyNumberFormat="1" applyFont="1" applyFill="1" applyBorder="1" applyAlignment="1">
      <alignment horizontal="center"/>
    </xf>
    <xf numFmtId="164" fontId="20" fillId="2" borderId="0" xfId="0" applyNumberFormat="1" applyFont="1" applyFill="1" applyAlignment="1">
      <alignment horizontal="center"/>
    </xf>
    <xf numFmtId="0" fontId="0" fillId="2" borderId="60" xfId="0" applyFill="1" applyBorder="1" applyAlignment="1">
      <alignment horizontal="right"/>
    </xf>
    <xf numFmtId="164" fontId="0" fillId="20" borderId="40" xfId="0" applyNumberFormat="1" applyFill="1" applyBorder="1" applyAlignment="1">
      <alignment horizontal="center"/>
    </xf>
    <xf numFmtId="165" fontId="0" fillId="20" borderId="38" xfId="1" applyNumberFormat="1" applyFont="1" applyFill="1" applyBorder="1" applyAlignment="1">
      <alignment horizontal="center"/>
    </xf>
    <xf numFmtId="164" fontId="0" fillId="20" borderId="39" xfId="0" applyNumberFormat="1" applyFill="1" applyBorder="1" applyAlignment="1">
      <alignment horizontal="center"/>
    </xf>
    <xf numFmtId="164" fontId="0" fillId="20" borderId="61" xfId="0" applyNumberFormat="1" applyFill="1" applyBorder="1" applyAlignment="1">
      <alignment horizontal="center"/>
    </xf>
    <xf numFmtId="0" fontId="22" fillId="2" borderId="0" xfId="0" applyFont="1" applyFill="1"/>
    <xf numFmtId="0" fontId="22" fillId="2" borderId="0" xfId="0" applyFont="1" applyFill="1" applyAlignment="1">
      <alignment horizontal="center"/>
    </xf>
    <xf numFmtId="0" fontId="22" fillId="0" borderId="0" xfId="0" applyFont="1"/>
    <xf numFmtId="0" fontId="0" fillId="2" borderId="62" xfId="0" applyFill="1" applyBorder="1" applyAlignment="1">
      <alignment horizontal="center"/>
    </xf>
    <xf numFmtId="0" fontId="0" fillId="2" borderId="63" xfId="0" applyFill="1" applyBorder="1" applyAlignment="1">
      <alignment horizontal="right"/>
    </xf>
    <xf numFmtId="0" fontId="22" fillId="24" borderId="62" xfId="0" applyFont="1" applyFill="1" applyBorder="1" applyAlignment="1">
      <alignment horizontal="center"/>
    </xf>
    <xf numFmtId="0" fontId="22" fillId="24" borderId="63" xfId="0" applyFont="1" applyFill="1" applyBorder="1" applyAlignment="1">
      <alignment horizontal="right"/>
    </xf>
    <xf numFmtId="164" fontId="22" fillId="24" borderId="64" xfId="0" applyNumberFormat="1" applyFont="1" applyFill="1" applyBorder="1" applyAlignment="1">
      <alignment horizontal="center"/>
    </xf>
    <xf numFmtId="165" fontId="22" fillId="24" borderId="65" xfId="1" applyNumberFormat="1" applyFont="1" applyFill="1" applyBorder="1" applyAlignment="1">
      <alignment horizontal="center"/>
    </xf>
    <xf numFmtId="164" fontId="22" fillId="24" borderId="66" xfId="0" applyNumberFormat="1" applyFont="1" applyFill="1" applyBorder="1" applyAlignment="1">
      <alignment horizontal="center"/>
    </xf>
    <xf numFmtId="164" fontId="22" fillId="24" borderId="67" xfId="0" applyNumberFormat="1" applyFont="1" applyFill="1" applyBorder="1" applyAlignment="1">
      <alignment horizontal="center"/>
    </xf>
    <xf numFmtId="164" fontId="22" fillId="24" borderId="68" xfId="0" applyNumberFormat="1" applyFont="1" applyFill="1" applyBorder="1" applyAlignment="1">
      <alignment horizontal="center"/>
    </xf>
    <xf numFmtId="164" fontId="22" fillId="24" borderId="69" xfId="0" applyNumberFormat="1" applyFont="1" applyFill="1" applyBorder="1" applyAlignment="1">
      <alignment horizontal="center"/>
    </xf>
    <xf numFmtId="164" fontId="22" fillId="2" borderId="0" xfId="0" applyNumberFormat="1" applyFont="1" applyFill="1" applyAlignment="1">
      <alignment horizontal="center"/>
    </xf>
    <xf numFmtId="0" fontId="22" fillId="2" borderId="62" xfId="0" applyFont="1" applyFill="1" applyBorder="1" applyAlignment="1">
      <alignment horizontal="center"/>
    </xf>
    <xf numFmtId="0" fontId="22" fillId="2" borderId="63" xfId="0" applyFont="1" applyFill="1" applyBorder="1" applyAlignment="1">
      <alignment horizontal="right"/>
    </xf>
    <xf numFmtId="164" fontId="22" fillId="2" borderId="64" xfId="0" applyNumberFormat="1" applyFont="1" applyFill="1" applyBorder="1" applyAlignment="1">
      <alignment horizontal="center"/>
    </xf>
    <xf numFmtId="9" fontId="22" fillId="2" borderId="67" xfId="1" applyFont="1" applyFill="1" applyBorder="1" applyAlignment="1">
      <alignment horizontal="center"/>
    </xf>
    <xf numFmtId="164" fontId="22" fillId="2" borderId="67" xfId="0" applyNumberFormat="1" applyFont="1" applyFill="1" applyBorder="1" applyAlignment="1">
      <alignment horizontal="center"/>
    </xf>
    <xf numFmtId="165" fontId="22" fillId="2" borderId="65" xfId="1" applyNumberFormat="1" applyFont="1" applyFill="1" applyBorder="1" applyAlignment="1">
      <alignment horizontal="center"/>
    </xf>
    <xf numFmtId="164" fontId="22" fillId="2" borderId="66" xfId="0" applyNumberFormat="1" applyFont="1" applyFill="1" applyBorder="1" applyAlignment="1">
      <alignment horizontal="center"/>
    </xf>
    <xf numFmtId="164" fontId="22" fillId="2" borderId="68" xfId="0" applyNumberFormat="1" applyFont="1" applyFill="1" applyBorder="1" applyAlignment="1">
      <alignment horizontal="center"/>
    </xf>
    <xf numFmtId="164" fontId="22" fillId="2" borderId="69" xfId="0" applyNumberFormat="1" applyFont="1" applyFill="1" applyBorder="1" applyAlignment="1">
      <alignment horizontal="center"/>
    </xf>
    <xf numFmtId="164" fontId="0" fillId="20" borderId="64" xfId="0" applyNumberFormat="1" applyFill="1" applyBorder="1" applyAlignment="1">
      <alignment horizontal="center"/>
    </xf>
    <xf numFmtId="165" fontId="0" fillId="20" borderId="65" xfId="1" applyNumberFormat="1" applyFont="1" applyFill="1" applyBorder="1" applyAlignment="1">
      <alignment horizontal="center"/>
    </xf>
    <xf numFmtId="164" fontId="0" fillId="20" borderId="66" xfId="0" applyNumberFormat="1" applyFill="1" applyBorder="1" applyAlignment="1">
      <alignment horizontal="center"/>
    </xf>
    <xf numFmtId="164" fontId="0" fillId="20" borderId="67" xfId="0" applyNumberFormat="1" applyFill="1" applyBorder="1" applyAlignment="1">
      <alignment horizontal="center"/>
    </xf>
    <xf numFmtId="164" fontId="0" fillId="20" borderId="68" xfId="0" applyNumberFormat="1" applyFill="1" applyBorder="1" applyAlignment="1">
      <alignment horizontal="center"/>
    </xf>
    <xf numFmtId="164" fontId="0" fillId="20" borderId="69" xfId="0" applyNumberFormat="1" applyFill="1" applyBorder="1" applyAlignment="1">
      <alignment horizontal="center"/>
    </xf>
    <xf numFmtId="10" fontId="0" fillId="0" borderId="0" xfId="1" applyNumberFormat="1" applyFont="1"/>
  </cellXfs>
  <cellStyles count="2">
    <cellStyle name="Normal" xfId="0" builtinId="0"/>
    <cellStyle name="Pourcentage" xfId="1" builtinId="5"/>
  </cellStyles>
  <dxfs count="8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5" formatCode="0.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5" formatCode="0.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5" formatCode="0.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5" formatCode="0.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5" formatCode="0.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5" formatCode="0.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5" formatCode="0.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5" formatCode="0.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5" formatCode="0.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5" formatCode="0.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5" formatCode="0.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5" formatCode="0.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&quot; kg&quot;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auto="1"/>
        </left>
        <right style="thin">
          <color indexed="64"/>
        </right>
        <top style="thin">
          <color indexed="64"/>
        </top>
        <bottom/>
        <vertic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border diagonalUp="0" diagonalDown="0">
        <left/>
        <right style="medium">
          <color auto="1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border outline="0"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DAC2EC"/>
        </patternFill>
      </fill>
    </dxf>
    <dxf>
      <fill>
        <patternFill>
          <bgColor rgb="FFFFDDDD"/>
        </patternFill>
      </fill>
    </dxf>
    <dxf>
      <fill>
        <patternFill>
          <bgColor rgb="FFC1EFFF"/>
        </patternFill>
      </fill>
    </dxf>
    <dxf>
      <font>
        <color theme="7" tint="-0.24994659260841701"/>
      </font>
    </dxf>
    <dxf>
      <font>
        <color theme="9"/>
      </font>
    </dxf>
    <dxf>
      <font>
        <color rgb="FFA726AA"/>
      </font>
    </dxf>
    <dxf>
      <font>
        <color rgb="FFC00000"/>
      </font>
    </dxf>
    <dxf>
      <font>
        <color rgb="FF00B0F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4723655</xdr:colOff>
      <xdr:row>3</xdr:row>
      <xdr:rowOff>42182</xdr:rowOff>
    </xdr:from>
    <xdr:to>
      <xdr:col>1</xdr:col>
      <xdr:colOff>5875655</xdr:colOff>
      <xdr:row>4</xdr:row>
      <xdr:rowOff>355682</xdr:rowOff>
    </xdr:to>
    <xdr:sp macro="Masquer_infos" textlink="">
      <xdr:nvSpPr>
        <xdr:cNvPr id="2" name="Bouton_Infos">
          <a:extLst>
            <a:ext uri="{FF2B5EF4-FFF2-40B4-BE49-F238E27FC236}">
              <a16:creationId xmlns:a16="http://schemas.microsoft.com/office/drawing/2014/main" id="{E4417F29-D2FF-4935-BD92-7C09FEAEFF7E}"/>
            </a:ext>
          </a:extLst>
        </xdr:cNvPr>
        <xdr:cNvSpPr/>
      </xdr:nvSpPr>
      <xdr:spPr>
        <a:xfrm>
          <a:off x="4774455" y="2372632"/>
          <a:ext cx="1152000" cy="504000"/>
        </a:xfrm>
        <a:prstGeom prst="roundRect">
          <a:avLst/>
        </a:prstGeom>
        <a:solidFill>
          <a:schemeClr val="accent4">
            <a:lumMod val="75000"/>
          </a:schemeClr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indent="0" algn="ctr"/>
          <a:r>
            <a:rPr lang="fr-FR" sz="1100">
              <a:solidFill>
                <a:schemeClr val="lt1">
                  <a:lumMod val="100000"/>
                </a:schemeClr>
              </a:solidFill>
              <a:latin typeface="+mn-lt"/>
              <a:ea typeface="+mn-ea"/>
              <a:cs typeface="+mn-cs"/>
            </a:rPr>
            <a:t>Masquer les info. PAV</a:t>
          </a:r>
        </a:p>
      </xdr:txBody>
    </xdr:sp>
    <xdr:clientData/>
  </xdr:twoCellAnchor>
  <xdr:twoCellAnchor>
    <xdr:from>
      <xdr:col>22</xdr:col>
      <xdr:colOff>97973</xdr:colOff>
      <xdr:row>3</xdr:row>
      <xdr:rowOff>28575</xdr:rowOff>
    </xdr:from>
    <xdr:to>
      <xdr:col>22</xdr:col>
      <xdr:colOff>285751</xdr:colOff>
      <xdr:row>4</xdr:row>
      <xdr:rowOff>43543</xdr:rowOff>
    </xdr:to>
    <xdr:sp macro="[1]!Filtre_tournée_1" textlink="">
      <xdr:nvSpPr>
        <xdr:cNvPr id="3" name="1">
          <a:extLst>
            <a:ext uri="{FF2B5EF4-FFF2-40B4-BE49-F238E27FC236}">
              <a16:creationId xmlns:a16="http://schemas.microsoft.com/office/drawing/2014/main" id="{25C76C4D-F2ED-464E-968E-AE6EF55A882D}"/>
            </a:ext>
          </a:extLst>
        </xdr:cNvPr>
        <xdr:cNvSpPr/>
      </xdr:nvSpPr>
      <xdr:spPr>
        <a:xfrm>
          <a:off x="29492123" y="2359025"/>
          <a:ext cx="187778" cy="205468"/>
        </a:xfrm>
        <a:prstGeom prst="downArrow">
          <a:avLst/>
        </a:prstGeom>
        <a:solidFill>
          <a:schemeClr val="accent2"/>
        </a:solidFill>
        <a:ln>
          <a:solidFill>
            <a:schemeClr val="tx1"/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23</xdr:col>
      <xdr:colOff>97973</xdr:colOff>
      <xdr:row>3</xdr:row>
      <xdr:rowOff>28575</xdr:rowOff>
    </xdr:from>
    <xdr:to>
      <xdr:col>23</xdr:col>
      <xdr:colOff>285751</xdr:colOff>
      <xdr:row>4</xdr:row>
      <xdr:rowOff>43543</xdr:rowOff>
    </xdr:to>
    <xdr:sp macro="[1]!Filtre_tournée_2" textlink="">
      <xdr:nvSpPr>
        <xdr:cNvPr id="4" name="2">
          <a:extLst>
            <a:ext uri="{FF2B5EF4-FFF2-40B4-BE49-F238E27FC236}">
              <a16:creationId xmlns:a16="http://schemas.microsoft.com/office/drawing/2014/main" id="{94379A6F-214C-402E-8FB1-E4E403F232F1}"/>
            </a:ext>
          </a:extLst>
        </xdr:cNvPr>
        <xdr:cNvSpPr/>
      </xdr:nvSpPr>
      <xdr:spPr>
        <a:xfrm>
          <a:off x="29873123" y="2359025"/>
          <a:ext cx="187778" cy="205468"/>
        </a:xfrm>
        <a:prstGeom prst="downArrow">
          <a:avLst/>
        </a:prstGeom>
        <a:solidFill>
          <a:schemeClr val="accent2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25</xdr:col>
      <xdr:colOff>97973</xdr:colOff>
      <xdr:row>3</xdr:row>
      <xdr:rowOff>28575</xdr:rowOff>
    </xdr:from>
    <xdr:to>
      <xdr:col>25</xdr:col>
      <xdr:colOff>285751</xdr:colOff>
      <xdr:row>4</xdr:row>
      <xdr:rowOff>43543</xdr:rowOff>
    </xdr:to>
    <xdr:sp macro="[1]!Filtre_tournée_4" textlink="">
      <xdr:nvSpPr>
        <xdr:cNvPr id="5" name="4">
          <a:extLst>
            <a:ext uri="{FF2B5EF4-FFF2-40B4-BE49-F238E27FC236}">
              <a16:creationId xmlns:a16="http://schemas.microsoft.com/office/drawing/2014/main" id="{948A21BC-F6A5-4B2C-ABEF-1F0877E1F885}"/>
            </a:ext>
          </a:extLst>
        </xdr:cNvPr>
        <xdr:cNvSpPr/>
      </xdr:nvSpPr>
      <xdr:spPr>
        <a:xfrm>
          <a:off x="30635123" y="2359025"/>
          <a:ext cx="187778" cy="205468"/>
        </a:xfrm>
        <a:prstGeom prst="downArrow">
          <a:avLst/>
        </a:prstGeom>
        <a:solidFill>
          <a:schemeClr val="accent2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27</xdr:col>
      <xdr:colOff>97973</xdr:colOff>
      <xdr:row>3</xdr:row>
      <xdr:rowOff>28575</xdr:rowOff>
    </xdr:from>
    <xdr:to>
      <xdr:col>27</xdr:col>
      <xdr:colOff>285751</xdr:colOff>
      <xdr:row>4</xdr:row>
      <xdr:rowOff>43543</xdr:rowOff>
    </xdr:to>
    <xdr:sp macro="[1]!Filtre_tournée_6" textlink="">
      <xdr:nvSpPr>
        <xdr:cNvPr id="6" name="6">
          <a:extLst>
            <a:ext uri="{FF2B5EF4-FFF2-40B4-BE49-F238E27FC236}">
              <a16:creationId xmlns:a16="http://schemas.microsoft.com/office/drawing/2014/main" id="{BB222040-7DCA-4642-B382-3C9AFCC18C2D}"/>
            </a:ext>
          </a:extLst>
        </xdr:cNvPr>
        <xdr:cNvSpPr/>
      </xdr:nvSpPr>
      <xdr:spPr>
        <a:xfrm>
          <a:off x="31397123" y="2359025"/>
          <a:ext cx="187778" cy="205468"/>
        </a:xfrm>
        <a:prstGeom prst="downArrow">
          <a:avLst/>
        </a:prstGeom>
        <a:solidFill>
          <a:schemeClr val="accent2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29</xdr:col>
      <xdr:colOff>97973</xdr:colOff>
      <xdr:row>3</xdr:row>
      <xdr:rowOff>28575</xdr:rowOff>
    </xdr:from>
    <xdr:to>
      <xdr:col>29</xdr:col>
      <xdr:colOff>285751</xdr:colOff>
      <xdr:row>4</xdr:row>
      <xdr:rowOff>43543</xdr:rowOff>
    </xdr:to>
    <xdr:sp macro="[1]!Filtre_tournée_8" textlink="">
      <xdr:nvSpPr>
        <xdr:cNvPr id="7" name="8">
          <a:extLst>
            <a:ext uri="{FF2B5EF4-FFF2-40B4-BE49-F238E27FC236}">
              <a16:creationId xmlns:a16="http://schemas.microsoft.com/office/drawing/2014/main" id="{66087FA7-BE4C-417E-B67D-04EE0171138C}"/>
            </a:ext>
          </a:extLst>
        </xdr:cNvPr>
        <xdr:cNvSpPr/>
      </xdr:nvSpPr>
      <xdr:spPr>
        <a:xfrm>
          <a:off x="32159123" y="2359025"/>
          <a:ext cx="187778" cy="205468"/>
        </a:xfrm>
        <a:prstGeom prst="downArrow">
          <a:avLst/>
        </a:prstGeom>
        <a:solidFill>
          <a:schemeClr val="accent2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31</xdr:col>
      <xdr:colOff>97973</xdr:colOff>
      <xdr:row>3</xdr:row>
      <xdr:rowOff>28575</xdr:rowOff>
    </xdr:from>
    <xdr:to>
      <xdr:col>31</xdr:col>
      <xdr:colOff>285751</xdr:colOff>
      <xdr:row>4</xdr:row>
      <xdr:rowOff>43543</xdr:rowOff>
    </xdr:to>
    <xdr:sp macro="[1]!Filtre_tournée_10" textlink="">
      <xdr:nvSpPr>
        <xdr:cNvPr id="8" name="10">
          <a:extLst>
            <a:ext uri="{FF2B5EF4-FFF2-40B4-BE49-F238E27FC236}">
              <a16:creationId xmlns:a16="http://schemas.microsoft.com/office/drawing/2014/main" id="{67032CBE-6B2F-4106-9A4A-B6BA8213DB4C}"/>
            </a:ext>
          </a:extLst>
        </xdr:cNvPr>
        <xdr:cNvSpPr/>
      </xdr:nvSpPr>
      <xdr:spPr>
        <a:xfrm>
          <a:off x="32921123" y="2359025"/>
          <a:ext cx="187778" cy="205468"/>
        </a:xfrm>
        <a:prstGeom prst="downArrow">
          <a:avLst/>
        </a:prstGeom>
        <a:solidFill>
          <a:schemeClr val="accent2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33</xdr:col>
      <xdr:colOff>103416</xdr:colOff>
      <xdr:row>3</xdr:row>
      <xdr:rowOff>28575</xdr:rowOff>
    </xdr:from>
    <xdr:to>
      <xdr:col>33</xdr:col>
      <xdr:colOff>291194</xdr:colOff>
      <xdr:row>4</xdr:row>
      <xdr:rowOff>43543</xdr:rowOff>
    </xdr:to>
    <xdr:sp macro="[1]!Filtre_tournée_12" textlink="">
      <xdr:nvSpPr>
        <xdr:cNvPr id="9" name="12">
          <a:extLst>
            <a:ext uri="{FF2B5EF4-FFF2-40B4-BE49-F238E27FC236}">
              <a16:creationId xmlns:a16="http://schemas.microsoft.com/office/drawing/2014/main" id="{8E7A8693-ED47-42E1-A6DF-76067E68286F}"/>
            </a:ext>
          </a:extLst>
        </xdr:cNvPr>
        <xdr:cNvSpPr/>
      </xdr:nvSpPr>
      <xdr:spPr>
        <a:xfrm>
          <a:off x="33688566" y="2359025"/>
          <a:ext cx="187778" cy="205468"/>
        </a:xfrm>
        <a:prstGeom prst="downArrow">
          <a:avLst/>
        </a:prstGeom>
        <a:solidFill>
          <a:schemeClr val="accent2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35</xdr:col>
      <xdr:colOff>103416</xdr:colOff>
      <xdr:row>3</xdr:row>
      <xdr:rowOff>28575</xdr:rowOff>
    </xdr:from>
    <xdr:to>
      <xdr:col>35</xdr:col>
      <xdr:colOff>291194</xdr:colOff>
      <xdr:row>4</xdr:row>
      <xdr:rowOff>43543</xdr:rowOff>
    </xdr:to>
    <xdr:sp macro="[1]!Filtre_tournée_14" textlink="">
      <xdr:nvSpPr>
        <xdr:cNvPr id="10" name="14">
          <a:extLst>
            <a:ext uri="{FF2B5EF4-FFF2-40B4-BE49-F238E27FC236}">
              <a16:creationId xmlns:a16="http://schemas.microsoft.com/office/drawing/2014/main" id="{CD212778-7882-4DD8-B277-0C446296AD4D}"/>
            </a:ext>
          </a:extLst>
        </xdr:cNvPr>
        <xdr:cNvSpPr/>
      </xdr:nvSpPr>
      <xdr:spPr>
        <a:xfrm>
          <a:off x="34450566" y="2359025"/>
          <a:ext cx="187778" cy="205468"/>
        </a:xfrm>
        <a:prstGeom prst="downArrow">
          <a:avLst/>
        </a:prstGeom>
        <a:solidFill>
          <a:schemeClr val="accent2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37</xdr:col>
      <xdr:colOff>103416</xdr:colOff>
      <xdr:row>3</xdr:row>
      <xdr:rowOff>28575</xdr:rowOff>
    </xdr:from>
    <xdr:to>
      <xdr:col>37</xdr:col>
      <xdr:colOff>291194</xdr:colOff>
      <xdr:row>4</xdr:row>
      <xdr:rowOff>43543</xdr:rowOff>
    </xdr:to>
    <xdr:sp macro="[1]!Filtre_tournée_16" textlink="">
      <xdr:nvSpPr>
        <xdr:cNvPr id="11" name="16">
          <a:extLst>
            <a:ext uri="{FF2B5EF4-FFF2-40B4-BE49-F238E27FC236}">
              <a16:creationId xmlns:a16="http://schemas.microsoft.com/office/drawing/2014/main" id="{25CDD499-3034-4B1A-B5DA-26700EB951C6}"/>
            </a:ext>
          </a:extLst>
        </xdr:cNvPr>
        <xdr:cNvSpPr/>
      </xdr:nvSpPr>
      <xdr:spPr>
        <a:xfrm>
          <a:off x="35212566" y="2359025"/>
          <a:ext cx="187778" cy="205468"/>
        </a:xfrm>
        <a:prstGeom prst="downArrow">
          <a:avLst/>
        </a:prstGeom>
        <a:solidFill>
          <a:schemeClr val="accent2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39</xdr:col>
      <xdr:colOff>103416</xdr:colOff>
      <xdr:row>3</xdr:row>
      <xdr:rowOff>28575</xdr:rowOff>
    </xdr:from>
    <xdr:to>
      <xdr:col>39</xdr:col>
      <xdr:colOff>291194</xdr:colOff>
      <xdr:row>4</xdr:row>
      <xdr:rowOff>43543</xdr:rowOff>
    </xdr:to>
    <xdr:sp macro="[1]!Filtre_tournée_18" textlink="">
      <xdr:nvSpPr>
        <xdr:cNvPr id="12" name="18">
          <a:extLst>
            <a:ext uri="{FF2B5EF4-FFF2-40B4-BE49-F238E27FC236}">
              <a16:creationId xmlns:a16="http://schemas.microsoft.com/office/drawing/2014/main" id="{78B162FE-D154-4D72-9081-B340F37D0A01}"/>
            </a:ext>
          </a:extLst>
        </xdr:cNvPr>
        <xdr:cNvSpPr/>
      </xdr:nvSpPr>
      <xdr:spPr>
        <a:xfrm>
          <a:off x="35974566" y="2359025"/>
          <a:ext cx="187778" cy="205468"/>
        </a:xfrm>
        <a:prstGeom prst="downArrow">
          <a:avLst/>
        </a:prstGeom>
        <a:solidFill>
          <a:schemeClr val="accent2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24</xdr:col>
      <xdr:colOff>97973</xdr:colOff>
      <xdr:row>3</xdr:row>
      <xdr:rowOff>28575</xdr:rowOff>
    </xdr:from>
    <xdr:to>
      <xdr:col>24</xdr:col>
      <xdr:colOff>285751</xdr:colOff>
      <xdr:row>4</xdr:row>
      <xdr:rowOff>43543</xdr:rowOff>
    </xdr:to>
    <xdr:sp macro="[1]!Filtre_tournée_3" textlink="">
      <xdr:nvSpPr>
        <xdr:cNvPr id="13" name="3">
          <a:extLst>
            <a:ext uri="{FF2B5EF4-FFF2-40B4-BE49-F238E27FC236}">
              <a16:creationId xmlns:a16="http://schemas.microsoft.com/office/drawing/2014/main" id="{052CB6A3-FCBE-4DC1-8EA4-2D8DA22E1F26}"/>
            </a:ext>
          </a:extLst>
        </xdr:cNvPr>
        <xdr:cNvSpPr/>
      </xdr:nvSpPr>
      <xdr:spPr>
        <a:xfrm>
          <a:off x="30254123" y="2359025"/>
          <a:ext cx="187778" cy="205468"/>
        </a:xfrm>
        <a:prstGeom prst="downArrow">
          <a:avLst/>
        </a:prstGeom>
        <a:solidFill>
          <a:schemeClr val="accent2"/>
        </a:solidFill>
        <a:ln>
          <a:solidFill>
            <a:schemeClr val="tx1"/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26</xdr:col>
      <xdr:colOff>97973</xdr:colOff>
      <xdr:row>3</xdr:row>
      <xdr:rowOff>28575</xdr:rowOff>
    </xdr:from>
    <xdr:to>
      <xdr:col>26</xdr:col>
      <xdr:colOff>285751</xdr:colOff>
      <xdr:row>4</xdr:row>
      <xdr:rowOff>43543</xdr:rowOff>
    </xdr:to>
    <xdr:sp macro="[1]!Filtre_tournée_5" textlink="">
      <xdr:nvSpPr>
        <xdr:cNvPr id="14" name="5">
          <a:extLst>
            <a:ext uri="{FF2B5EF4-FFF2-40B4-BE49-F238E27FC236}">
              <a16:creationId xmlns:a16="http://schemas.microsoft.com/office/drawing/2014/main" id="{AC60F38F-BE15-4EF4-9BD8-6EC5686E748D}"/>
            </a:ext>
          </a:extLst>
        </xdr:cNvPr>
        <xdr:cNvSpPr/>
      </xdr:nvSpPr>
      <xdr:spPr>
        <a:xfrm>
          <a:off x="31016123" y="2359025"/>
          <a:ext cx="187778" cy="205468"/>
        </a:xfrm>
        <a:prstGeom prst="downArrow">
          <a:avLst/>
        </a:prstGeom>
        <a:solidFill>
          <a:schemeClr val="accent2"/>
        </a:solidFill>
        <a:ln>
          <a:solidFill>
            <a:schemeClr val="tx1"/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28</xdr:col>
      <xdr:colOff>97973</xdr:colOff>
      <xdr:row>3</xdr:row>
      <xdr:rowOff>28575</xdr:rowOff>
    </xdr:from>
    <xdr:to>
      <xdr:col>28</xdr:col>
      <xdr:colOff>285751</xdr:colOff>
      <xdr:row>4</xdr:row>
      <xdr:rowOff>43543</xdr:rowOff>
    </xdr:to>
    <xdr:sp macro="[1]!Filtre_tournée_7" textlink="">
      <xdr:nvSpPr>
        <xdr:cNvPr id="15" name="7">
          <a:extLst>
            <a:ext uri="{FF2B5EF4-FFF2-40B4-BE49-F238E27FC236}">
              <a16:creationId xmlns:a16="http://schemas.microsoft.com/office/drawing/2014/main" id="{F22C6BE1-F21A-4572-A7C0-9EE0F3A29A21}"/>
            </a:ext>
          </a:extLst>
        </xdr:cNvPr>
        <xdr:cNvSpPr/>
      </xdr:nvSpPr>
      <xdr:spPr>
        <a:xfrm>
          <a:off x="31778123" y="2359025"/>
          <a:ext cx="187778" cy="205468"/>
        </a:xfrm>
        <a:prstGeom prst="downArrow">
          <a:avLst/>
        </a:prstGeom>
        <a:solidFill>
          <a:schemeClr val="accent2"/>
        </a:solidFill>
        <a:ln>
          <a:solidFill>
            <a:schemeClr val="tx1"/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30</xdr:col>
      <xdr:colOff>97973</xdr:colOff>
      <xdr:row>3</xdr:row>
      <xdr:rowOff>28575</xdr:rowOff>
    </xdr:from>
    <xdr:to>
      <xdr:col>30</xdr:col>
      <xdr:colOff>285751</xdr:colOff>
      <xdr:row>4</xdr:row>
      <xdr:rowOff>43543</xdr:rowOff>
    </xdr:to>
    <xdr:sp macro="[1]!Filtre_tournée_9" textlink="">
      <xdr:nvSpPr>
        <xdr:cNvPr id="16" name="9">
          <a:extLst>
            <a:ext uri="{FF2B5EF4-FFF2-40B4-BE49-F238E27FC236}">
              <a16:creationId xmlns:a16="http://schemas.microsoft.com/office/drawing/2014/main" id="{77AC5CF6-7F98-4841-9DCD-0D566B8AC08F}"/>
            </a:ext>
          </a:extLst>
        </xdr:cNvPr>
        <xdr:cNvSpPr/>
      </xdr:nvSpPr>
      <xdr:spPr>
        <a:xfrm>
          <a:off x="32540123" y="2359025"/>
          <a:ext cx="187778" cy="205468"/>
        </a:xfrm>
        <a:prstGeom prst="downArrow">
          <a:avLst/>
        </a:prstGeom>
        <a:solidFill>
          <a:schemeClr val="accent2"/>
        </a:solidFill>
        <a:ln>
          <a:solidFill>
            <a:schemeClr val="tx1"/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32</xdr:col>
      <xdr:colOff>97973</xdr:colOff>
      <xdr:row>3</xdr:row>
      <xdr:rowOff>28575</xdr:rowOff>
    </xdr:from>
    <xdr:to>
      <xdr:col>32</xdr:col>
      <xdr:colOff>285751</xdr:colOff>
      <xdr:row>4</xdr:row>
      <xdr:rowOff>43543</xdr:rowOff>
    </xdr:to>
    <xdr:sp macro="[1]!Filtre_tournée_11" textlink="">
      <xdr:nvSpPr>
        <xdr:cNvPr id="17" name="11">
          <a:extLst>
            <a:ext uri="{FF2B5EF4-FFF2-40B4-BE49-F238E27FC236}">
              <a16:creationId xmlns:a16="http://schemas.microsoft.com/office/drawing/2014/main" id="{14FDD188-7AF9-4792-834F-8E5A00F9C902}"/>
            </a:ext>
          </a:extLst>
        </xdr:cNvPr>
        <xdr:cNvSpPr/>
      </xdr:nvSpPr>
      <xdr:spPr>
        <a:xfrm>
          <a:off x="33302123" y="2359025"/>
          <a:ext cx="187778" cy="205468"/>
        </a:xfrm>
        <a:prstGeom prst="downArrow">
          <a:avLst/>
        </a:prstGeom>
        <a:solidFill>
          <a:schemeClr val="accent2"/>
        </a:solidFill>
        <a:ln>
          <a:solidFill>
            <a:schemeClr val="tx1"/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34</xdr:col>
      <xdr:colOff>103416</xdr:colOff>
      <xdr:row>3</xdr:row>
      <xdr:rowOff>28575</xdr:rowOff>
    </xdr:from>
    <xdr:to>
      <xdr:col>34</xdr:col>
      <xdr:colOff>291194</xdr:colOff>
      <xdr:row>4</xdr:row>
      <xdr:rowOff>43543</xdr:rowOff>
    </xdr:to>
    <xdr:sp macro="[1]!Filtre_tournée_13" textlink="">
      <xdr:nvSpPr>
        <xdr:cNvPr id="18" name="13">
          <a:extLst>
            <a:ext uri="{FF2B5EF4-FFF2-40B4-BE49-F238E27FC236}">
              <a16:creationId xmlns:a16="http://schemas.microsoft.com/office/drawing/2014/main" id="{31D3A865-66FE-485D-A2CB-AA5E3CCEF72E}"/>
            </a:ext>
          </a:extLst>
        </xdr:cNvPr>
        <xdr:cNvSpPr/>
      </xdr:nvSpPr>
      <xdr:spPr>
        <a:xfrm>
          <a:off x="34069566" y="2359025"/>
          <a:ext cx="187778" cy="205468"/>
        </a:xfrm>
        <a:prstGeom prst="downArrow">
          <a:avLst/>
        </a:prstGeom>
        <a:solidFill>
          <a:schemeClr val="accent2"/>
        </a:solidFill>
        <a:ln>
          <a:solidFill>
            <a:schemeClr val="tx1"/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36</xdr:col>
      <xdr:colOff>103416</xdr:colOff>
      <xdr:row>3</xdr:row>
      <xdr:rowOff>28575</xdr:rowOff>
    </xdr:from>
    <xdr:to>
      <xdr:col>36</xdr:col>
      <xdr:colOff>291194</xdr:colOff>
      <xdr:row>4</xdr:row>
      <xdr:rowOff>43543</xdr:rowOff>
    </xdr:to>
    <xdr:sp macro="[1]!Filtre_tournée_15" textlink="">
      <xdr:nvSpPr>
        <xdr:cNvPr id="19" name="15">
          <a:extLst>
            <a:ext uri="{FF2B5EF4-FFF2-40B4-BE49-F238E27FC236}">
              <a16:creationId xmlns:a16="http://schemas.microsoft.com/office/drawing/2014/main" id="{AFC0CCFB-FA5D-4DDE-A80F-27D9EBF05C4C}"/>
            </a:ext>
          </a:extLst>
        </xdr:cNvPr>
        <xdr:cNvSpPr/>
      </xdr:nvSpPr>
      <xdr:spPr>
        <a:xfrm>
          <a:off x="34831566" y="2359025"/>
          <a:ext cx="187778" cy="205468"/>
        </a:xfrm>
        <a:prstGeom prst="downArrow">
          <a:avLst/>
        </a:prstGeom>
        <a:solidFill>
          <a:schemeClr val="accent2"/>
        </a:solidFill>
        <a:ln>
          <a:solidFill>
            <a:schemeClr val="tx1"/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38</xdr:col>
      <xdr:colOff>103416</xdr:colOff>
      <xdr:row>3</xdr:row>
      <xdr:rowOff>28575</xdr:rowOff>
    </xdr:from>
    <xdr:to>
      <xdr:col>38</xdr:col>
      <xdr:colOff>291194</xdr:colOff>
      <xdr:row>4</xdr:row>
      <xdr:rowOff>43543</xdr:rowOff>
    </xdr:to>
    <xdr:sp macro="[1]!Filtre_tournée_17" textlink="">
      <xdr:nvSpPr>
        <xdr:cNvPr id="20" name="17">
          <a:extLst>
            <a:ext uri="{FF2B5EF4-FFF2-40B4-BE49-F238E27FC236}">
              <a16:creationId xmlns:a16="http://schemas.microsoft.com/office/drawing/2014/main" id="{999F4968-AF49-4204-9E52-4EB161259D84}"/>
            </a:ext>
          </a:extLst>
        </xdr:cNvPr>
        <xdr:cNvSpPr/>
      </xdr:nvSpPr>
      <xdr:spPr>
        <a:xfrm>
          <a:off x="35593566" y="2359025"/>
          <a:ext cx="187778" cy="205468"/>
        </a:xfrm>
        <a:prstGeom prst="downArrow">
          <a:avLst/>
        </a:prstGeom>
        <a:solidFill>
          <a:schemeClr val="accent2"/>
        </a:solidFill>
        <a:ln>
          <a:solidFill>
            <a:schemeClr val="tx1"/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40</xdr:col>
      <xdr:colOff>103416</xdr:colOff>
      <xdr:row>3</xdr:row>
      <xdr:rowOff>28575</xdr:rowOff>
    </xdr:from>
    <xdr:to>
      <xdr:col>40</xdr:col>
      <xdr:colOff>291194</xdr:colOff>
      <xdr:row>4</xdr:row>
      <xdr:rowOff>43543</xdr:rowOff>
    </xdr:to>
    <xdr:sp macro="[1]!Filtre_tournée_19" textlink="">
      <xdr:nvSpPr>
        <xdr:cNvPr id="21" name="19">
          <a:extLst>
            <a:ext uri="{FF2B5EF4-FFF2-40B4-BE49-F238E27FC236}">
              <a16:creationId xmlns:a16="http://schemas.microsoft.com/office/drawing/2014/main" id="{4C45225E-350E-45AA-BD59-728C324EB9B1}"/>
            </a:ext>
          </a:extLst>
        </xdr:cNvPr>
        <xdr:cNvSpPr/>
      </xdr:nvSpPr>
      <xdr:spPr>
        <a:xfrm>
          <a:off x="36355566" y="2359025"/>
          <a:ext cx="187778" cy="205468"/>
        </a:xfrm>
        <a:prstGeom prst="downArrow">
          <a:avLst/>
        </a:prstGeom>
        <a:solidFill>
          <a:schemeClr val="accent2"/>
        </a:solidFill>
        <a:ln>
          <a:solidFill>
            <a:schemeClr val="tx1"/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39</xdr:col>
      <xdr:colOff>115964</xdr:colOff>
      <xdr:row>1</xdr:row>
      <xdr:rowOff>16329</xdr:rowOff>
    </xdr:from>
    <xdr:to>
      <xdr:col>42</xdr:col>
      <xdr:colOff>364671</xdr:colOff>
      <xdr:row>1</xdr:row>
      <xdr:rowOff>168729</xdr:rowOff>
    </xdr:to>
    <xdr:sp macro="[1]!Filtres_RAZ" textlink="">
      <xdr:nvSpPr>
        <xdr:cNvPr id="22" name="Rectangle 21">
          <a:extLst>
            <a:ext uri="{FF2B5EF4-FFF2-40B4-BE49-F238E27FC236}">
              <a16:creationId xmlns:a16="http://schemas.microsoft.com/office/drawing/2014/main" id="{FF658BF6-0D8E-41C3-BCCD-B3F44B63F14A}"/>
            </a:ext>
          </a:extLst>
        </xdr:cNvPr>
        <xdr:cNvSpPr/>
      </xdr:nvSpPr>
      <xdr:spPr>
        <a:xfrm>
          <a:off x="35987114" y="397329"/>
          <a:ext cx="1027036" cy="152400"/>
        </a:xfrm>
        <a:prstGeom prst="rect">
          <a:avLst/>
        </a:prstGeom>
        <a:ln>
          <a:solidFill>
            <a:schemeClr val="tx1"/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900" b="1" i="0">
              <a:solidFill>
                <a:schemeClr val="bg1"/>
              </a:solidFill>
            </a:rPr>
            <a:t>Deployer tous les PAV</a:t>
          </a:r>
        </a:p>
      </xdr:txBody>
    </xdr:sp>
    <xdr:clientData/>
  </xdr:twoCellAnchor>
  <xdr:twoCellAnchor>
    <xdr:from>
      <xdr:col>1</xdr:col>
      <xdr:colOff>341065</xdr:colOff>
      <xdr:row>2</xdr:row>
      <xdr:rowOff>1401696</xdr:rowOff>
    </xdr:from>
    <xdr:to>
      <xdr:col>1</xdr:col>
      <xdr:colOff>4716586</xdr:colOff>
      <xdr:row>2</xdr:row>
      <xdr:rowOff>1753893</xdr:rowOff>
    </xdr:to>
    <xdr:grpSp>
      <xdr:nvGrpSpPr>
        <xdr:cNvPr id="23" name="Groupe 22">
          <a:extLst>
            <a:ext uri="{FF2B5EF4-FFF2-40B4-BE49-F238E27FC236}">
              <a16:creationId xmlns:a16="http://schemas.microsoft.com/office/drawing/2014/main" id="{AAC39164-2140-4DD2-8883-EBA1969E292D}"/>
            </a:ext>
          </a:extLst>
        </xdr:cNvPr>
        <xdr:cNvGrpSpPr/>
      </xdr:nvGrpSpPr>
      <xdr:grpSpPr>
        <a:xfrm>
          <a:off x="393982" y="1968660"/>
          <a:ext cx="4375521" cy="352197"/>
          <a:chOff x="392353" y="1973196"/>
          <a:chExt cx="4375521" cy="352197"/>
        </a:xfrm>
      </xdr:grpSpPr>
      <xdr:sp macro="" textlink="">
        <xdr:nvSpPr>
          <xdr:cNvPr id="24" name="Rectangle : avec coin rogné 23">
            <a:extLst>
              <a:ext uri="{FF2B5EF4-FFF2-40B4-BE49-F238E27FC236}">
                <a16:creationId xmlns:a16="http://schemas.microsoft.com/office/drawing/2014/main" id="{01BC0DCA-C140-2472-5875-7B9312F244B0}"/>
              </a:ext>
            </a:extLst>
          </xdr:cNvPr>
          <xdr:cNvSpPr/>
        </xdr:nvSpPr>
        <xdr:spPr>
          <a:xfrm flipH="1">
            <a:off x="1376624" y="1975582"/>
            <a:ext cx="2400300" cy="172800"/>
          </a:xfrm>
          <a:prstGeom prst="snip1Rect">
            <a:avLst/>
          </a:prstGeom>
          <a:solidFill>
            <a:schemeClr val="accent2">
              <a:lumMod val="50000"/>
            </a:schemeClr>
          </a:solidFill>
          <a:ln/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900" b="0">
                <a:solidFill>
                  <a:schemeClr val="bg1"/>
                </a:solidFill>
              </a:rPr>
              <a:t>Affichage</a:t>
            </a:r>
            <a:r>
              <a:rPr lang="fr-FR" sz="900" b="0" baseline="0">
                <a:solidFill>
                  <a:schemeClr val="bg1"/>
                </a:solidFill>
              </a:rPr>
              <a:t> du calendrier</a:t>
            </a:r>
            <a:endParaRPr lang="fr-FR" sz="900" b="0">
              <a:solidFill>
                <a:schemeClr val="bg1"/>
              </a:solidFill>
            </a:endParaRPr>
          </a:p>
        </xdr:txBody>
      </xdr:sp>
      <xdr:sp macro="[1]!Focus_fevrier" textlink="">
        <xdr:nvSpPr>
          <xdr:cNvPr id="25" name="Rectangle 24">
            <a:extLst>
              <a:ext uri="{FF2B5EF4-FFF2-40B4-BE49-F238E27FC236}">
                <a16:creationId xmlns:a16="http://schemas.microsoft.com/office/drawing/2014/main" id="{EC8E472E-C777-BD3C-C5C5-7CB2FC18F573}"/>
              </a:ext>
            </a:extLst>
          </xdr:cNvPr>
          <xdr:cNvSpPr/>
        </xdr:nvSpPr>
        <xdr:spPr>
          <a:xfrm>
            <a:off x="757383" y="2153943"/>
            <a:ext cx="360000" cy="171450"/>
          </a:xfrm>
          <a:prstGeom prst="rect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900"/>
              <a:t>02</a:t>
            </a:r>
            <a:endParaRPr lang="fr-FR" sz="800"/>
          </a:p>
        </xdr:txBody>
      </xdr:sp>
      <xdr:sp macro="[1]!Focus_mars" textlink="">
        <xdr:nvSpPr>
          <xdr:cNvPr id="26" name="Rectangle 25">
            <a:extLst>
              <a:ext uri="{FF2B5EF4-FFF2-40B4-BE49-F238E27FC236}">
                <a16:creationId xmlns:a16="http://schemas.microsoft.com/office/drawing/2014/main" id="{D553B36D-B048-F395-9F6E-5877A170CA61}"/>
              </a:ext>
            </a:extLst>
          </xdr:cNvPr>
          <xdr:cNvSpPr/>
        </xdr:nvSpPr>
        <xdr:spPr>
          <a:xfrm>
            <a:off x="1121913" y="2153943"/>
            <a:ext cx="360000" cy="171450"/>
          </a:xfrm>
          <a:prstGeom prst="rect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900"/>
              <a:t>03</a:t>
            </a:r>
            <a:endParaRPr lang="fr-FR" sz="800"/>
          </a:p>
        </xdr:txBody>
      </xdr:sp>
      <xdr:sp macro="[1]!Focus_avril" textlink="">
        <xdr:nvSpPr>
          <xdr:cNvPr id="27" name="Rectangle 26">
            <a:extLst>
              <a:ext uri="{FF2B5EF4-FFF2-40B4-BE49-F238E27FC236}">
                <a16:creationId xmlns:a16="http://schemas.microsoft.com/office/drawing/2014/main" id="{4507F908-4174-3259-26A2-6490905694AA}"/>
              </a:ext>
            </a:extLst>
          </xdr:cNvPr>
          <xdr:cNvSpPr/>
        </xdr:nvSpPr>
        <xdr:spPr>
          <a:xfrm>
            <a:off x="1486940" y="2153943"/>
            <a:ext cx="360000" cy="171450"/>
          </a:xfrm>
          <a:prstGeom prst="rect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900"/>
              <a:t>04</a:t>
            </a:r>
            <a:endParaRPr lang="fr-FR" sz="800"/>
          </a:p>
        </xdr:txBody>
      </xdr:sp>
      <xdr:sp macro="[1]!Focus_mai" textlink="">
        <xdr:nvSpPr>
          <xdr:cNvPr id="28" name="Rectangle 27">
            <a:extLst>
              <a:ext uri="{FF2B5EF4-FFF2-40B4-BE49-F238E27FC236}">
                <a16:creationId xmlns:a16="http://schemas.microsoft.com/office/drawing/2014/main" id="{3196584F-4228-089E-14E1-516260EF41CE}"/>
              </a:ext>
            </a:extLst>
          </xdr:cNvPr>
          <xdr:cNvSpPr/>
        </xdr:nvSpPr>
        <xdr:spPr>
          <a:xfrm>
            <a:off x="1851468" y="2153943"/>
            <a:ext cx="360000" cy="171450"/>
          </a:xfrm>
          <a:prstGeom prst="rect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900"/>
              <a:t>05</a:t>
            </a:r>
            <a:endParaRPr lang="fr-FR" sz="800"/>
          </a:p>
        </xdr:txBody>
      </xdr:sp>
      <xdr:sp macro="[1]!Focus_juin" textlink="">
        <xdr:nvSpPr>
          <xdr:cNvPr id="29" name="Rectangle 28">
            <a:extLst>
              <a:ext uri="{FF2B5EF4-FFF2-40B4-BE49-F238E27FC236}">
                <a16:creationId xmlns:a16="http://schemas.microsoft.com/office/drawing/2014/main" id="{398D950B-866D-4F90-0F79-F0FC48EEDA06}"/>
              </a:ext>
            </a:extLst>
          </xdr:cNvPr>
          <xdr:cNvSpPr/>
        </xdr:nvSpPr>
        <xdr:spPr>
          <a:xfrm>
            <a:off x="2216498" y="2153943"/>
            <a:ext cx="360000" cy="171450"/>
          </a:xfrm>
          <a:prstGeom prst="rect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900"/>
              <a:t>06</a:t>
            </a:r>
            <a:endParaRPr lang="fr-FR" sz="800"/>
          </a:p>
        </xdr:txBody>
      </xdr:sp>
      <xdr:sp macro="[1]!Focus_juillet" textlink="">
        <xdr:nvSpPr>
          <xdr:cNvPr id="30" name="Rectangle 29">
            <a:extLst>
              <a:ext uri="{FF2B5EF4-FFF2-40B4-BE49-F238E27FC236}">
                <a16:creationId xmlns:a16="http://schemas.microsoft.com/office/drawing/2014/main" id="{376E5D4B-43B5-F205-8E51-D5E39EB9B6CB}"/>
              </a:ext>
            </a:extLst>
          </xdr:cNvPr>
          <xdr:cNvSpPr/>
        </xdr:nvSpPr>
        <xdr:spPr>
          <a:xfrm>
            <a:off x="2581528" y="2153943"/>
            <a:ext cx="360000" cy="171450"/>
          </a:xfrm>
          <a:prstGeom prst="rect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900"/>
              <a:t>07</a:t>
            </a:r>
            <a:endParaRPr lang="fr-FR" sz="800"/>
          </a:p>
        </xdr:txBody>
      </xdr:sp>
      <xdr:sp macro="[1]!Focus_aout" textlink="">
        <xdr:nvSpPr>
          <xdr:cNvPr id="31" name="Rectangle 30">
            <a:extLst>
              <a:ext uri="{FF2B5EF4-FFF2-40B4-BE49-F238E27FC236}">
                <a16:creationId xmlns:a16="http://schemas.microsoft.com/office/drawing/2014/main" id="{8892E5D7-7889-8AC5-DB8A-B7ED10541904}"/>
              </a:ext>
            </a:extLst>
          </xdr:cNvPr>
          <xdr:cNvSpPr/>
        </xdr:nvSpPr>
        <xdr:spPr>
          <a:xfrm>
            <a:off x="2946056" y="2153943"/>
            <a:ext cx="360000" cy="171450"/>
          </a:xfrm>
          <a:prstGeom prst="rect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900"/>
              <a:t>08</a:t>
            </a:r>
            <a:endParaRPr lang="fr-FR" sz="800"/>
          </a:p>
        </xdr:txBody>
      </xdr:sp>
      <xdr:sp macro="[1]!Focus_septembre" textlink="">
        <xdr:nvSpPr>
          <xdr:cNvPr id="32" name="Rectangle 31">
            <a:extLst>
              <a:ext uri="{FF2B5EF4-FFF2-40B4-BE49-F238E27FC236}">
                <a16:creationId xmlns:a16="http://schemas.microsoft.com/office/drawing/2014/main" id="{5B481F4F-D871-13C5-0282-7A221AEFDA6A}"/>
              </a:ext>
            </a:extLst>
          </xdr:cNvPr>
          <xdr:cNvSpPr/>
        </xdr:nvSpPr>
        <xdr:spPr>
          <a:xfrm>
            <a:off x="3311086" y="2153943"/>
            <a:ext cx="360000" cy="171450"/>
          </a:xfrm>
          <a:prstGeom prst="rect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900"/>
              <a:t>09</a:t>
            </a:r>
            <a:endParaRPr lang="fr-FR" sz="800"/>
          </a:p>
        </xdr:txBody>
      </xdr:sp>
      <xdr:sp macro="[1]!Focus_octobre" textlink="">
        <xdr:nvSpPr>
          <xdr:cNvPr id="33" name="Rectangle 32">
            <a:extLst>
              <a:ext uri="{FF2B5EF4-FFF2-40B4-BE49-F238E27FC236}">
                <a16:creationId xmlns:a16="http://schemas.microsoft.com/office/drawing/2014/main" id="{362C4702-CF43-BDC1-C18D-5E39CB6AB92F}"/>
              </a:ext>
            </a:extLst>
          </xdr:cNvPr>
          <xdr:cNvSpPr/>
        </xdr:nvSpPr>
        <xdr:spPr>
          <a:xfrm>
            <a:off x="3675615" y="2153943"/>
            <a:ext cx="360000" cy="171450"/>
          </a:xfrm>
          <a:prstGeom prst="rect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900"/>
              <a:t>10</a:t>
            </a:r>
            <a:endParaRPr lang="fr-FR" sz="800"/>
          </a:p>
        </xdr:txBody>
      </xdr:sp>
      <xdr:sp macro="[1]!Focus_novembre" textlink="">
        <xdr:nvSpPr>
          <xdr:cNvPr id="34" name="Rectangle 33">
            <a:extLst>
              <a:ext uri="{FF2B5EF4-FFF2-40B4-BE49-F238E27FC236}">
                <a16:creationId xmlns:a16="http://schemas.microsoft.com/office/drawing/2014/main" id="{8F741C1F-579F-337C-059C-573786359C3C}"/>
              </a:ext>
            </a:extLst>
          </xdr:cNvPr>
          <xdr:cNvSpPr/>
        </xdr:nvSpPr>
        <xdr:spPr>
          <a:xfrm>
            <a:off x="4040646" y="2153943"/>
            <a:ext cx="360000" cy="171450"/>
          </a:xfrm>
          <a:prstGeom prst="rect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900"/>
              <a:t>11</a:t>
            </a:r>
            <a:endParaRPr lang="fr-FR" sz="800"/>
          </a:p>
        </xdr:txBody>
      </xdr:sp>
      <xdr:sp macro="[1]!Focus_janvier" textlink="">
        <xdr:nvSpPr>
          <xdr:cNvPr id="35" name="Rectangle 34">
            <a:extLst>
              <a:ext uri="{FF2B5EF4-FFF2-40B4-BE49-F238E27FC236}">
                <a16:creationId xmlns:a16="http://schemas.microsoft.com/office/drawing/2014/main" id="{90DD0ADE-C5F3-16D3-6429-801AFDFAE12B}"/>
              </a:ext>
            </a:extLst>
          </xdr:cNvPr>
          <xdr:cNvSpPr/>
        </xdr:nvSpPr>
        <xdr:spPr>
          <a:xfrm>
            <a:off x="392353" y="2153943"/>
            <a:ext cx="360000" cy="171450"/>
          </a:xfrm>
          <a:prstGeom prst="rect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900"/>
              <a:t>01</a:t>
            </a:r>
            <a:endParaRPr lang="fr-FR" sz="800"/>
          </a:p>
        </xdr:txBody>
      </xdr:sp>
      <xdr:sp macro="[1]!Focus_decembre" textlink="">
        <xdr:nvSpPr>
          <xdr:cNvPr id="36" name="Rectangle 35">
            <a:extLst>
              <a:ext uri="{FF2B5EF4-FFF2-40B4-BE49-F238E27FC236}">
                <a16:creationId xmlns:a16="http://schemas.microsoft.com/office/drawing/2014/main" id="{DEBC5973-C594-C2A5-2BE1-FBC6225E679C}"/>
              </a:ext>
            </a:extLst>
          </xdr:cNvPr>
          <xdr:cNvSpPr/>
        </xdr:nvSpPr>
        <xdr:spPr>
          <a:xfrm>
            <a:off x="4406110" y="2153943"/>
            <a:ext cx="360000" cy="171450"/>
          </a:xfrm>
          <a:prstGeom prst="rect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fr-FR" sz="900"/>
              <a:t>12</a:t>
            </a:r>
            <a:endParaRPr lang="fr-FR" sz="800"/>
          </a:p>
        </xdr:txBody>
      </xdr:sp>
      <xdr:sp macro="[1]!Focus_RAZ" textlink="">
        <xdr:nvSpPr>
          <xdr:cNvPr id="37" name="Rectangle : avec coin rogné 36">
            <a:extLst>
              <a:ext uri="{FF2B5EF4-FFF2-40B4-BE49-F238E27FC236}">
                <a16:creationId xmlns:a16="http://schemas.microsoft.com/office/drawing/2014/main" id="{5A9E80EF-BE85-C3A5-3817-1CEAA0ABF98B}"/>
              </a:ext>
            </a:extLst>
          </xdr:cNvPr>
          <xdr:cNvSpPr/>
        </xdr:nvSpPr>
        <xdr:spPr>
          <a:xfrm>
            <a:off x="3673474" y="1973933"/>
            <a:ext cx="1094400" cy="172800"/>
          </a:xfrm>
          <a:prstGeom prst="snip1Rect">
            <a:avLst/>
          </a:prstGeom>
          <a:ln/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r>
              <a:rPr lang="fr-FR" sz="1000" b="0">
                <a:solidFill>
                  <a:schemeClr val="bg1"/>
                </a:solidFill>
              </a:rPr>
              <a:t>Année complète</a:t>
            </a:r>
          </a:p>
        </xdr:txBody>
      </xdr:sp>
      <xdr:sp macro="[1]!Focus_RIEN" textlink="">
        <xdr:nvSpPr>
          <xdr:cNvPr id="38" name="Rectangle : avec coin rogné 37">
            <a:extLst>
              <a:ext uri="{FF2B5EF4-FFF2-40B4-BE49-F238E27FC236}">
                <a16:creationId xmlns:a16="http://schemas.microsoft.com/office/drawing/2014/main" id="{2692D0ED-66C7-DC42-4A39-EE97CE375F12}"/>
              </a:ext>
            </a:extLst>
          </xdr:cNvPr>
          <xdr:cNvSpPr/>
        </xdr:nvSpPr>
        <xdr:spPr>
          <a:xfrm flipH="1">
            <a:off x="392789" y="1973196"/>
            <a:ext cx="1094373" cy="172800"/>
          </a:xfrm>
          <a:prstGeom prst="snip1Rect">
            <a:avLst/>
          </a:prstGeom>
          <a:ln/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l"/>
            <a:r>
              <a:rPr lang="fr-FR" sz="900" b="0">
                <a:solidFill>
                  <a:schemeClr val="bg1"/>
                </a:solidFill>
              </a:rPr>
              <a:t>Masquer l'année</a:t>
            </a:r>
          </a:p>
        </xdr:txBody>
      </xdr:sp>
    </xdr:grpSp>
    <xdr:clientData/>
  </xdr:twoCellAnchor>
  <xdr:twoCellAnchor>
    <xdr:from>
      <xdr:col>418</xdr:col>
      <xdr:colOff>63953</xdr:colOff>
      <xdr:row>3</xdr:row>
      <xdr:rowOff>9524</xdr:rowOff>
    </xdr:from>
    <xdr:to>
      <xdr:col>418</xdr:col>
      <xdr:colOff>1215953</xdr:colOff>
      <xdr:row>4</xdr:row>
      <xdr:rowOff>323024</xdr:rowOff>
    </xdr:to>
    <xdr:sp macro="Afficher_criteres" textlink="">
      <xdr:nvSpPr>
        <xdr:cNvPr id="39" name="Bouton_Criteres">
          <a:extLst>
            <a:ext uri="{FF2B5EF4-FFF2-40B4-BE49-F238E27FC236}">
              <a16:creationId xmlns:a16="http://schemas.microsoft.com/office/drawing/2014/main" id="{3A26F3C3-B03B-4D81-BB4D-4FF096C7ED7E}"/>
            </a:ext>
          </a:extLst>
        </xdr:cNvPr>
        <xdr:cNvSpPr/>
      </xdr:nvSpPr>
      <xdr:spPr>
        <a:xfrm>
          <a:off x="37078103" y="2339974"/>
          <a:ext cx="1152000" cy="504000"/>
        </a:xfrm>
        <a:prstGeom prst="roundRect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100">
              <a:solidFill>
                <a:schemeClr val="lt1">
                  <a:lumMod val="100000"/>
                </a:schemeClr>
              </a:solidFill>
              <a:latin typeface="+mn-lt"/>
              <a:ea typeface="+mn-ea"/>
              <a:cs typeface="+mn-cs"/>
            </a:rPr>
            <a:t>Afficher critères sectoriels</a:t>
          </a:r>
        </a:p>
      </xdr:txBody>
    </xdr:sp>
    <xdr:clientData/>
  </xdr:twoCellAnchor>
  <xdr:twoCellAnchor>
    <xdr:from>
      <xdr:col>440</xdr:col>
      <xdr:colOff>44903</xdr:colOff>
      <xdr:row>3</xdr:row>
      <xdr:rowOff>9524</xdr:rowOff>
    </xdr:from>
    <xdr:to>
      <xdr:col>440</xdr:col>
      <xdr:colOff>1196903</xdr:colOff>
      <xdr:row>4</xdr:row>
      <xdr:rowOff>323024</xdr:rowOff>
    </xdr:to>
    <xdr:sp macro="Afficher_totaux" textlink="">
      <xdr:nvSpPr>
        <xdr:cNvPr id="40" name="Bouton_Totaux">
          <a:extLst>
            <a:ext uri="{FF2B5EF4-FFF2-40B4-BE49-F238E27FC236}">
              <a16:creationId xmlns:a16="http://schemas.microsoft.com/office/drawing/2014/main" id="{F099CBAD-0CC9-4341-AED3-D029841F184D}"/>
            </a:ext>
          </a:extLst>
        </xdr:cNvPr>
        <xdr:cNvSpPr/>
      </xdr:nvSpPr>
      <xdr:spPr>
        <a:xfrm>
          <a:off x="38557653" y="2339974"/>
          <a:ext cx="1152000" cy="504000"/>
        </a:xfrm>
        <a:prstGeom prst="round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100">
              <a:solidFill>
                <a:schemeClr val="lt1">
                  <a:lumMod val="100000"/>
                </a:schemeClr>
              </a:solidFill>
              <a:latin typeface="+mn-lt"/>
              <a:ea typeface="+mn-ea"/>
              <a:cs typeface="+mn-cs"/>
            </a:rPr>
            <a:t>Afficher Totaux</a:t>
          </a:r>
        </a:p>
      </xdr:txBody>
    </xdr:sp>
    <xdr:clientData/>
  </xdr:twoCellAnchor>
  <xdr:twoCellAnchor>
    <xdr:from>
      <xdr:col>41</xdr:col>
      <xdr:colOff>103416</xdr:colOff>
      <xdr:row>3</xdr:row>
      <xdr:rowOff>28575</xdr:rowOff>
    </xdr:from>
    <xdr:to>
      <xdr:col>41</xdr:col>
      <xdr:colOff>291194</xdr:colOff>
      <xdr:row>4</xdr:row>
      <xdr:rowOff>43543</xdr:rowOff>
    </xdr:to>
    <xdr:sp macro="[1]!Filtre_tournée_20" textlink="">
      <xdr:nvSpPr>
        <xdr:cNvPr id="41" name="19">
          <a:extLst>
            <a:ext uri="{FF2B5EF4-FFF2-40B4-BE49-F238E27FC236}">
              <a16:creationId xmlns:a16="http://schemas.microsoft.com/office/drawing/2014/main" id="{B7970DED-88D4-4AA1-A3B5-DE10642BFDCE}"/>
            </a:ext>
          </a:extLst>
        </xdr:cNvPr>
        <xdr:cNvSpPr/>
      </xdr:nvSpPr>
      <xdr:spPr>
        <a:xfrm>
          <a:off x="36736566" y="2359025"/>
          <a:ext cx="187778" cy="205468"/>
        </a:xfrm>
        <a:prstGeom prst="downArrow">
          <a:avLst/>
        </a:prstGeom>
        <a:solidFill>
          <a:schemeClr val="accent2"/>
        </a:solidFill>
        <a:ln>
          <a:solidFill>
            <a:schemeClr val="tx1"/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42</xdr:col>
      <xdr:colOff>103416</xdr:colOff>
      <xdr:row>3</xdr:row>
      <xdr:rowOff>28575</xdr:rowOff>
    </xdr:from>
    <xdr:to>
      <xdr:col>42</xdr:col>
      <xdr:colOff>291194</xdr:colOff>
      <xdr:row>4</xdr:row>
      <xdr:rowOff>43543</xdr:rowOff>
    </xdr:to>
    <xdr:sp macro="[1]!Filtre_tournée_21" textlink="">
      <xdr:nvSpPr>
        <xdr:cNvPr id="42" name="19">
          <a:extLst>
            <a:ext uri="{FF2B5EF4-FFF2-40B4-BE49-F238E27FC236}">
              <a16:creationId xmlns:a16="http://schemas.microsoft.com/office/drawing/2014/main" id="{EC21A3C0-353D-44BA-A53F-6F6C5DF5A43B}"/>
            </a:ext>
          </a:extLst>
        </xdr:cNvPr>
        <xdr:cNvSpPr/>
      </xdr:nvSpPr>
      <xdr:spPr>
        <a:xfrm>
          <a:off x="37014150" y="2359025"/>
          <a:ext cx="0" cy="205468"/>
        </a:xfrm>
        <a:prstGeom prst="downArrow">
          <a:avLst/>
        </a:prstGeom>
        <a:solidFill>
          <a:schemeClr val="accent2"/>
        </a:solidFill>
        <a:ln>
          <a:solidFill>
            <a:schemeClr val="tx1"/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43</xdr:col>
      <xdr:colOff>103416</xdr:colOff>
      <xdr:row>3</xdr:row>
      <xdr:rowOff>28575</xdr:rowOff>
    </xdr:from>
    <xdr:to>
      <xdr:col>43</xdr:col>
      <xdr:colOff>291194</xdr:colOff>
      <xdr:row>4</xdr:row>
      <xdr:rowOff>43543</xdr:rowOff>
    </xdr:to>
    <xdr:sp macro="[1]!Filtre_tournée_22" textlink="">
      <xdr:nvSpPr>
        <xdr:cNvPr id="43" name="19">
          <a:extLst>
            <a:ext uri="{FF2B5EF4-FFF2-40B4-BE49-F238E27FC236}">
              <a16:creationId xmlns:a16="http://schemas.microsoft.com/office/drawing/2014/main" id="{5C2FE97E-2E1D-44A6-9969-823F218D2856}"/>
            </a:ext>
          </a:extLst>
        </xdr:cNvPr>
        <xdr:cNvSpPr/>
      </xdr:nvSpPr>
      <xdr:spPr>
        <a:xfrm>
          <a:off x="37014150" y="2359025"/>
          <a:ext cx="0" cy="205468"/>
        </a:xfrm>
        <a:prstGeom prst="downArrow">
          <a:avLst/>
        </a:prstGeom>
        <a:solidFill>
          <a:schemeClr val="accent2"/>
        </a:solidFill>
        <a:ln>
          <a:solidFill>
            <a:schemeClr val="tx1"/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44</xdr:col>
      <xdr:colOff>103416</xdr:colOff>
      <xdr:row>3</xdr:row>
      <xdr:rowOff>28575</xdr:rowOff>
    </xdr:from>
    <xdr:to>
      <xdr:col>44</xdr:col>
      <xdr:colOff>291194</xdr:colOff>
      <xdr:row>4</xdr:row>
      <xdr:rowOff>43543</xdr:rowOff>
    </xdr:to>
    <xdr:sp macro="[1]!Filtre_tournée_23" textlink="">
      <xdr:nvSpPr>
        <xdr:cNvPr id="44" name="19">
          <a:extLst>
            <a:ext uri="{FF2B5EF4-FFF2-40B4-BE49-F238E27FC236}">
              <a16:creationId xmlns:a16="http://schemas.microsoft.com/office/drawing/2014/main" id="{D4310226-CED8-4301-BDE3-F3127FC48323}"/>
            </a:ext>
          </a:extLst>
        </xdr:cNvPr>
        <xdr:cNvSpPr/>
      </xdr:nvSpPr>
      <xdr:spPr>
        <a:xfrm>
          <a:off x="37014150" y="2359025"/>
          <a:ext cx="0" cy="205468"/>
        </a:xfrm>
        <a:prstGeom prst="downArrow">
          <a:avLst/>
        </a:prstGeom>
        <a:solidFill>
          <a:schemeClr val="accent2"/>
        </a:solidFill>
        <a:ln>
          <a:solidFill>
            <a:schemeClr val="tx1"/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45</xdr:col>
      <xdr:colOff>103416</xdr:colOff>
      <xdr:row>3</xdr:row>
      <xdr:rowOff>28575</xdr:rowOff>
    </xdr:from>
    <xdr:to>
      <xdr:col>45</xdr:col>
      <xdr:colOff>291194</xdr:colOff>
      <xdr:row>4</xdr:row>
      <xdr:rowOff>43543</xdr:rowOff>
    </xdr:to>
    <xdr:sp macro="[1]!Filtre_tournée_24" textlink="">
      <xdr:nvSpPr>
        <xdr:cNvPr id="45" name="19">
          <a:extLst>
            <a:ext uri="{FF2B5EF4-FFF2-40B4-BE49-F238E27FC236}">
              <a16:creationId xmlns:a16="http://schemas.microsoft.com/office/drawing/2014/main" id="{68C97A93-30C9-472F-B60D-EDC429F98D94}"/>
            </a:ext>
          </a:extLst>
        </xdr:cNvPr>
        <xdr:cNvSpPr/>
      </xdr:nvSpPr>
      <xdr:spPr>
        <a:xfrm>
          <a:off x="37014150" y="2359025"/>
          <a:ext cx="0" cy="205468"/>
        </a:xfrm>
        <a:prstGeom prst="downArrow">
          <a:avLst/>
        </a:prstGeom>
        <a:solidFill>
          <a:schemeClr val="accent2"/>
        </a:solidFill>
        <a:ln>
          <a:solidFill>
            <a:schemeClr val="tx1"/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46</xdr:col>
      <xdr:colOff>103416</xdr:colOff>
      <xdr:row>3</xdr:row>
      <xdr:rowOff>28575</xdr:rowOff>
    </xdr:from>
    <xdr:to>
      <xdr:col>46</xdr:col>
      <xdr:colOff>291194</xdr:colOff>
      <xdr:row>4</xdr:row>
      <xdr:rowOff>43543</xdr:rowOff>
    </xdr:to>
    <xdr:sp macro="[1]!Filtre_tournée_25" textlink="">
      <xdr:nvSpPr>
        <xdr:cNvPr id="46" name="19">
          <a:extLst>
            <a:ext uri="{FF2B5EF4-FFF2-40B4-BE49-F238E27FC236}">
              <a16:creationId xmlns:a16="http://schemas.microsoft.com/office/drawing/2014/main" id="{E9EE6BEB-7C4A-48B2-9E41-E586CF49F80D}"/>
            </a:ext>
          </a:extLst>
        </xdr:cNvPr>
        <xdr:cNvSpPr/>
      </xdr:nvSpPr>
      <xdr:spPr>
        <a:xfrm>
          <a:off x="37014150" y="2359025"/>
          <a:ext cx="0" cy="205468"/>
        </a:xfrm>
        <a:prstGeom prst="downArrow">
          <a:avLst/>
        </a:prstGeom>
        <a:solidFill>
          <a:schemeClr val="accent2"/>
        </a:solidFill>
        <a:ln>
          <a:solidFill>
            <a:schemeClr val="tx1"/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47</xdr:col>
      <xdr:colOff>103416</xdr:colOff>
      <xdr:row>3</xdr:row>
      <xdr:rowOff>28575</xdr:rowOff>
    </xdr:from>
    <xdr:to>
      <xdr:col>47</xdr:col>
      <xdr:colOff>291194</xdr:colOff>
      <xdr:row>4</xdr:row>
      <xdr:rowOff>43543</xdr:rowOff>
    </xdr:to>
    <xdr:sp macro="[1]!Filtre_tournée_26" textlink="">
      <xdr:nvSpPr>
        <xdr:cNvPr id="47" name="19">
          <a:extLst>
            <a:ext uri="{FF2B5EF4-FFF2-40B4-BE49-F238E27FC236}">
              <a16:creationId xmlns:a16="http://schemas.microsoft.com/office/drawing/2014/main" id="{7346C572-BABF-48C8-B27D-D324362DBC24}"/>
            </a:ext>
          </a:extLst>
        </xdr:cNvPr>
        <xdr:cNvSpPr/>
      </xdr:nvSpPr>
      <xdr:spPr>
        <a:xfrm>
          <a:off x="37014150" y="2359025"/>
          <a:ext cx="0" cy="205468"/>
        </a:xfrm>
        <a:prstGeom prst="downArrow">
          <a:avLst/>
        </a:prstGeom>
        <a:solidFill>
          <a:schemeClr val="accent2"/>
        </a:solidFill>
        <a:ln>
          <a:solidFill>
            <a:schemeClr val="tx1"/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48</xdr:col>
      <xdr:colOff>103416</xdr:colOff>
      <xdr:row>3</xdr:row>
      <xdr:rowOff>28575</xdr:rowOff>
    </xdr:from>
    <xdr:to>
      <xdr:col>48</xdr:col>
      <xdr:colOff>291194</xdr:colOff>
      <xdr:row>4</xdr:row>
      <xdr:rowOff>43543</xdr:rowOff>
    </xdr:to>
    <xdr:sp macro="[1]!Filtre_tournée_27" textlink="">
      <xdr:nvSpPr>
        <xdr:cNvPr id="48" name="19">
          <a:extLst>
            <a:ext uri="{FF2B5EF4-FFF2-40B4-BE49-F238E27FC236}">
              <a16:creationId xmlns:a16="http://schemas.microsoft.com/office/drawing/2014/main" id="{D86B7B39-9023-45FC-B9C6-F0D86B228C2B}"/>
            </a:ext>
          </a:extLst>
        </xdr:cNvPr>
        <xdr:cNvSpPr/>
      </xdr:nvSpPr>
      <xdr:spPr>
        <a:xfrm>
          <a:off x="37014150" y="2359025"/>
          <a:ext cx="0" cy="205468"/>
        </a:xfrm>
        <a:prstGeom prst="downArrow">
          <a:avLst/>
        </a:prstGeom>
        <a:solidFill>
          <a:schemeClr val="accent2"/>
        </a:solidFill>
        <a:ln>
          <a:solidFill>
            <a:schemeClr val="tx1"/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49</xdr:col>
      <xdr:colOff>103416</xdr:colOff>
      <xdr:row>3</xdr:row>
      <xdr:rowOff>28575</xdr:rowOff>
    </xdr:from>
    <xdr:to>
      <xdr:col>49</xdr:col>
      <xdr:colOff>291194</xdr:colOff>
      <xdr:row>4</xdr:row>
      <xdr:rowOff>43543</xdr:rowOff>
    </xdr:to>
    <xdr:sp macro="[1]!Filtre_tournée_28" textlink="">
      <xdr:nvSpPr>
        <xdr:cNvPr id="49" name="19">
          <a:extLst>
            <a:ext uri="{FF2B5EF4-FFF2-40B4-BE49-F238E27FC236}">
              <a16:creationId xmlns:a16="http://schemas.microsoft.com/office/drawing/2014/main" id="{10A2A639-9EF6-4671-8D68-F3696CD3D88C}"/>
            </a:ext>
          </a:extLst>
        </xdr:cNvPr>
        <xdr:cNvSpPr/>
      </xdr:nvSpPr>
      <xdr:spPr>
        <a:xfrm>
          <a:off x="37014150" y="2359025"/>
          <a:ext cx="0" cy="205468"/>
        </a:xfrm>
        <a:prstGeom prst="downArrow">
          <a:avLst/>
        </a:prstGeom>
        <a:solidFill>
          <a:schemeClr val="accent2"/>
        </a:solidFill>
        <a:ln>
          <a:solidFill>
            <a:schemeClr val="tx1"/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50</xdr:col>
      <xdr:colOff>103416</xdr:colOff>
      <xdr:row>3</xdr:row>
      <xdr:rowOff>28575</xdr:rowOff>
    </xdr:from>
    <xdr:to>
      <xdr:col>50</xdr:col>
      <xdr:colOff>291194</xdr:colOff>
      <xdr:row>4</xdr:row>
      <xdr:rowOff>43543</xdr:rowOff>
    </xdr:to>
    <xdr:sp macro="[1]!Filtre_tournée_29" textlink="">
      <xdr:nvSpPr>
        <xdr:cNvPr id="50" name="19">
          <a:extLst>
            <a:ext uri="{FF2B5EF4-FFF2-40B4-BE49-F238E27FC236}">
              <a16:creationId xmlns:a16="http://schemas.microsoft.com/office/drawing/2014/main" id="{D8113734-02A8-43F0-873F-E76D55217319}"/>
            </a:ext>
          </a:extLst>
        </xdr:cNvPr>
        <xdr:cNvSpPr/>
      </xdr:nvSpPr>
      <xdr:spPr>
        <a:xfrm>
          <a:off x="37014150" y="2359025"/>
          <a:ext cx="0" cy="205468"/>
        </a:xfrm>
        <a:prstGeom prst="downArrow">
          <a:avLst/>
        </a:prstGeom>
        <a:solidFill>
          <a:schemeClr val="accent2"/>
        </a:solidFill>
        <a:ln>
          <a:solidFill>
            <a:schemeClr val="tx1"/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1</xdr:col>
      <xdr:colOff>5048250</xdr:colOff>
      <xdr:row>2</xdr:row>
      <xdr:rowOff>66675</xdr:rowOff>
    </xdr:from>
    <xdr:to>
      <xdr:col>1</xdr:col>
      <xdr:colOff>6181725</xdr:colOff>
      <xdr:row>2</xdr:row>
      <xdr:rowOff>438150</xdr:rowOff>
    </xdr:to>
    <xdr:sp macro="[1]!ExporterCRMetro" textlink="">
      <xdr:nvSpPr>
        <xdr:cNvPr id="51" name="Rectangle 50">
          <a:extLst>
            <a:ext uri="{FF2B5EF4-FFF2-40B4-BE49-F238E27FC236}">
              <a16:creationId xmlns:a16="http://schemas.microsoft.com/office/drawing/2014/main" id="{F64EC9BE-9590-46C6-9621-24A09AF0EC9F}"/>
            </a:ext>
          </a:extLst>
        </xdr:cNvPr>
        <xdr:cNvSpPr/>
      </xdr:nvSpPr>
      <xdr:spPr>
        <a:xfrm>
          <a:off x="5099050" y="638175"/>
          <a:ext cx="1133475" cy="371475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100" kern="1200"/>
            <a:t>Export CR Metro</a:t>
          </a:r>
        </a:p>
      </xdr:txBody>
    </xdr:sp>
    <xdr:clientData/>
  </xdr:twoCellAnchor>
  <xdr:twoCellAnchor>
    <xdr:from>
      <xdr:col>26</xdr:col>
      <xdr:colOff>269307</xdr:colOff>
      <xdr:row>2</xdr:row>
      <xdr:rowOff>32838</xdr:rowOff>
    </xdr:from>
    <xdr:to>
      <xdr:col>45</xdr:col>
      <xdr:colOff>35943</xdr:colOff>
      <xdr:row>2</xdr:row>
      <xdr:rowOff>215662</xdr:rowOff>
    </xdr:to>
    <xdr:sp macro="[1]!Filtres_RAZ" textlink="">
      <xdr:nvSpPr>
        <xdr:cNvPr id="52" name="Bouton_Infos">
          <a:extLst>
            <a:ext uri="{FF2B5EF4-FFF2-40B4-BE49-F238E27FC236}">
              <a16:creationId xmlns:a16="http://schemas.microsoft.com/office/drawing/2014/main" id="{E2E9E20F-1360-4D64-96AE-D89C692FEF9E}"/>
            </a:ext>
          </a:extLst>
        </xdr:cNvPr>
        <xdr:cNvSpPr/>
      </xdr:nvSpPr>
      <xdr:spPr>
        <a:xfrm>
          <a:off x="31187457" y="604338"/>
          <a:ext cx="5826693" cy="182824"/>
        </a:xfrm>
        <a:prstGeom prst="snip2DiagRect">
          <a:avLst>
            <a:gd name="adj1" fmla="val 50000"/>
            <a:gd name="adj2" fmla="val 16667"/>
          </a:avLst>
        </a:prstGeom>
        <a:solidFill>
          <a:schemeClr val="tx1"/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indent="0" algn="ctr"/>
          <a:r>
            <a:rPr lang="fr-FR" sz="1100">
              <a:solidFill>
                <a:schemeClr val="lt1">
                  <a:lumMod val="100000"/>
                </a:schemeClr>
              </a:solidFill>
              <a:latin typeface="+mn-lt"/>
              <a:ea typeface="+mn-ea"/>
              <a:cs typeface="+mn-cs"/>
            </a:rPr>
            <a:t>Afficher tous</a:t>
          </a:r>
          <a:r>
            <a:rPr lang="fr-FR" sz="1100" baseline="0">
              <a:solidFill>
                <a:schemeClr val="lt1">
                  <a:lumMod val="100000"/>
                </a:schemeClr>
              </a:solidFill>
              <a:latin typeface="+mn-lt"/>
              <a:ea typeface="+mn-ea"/>
              <a:cs typeface="+mn-cs"/>
            </a:rPr>
            <a:t> les PAV</a:t>
          </a:r>
          <a:endParaRPr lang="fr-FR" sz="1100">
            <a:solidFill>
              <a:schemeClr val="lt1">
                <a:lumMod val="100000"/>
              </a:schemeClr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5050946</xdr:colOff>
      <xdr:row>2</xdr:row>
      <xdr:rowOff>512374</xdr:rowOff>
    </xdr:from>
    <xdr:to>
      <xdr:col>1</xdr:col>
      <xdr:colOff>6184421</xdr:colOff>
      <xdr:row>2</xdr:row>
      <xdr:rowOff>883849</xdr:rowOff>
    </xdr:to>
    <xdr:sp macro="[1]!Export_KML.Export_KML" textlink="">
      <xdr:nvSpPr>
        <xdr:cNvPr id="53" name="Rectangle 52">
          <a:extLst>
            <a:ext uri="{FF2B5EF4-FFF2-40B4-BE49-F238E27FC236}">
              <a16:creationId xmlns:a16="http://schemas.microsoft.com/office/drawing/2014/main" id="{4E37640D-F545-4029-8CEB-7BCFB37459E2}"/>
            </a:ext>
          </a:extLst>
        </xdr:cNvPr>
        <xdr:cNvSpPr/>
      </xdr:nvSpPr>
      <xdr:spPr>
        <a:xfrm>
          <a:off x="5101746" y="1083874"/>
          <a:ext cx="1133475" cy="371475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100" kern="1200"/>
            <a:t>Export KML</a:t>
          </a:r>
        </a:p>
      </xdr:txBody>
    </xdr:sp>
    <xdr:clientData/>
  </xdr:twoCellAnchor>
  <xdr:twoCellAnchor>
    <xdr:from>
      <xdr:col>1</xdr:col>
      <xdr:colOff>4726555</xdr:colOff>
      <xdr:row>2</xdr:row>
      <xdr:rowOff>1249035</xdr:rowOff>
    </xdr:from>
    <xdr:to>
      <xdr:col>1</xdr:col>
      <xdr:colOff>5878555</xdr:colOff>
      <xdr:row>2</xdr:row>
      <xdr:rowOff>1751238</xdr:rowOff>
    </xdr:to>
    <xdr:sp macro="Masquer_tournées" textlink="">
      <xdr:nvSpPr>
        <xdr:cNvPr id="54" name="Bouton_Tournées">
          <a:extLst>
            <a:ext uri="{FF2B5EF4-FFF2-40B4-BE49-F238E27FC236}">
              <a16:creationId xmlns:a16="http://schemas.microsoft.com/office/drawing/2014/main" id="{C00599AB-EFB1-433D-BB1F-B1204E07FFED}"/>
            </a:ext>
          </a:extLst>
        </xdr:cNvPr>
        <xdr:cNvSpPr/>
      </xdr:nvSpPr>
      <xdr:spPr>
        <a:xfrm>
          <a:off x="4777355" y="1820535"/>
          <a:ext cx="1152000" cy="502203"/>
        </a:xfrm>
        <a:prstGeom prst="round2SameRect">
          <a:avLst/>
        </a:prstGeom>
        <a:solidFill>
          <a:schemeClr val="accent2">
            <a:lumMod val="50000"/>
          </a:schemeClr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indent="0" algn="ctr"/>
          <a:r>
            <a:rPr lang="fr-FR" sz="1100">
              <a:solidFill>
                <a:schemeClr val="lt1">
                  <a:lumMod val="100000"/>
                </a:schemeClr>
              </a:solidFill>
              <a:latin typeface="+mn-lt"/>
              <a:ea typeface="+mn-ea"/>
              <a:cs typeface="+mn-cs"/>
            </a:rPr>
            <a:t>Masquer les tournées</a:t>
          </a:r>
        </a:p>
      </xdr:txBody>
    </xdr:sp>
    <xdr:clientData/>
  </xdr:twoCellAnchor>
  <xdr:twoCellAnchor>
    <xdr:from>
      <xdr:col>487</xdr:col>
      <xdr:colOff>44904</xdr:colOff>
      <xdr:row>3</xdr:row>
      <xdr:rowOff>9524</xdr:rowOff>
    </xdr:from>
    <xdr:to>
      <xdr:col>487</xdr:col>
      <xdr:colOff>1196904</xdr:colOff>
      <xdr:row>4</xdr:row>
      <xdr:rowOff>323024</xdr:rowOff>
    </xdr:to>
    <xdr:sp macro="Afficher_remplissage" textlink="">
      <xdr:nvSpPr>
        <xdr:cNvPr id="55" name="Bouton_Remplissage">
          <a:extLst>
            <a:ext uri="{FF2B5EF4-FFF2-40B4-BE49-F238E27FC236}">
              <a16:creationId xmlns:a16="http://schemas.microsoft.com/office/drawing/2014/main" id="{1F24F3C9-0799-466F-8D33-BF9440123770}"/>
            </a:ext>
          </a:extLst>
        </xdr:cNvPr>
        <xdr:cNvSpPr/>
      </xdr:nvSpPr>
      <xdr:spPr>
        <a:xfrm>
          <a:off x="40056254" y="2339974"/>
          <a:ext cx="1152000" cy="504000"/>
        </a:xfrm>
        <a:prstGeom prst="round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100">
              <a:solidFill>
                <a:schemeClr val="lt1">
                  <a:lumMod val="100000"/>
                </a:schemeClr>
              </a:solidFill>
              <a:latin typeface="+mn-lt"/>
              <a:ea typeface="+mn-ea"/>
              <a:cs typeface="+mn-cs"/>
            </a:rPr>
            <a:t>Afficher taux de remplissage</a:t>
          </a:r>
        </a:p>
      </xdr:txBody>
    </xdr:sp>
    <xdr:clientData/>
  </xdr:twoCellAnchor>
  <xdr:twoCellAnchor>
    <xdr:from>
      <xdr:col>1</xdr:col>
      <xdr:colOff>50292</xdr:colOff>
      <xdr:row>4</xdr:row>
      <xdr:rowOff>171687</xdr:rowOff>
    </xdr:from>
    <xdr:to>
      <xdr:col>1</xdr:col>
      <xdr:colOff>4658292</xdr:colOff>
      <xdr:row>4</xdr:row>
      <xdr:rowOff>354511</xdr:rowOff>
    </xdr:to>
    <xdr:sp macro="[1]!Filtres_RAZ" textlink="">
      <xdr:nvSpPr>
        <xdr:cNvPr id="56" name="Bouton_Infos">
          <a:extLst>
            <a:ext uri="{FF2B5EF4-FFF2-40B4-BE49-F238E27FC236}">
              <a16:creationId xmlns:a16="http://schemas.microsoft.com/office/drawing/2014/main" id="{A7B67C8E-BE41-4D03-BDEF-F28525A565DB}"/>
            </a:ext>
          </a:extLst>
        </xdr:cNvPr>
        <xdr:cNvSpPr/>
      </xdr:nvSpPr>
      <xdr:spPr>
        <a:xfrm>
          <a:off x="101092" y="2692637"/>
          <a:ext cx="4608000" cy="182824"/>
        </a:xfrm>
        <a:prstGeom prst="snip2DiagRect">
          <a:avLst>
            <a:gd name="adj1" fmla="val 50000"/>
            <a:gd name="adj2" fmla="val 16667"/>
          </a:avLst>
        </a:prstGeom>
        <a:solidFill>
          <a:schemeClr val="tx1"/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indent="0" algn="ctr"/>
          <a:r>
            <a:rPr lang="fr-FR" sz="1050">
              <a:solidFill>
                <a:schemeClr val="lt1">
                  <a:lumMod val="100000"/>
                </a:schemeClr>
              </a:solidFill>
              <a:latin typeface="+mn-lt"/>
              <a:ea typeface="+mn-ea"/>
              <a:cs typeface="+mn-cs"/>
            </a:rPr>
            <a:t>Afficher tous</a:t>
          </a:r>
          <a:r>
            <a:rPr lang="fr-FR" sz="1050" baseline="0">
              <a:solidFill>
                <a:schemeClr val="lt1">
                  <a:lumMod val="100000"/>
                </a:schemeClr>
              </a:solidFill>
              <a:latin typeface="+mn-lt"/>
              <a:ea typeface="+mn-ea"/>
              <a:cs typeface="+mn-cs"/>
            </a:rPr>
            <a:t> les PAV</a:t>
          </a:r>
          <a:endParaRPr lang="fr-FR" sz="1050">
            <a:solidFill>
              <a:schemeClr val="lt1">
                <a:lumMod val="100000"/>
              </a:schemeClr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ulie\Downloads\Dashboard.xlsm" TargetMode="External"/><Relationship Id="rId1" Type="http://schemas.openxmlformats.org/officeDocument/2006/relationships/externalLinkPath" Target="Dashboard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urnéesCAV"/>
      <sheetName val="TournéesASS"/>
      <sheetName val="SaisiesT"/>
      <sheetName val="SortiesT"/>
      <sheetName val="StockT"/>
      <sheetName val="SaisiesP"/>
      <sheetName val="SortiesP"/>
      <sheetName val="StockP"/>
      <sheetName val="Annuel"/>
      <sheetName val="Sortants"/>
      <sheetName val="R_P&amp;C"/>
      <sheetName val="R_Tx"/>
      <sheetName val="M1"/>
      <sheetName val="M2"/>
      <sheetName val="M3"/>
      <sheetName val="M4"/>
      <sheetName val="M5"/>
      <sheetName val="MANO"/>
      <sheetName val="Todo"/>
      <sheetName val="PB"/>
    </sheetNames>
    <definedNames>
      <definedName name="Export_KML.Export_KML"/>
      <definedName name="ExporterCRMetro"/>
      <definedName name="Filtre_tournée_1"/>
      <definedName name="Filtre_tournée_10"/>
      <definedName name="Filtre_tournée_11"/>
      <definedName name="Filtre_tournée_12"/>
      <definedName name="Filtre_tournée_13"/>
      <definedName name="Filtre_tournée_14"/>
      <definedName name="Filtre_tournée_15"/>
      <definedName name="Filtre_tournée_16"/>
      <definedName name="Filtre_tournée_17"/>
      <definedName name="Filtre_tournée_18"/>
      <definedName name="Filtre_tournée_19"/>
      <definedName name="Filtre_tournée_2"/>
      <definedName name="Filtre_tournée_20"/>
      <definedName name="Filtre_tournée_21"/>
      <definedName name="Filtre_tournée_22"/>
      <definedName name="Filtre_tournée_23"/>
      <definedName name="Filtre_tournée_24"/>
      <definedName name="Filtre_tournée_25"/>
      <definedName name="Filtre_tournée_26"/>
      <definedName name="Filtre_tournée_27"/>
      <definedName name="Filtre_tournée_28"/>
      <definedName name="Filtre_tournée_29"/>
      <definedName name="Filtre_tournée_3"/>
      <definedName name="Filtre_tournée_4"/>
      <definedName name="Filtre_tournée_5"/>
      <definedName name="Filtre_tournée_6"/>
      <definedName name="Filtre_tournée_7"/>
      <definedName name="Filtre_tournée_8"/>
      <definedName name="Filtre_tournée_9"/>
      <definedName name="Filtres_RAZ"/>
      <definedName name="Focus_aout"/>
      <definedName name="Focus_avril"/>
      <definedName name="Focus_decembre"/>
      <definedName name="Focus_fevrier"/>
      <definedName name="Focus_janvier"/>
      <definedName name="Focus_juillet"/>
      <definedName name="Focus_juin"/>
      <definedName name="Focus_mai"/>
      <definedName name="Focus_mars"/>
      <definedName name="Focus_novembre"/>
      <definedName name="Focus_octobre"/>
      <definedName name="Focus_RAZ"/>
      <definedName name="Focus_RIEN"/>
      <definedName name="Focus_septembre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133471-54A4-47E0-B428-0A9A55AA9D29}" name="CAV_Totaux_Sectoriels" displayName="CAV_Totaux_Sectoriels" ref="PC220:RS243" totalsRowShown="0" headerRowDxfId="71" headerRowBorderDxfId="69" tableBorderDxfId="70" headerRowCellStyle="Pourcentage">
  <autoFilter ref="PC220:RS243" xr:uid="{D43C7F7A-8ACD-4CD5-A03A-28F2FF2B2A45}"/>
  <tableColumns count="69">
    <tableColumn id="1" xr3:uid="{741F921D-0ADB-4A8A-BFC8-1411E532FE10}" name="Colonne1" dataDxfId="68"/>
    <tableColumn id="2" xr3:uid="{0BB2DE76-5892-4620-B8C3-B6DDA99C901F}" name="Colonne2" dataDxfId="67"/>
    <tableColumn id="3" xr3:uid="{8AC68FEC-3D69-4742-97AF-9C77F8D2CAA7}" name="Colonne3" dataDxfId="66"/>
    <tableColumn id="4" xr3:uid="{D6707E85-848F-4DF8-B554-417AB4E25E68}" name="Colonne4" dataDxfId="65"/>
    <tableColumn id="5" xr3:uid="{47542806-E7DD-4441-9362-231396D4C6C2}" name="Colonne5" dataDxfId="64"/>
    <tableColumn id="6" xr3:uid="{599D868A-F116-496C-95A3-997073DC7214}" name="Colonne6" dataDxfId="63"/>
    <tableColumn id="7" xr3:uid="{AF677266-0756-4E38-B999-CC27095CA580}" name="Colonne7" dataDxfId="62"/>
    <tableColumn id="8" xr3:uid="{EEF32D3D-FBE2-41B6-8A9A-B808004C1D01}" name="Colonne8" dataDxfId="61"/>
    <tableColumn id="9" xr3:uid="{11CD87D5-3562-492A-A109-2B0E14C395F9}" name="Colonne9" dataDxfId="60"/>
    <tableColumn id="10" xr3:uid="{5434B551-EF21-4D88-8C0F-696BF2813FD7}" name="Colonne10" dataDxfId="59"/>
    <tableColumn id="11" xr3:uid="{1523DDE5-A010-428F-98F5-17A1162A375E}" name="Colonne11" dataDxfId="58"/>
    <tableColumn id="12" xr3:uid="{EA632D1E-6882-4044-BA9E-AF00E7BAABA1}" name="Colonne12" dataDxfId="57"/>
    <tableColumn id="13" xr3:uid="{D7D57BBB-388F-4595-943B-CA5573DFEAD7}" name="Colonne13" dataDxfId="56"/>
    <tableColumn id="14" xr3:uid="{05A4133E-2CCD-4CFD-8E52-26B87A6C2CF4}" name="Colonne14" dataDxfId="55"/>
    <tableColumn id="15" xr3:uid="{918AC7E5-31A7-4A9D-8F21-533CD5C13A3A}" name="Colonne15" dataDxfId="54"/>
    <tableColumn id="16" xr3:uid="{C78DA852-4B66-45CE-87CB-2F1946F8C1B3}" name="Colonne16" dataDxfId="53"/>
    <tableColumn id="17" xr3:uid="{BA46880A-A423-479D-9862-7AB28F837F98}" name="Colonne17" dataDxfId="52"/>
    <tableColumn id="18" xr3:uid="{8F1D44B6-0D6E-44CE-A26B-13B13752FC5C}" name="Colonne18" dataDxfId="51"/>
    <tableColumn id="19" xr3:uid="{D5AD5765-D0FD-4DB7-BACE-3FBF110D288C}" name="Colonne19" dataDxfId="50"/>
    <tableColumn id="20" xr3:uid="{2E0048C2-C3E8-4BA4-9855-3E483D2B0CAA}" name="Colonne20" dataDxfId="49"/>
    <tableColumn id="21" xr3:uid="{19EBD7CE-ECEC-4F9D-955D-0FE0B5B336C8}" name="Colonne21" dataDxfId="48"/>
    <tableColumn id="22" xr3:uid="{77015F18-EE80-45E5-B54C-134EE5A21A8E}" name="Colonne22" dataDxfId="47"/>
    <tableColumn id="23" xr3:uid="{079DF150-BA1D-4166-913C-E0011D035EE3}" name="Critère" dataDxfId="46"/>
    <tableColumn id="24" xr3:uid="{1CCB3131-9927-4705-9DF0-F0AD32F988DB}" name="Janvier E" dataDxfId="45"/>
    <tableColumn id="25" xr3:uid="{BDFBF4AF-E81C-4A87-A3D0-2C25F8006FBC}" name="Janvier %" dataDxfId="44" dataCellStyle="Pourcentage"/>
    <tableColumn id="26" xr3:uid="{B14CC377-B93B-47EF-BC2D-DCBC1E5F7A92}" name="Janvier R" dataDxfId="43"/>
    <tableColumn id="27" xr3:uid="{4635A718-3923-4A1E-9A75-5D07E05D86BE}" name="Février E" dataDxfId="42"/>
    <tableColumn id="28" xr3:uid="{79952539-E621-413B-9353-D3065252EC23}" name="Février %" dataDxfId="41" dataCellStyle="Pourcentage"/>
    <tableColumn id="29" xr3:uid="{493DA9B3-9FC0-489C-859D-A0910E3216D9}" name="Février R" dataDxfId="40"/>
    <tableColumn id="30" xr3:uid="{9CC57028-FA6E-4BC2-BD99-0380A2C80C1A}" name="Mars A" dataDxfId="39"/>
    <tableColumn id="31" xr3:uid="{61AABA73-AB84-48C7-A44B-B5E405B22A53}" name="Mars %" dataDxfId="38" dataCellStyle="Pourcentage"/>
    <tableColumn id="32" xr3:uid="{CA05E130-2F30-4187-8ECB-86BECCECA1D7}" name="Mars R" dataDxfId="37"/>
    <tableColumn id="33" xr3:uid="{49EA86AA-6ADB-4D2D-BE88-32CC18191108}" name="Avril E" dataDxfId="36"/>
    <tableColumn id="34" xr3:uid="{7B557F31-ED08-48E6-B5CA-2332D9F2EBC5}" name="Avril %" dataDxfId="35" dataCellStyle="Pourcentage"/>
    <tableColumn id="35" xr3:uid="{38611A8F-979C-4871-9D85-3F4F82202556}" name="Avril R" dataDxfId="34"/>
    <tableColumn id="36" xr3:uid="{7D0F5F47-A4B8-4B97-90EA-A486C9AFF3D8}" name="Mai E" dataDxfId="33"/>
    <tableColumn id="37" xr3:uid="{22D502A4-1AAA-47E4-A5F8-4AA984A36875}" name="Mai %" dataDxfId="32" dataCellStyle="Pourcentage"/>
    <tableColumn id="38" xr3:uid="{AFD0B4E5-DF3B-4D1E-B2B3-A5B3567637C5}" name="Mai R" dataDxfId="31"/>
    <tableColumn id="39" xr3:uid="{9C06E7FF-2F3F-4EAC-9A6D-1148329AA96D}" name="Juin E" dataDxfId="30"/>
    <tableColumn id="40" xr3:uid="{FF949F8D-B61A-4761-9F10-90D9BA262141}" name="Juin %" dataDxfId="29" dataCellStyle="Pourcentage"/>
    <tableColumn id="41" xr3:uid="{5409E510-0457-4FBB-A318-DD22FFA70CAA}" name="Juin R" dataDxfId="28"/>
    <tableColumn id="42" xr3:uid="{6FFAA21A-3360-4D86-96E8-808C482E755A}" name="Juillet E" dataDxfId="27"/>
    <tableColumn id="43" xr3:uid="{044773A4-E00E-4654-8882-BEC9DF7BFE66}" name="Juillet %" dataDxfId="26" dataCellStyle="Pourcentage"/>
    <tableColumn id="44" xr3:uid="{8F79E8FD-74F4-40E5-8602-B6CB72DB9B2F}" name="Juillet R" dataDxfId="25"/>
    <tableColumn id="45" xr3:uid="{05289015-5F5B-4357-8053-60F533927527}" name="Août E" dataDxfId="24"/>
    <tableColumn id="46" xr3:uid="{C16BFF3E-1BF1-4DF4-9BB8-FA88D1CB52F0}" name="Août %" dataDxfId="23" dataCellStyle="Pourcentage"/>
    <tableColumn id="47" xr3:uid="{9F502D2E-F8F5-47E2-B0C1-6313C1C902EE}" name="Août R" dataDxfId="22"/>
    <tableColumn id="48" xr3:uid="{30FF4E14-4ECC-4A99-BCA0-98B3C5A7D52D}" name="Septembre E" dataDxfId="21"/>
    <tableColumn id="49" xr3:uid="{B303795D-6B99-425B-9A57-D8CA70C0C896}" name="Septembre %" dataDxfId="20" dataCellStyle="Pourcentage"/>
    <tableColumn id="50" xr3:uid="{1D6B27F3-1E63-4A62-853D-BD8BCF5DBBC6}" name="Septembre R" dataDxfId="19"/>
    <tableColumn id="51" xr3:uid="{E9D1A14C-0D50-4EC2-B6D9-1EF02B5A7455}" name="Octobre E" dataDxfId="18"/>
    <tableColumn id="52" xr3:uid="{7CD20EBA-552B-47FA-ABB0-46D30216DED7}" name="Octobre %" dataDxfId="17" dataCellStyle="Pourcentage"/>
    <tableColumn id="53" xr3:uid="{E7CBC94C-551B-4038-82BD-A09270D2D3B7}" name="Octobre R" dataDxfId="16"/>
    <tableColumn id="54" xr3:uid="{196ECE27-F724-4C5C-B90B-47F014E34F10}" name="Novembre E" dataDxfId="15"/>
    <tableColumn id="55" xr3:uid="{81BC5415-6618-417D-AE87-0B2DAE9BFE8F}" name="Novembre %" dataDxfId="14" dataCellStyle="Pourcentage"/>
    <tableColumn id="56" xr3:uid="{D3FFC37A-CDC3-46F7-85CD-9FA31AB8ABA0}" name="Novembre R" dataDxfId="13"/>
    <tableColumn id="57" xr3:uid="{603911ED-8DF2-4111-B9DE-5070C631ED33}" name="Décembre E" dataDxfId="12"/>
    <tableColumn id="58" xr3:uid="{F6C0EBBF-1451-40C3-AEE7-44C6A05EEFCB}" name="Décembre %" dataDxfId="11" dataCellStyle="Pourcentage"/>
    <tableColumn id="59" xr3:uid="{ADCC2E22-B21A-4C6C-B234-4C60EE4B5C39}" name="Décembre R" dataDxfId="10"/>
    <tableColumn id="60" xr3:uid="{3F317CD8-67A9-4776-8E40-71EBEDBB03F9}" name="T1 E" dataDxfId="9"/>
    <tableColumn id="61" xr3:uid="{EF0885A0-AC59-4EC0-800B-543F369312FB}" name="T1 R" dataDxfId="8" dataCellStyle="Pourcentage"/>
    <tableColumn id="62" xr3:uid="{2151D13B-DD1F-4450-9285-AA12E2196B43}" name="T2 E" dataDxfId="7"/>
    <tableColumn id="63" xr3:uid="{8EF5A1B4-E3B0-44DD-B872-D3C44B57F876}" name="T2 R" dataDxfId="6" dataCellStyle="Pourcentage"/>
    <tableColumn id="64" xr3:uid="{F4D354B6-21AA-4B2A-8659-2122CF6EABDE}" name="T3 E" dataDxfId="5"/>
    <tableColumn id="65" xr3:uid="{EFEB96E0-BDBA-4AC9-B8E6-56401402C8F8}" name="T3 R" dataDxfId="4" dataCellStyle="Pourcentage"/>
    <tableColumn id="66" xr3:uid="{EC72FE0D-5B06-44B9-9C04-9CA158376F0D}" name="T4 E" dataDxfId="3"/>
    <tableColumn id="67" xr3:uid="{9027AFD9-0B0F-40C7-B74A-DE3F0A131AE3}" name="T4 R" dataDxfId="2" dataCellStyle="Pourcentage"/>
    <tableColumn id="68" xr3:uid="{5F912BAC-4E60-4303-8CDE-12C9E1E00B6E}" name="Annuel E" dataDxfId="1"/>
    <tableColumn id="69" xr3:uid="{4E610003-7C5A-4C52-A707-539E04788D2B}" name="Annuel R" dataDxfId="0" dataCellStyle="Pourcentag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AE607-652D-4575-AFEC-FF302A287B5A}">
  <sheetPr codeName="Feuil1" filterMode="1">
    <tabColor theme="7"/>
    <pageSetUpPr fitToPage="1"/>
  </sheetPr>
  <dimension ref="A1:RZ244"/>
  <sheetViews>
    <sheetView showGridLines="0" tabSelected="1" zoomScale="84" zoomScaleNormal="106" zoomScaleSheetLayoutView="100" workbookViewId="0">
      <pane ySplit="5" topLeftCell="A167" activePane="bottomLeft" state="frozen"/>
      <selection pane="bottomLeft" activeCell="C1" sqref="C1"/>
    </sheetView>
  </sheetViews>
  <sheetFormatPr baseColWidth="10" defaultColWidth="57.1796875" defaultRowHeight="14.5" customHeight="1" zeroHeight="1" x14ac:dyDescent="0.35"/>
  <cols>
    <col min="1" max="1" width="0.7265625" style="1" customWidth="1"/>
    <col min="2" max="2" width="94.26953125" bestFit="1" customWidth="1"/>
    <col min="3" max="10" width="4.54296875" customWidth="1"/>
    <col min="11" max="11" width="5.453125" customWidth="1"/>
    <col min="12" max="12" width="5.453125" style="29" customWidth="1"/>
    <col min="13" max="13" width="54.453125" customWidth="1"/>
    <col min="14" max="14" width="48.26953125" customWidth="1"/>
    <col min="15" max="15" width="12.7265625" customWidth="1"/>
    <col min="16" max="16" width="31.26953125" customWidth="1"/>
    <col min="17" max="17" width="24.7265625" customWidth="1"/>
    <col min="18" max="18" width="26.1796875" customWidth="1"/>
    <col min="19" max="19" width="26.54296875" customWidth="1"/>
    <col min="20" max="20" width="17.26953125" customWidth="1"/>
    <col min="21" max="21" width="18.26953125" customWidth="1"/>
    <col min="22" max="22" width="18.81640625" customWidth="1"/>
    <col min="23" max="42" width="5.453125" customWidth="1"/>
    <col min="43" max="48" width="5.453125" hidden="1" customWidth="1"/>
    <col min="49" max="49" width="5.54296875" hidden="1" customWidth="1"/>
    <col min="50" max="50" width="5.453125" hidden="1" customWidth="1"/>
    <col min="51" max="51" width="5.453125" style="1" hidden="1" customWidth="1"/>
    <col min="52" max="52" width="4.453125" style="1" hidden="1" customWidth="1"/>
    <col min="53" max="233" width="4.453125" hidden="1" customWidth="1"/>
    <col min="234" max="234" width="4.54296875" hidden="1" customWidth="1"/>
    <col min="235" max="418" width="4.453125" hidden="1" customWidth="1"/>
    <col min="419" max="419" width="21.453125" customWidth="1"/>
    <col min="420" max="440" width="6.54296875" style="29" hidden="1" customWidth="1"/>
    <col min="441" max="441" width="21.453125" customWidth="1"/>
    <col min="442" max="442" width="11.453125" hidden="1" customWidth="1"/>
    <col min="443" max="443" width="11.453125" style="360" hidden="1" customWidth="1"/>
    <col min="444" max="445" width="11.453125" hidden="1" customWidth="1"/>
    <col min="446" max="446" width="11.453125" style="360" hidden="1" customWidth="1"/>
    <col min="447" max="448" width="11.453125" hidden="1" customWidth="1"/>
    <col min="449" max="449" width="11.453125" style="360" hidden="1" customWidth="1"/>
    <col min="450" max="451" width="11.453125" hidden="1" customWidth="1"/>
    <col min="452" max="452" width="11.453125" style="360" hidden="1" customWidth="1"/>
    <col min="453" max="454" width="11.453125" hidden="1" customWidth="1"/>
    <col min="455" max="455" width="11.453125" style="360" hidden="1" customWidth="1"/>
    <col min="456" max="457" width="11.453125" hidden="1" customWidth="1"/>
    <col min="458" max="458" width="11.453125" style="360" hidden="1" customWidth="1"/>
    <col min="459" max="460" width="11.453125" hidden="1" customWidth="1"/>
    <col min="461" max="461" width="11.453125" style="360" hidden="1" customWidth="1"/>
    <col min="462" max="463" width="11.453125" hidden="1" customWidth="1"/>
    <col min="464" max="464" width="11.453125" style="360" hidden="1" customWidth="1"/>
    <col min="465" max="466" width="11.453125" hidden="1" customWidth="1"/>
    <col min="467" max="467" width="11.453125" style="360" hidden="1" customWidth="1"/>
    <col min="468" max="469" width="11.453125" hidden="1" customWidth="1"/>
    <col min="470" max="470" width="11.453125" style="360" hidden="1" customWidth="1"/>
    <col min="471" max="472" width="11.453125" hidden="1" customWidth="1"/>
    <col min="473" max="473" width="11.453125" style="360" hidden="1" customWidth="1"/>
    <col min="474" max="475" width="11.453125" hidden="1" customWidth="1"/>
    <col min="476" max="476" width="11.453125" style="360" hidden="1" customWidth="1"/>
    <col min="477" max="487" width="11.453125" hidden="1" customWidth="1"/>
    <col min="488" max="488" width="21.453125" customWidth="1"/>
    <col min="489" max="489" width="12.453125" hidden="1" customWidth="1"/>
    <col min="490" max="492" width="5.453125" hidden="1" customWidth="1"/>
    <col min="493" max="493" width="101.1796875" hidden="1" customWidth="1"/>
    <col min="494" max="494" width="14.26953125" hidden="1" customWidth="1"/>
    <col min="495" max="495" width="0.7265625" customWidth="1"/>
  </cols>
  <sheetData>
    <row r="1" spans="1:494" ht="30" customHeight="1" thickBot="1" x14ac:dyDescent="0.75">
      <c r="B1" s="2" t="s">
        <v>0</v>
      </c>
      <c r="C1" s="1"/>
      <c r="D1" s="3" t="s">
        <v>1</v>
      </c>
      <c r="E1" s="4"/>
      <c r="F1" s="4"/>
      <c r="G1" s="4"/>
      <c r="H1" s="5">
        <v>2025</v>
      </c>
      <c r="I1" s="5"/>
      <c r="J1" s="6"/>
      <c r="K1" s="7">
        <f>DATE(H1,1,1)</f>
        <v>45658</v>
      </c>
      <c r="L1" s="8">
        <f>DATE(H1,12,31)</f>
        <v>46022</v>
      </c>
      <c r="M1" s="9"/>
      <c r="N1" s="1"/>
      <c r="O1" s="1"/>
      <c r="P1" s="1"/>
      <c r="Q1" s="1"/>
      <c r="R1" s="1"/>
      <c r="S1" s="1"/>
      <c r="T1" s="1"/>
      <c r="U1" s="1"/>
      <c r="V1" s="1"/>
      <c r="W1" s="1"/>
      <c r="X1" s="10"/>
      <c r="Y1" s="1"/>
      <c r="AA1" s="11"/>
      <c r="AB1" s="11"/>
      <c r="AC1" s="11"/>
      <c r="AD1" s="11"/>
      <c r="AE1" s="12"/>
      <c r="AF1" s="13"/>
      <c r="AY1"/>
      <c r="BA1" s="14">
        <v>1</v>
      </c>
      <c r="BB1" s="14">
        <v>1</v>
      </c>
      <c r="BC1" s="14">
        <v>1</v>
      </c>
      <c r="BD1" s="14">
        <v>1</v>
      </c>
      <c r="BE1" s="14">
        <v>1</v>
      </c>
      <c r="BF1" s="14">
        <v>1</v>
      </c>
      <c r="BG1" s="14">
        <v>1</v>
      </c>
      <c r="BH1" s="14">
        <v>1</v>
      </c>
      <c r="BI1" s="14">
        <v>1</v>
      </c>
      <c r="BJ1" s="14">
        <v>1</v>
      </c>
      <c r="BK1" s="14">
        <v>1</v>
      </c>
      <c r="BL1" s="14">
        <v>1</v>
      </c>
      <c r="BM1" s="14">
        <v>1</v>
      </c>
      <c r="BN1" s="14">
        <v>1</v>
      </c>
      <c r="BO1" s="14">
        <v>1</v>
      </c>
      <c r="BP1" s="14">
        <v>1</v>
      </c>
      <c r="BQ1" s="14">
        <v>1</v>
      </c>
      <c r="BR1" s="14">
        <v>1</v>
      </c>
      <c r="BS1" s="14">
        <v>1</v>
      </c>
      <c r="BT1" s="14">
        <v>1</v>
      </c>
      <c r="BU1" s="14">
        <v>1</v>
      </c>
      <c r="BV1" s="14">
        <v>1</v>
      </c>
      <c r="BW1" s="14">
        <v>1</v>
      </c>
      <c r="BX1" s="14">
        <v>1</v>
      </c>
      <c r="BY1" s="14">
        <v>1</v>
      </c>
      <c r="BZ1" s="14">
        <v>1</v>
      </c>
      <c r="CA1" s="14">
        <v>1</v>
      </c>
      <c r="CB1" s="14">
        <v>1</v>
      </c>
      <c r="CC1" s="14">
        <v>1</v>
      </c>
      <c r="CD1" s="14">
        <v>1</v>
      </c>
      <c r="CE1" s="14">
        <v>1</v>
      </c>
      <c r="CF1" s="14">
        <v>2</v>
      </c>
      <c r="CG1" s="14">
        <v>2</v>
      </c>
      <c r="CH1" s="14">
        <v>2</v>
      </c>
      <c r="CI1" s="14">
        <v>2</v>
      </c>
      <c r="CJ1" s="14">
        <v>2</v>
      </c>
      <c r="CK1" s="14">
        <v>2</v>
      </c>
      <c r="CL1" s="14">
        <v>2</v>
      </c>
      <c r="CM1" s="14">
        <v>2</v>
      </c>
      <c r="CN1" s="14">
        <v>2</v>
      </c>
      <c r="CO1" s="14">
        <v>2</v>
      </c>
      <c r="CP1" s="14">
        <v>2</v>
      </c>
      <c r="CQ1" s="14">
        <v>2</v>
      </c>
      <c r="CR1" s="14">
        <v>2</v>
      </c>
      <c r="CS1" s="14">
        <v>2</v>
      </c>
      <c r="CT1" s="14">
        <v>2</v>
      </c>
      <c r="CU1" s="14">
        <v>2</v>
      </c>
      <c r="CV1" s="14">
        <v>2</v>
      </c>
      <c r="CW1" s="14">
        <v>2</v>
      </c>
      <c r="CX1" s="14">
        <v>2</v>
      </c>
      <c r="CY1" s="14">
        <v>2</v>
      </c>
      <c r="CZ1" s="14">
        <v>2</v>
      </c>
      <c r="DA1" s="14">
        <v>2</v>
      </c>
      <c r="DB1" s="14">
        <v>2</v>
      </c>
      <c r="DC1" s="14">
        <v>2</v>
      </c>
      <c r="DD1" s="14">
        <v>2</v>
      </c>
      <c r="DE1" s="14">
        <v>2</v>
      </c>
      <c r="DF1" s="14">
        <v>2</v>
      </c>
      <c r="DG1" s="14">
        <v>2</v>
      </c>
      <c r="DH1" s="14">
        <v>2</v>
      </c>
      <c r="DI1" s="14">
        <v>3</v>
      </c>
      <c r="DJ1" s="14">
        <v>3</v>
      </c>
      <c r="DK1" s="14">
        <v>3</v>
      </c>
      <c r="DL1" s="14">
        <v>3</v>
      </c>
      <c r="DM1" s="14">
        <v>3</v>
      </c>
      <c r="DN1" s="14">
        <v>3</v>
      </c>
      <c r="DO1" s="14">
        <v>3</v>
      </c>
      <c r="DP1" s="14">
        <v>3</v>
      </c>
      <c r="DQ1" s="14">
        <v>3</v>
      </c>
      <c r="DR1" s="14">
        <v>3</v>
      </c>
      <c r="DS1" s="14">
        <v>3</v>
      </c>
      <c r="DT1" s="14">
        <v>3</v>
      </c>
      <c r="DU1" s="14">
        <v>3</v>
      </c>
      <c r="DV1" s="14">
        <v>3</v>
      </c>
      <c r="DW1" s="14">
        <v>3</v>
      </c>
      <c r="DX1" s="14">
        <v>3</v>
      </c>
      <c r="DY1" s="14">
        <v>3</v>
      </c>
      <c r="DZ1" s="14">
        <v>3</v>
      </c>
      <c r="EA1" s="14">
        <v>3</v>
      </c>
      <c r="EB1" s="14">
        <v>3</v>
      </c>
      <c r="EC1" s="14">
        <v>3</v>
      </c>
      <c r="ED1" s="14">
        <v>3</v>
      </c>
      <c r="EE1" s="14">
        <v>3</v>
      </c>
      <c r="EF1" s="14">
        <v>3</v>
      </c>
      <c r="EG1" s="14">
        <v>3</v>
      </c>
      <c r="EH1" s="14">
        <v>3</v>
      </c>
      <c r="EI1" s="14">
        <v>3</v>
      </c>
      <c r="EJ1" s="14">
        <v>3</v>
      </c>
      <c r="EK1" s="14">
        <v>3</v>
      </c>
      <c r="EL1" s="14">
        <v>3</v>
      </c>
      <c r="EM1" s="14">
        <v>3</v>
      </c>
      <c r="EN1" s="14">
        <v>4</v>
      </c>
      <c r="EO1" s="14">
        <v>4</v>
      </c>
      <c r="EP1" s="14">
        <v>4</v>
      </c>
      <c r="EQ1" s="14">
        <v>4</v>
      </c>
      <c r="ER1" s="14">
        <v>4</v>
      </c>
      <c r="ES1" s="14">
        <v>4</v>
      </c>
      <c r="ET1" s="14">
        <v>4</v>
      </c>
      <c r="EU1" s="14">
        <v>4</v>
      </c>
      <c r="EV1" s="14">
        <v>4</v>
      </c>
      <c r="EW1" s="14">
        <v>4</v>
      </c>
      <c r="EX1" s="14">
        <v>4</v>
      </c>
      <c r="EY1" s="14">
        <v>4</v>
      </c>
      <c r="EZ1" s="14">
        <v>4</v>
      </c>
      <c r="FA1" s="14">
        <v>4</v>
      </c>
      <c r="FB1" s="14">
        <v>4</v>
      </c>
      <c r="FC1" s="14">
        <v>4</v>
      </c>
      <c r="FD1" s="14">
        <v>4</v>
      </c>
      <c r="FE1" s="14">
        <v>4</v>
      </c>
      <c r="FF1" s="14">
        <v>4</v>
      </c>
      <c r="FG1" s="14">
        <v>4</v>
      </c>
      <c r="FH1" s="14">
        <v>4</v>
      </c>
      <c r="FI1" s="14">
        <v>4</v>
      </c>
      <c r="FJ1" s="14">
        <v>4</v>
      </c>
      <c r="FK1" s="14">
        <v>4</v>
      </c>
      <c r="FL1" s="14">
        <v>4</v>
      </c>
      <c r="FM1" s="14">
        <v>4</v>
      </c>
      <c r="FN1" s="14">
        <v>4</v>
      </c>
      <c r="FO1" s="14">
        <v>4</v>
      </c>
      <c r="FP1" s="14">
        <v>4</v>
      </c>
      <c r="FQ1" s="14">
        <v>4</v>
      </c>
      <c r="FR1" s="14">
        <v>5</v>
      </c>
      <c r="FS1" s="14">
        <v>5</v>
      </c>
      <c r="FT1" s="14">
        <v>5</v>
      </c>
      <c r="FU1" s="14">
        <v>5</v>
      </c>
      <c r="FV1" s="14">
        <v>5</v>
      </c>
      <c r="FW1" s="14">
        <v>5</v>
      </c>
      <c r="FX1" s="14">
        <v>5</v>
      </c>
      <c r="FY1" s="14">
        <v>5</v>
      </c>
      <c r="FZ1" s="14">
        <v>5</v>
      </c>
      <c r="GA1" s="14">
        <v>5</v>
      </c>
      <c r="GB1" s="14">
        <v>5</v>
      </c>
      <c r="GC1" s="14">
        <v>5</v>
      </c>
      <c r="GD1" s="14">
        <v>5</v>
      </c>
      <c r="GE1" s="14">
        <v>5</v>
      </c>
      <c r="GF1" s="14">
        <v>5</v>
      </c>
      <c r="GG1" s="14">
        <v>5</v>
      </c>
      <c r="GH1" s="14">
        <v>5</v>
      </c>
      <c r="GI1" s="14">
        <v>5</v>
      </c>
      <c r="GJ1" s="14">
        <v>5</v>
      </c>
      <c r="GK1" s="14">
        <v>5</v>
      </c>
      <c r="GL1" s="14">
        <v>5</v>
      </c>
      <c r="GM1" s="14">
        <v>5</v>
      </c>
      <c r="GN1" s="14">
        <v>5</v>
      </c>
      <c r="GO1" s="14">
        <v>5</v>
      </c>
      <c r="GP1" s="14">
        <v>5</v>
      </c>
      <c r="GQ1" s="14">
        <v>5</v>
      </c>
      <c r="GR1" s="14">
        <v>5</v>
      </c>
      <c r="GS1" s="14">
        <v>5</v>
      </c>
      <c r="GT1" s="14">
        <v>5</v>
      </c>
      <c r="GU1" s="14">
        <v>5</v>
      </c>
      <c r="GV1" s="14">
        <v>5</v>
      </c>
      <c r="GW1" s="14">
        <v>6</v>
      </c>
      <c r="GX1" s="14">
        <v>6</v>
      </c>
      <c r="GY1" s="14">
        <v>6</v>
      </c>
      <c r="GZ1" s="14">
        <v>6</v>
      </c>
      <c r="HA1" s="14">
        <v>6</v>
      </c>
      <c r="HB1" s="14">
        <v>6</v>
      </c>
      <c r="HC1" s="14">
        <v>6</v>
      </c>
      <c r="HD1" s="14">
        <v>6</v>
      </c>
      <c r="HE1" s="14">
        <v>6</v>
      </c>
      <c r="HF1" s="14">
        <v>6</v>
      </c>
      <c r="HG1" s="14">
        <v>6</v>
      </c>
      <c r="HH1" s="14">
        <v>6</v>
      </c>
      <c r="HI1" s="14">
        <v>6</v>
      </c>
      <c r="HJ1" s="14">
        <v>6</v>
      </c>
      <c r="HK1" s="14">
        <v>6</v>
      </c>
      <c r="HL1" s="14">
        <v>6</v>
      </c>
      <c r="HM1" s="14">
        <v>6</v>
      </c>
      <c r="HN1" s="14">
        <v>6</v>
      </c>
      <c r="HO1" s="14">
        <v>6</v>
      </c>
      <c r="HP1" s="14">
        <v>6</v>
      </c>
      <c r="HQ1" s="14">
        <v>6</v>
      </c>
      <c r="HR1" s="14">
        <v>6</v>
      </c>
      <c r="HS1" s="14">
        <v>6</v>
      </c>
      <c r="HT1" s="14">
        <v>6</v>
      </c>
      <c r="HU1" s="14">
        <v>6</v>
      </c>
      <c r="HV1" s="14">
        <v>6</v>
      </c>
      <c r="HW1" s="14">
        <v>6</v>
      </c>
      <c r="HX1" s="14">
        <v>6</v>
      </c>
      <c r="HY1" s="14">
        <v>6</v>
      </c>
      <c r="HZ1" s="14">
        <v>6</v>
      </c>
      <c r="IA1" s="14">
        <v>7</v>
      </c>
      <c r="IB1" s="14">
        <v>7</v>
      </c>
      <c r="IC1" s="14">
        <v>7</v>
      </c>
      <c r="ID1" s="14">
        <v>7</v>
      </c>
      <c r="IE1" s="14">
        <v>7</v>
      </c>
      <c r="IF1" s="14">
        <v>7</v>
      </c>
      <c r="IG1" s="14">
        <v>7</v>
      </c>
      <c r="IH1" s="14">
        <v>7</v>
      </c>
      <c r="II1" s="14">
        <v>7</v>
      </c>
      <c r="IJ1" s="14">
        <v>7</v>
      </c>
      <c r="IK1" s="14">
        <v>7</v>
      </c>
      <c r="IL1" s="14">
        <v>7</v>
      </c>
      <c r="IM1" s="14">
        <v>7</v>
      </c>
      <c r="IN1" s="14">
        <v>7</v>
      </c>
      <c r="IO1" s="14">
        <v>7</v>
      </c>
      <c r="IP1" s="14">
        <v>7</v>
      </c>
      <c r="IQ1" s="14">
        <v>7</v>
      </c>
      <c r="IR1" s="14">
        <v>7</v>
      </c>
      <c r="IS1" s="14">
        <v>7</v>
      </c>
      <c r="IT1" s="14">
        <v>7</v>
      </c>
      <c r="IU1" s="14">
        <v>7</v>
      </c>
      <c r="IV1" s="14">
        <v>7</v>
      </c>
      <c r="IW1" s="14">
        <v>7</v>
      </c>
      <c r="IX1" s="14">
        <v>7</v>
      </c>
      <c r="IY1" s="14">
        <v>7</v>
      </c>
      <c r="IZ1" s="14">
        <v>7</v>
      </c>
      <c r="JA1" s="14">
        <v>7</v>
      </c>
      <c r="JB1" s="14">
        <v>7</v>
      </c>
      <c r="JC1" s="14">
        <v>7</v>
      </c>
      <c r="JD1" s="14">
        <v>7</v>
      </c>
      <c r="JE1" s="14">
        <v>7</v>
      </c>
      <c r="JF1" s="14">
        <v>8</v>
      </c>
      <c r="JG1" s="14">
        <v>8</v>
      </c>
      <c r="JH1" s="14">
        <v>8</v>
      </c>
      <c r="JI1" s="14">
        <v>8</v>
      </c>
      <c r="JJ1" s="14">
        <v>8</v>
      </c>
      <c r="JK1" s="14">
        <v>8</v>
      </c>
      <c r="JL1" s="14">
        <v>8</v>
      </c>
      <c r="JM1" s="14">
        <v>8</v>
      </c>
      <c r="JN1" s="14">
        <v>8</v>
      </c>
      <c r="JO1" s="14">
        <v>8</v>
      </c>
      <c r="JP1" s="14">
        <v>8</v>
      </c>
      <c r="JQ1" s="14">
        <v>8</v>
      </c>
      <c r="JR1" s="14">
        <v>8</v>
      </c>
      <c r="JS1" s="14">
        <v>8</v>
      </c>
      <c r="JT1" s="14">
        <v>8</v>
      </c>
      <c r="JU1" s="14">
        <v>8</v>
      </c>
      <c r="JV1" s="14">
        <v>8</v>
      </c>
      <c r="JW1" s="14">
        <v>8</v>
      </c>
      <c r="JX1" s="14">
        <v>8</v>
      </c>
      <c r="JY1" s="14">
        <v>8</v>
      </c>
      <c r="JZ1" s="14">
        <v>8</v>
      </c>
      <c r="KA1" s="14">
        <v>8</v>
      </c>
      <c r="KB1" s="14">
        <v>8</v>
      </c>
      <c r="KC1" s="14">
        <v>8</v>
      </c>
      <c r="KD1" s="14">
        <v>8</v>
      </c>
      <c r="KE1" s="14">
        <v>8</v>
      </c>
      <c r="KF1" s="14">
        <v>8</v>
      </c>
      <c r="KG1" s="14">
        <v>8</v>
      </c>
      <c r="KH1" s="14">
        <v>8</v>
      </c>
      <c r="KI1" s="14">
        <v>8</v>
      </c>
      <c r="KJ1" s="14">
        <v>8</v>
      </c>
      <c r="KK1" s="14">
        <v>9</v>
      </c>
      <c r="KL1" s="14">
        <v>9</v>
      </c>
      <c r="KM1" s="14">
        <v>9</v>
      </c>
      <c r="KN1" s="14">
        <v>9</v>
      </c>
      <c r="KO1" s="14">
        <v>9</v>
      </c>
      <c r="KP1" s="14">
        <v>9</v>
      </c>
      <c r="KQ1" s="14">
        <v>9</v>
      </c>
      <c r="KR1" s="14">
        <v>9</v>
      </c>
      <c r="KS1" s="14">
        <v>9</v>
      </c>
      <c r="KT1" s="14">
        <v>9</v>
      </c>
      <c r="KU1" s="14">
        <v>9</v>
      </c>
      <c r="KV1" s="14">
        <v>9</v>
      </c>
      <c r="KW1" s="14">
        <v>9</v>
      </c>
      <c r="KX1" s="14">
        <v>9</v>
      </c>
      <c r="KY1" s="14">
        <v>9</v>
      </c>
      <c r="KZ1" s="14">
        <v>9</v>
      </c>
      <c r="LA1" s="14">
        <v>9</v>
      </c>
      <c r="LB1" s="14">
        <v>9</v>
      </c>
      <c r="LC1" s="14">
        <v>9</v>
      </c>
      <c r="LD1" s="14">
        <v>9</v>
      </c>
      <c r="LE1" s="14">
        <v>9</v>
      </c>
      <c r="LF1" s="14">
        <v>9</v>
      </c>
      <c r="LG1" s="14">
        <v>9</v>
      </c>
      <c r="LH1" s="14">
        <v>9</v>
      </c>
      <c r="LI1" s="14">
        <v>9</v>
      </c>
      <c r="LJ1" s="14">
        <v>9</v>
      </c>
      <c r="LK1" s="14">
        <v>9</v>
      </c>
      <c r="LL1" s="14">
        <v>9</v>
      </c>
      <c r="LM1" s="14">
        <v>9</v>
      </c>
      <c r="LN1" s="14">
        <v>9</v>
      </c>
      <c r="LO1" s="14">
        <v>10</v>
      </c>
      <c r="LP1" s="14">
        <v>10</v>
      </c>
      <c r="LQ1" s="14">
        <v>10</v>
      </c>
      <c r="LR1" s="14">
        <v>10</v>
      </c>
      <c r="LS1" s="14">
        <v>10</v>
      </c>
      <c r="LT1" s="14">
        <v>10</v>
      </c>
      <c r="LU1" s="14">
        <v>10</v>
      </c>
      <c r="LV1" s="14">
        <v>10</v>
      </c>
      <c r="LW1" s="14">
        <v>10</v>
      </c>
      <c r="LX1" s="14">
        <v>10</v>
      </c>
      <c r="LY1" s="14">
        <v>10</v>
      </c>
      <c r="LZ1" s="14">
        <v>10</v>
      </c>
      <c r="MA1" s="14">
        <v>10</v>
      </c>
      <c r="MB1" s="14">
        <v>10</v>
      </c>
      <c r="MC1" s="14">
        <v>10</v>
      </c>
      <c r="MD1" s="14">
        <v>10</v>
      </c>
      <c r="ME1" s="14">
        <v>10</v>
      </c>
      <c r="MF1" s="14">
        <v>10</v>
      </c>
      <c r="MG1" s="14">
        <v>10</v>
      </c>
      <c r="MH1" s="14">
        <v>10</v>
      </c>
      <c r="MI1" s="14">
        <v>10</v>
      </c>
      <c r="MJ1" s="14">
        <v>10</v>
      </c>
      <c r="MK1" s="14">
        <v>10</v>
      </c>
      <c r="ML1" s="14">
        <v>10</v>
      </c>
      <c r="MM1" s="14">
        <v>10</v>
      </c>
      <c r="MN1" s="14">
        <v>10</v>
      </c>
      <c r="MO1" s="14">
        <v>10</v>
      </c>
      <c r="MP1" s="14">
        <v>10</v>
      </c>
      <c r="MQ1" s="14">
        <v>10</v>
      </c>
      <c r="MR1" s="14">
        <v>10</v>
      </c>
      <c r="MS1" s="14">
        <v>10</v>
      </c>
      <c r="MT1" s="14">
        <v>11</v>
      </c>
      <c r="MU1" s="14">
        <v>11</v>
      </c>
      <c r="MV1" s="14">
        <v>11</v>
      </c>
      <c r="MW1" s="14">
        <v>11</v>
      </c>
      <c r="MX1" s="14">
        <v>11</v>
      </c>
      <c r="MY1" s="14">
        <v>11</v>
      </c>
      <c r="MZ1" s="14">
        <v>11</v>
      </c>
      <c r="NA1" s="14">
        <v>11</v>
      </c>
      <c r="NB1" s="14">
        <v>11</v>
      </c>
      <c r="NC1" s="14">
        <v>11</v>
      </c>
      <c r="ND1" s="14">
        <v>11</v>
      </c>
      <c r="NE1" s="14">
        <v>11</v>
      </c>
      <c r="NF1" s="14">
        <v>11</v>
      </c>
      <c r="NG1" s="14">
        <v>11</v>
      </c>
      <c r="NH1" s="14">
        <v>11</v>
      </c>
      <c r="NI1" s="14">
        <v>11</v>
      </c>
      <c r="NJ1" s="14">
        <v>11</v>
      </c>
      <c r="NK1" s="14">
        <v>11</v>
      </c>
      <c r="NL1" s="14">
        <v>11</v>
      </c>
      <c r="NM1" s="14">
        <v>11</v>
      </c>
      <c r="NN1" s="14">
        <v>11</v>
      </c>
      <c r="NO1" s="14">
        <v>11</v>
      </c>
      <c r="NP1" s="14">
        <v>11</v>
      </c>
      <c r="NQ1" s="14">
        <v>11</v>
      </c>
      <c r="NR1" s="14">
        <v>11</v>
      </c>
      <c r="NS1" s="14">
        <v>11</v>
      </c>
      <c r="NT1" s="14">
        <v>11</v>
      </c>
      <c r="NU1" s="14">
        <v>11</v>
      </c>
      <c r="NV1" s="14">
        <v>11</v>
      </c>
      <c r="NW1" s="14">
        <v>11</v>
      </c>
      <c r="NX1" s="14">
        <v>12</v>
      </c>
      <c r="NY1" s="14">
        <v>12</v>
      </c>
      <c r="NZ1" s="14">
        <v>12</v>
      </c>
      <c r="OA1" s="14">
        <v>12</v>
      </c>
      <c r="OB1" s="14">
        <v>12</v>
      </c>
      <c r="OC1" s="14">
        <v>12</v>
      </c>
      <c r="OD1" s="14">
        <v>12</v>
      </c>
      <c r="OE1" s="14">
        <v>12</v>
      </c>
      <c r="OF1" s="14">
        <v>12</v>
      </c>
      <c r="OG1" s="14">
        <v>12</v>
      </c>
      <c r="OH1" s="14">
        <v>12</v>
      </c>
      <c r="OI1" s="14">
        <v>12</v>
      </c>
      <c r="OJ1" s="14">
        <v>12</v>
      </c>
      <c r="OK1" s="14">
        <v>12</v>
      </c>
      <c r="OL1" s="14">
        <v>12</v>
      </c>
      <c r="OM1" s="14">
        <v>12</v>
      </c>
      <c r="ON1" s="14">
        <v>12</v>
      </c>
      <c r="OO1" s="14">
        <v>12</v>
      </c>
      <c r="OP1" s="14">
        <v>12</v>
      </c>
      <c r="OQ1" s="14">
        <v>12</v>
      </c>
      <c r="OR1" s="14">
        <v>12</v>
      </c>
      <c r="OS1" s="14">
        <v>12</v>
      </c>
      <c r="OT1" s="14">
        <v>12</v>
      </c>
      <c r="OU1" s="14">
        <v>12</v>
      </c>
      <c r="OV1" s="14">
        <v>12</v>
      </c>
      <c r="OW1" s="14">
        <v>12</v>
      </c>
      <c r="OX1" s="14">
        <v>12</v>
      </c>
      <c r="OY1" s="14">
        <v>12</v>
      </c>
      <c r="OZ1" s="14">
        <v>12</v>
      </c>
      <c r="PA1" s="14">
        <v>12</v>
      </c>
      <c r="PB1" s="14">
        <v>12</v>
      </c>
      <c r="PC1" s="1"/>
      <c r="PD1" s="15"/>
      <c r="PE1" s="15"/>
      <c r="PF1" s="15"/>
      <c r="PG1" s="15"/>
      <c r="PH1" s="15"/>
      <c r="PI1" s="15"/>
      <c r="PJ1" s="15"/>
      <c r="PK1" s="15"/>
      <c r="PL1" s="15"/>
      <c r="PM1" s="15"/>
      <c r="PN1" s="15"/>
      <c r="PO1" s="15"/>
      <c r="PP1" s="15"/>
      <c r="PQ1" s="15"/>
      <c r="PR1" s="15"/>
      <c r="PS1" s="15"/>
      <c r="PT1" s="15"/>
      <c r="PU1" s="15"/>
      <c r="PV1" s="15"/>
      <c r="PW1" s="15"/>
      <c r="PX1" s="15"/>
      <c r="PY1" s="1"/>
      <c r="PZ1" s="1"/>
      <c r="QA1" s="16"/>
      <c r="QB1" s="1"/>
      <c r="QC1" s="1"/>
      <c r="QD1" s="16"/>
      <c r="QE1" s="1"/>
      <c r="QF1" s="1"/>
      <c r="QG1" s="16"/>
      <c r="QH1" s="1"/>
      <c r="QI1" s="1"/>
      <c r="QJ1" s="16"/>
      <c r="QK1" s="1"/>
      <c r="QL1" s="1"/>
      <c r="QM1" s="16"/>
      <c r="QN1" s="1"/>
      <c r="QO1" s="1"/>
      <c r="QP1" s="16"/>
      <c r="QQ1" s="1"/>
      <c r="QR1" s="1"/>
      <c r="QS1" s="16"/>
      <c r="QT1" s="1"/>
      <c r="QU1" s="1"/>
      <c r="QV1" s="16"/>
      <c r="QW1" s="1"/>
      <c r="QX1" s="1"/>
      <c r="QY1" s="16"/>
      <c r="QZ1" s="1"/>
      <c r="RA1" s="1"/>
      <c r="RB1" s="16"/>
      <c r="RC1" s="1"/>
      <c r="RD1" s="1"/>
      <c r="RE1" s="16"/>
      <c r="RF1" s="1"/>
      <c r="RG1" s="1"/>
      <c r="RH1" s="16"/>
      <c r="RI1" s="1"/>
      <c r="RJ1" s="1"/>
      <c r="RK1" s="1"/>
      <c r="RL1" s="1"/>
      <c r="RM1" s="1"/>
      <c r="RN1" s="1"/>
      <c r="RO1" s="1"/>
      <c r="RP1" s="1"/>
      <c r="RQ1" s="1"/>
      <c r="RR1" s="1"/>
      <c r="RS1" s="1"/>
      <c r="RT1" s="1"/>
      <c r="RU1" s="1"/>
      <c r="RV1" s="1"/>
      <c r="RW1" s="1"/>
      <c r="RX1" s="1"/>
    </row>
    <row r="2" spans="1:494" ht="15" customHeight="1" thickBot="1" x14ac:dyDescent="0.4">
      <c r="B2" s="17"/>
      <c r="C2" s="1"/>
      <c r="D2" s="18" t="s">
        <v>2</v>
      </c>
      <c r="E2" s="19"/>
      <c r="F2" s="19"/>
      <c r="G2" s="19"/>
      <c r="H2" s="19"/>
      <c r="I2" s="19"/>
      <c r="J2" s="20"/>
      <c r="K2" s="1"/>
      <c r="L2" s="21"/>
      <c r="M2" s="1"/>
      <c r="N2" s="1"/>
      <c r="O2" s="1"/>
      <c r="P2" s="1"/>
      <c r="Q2" s="1"/>
      <c r="R2" s="1"/>
      <c r="S2" s="1"/>
      <c r="T2" s="1"/>
      <c r="U2" s="1"/>
      <c r="V2" s="1"/>
      <c r="X2" s="1"/>
      <c r="Y2" s="1"/>
      <c r="Z2" s="22"/>
      <c r="AA2" s="23"/>
      <c r="AB2" s="23"/>
      <c r="AC2" s="24" t="s">
        <v>3</v>
      </c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6"/>
      <c r="AR2" s="27"/>
      <c r="AS2" s="27"/>
      <c r="AT2" s="27"/>
      <c r="AU2" s="27"/>
      <c r="AV2" s="27"/>
      <c r="AW2" s="27"/>
      <c r="AX2" s="27"/>
      <c r="AY2" s="27"/>
      <c r="BA2" s="14">
        <v>1</v>
      </c>
      <c r="BB2" s="14">
        <v>2</v>
      </c>
      <c r="BC2" s="14">
        <v>3</v>
      </c>
      <c r="BD2" s="14">
        <v>4</v>
      </c>
      <c r="BE2" s="28">
        <v>5</v>
      </c>
      <c r="BF2" s="28">
        <v>6</v>
      </c>
      <c r="BG2" s="28">
        <v>7</v>
      </c>
      <c r="BH2" s="28">
        <v>8</v>
      </c>
      <c r="BI2" s="28">
        <v>9</v>
      </c>
      <c r="BJ2" s="28">
        <v>10</v>
      </c>
      <c r="BK2" s="28">
        <v>11</v>
      </c>
      <c r="BL2" s="28">
        <v>12</v>
      </c>
      <c r="BM2" s="28">
        <v>13</v>
      </c>
      <c r="BN2" s="28">
        <v>14</v>
      </c>
      <c r="BO2" s="28">
        <v>15</v>
      </c>
      <c r="BP2" s="28">
        <v>16</v>
      </c>
      <c r="BQ2" s="28">
        <v>17</v>
      </c>
      <c r="BR2" s="28">
        <v>18</v>
      </c>
      <c r="BS2" s="28">
        <v>19</v>
      </c>
      <c r="BT2" s="28">
        <v>20</v>
      </c>
      <c r="BU2" s="28">
        <v>21</v>
      </c>
      <c r="BV2" s="28">
        <v>22</v>
      </c>
      <c r="BW2" s="28">
        <v>23</v>
      </c>
      <c r="BX2" s="28">
        <v>24</v>
      </c>
      <c r="BY2" s="28">
        <v>25</v>
      </c>
      <c r="BZ2" s="28">
        <v>26</v>
      </c>
      <c r="CA2" s="28">
        <v>27</v>
      </c>
      <c r="CB2" s="28">
        <v>28</v>
      </c>
      <c r="CC2" s="28">
        <v>29</v>
      </c>
      <c r="CD2" s="28">
        <v>30</v>
      </c>
      <c r="CE2" s="28">
        <v>31</v>
      </c>
      <c r="CF2" s="28">
        <v>1</v>
      </c>
      <c r="CG2" s="28">
        <v>2</v>
      </c>
      <c r="CH2" s="28">
        <v>3</v>
      </c>
      <c r="CI2" s="28">
        <v>4</v>
      </c>
      <c r="CJ2" s="28">
        <v>5</v>
      </c>
      <c r="CK2" s="28">
        <v>6</v>
      </c>
      <c r="CL2" s="28">
        <v>7</v>
      </c>
      <c r="CM2" s="28">
        <v>8</v>
      </c>
      <c r="CN2" s="28">
        <v>9</v>
      </c>
      <c r="CO2" s="28">
        <v>10</v>
      </c>
      <c r="CP2" s="28">
        <v>11</v>
      </c>
      <c r="CQ2" s="28">
        <v>12</v>
      </c>
      <c r="CR2" s="28">
        <v>13</v>
      </c>
      <c r="CS2" s="28">
        <v>14</v>
      </c>
      <c r="CT2" s="28">
        <v>15</v>
      </c>
      <c r="CU2" s="28">
        <v>16</v>
      </c>
      <c r="CV2" s="28">
        <v>17</v>
      </c>
      <c r="CW2" s="28">
        <v>18</v>
      </c>
      <c r="CX2" s="28">
        <v>19</v>
      </c>
      <c r="CY2" s="28">
        <v>20</v>
      </c>
      <c r="CZ2" s="28">
        <v>21</v>
      </c>
      <c r="DA2" s="28">
        <v>22</v>
      </c>
      <c r="DB2" s="28">
        <v>23</v>
      </c>
      <c r="DC2" s="28">
        <v>24</v>
      </c>
      <c r="DD2" s="28">
        <v>25</v>
      </c>
      <c r="DE2" s="28">
        <v>26</v>
      </c>
      <c r="DF2" s="28">
        <v>27</v>
      </c>
      <c r="DG2" s="28">
        <v>28</v>
      </c>
      <c r="DH2" s="28">
        <v>29</v>
      </c>
      <c r="DI2" s="28">
        <v>1</v>
      </c>
      <c r="DJ2" s="28">
        <v>2</v>
      </c>
      <c r="DK2" s="28">
        <v>3</v>
      </c>
      <c r="DL2" s="28">
        <v>4</v>
      </c>
      <c r="DM2" s="28">
        <v>5</v>
      </c>
      <c r="DN2" s="28">
        <v>6</v>
      </c>
      <c r="DO2" s="28">
        <v>7</v>
      </c>
      <c r="DP2" s="28">
        <v>8</v>
      </c>
      <c r="DQ2" s="28">
        <v>9</v>
      </c>
      <c r="DR2" s="28">
        <v>10</v>
      </c>
      <c r="DS2" s="28">
        <v>11</v>
      </c>
      <c r="DT2" s="28">
        <v>12</v>
      </c>
      <c r="DU2" s="28">
        <v>13</v>
      </c>
      <c r="DV2" s="28">
        <v>14</v>
      </c>
      <c r="DW2" s="28">
        <v>15</v>
      </c>
      <c r="DX2" s="28">
        <v>16</v>
      </c>
      <c r="DY2" s="28">
        <v>17</v>
      </c>
      <c r="DZ2" s="28">
        <v>18</v>
      </c>
      <c r="EA2" s="28">
        <v>19</v>
      </c>
      <c r="EB2" s="28">
        <v>20</v>
      </c>
      <c r="EC2" s="28">
        <v>21</v>
      </c>
      <c r="ED2" s="28">
        <v>22</v>
      </c>
      <c r="EE2" s="28">
        <v>23</v>
      </c>
      <c r="EF2" s="28">
        <v>24</v>
      </c>
      <c r="EG2" s="28">
        <v>25</v>
      </c>
      <c r="EH2" s="28">
        <v>26</v>
      </c>
      <c r="EI2" s="28">
        <v>27</v>
      </c>
      <c r="EJ2" s="28">
        <v>28</v>
      </c>
      <c r="EK2" s="28">
        <v>29</v>
      </c>
      <c r="EL2" s="28">
        <v>30</v>
      </c>
      <c r="EM2" s="28">
        <v>31</v>
      </c>
      <c r="EN2" s="28">
        <v>1</v>
      </c>
      <c r="EO2" s="28">
        <v>2</v>
      </c>
      <c r="EP2" s="28">
        <v>3</v>
      </c>
      <c r="EQ2" s="28">
        <v>4</v>
      </c>
      <c r="ER2" s="28">
        <v>5</v>
      </c>
      <c r="ES2" s="28">
        <v>6</v>
      </c>
      <c r="ET2" s="28">
        <v>7</v>
      </c>
      <c r="EU2" s="28">
        <v>8</v>
      </c>
      <c r="EV2" s="28">
        <v>9</v>
      </c>
      <c r="EW2" s="28">
        <v>10</v>
      </c>
      <c r="EX2" s="28">
        <v>11</v>
      </c>
      <c r="EY2" s="28">
        <v>12</v>
      </c>
      <c r="EZ2" s="28">
        <v>13</v>
      </c>
      <c r="FA2" s="28">
        <v>14</v>
      </c>
      <c r="FB2" s="28">
        <v>15</v>
      </c>
      <c r="FC2" s="28">
        <v>16</v>
      </c>
      <c r="FD2" s="28">
        <v>17</v>
      </c>
      <c r="FE2" s="28">
        <v>18</v>
      </c>
      <c r="FF2" s="28">
        <v>19</v>
      </c>
      <c r="FG2" s="28">
        <v>20</v>
      </c>
      <c r="FH2" s="28">
        <v>21</v>
      </c>
      <c r="FI2" s="28">
        <v>22</v>
      </c>
      <c r="FJ2" s="28">
        <v>23</v>
      </c>
      <c r="FK2" s="28">
        <v>24</v>
      </c>
      <c r="FL2" s="28">
        <v>25</v>
      </c>
      <c r="FM2" s="28">
        <v>26</v>
      </c>
      <c r="FN2" s="28">
        <v>27</v>
      </c>
      <c r="FO2" s="28">
        <v>28</v>
      </c>
      <c r="FP2" s="28">
        <v>29</v>
      </c>
      <c r="FQ2" s="28">
        <v>30</v>
      </c>
      <c r="FR2" s="28">
        <v>1</v>
      </c>
      <c r="FS2" s="28">
        <v>2</v>
      </c>
      <c r="FT2" s="28">
        <v>3</v>
      </c>
      <c r="FU2" s="28">
        <v>4</v>
      </c>
      <c r="FV2" s="28">
        <v>5</v>
      </c>
      <c r="FW2" s="28">
        <v>6</v>
      </c>
      <c r="FX2" s="28">
        <v>7</v>
      </c>
      <c r="FY2" s="28">
        <v>8</v>
      </c>
      <c r="FZ2" s="28">
        <v>9</v>
      </c>
      <c r="GA2" s="28">
        <v>10</v>
      </c>
      <c r="GB2" s="28">
        <v>11</v>
      </c>
      <c r="GC2" s="28">
        <v>12</v>
      </c>
      <c r="GD2" s="28">
        <v>13</v>
      </c>
      <c r="GE2" s="28">
        <v>14</v>
      </c>
      <c r="GF2" s="28">
        <v>15</v>
      </c>
      <c r="GG2" s="28">
        <v>16</v>
      </c>
      <c r="GH2" s="28">
        <v>17</v>
      </c>
      <c r="GI2" s="28">
        <v>18</v>
      </c>
      <c r="GJ2" s="28">
        <v>19</v>
      </c>
      <c r="GK2" s="28">
        <v>20</v>
      </c>
      <c r="GL2" s="28">
        <v>21</v>
      </c>
      <c r="GM2" s="28">
        <v>22</v>
      </c>
      <c r="GN2" s="28">
        <v>23</v>
      </c>
      <c r="GO2" s="28">
        <v>24</v>
      </c>
      <c r="GP2" s="28">
        <v>25</v>
      </c>
      <c r="GQ2" s="28">
        <v>26</v>
      </c>
      <c r="GR2" s="28">
        <v>27</v>
      </c>
      <c r="GS2" s="28">
        <v>28</v>
      </c>
      <c r="GT2" s="28">
        <v>29</v>
      </c>
      <c r="GU2" s="28">
        <v>30</v>
      </c>
      <c r="GV2" s="28">
        <v>31</v>
      </c>
      <c r="GW2" s="28">
        <v>1</v>
      </c>
      <c r="GX2" s="28">
        <v>2</v>
      </c>
      <c r="GY2" s="28">
        <v>3</v>
      </c>
      <c r="GZ2" s="28">
        <v>4</v>
      </c>
      <c r="HA2" s="28">
        <v>5</v>
      </c>
      <c r="HB2" s="28">
        <v>6</v>
      </c>
      <c r="HC2" s="28">
        <v>7</v>
      </c>
      <c r="HD2" s="28">
        <v>8</v>
      </c>
      <c r="HE2" s="28">
        <v>9</v>
      </c>
      <c r="HF2" s="28">
        <v>10</v>
      </c>
      <c r="HG2" s="28">
        <v>11</v>
      </c>
      <c r="HH2" s="28">
        <v>12</v>
      </c>
      <c r="HI2" s="28">
        <v>13</v>
      </c>
      <c r="HJ2" s="28">
        <v>14</v>
      </c>
      <c r="HK2" s="28">
        <v>15</v>
      </c>
      <c r="HL2" s="28">
        <v>16</v>
      </c>
      <c r="HM2" s="28">
        <v>17</v>
      </c>
      <c r="HN2" s="28">
        <v>18</v>
      </c>
      <c r="HO2" s="28">
        <v>19</v>
      </c>
      <c r="HP2" s="28">
        <v>20</v>
      </c>
      <c r="HQ2" s="28">
        <v>21</v>
      </c>
      <c r="HR2" s="28">
        <v>22</v>
      </c>
      <c r="HS2" s="28">
        <v>23</v>
      </c>
      <c r="HT2" s="28">
        <v>24</v>
      </c>
      <c r="HU2" s="28">
        <v>25</v>
      </c>
      <c r="HV2" s="28">
        <v>26</v>
      </c>
      <c r="HW2" s="28">
        <v>27</v>
      </c>
      <c r="HX2" s="28">
        <v>28</v>
      </c>
      <c r="HY2" s="28">
        <v>29</v>
      </c>
      <c r="HZ2" s="28">
        <v>30</v>
      </c>
      <c r="IA2" s="28">
        <v>1</v>
      </c>
      <c r="IB2" s="28">
        <v>2</v>
      </c>
      <c r="IC2" s="28">
        <v>3</v>
      </c>
      <c r="ID2" s="28">
        <v>4</v>
      </c>
      <c r="IE2" s="28">
        <v>5</v>
      </c>
      <c r="IF2" s="28">
        <v>6</v>
      </c>
      <c r="IG2" s="28">
        <v>7</v>
      </c>
      <c r="IH2" s="28">
        <v>8</v>
      </c>
      <c r="II2" s="28">
        <v>9</v>
      </c>
      <c r="IJ2" s="28">
        <v>10</v>
      </c>
      <c r="IK2" s="28">
        <v>11</v>
      </c>
      <c r="IL2" s="28">
        <v>12</v>
      </c>
      <c r="IM2" s="28">
        <v>13</v>
      </c>
      <c r="IN2" s="28">
        <v>14</v>
      </c>
      <c r="IO2" s="28">
        <v>15</v>
      </c>
      <c r="IP2" s="28">
        <v>16</v>
      </c>
      <c r="IQ2" s="28">
        <v>17</v>
      </c>
      <c r="IR2" s="28">
        <v>18</v>
      </c>
      <c r="IS2" s="28">
        <v>19</v>
      </c>
      <c r="IT2" s="28">
        <v>20</v>
      </c>
      <c r="IU2" s="28">
        <v>21</v>
      </c>
      <c r="IV2" s="28">
        <v>22</v>
      </c>
      <c r="IW2" s="28">
        <v>23</v>
      </c>
      <c r="IX2" s="28">
        <v>24</v>
      </c>
      <c r="IY2" s="28">
        <v>25</v>
      </c>
      <c r="IZ2" s="28">
        <v>26</v>
      </c>
      <c r="JA2" s="28">
        <v>27</v>
      </c>
      <c r="JB2" s="28">
        <v>28</v>
      </c>
      <c r="JC2" s="28">
        <v>29</v>
      </c>
      <c r="JD2" s="28">
        <v>30</v>
      </c>
      <c r="JE2" s="28">
        <v>31</v>
      </c>
      <c r="JF2" s="28">
        <v>1</v>
      </c>
      <c r="JG2" s="28">
        <v>2</v>
      </c>
      <c r="JH2" s="28">
        <v>3</v>
      </c>
      <c r="JI2" s="28">
        <v>4</v>
      </c>
      <c r="JJ2" s="28">
        <v>5</v>
      </c>
      <c r="JK2" s="28">
        <v>6</v>
      </c>
      <c r="JL2" s="28">
        <v>7</v>
      </c>
      <c r="JM2" s="28">
        <v>8</v>
      </c>
      <c r="JN2" s="28">
        <v>9</v>
      </c>
      <c r="JO2" s="28">
        <v>10</v>
      </c>
      <c r="JP2" s="28">
        <v>11</v>
      </c>
      <c r="JQ2" s="28">
        <v>12</v>
      </c>
      <c r="JR2" s="28">
        <v>13</v>
      </c>
      <c r="JS2" s="28">
        <v>14</v>
      </c>
      <c r="JT2" s="28">
        <v>15</v>
      </c>
      <c r="JU2" s="28">
        <v>16</v>
      </c>
      <c r="JV2" s="28">
        <v>17</v>
      </c>
      <c r="JW2" s="28">
        <v>18</v>
      </c>
      <c r="JX2" s="28">
        <v>19</v>
      </c>
      <c r="JY2" s="28">
        <v>20</v>
      </c>
      <c r="JZ2" s="28">
        <v>21</v>
      </c>
      <c r="KA2" s="28">
        <v>22</v>
      </c>
      <c r="KB2" s="28">
        <v>23</v>
      </c>
      <c r="KC2" s="28">
        <v>24</v>
      </c>
      <c r="KD2" s="28">
        <v>25</v>
      </c>
      <c r="KE2" s="28">
        <v>26</v>
      </c>
      <c r="KF2" s="28">
        <v>27</v>
      </c>
      <c r="KG2" s="28">
        <v>28</v>
      </c>
      <c r="KH2" s="28">
        <v>29</v>
      </c>
      <c r="KI2" s="28">
        <v>30</v>
      </c>
      <c r="KJ2" s="28">
        <v>31</v>
      </c>
      <c r="KK2" s="28">
        <v>1</v>
      </c>
      <c r="KL2" s="28">
        <v>2</v>
      </c>
      <c r="KM2" s="28">
        <v>3</v>
      </c>
      <c r="KN2" s="28">
        <v>4</v>
      </c>
      <c r="KO2" s="28">
        <v>5</v>
      </c>
      <c r="KP2" s="28">
        <v>6</v>
      </c>
      <c r="KQ2" s="28">
        <v>7</v>
      </c>
      <c r="KR2" s="28">
        <v>8</v>
      </c>
      <c r="KS2" s="28">
        <v>9</v>
      </c>
      <c r="KT2" s="28">
        <v>10</v>
      </c>
      <c r="KU2" s="28">
        <v>11</v>
      </c>
      <c r="KV2" s="28">
        <v>12</v>
      </c>
      <c r="KW2" s="28">
        <v>13</v>
      </c>
      <c r="KX2" s="28">
        <v>14</v>
      </c>
      <c r="KY2" s="28">
        <v>15</v>
      </c>
      <c r="KZ2" s="28">
        <v>16</v>
      </c>
      <c r="LA2" s="28">
        <v>17</v>
      </c>
      <c r="LB2" s="28">
        <v>18</v>
      </c>
      <c r="LC2" s="28">
        <v>19</v>
      </c>
      <c r="LD2" s="28">
        <v>20</v>
      </c>
      <c r="LE2" s="28">
        <v>21</v>
      </c>
      <c r="LF2" s="28">
        <v>22</v>
      </c>
      <c r="LG2" s="28">
        <v>23</v>
      </c>
      <c r="LH2" s="28">
        <v>24</v>
      </c>
      <c r="LI2" s="28">
        <v>25</v>
      </c>
      <c r="LJ2" s="28">
        <v>26</v>
      </c>
      <c r="LK2" s="28">
        <v>27</v>
      </c>
      <c r="LL2" s="28">
        <v>28</v>
      </c>
      <c r="LM2" s="28">
        <v>29</v>
      </c>
      <c r="LN2" s="28">
        <v>30</v>
      </c>
      <c r="LO2" s="28">
        <v>1</v>
      </c>
      <c r="LP2" s="28">
        <v>2</v>
      </c>
      <c r="LQ2" s="28">
        <v>3</v>
      </c>
      <c r="LR2" s="28">
        <v>4</v>
      </c>
      <c r="LS2" s="28">
        <v>5</v>
      </c>
      <c r="LT2" s="28">
        <v>6</v>
      </c>
      <c r="LU2" s="28">
        <v>7</v>
      </c>
      <c r="LV2" s="28">
        <v>8</v>
      </c>
      <c r="LW2" s="28">
        <v>9</v>
      </c>
      <c r="LX2" s="28">
        <v>10</v>
      </c>
      <c r="LY2" s="28">
        <v>11</v>
      </c>
      <c r="LZ2" s="28">
        <v>12</v>
      </c>
      <c r="MA2" s="28">
        <v>13</v>
      </c>
      <c r="MB2" s="28">
        <v>14</v>
      </c>
      <c r="MC2" s="28">
        <v>15</v>
      </c>
      <c r="MD2" s="28">
        <v>16</v>
      </c>
      <c r="ME2" s="28">
        <v>17</v>
      </c>
      <c r="MF2" s="28">
        <v>18</v>
      </c>
      <c r="MG2" s="28">
        <v>19</v>
      </c>
      <c r="MH2" s="28">
        <v>20</v>
      </c>
      <c r="MI2" s="28">
        <v>21</v>
      </c>
      <c r="MJ2" s="28">
        <v>22</v>
      </c>
      <c r="MK2" s="28">
        <v>23</v>
      </c>
      <c r="ML2" s="28">
        <v>24</v>
      </c>
      <c r="MM2" s="28">
        <v>25</v>
      </c>
      <c r="MN2" s="28">
        <v>26</v>
      </c>
      <c r="MO2" s="28">
        <v>27</v>
      </c>
      <c r="MP2" s="28">
        <v>28</v>
      </c>
      <c r="MQ2" s="28">
        <v>29</v>
      </c>
      <c r="MR2" s="28">
        <v>30</v>
      </c>
      <c r="MS2" s="28">
        <v>31</v>
      </c>
      <c r="MT2" s="28">
        <v>1</v>
      </c>
      <c r="MU2" s="28">
        <v>2</v>
      </c>
      <c r="MV2" s="28">
        <v>3</v>
      </c>
      <c r="MW2" s="28">
        <v>4</v>
      </c>
      <c r="MX2" s="28">
        <v>5</v>
      </c>
      <c r="MY2" s="28">
        <v>6</v>
      </c>
      <c r="MZ2" s="28">
        <v>7</v>
      </c>
      <c r="NA2" s="28">
        <v>8</v>
      </c>
      <c r="NB2" s="28">
        <v>9</v>
      </c>
      <c r="NC2" s="28">
        <v>10</v>
      </c>
      <c r="ND2" s="28">
        <v>11</v>
      </c>
      <c r="NE2" s="28">
        <v>12</v>
      </c>
      <c r="NF2" s="28">
        <v>13</v>
      </c>
      <c r="NG2" s="28">
        <v>14</v>
      </c>
      <c r="NH2" s="28">
        <v>15</v>
      </c>
      <c r="NI2" s="28">
        <v>16</v>
      </c>
      <c r="NJ2" s="28">
        <v>17</v>
      </c>
      <c r="NK2" s="28">
        <v>18</v>
      </c>
      <c r="NL2" s="28">
        <v>19</v>
      </c>
      <c r="NM2" s="28">
        <v>20</v>
      </c>
      <c r="NN2" s="28">
        <v>21</v>
      </c>
      <c r="NO2" s="28">
        <v>22</v>
      </c>
      <c r="NP2" s="28">
        <v>23</v>
      </c>
      <c r="NQ2" s="28">
        <v>24</v>
      </c>
      <c r="NR2" s="28">
        <v>25</v>
      </c>
      <c r="NS2" s="28">
        <v>26</v>
      </c>
      <c r="NT2" s="28">
        <v>27</v>
      </c>
      <c r="NU2" s="28">
        <v>28</v>
      </c>
      <c r="NV2" s="28">
        <v>29</v>
      </c>
      <c r="NW2" s="28">
        <v>30</v>
      </c>
      <c r="NX2" s="28">
        <v>1</v>
      </c>
      <c r="NY2" s="28">
        <v>2</v>
      </c>
      <c r="NZ2" s="28">
        <v>3</v>
      </c>
      <c r="OA2" s="28">
        <v>4</v>
      </c>
      <c r="OB2" s="28">
        <v>5</v>
      </c>
      <c r="OC2" s="28">
        <v>6</v>
      </c>
      <c r="OD2" s="28">
        <v>7</v>
      </c>
      <c r="OE2" s="28">
        <v>8</v>
      </c>
      <c r="OF2" s="28">
        <v>9</v>
      </c>
      <c r="OG2" s="28">
        <v>10</v>
      </c>
      <c r="OH2" s="28">
        <v>11</v>
      </c>
      <c r="OI2" s="28">
        <v>12</v>
      </c>
      <c r="OJ2" s="28">
        <v>13</v>
      </c>
      <c r="OK2" s="28">
        <v>14</v>
      </c>
      <c r="OL2" s="28">
        <v>15</v>
      </c>
      <c r="OM2" s="28">
        <v>16</v>
      </c>
      <c r="ON2" s="28">
        <v>17</v>
      </c>
      <c r="OO2" s="28">
        <v>18</v>
      </c>
      <c r="OP2" s="28">
        <v>19</v>
      </c>
      <c r="OQ2" s="28">
        <v>20</v>
      </c>
      <c r="OR2" s="28">
        <v>21</v>
      </c>
      <c r="OS2" s="28">
        <v>22</v>
      </c>
      <c r="OT2" s="28">
        <v>23</v>
      </c>
      <c r="OU2" s="28">
        <v>24</v>
      </c>
      <c r="OV2" s="28">
        <v>25</v>
      </c>
      <c r="OW2" s="28">
        <v>26</v>
      </c>
      <c r="OX2" s="28">
        <v>27</v>
      </c>
      <c r="OY2" s="28">
        <v>28</v>
      </c>
      <c r="OZ2" s="28">
        <v>29</v>
      </c>
      <c r="PA2" s="28">
        <v>30</v>
      </c>
      <c r="PB2" s="28">
        <v>31</v>
      </c>
      <c r="PC2" s="1"/>
      <c r="PE2" s="30"/>
      <c r="PF2" s="31" t="s">
        <v>4</v>
      </c>
      <c r="PG2" s="32"/>
      <c r="PH2" s="32"/>
      <c r="PI2" s="32"/>
      <c r="PJ2" s="32"/>
      <c r="PK2" s="32"/>
      <c r="PL2" s="32"/>
      <c r="PM2" s="32"/>
      <c r="PN2" s="32"/>
      <c r="PO2" s="32"/>
      <c r="PP2" s="32"/>
      <c r="PQ2" s="32"/>
      <c r="PR2" s="32"/>
      <c r="PS2" s="32"/>
      <c r="PT2" s="32"/>
      <c r="PU2" s="32"/>
      <c r="PV2" s="33"/>
      <c r="PW2" s="34"/>
      <c r="PX2" s="34"/>
      <c r="PY2" s="1"/>
      <c r="PZ2" s="1"/>
      <c r="QA2" s="16"/>
      <c r="QB2" s="1"/>
      <c r="QC2" s="1"/>
      <c r="QD2" s="16"/>
      <c r="QE2" s="1"/>
      <c r="QF2" s="1"/>
      <c r="QG2" s="16"/>
      <c r="QH2" s="1"/>
      <c r="QI2" s="1"/>
      <c r="QJ2" s="16"/>
      <c r="QK2" s="1"/>
      <c r="QL2" s="1"/>
      <c r="QM2" s="16"/>
      <c r="QN2" s="1"/>
      <c r="QO2" s="1"/>
      <c r="QP2" s="16"/>
      <c r="QQ2" s="1"/>
      <c r="QR2" s="1"/>
      <c r="QS2" s="16"/>
      <c r="QT2" s="1"/>
      <c r="QU2" s="1"/>
      <c r="QV2" s="16"/>
      <c r="QW2" s="1"/>
      <c r="QX2" s="1"/>
      <c r="QY2" s="16"/>
      <c r="QZ2" s="1"/>
      <c r="RA2" s="1"/>
      <c r="RB2" s="16"/>
      <c r="RC2" s="1"/>
      <c r="RD2" s="1"/>
      <c r="RE2" s="16"/>
      <c r="RF2" s="1"/>
      <c r="RG2" s="1"/>
      <c r="RH2" s="16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Z2" s="35"/>
    </row>
    <row r="3" spans="1:494" ht="138.75" customHeight="1" thickBot="1" x14ac:dyDescent="0.4">
      <c r="B3" s="36" t="s">
        <v>5</v>
      </c>
      <c r="C3" s="1"/>
      <c r="D3" s="1"/>
      <c r="E3" s="1"/>
      <c r="F3" s="1"/>
      <c r="G3" s="1"/>
      <c r="H3" s="1"/>
      <c r="I3" s="1"/>
      <c r="J3" s="1"/>
      <c r="K3" s="1"/>
      <c r="L3" s="15"/>
      <c r="M3" s="1"/>
      <c r="N3" s="1"/>
      <c r="O3" s="1"/>
      <c r="P3" s="1"/>
      <c r="Q3" s="1"/>
      <c r="R3" s="1"/>
      <c r="S3" s="1"/>
      <c r="T3" s="1"/>
      <c r="U3" s="1"/>
      <c r="V3" s="1"/>
      <c r="W3" s="37" t="s">
        <v>6</v>
      </c>
      <c r="X3" s="38" t="s">
        <v>7</v>
      </c>
      <c r="Y3" s="38" t="s">
        <v>8</v>
      </c>
      <c r="Z3" s="38" t="s">
        <v>9</v>
      </c>
      <c r="AA3" s="38" t="s">
        <v>10</v>
      </c>
      <c r="AB3" s="38" t="s">
        <v>11</v>
      </c>
      <c r="AC3" s="38" t="s">
        <v>12</v>
      </c>
      <c r="AD3" s="38" t="s">
        <v>13</v>
      </c>
      <c r="AE3" s="38" t="s">
        <v>14</v>
      </c>
      <c r="AF3" s="38" t="s">
        <v>15</v>
      </c>
      <c r="AG3" s="38" t="s">
        <v>16</v>
      </c>
      <c r="AH3" s="38" t="s">
        <v>17</v>
      </c>
      <c r="AI3" s="38" t="s">
        <v>18</v>
      </c>
      <c r="AJ3" s="38" t="s">
        <v>19</v>
      </c>
      <c r="AK3" s="38" t="s">
        <v>20</v>
      </c>
      <c r="AL3" s="38" t="s">
        <v>21</v>
      </c>
      <c r="AM3" s="38" t="s">
        <v>22</v>
      </c>
      <c r="AN3" s="38" t="s">
        <v>23</v>
      </c>
      <c r="AO3" s="38" t="s">
        <v>24</v>
      </c>
      <c r="AP3" s="39" t="s">
        <v>25</v>
      </c>
      <c r="AQ3" s="39" t="s">
        <v>25</v>
      </c>
      <c r="AR3" s="39" t="s">
        <v>25</v>
      </c>
      <c r="AS3" s="39" t="s">
        <v>25</v>
      </c>
      <c r="AT3" s="39" t="s">
        <v>25</v>
      </c>
      <c r="AU3" s="39" t="s">
        <v>25</v>
      </c>
      <c r="AV3" s="39" t="s">
        <v>25</v>
      </c>
      <c r="AW3" s="39" t="s">
        <v>25</v>
      </c>
      <c r="AX3" s="39" t="s">
        <v>25</v>
      </c>
      <c r="AY3" s="40" t="s">
        <v>25</v>
      </c>
      <c r="AZ3" s="41"/>
      <c r="BA3" s="42">
        <f t="shared" ref="BA3:DG3" si="0">DATE($H$1,BA1,BA2)</f>
        <v>45658</v>
      </c>
      <c r="BB3" s="43">
        <f t="shared" si="0"/>
        <v>45659</v>
      </c>
      <c r="BC3" s="43">
        <f t="shared" si="0"/>
        <v>45660</v>
      </c>
      <c r="BD3" s="43">
        <f t="shared" si="0"/>
        <v>45661</v>
      </c>
      <c r="BE3" s="43">
        <f t="shared" si="0"/>
        <v>45662</v>
      </c>
      <c r="BF3" s="43">
        <f t="shared" si="0"/>
        <v>45663</v>
      </c>
      <c r="BG3" s="43">
        <f t="shared" si="0"/>
        <v>45664</v>
      </c>
      <c r="BH3" s="43">
        <f t="shared" si="0"/>
        <v>45665</v>
      </c>
      <c r="BI3" s="43">
        <f t="shared" si="0"/>
        <v>45666</v>
      </c>
      <c r="BJ3" s="43">
        <f t="shared" si="0"/>
        <v>45667</v>
      </c>
      <c r="BK3" s="43">
        <f t="shared" si="0"/>
        <v>45668</v>
      </c>
      <c r="BL3" s="43">
        <f t="shared" si="0"/>
        <v>45669</v>
      </c>
      <c r="BM3" s="43">
        <f t="shared" si="0"/>
        <v>45670</v>
      </c>
      <c r="BN3" s="43">
        <f t="shared" si="0"/>
        <v>45671</v>
      </c>
      <c r="BO3" s="43">
        <f t="shared" si="0"/>
        <v>45672</v>
      </c>
      <c r="BP3" s="43">
        <f t="shared" si="0"/>
        <v>45673</v>
      </c>
      <c r="BQ3" s="43">
        <f t="shared" si="0"/>
        <v>45674</v>
      </c>
      <c r="BR3" s="43">
        <f t="shared" si="0"/>
        <v>45675</v>
      </c>
      <c r="BS3" s="43">
        <f t="shared" si="0"/>
        <v>45676</v>
      </c>
      <c r="BT3" s="43">
        <f t="shared" si="0"/>
        <v>45677</v>
      </c>
      <c r="BU3" s="43">
        <f t="shared" si="0"/>
        <v>45678</v>
      </c>
      <c r="BV3" s="43">
        <f t="shared" si="0"/>
        <v>45679</v>
      </c>
      <c r="BW3" s="43">
        <f t="shared" si="0"/>
        <v>45680</v>
      </c>
      <c r="BX3" s="43">
        <f t="shared" si="0"/>
        <v>45681</v>
      </c>
      <c r="BY3" s="43">
        <f t="shared" si="0"/>
        <v>45682</v>
      </c>
      <c r="BZ3" s="43">
        <f t="shared" si="0"/>
        <v>45683</v>
      </c>
      <c r="CA3" s="43">
        <f t="shared" si="0"/>
        <v>45684</v>
      </c>
      <c r="CB3" s="43">
        <f t="shared" si="0"/>
        <v>45685</v>
      </c>
      <c r="CC3" s="43">
        <f t="shared" si="0"/>
        <v>45686</v>
      </c>
      <c r="CD3" s="43">
        <f t="shared" si="0"/>
        <v>45687</v>
      </c>
      <c r="CE3" s="44">
        <f t="shared" si="0"/>
        <v>45688</v>
      </c>
      <c r="CF3" s="42">
        <f t="shared" si="0"/>
        <v>45689</v>
      </c>
      <c r="CG3" s="43">
        <f t="shared" si="0"/>
        <v>45690</v>
      </c>
      <c r="CH3" s="43">
        <f t="shared" si="0"/>
        <v>45691</v>
      </c>
      <c r="CI3" s="43">
        <f t="shared" si="0"/>
        <v>45692</v>
      </c>
      <c r="CJ3" s="43">
        <f t="shared" si="0"/>
        <v>45693</v>
      </c>
      <c r="CK3" s="43">
        <f t="shared" si="0"/>
        <v>45694</v>
      </c>
      <c r="CL3" s="43">
        <f t="shared" si="0"/>
        <v>45695</v>
      </c>
      <c r="CM3" s="43">
        <f t="shared" si="0"/>
        <v>45696</v>
      </c>
      <c r="CN3" s="43">
        <f t="shared" si="0"/>
        <v>45697</v>
      </c>
      <c r="CO3" s="43">
        <f t="shared" si="0"/>
        <v>45698</v>
      </c>
      <c r="CP3" s="43">
        <f t="shared" si="0"/>
        <v>45699</v>
      </c>
      <c r="CQ3" s="43">
        <f t="shared" si="0"/>
        <v>45700</v>
      </c>
      <c r="CR3" s="43">
        <f t="shared" si="0"/>
        <v>45701</v>
      </c>
      <c r="CS3" s="43">
        <f t="shared" si="0"/>
        <v>45702</v>
      </c>
      <c r="CT3" s="43">
        <f t="shared" si="0"/>
        <v>45703</v>
      </c>
      <c r="CU3" s="43">
        <f t="shared" si="0"/>
        <v>45704</v>
      </c>
      <c r="CV3" s="43">
        <f t="shared" si="0"/>
        <v>45705</v>
      </c>
      <c r="CW3" s="43">
        <f t="shared" si="0"/>
        <v>45706</v>
      </c>
      <c r="CX3" s="43">
        <f t="shared" si="0"/>
        <v>45707</v>
      </c>
      <c r="CY3" s="43">
        <f t="shared" si="0"/>
        <v>45708</v>
      </c>
      <c r="CZ3" s="43">
        <f t="shared" si="0"/>
        <v>45709</v>
      </c>
      <c r="DA3" s="43">
        <f t="shared" si="0"/>
        <v>45710</v>
      </c>
      <c r="DB3" s="43">
        <f t="shared" si="0"/>
        <v>45711</v>
      </c>
      <c r="DC3" s="43">
        <f t="shared" si="0"/>
        <v>45712</v>
      </c>
      <c r="DD3" s="43">
        <f t="shared" si="0"/>
        <v>45713</v>
      </c>
      <c r="DE3" s="43">
        <f t="shared" si="0"/>
        <v>45714</v>
      </c>
      <c r="DF3" s="43">
        <f t="shared" si="0"/>
        <v>45715</v>
      </c>
      <c r="DG3" s="43">
        <f t="shared" si="0"/>
        <v>45716</v>
      </c>
      <c r="DH3" s="45" t="str">
        <f>IF(DAY(DATE($H$1,DH1,DH2))=29,DATE($H$1,DH1,DH2),"")</f>
        <v/>
      </c>
      <c r="DI3" s="46">
        <f t="shared" ref="DI3:FT3" si="1">DATE($H$1,DI1,DI2)</f>
        <v>45717</v>
      </c>
      <c r="DJ3" s="43">
        <f t="shared" si="1"/>
        <v>45718</v>
      </c>
      <c r="DK3" s="43">
        <f t="shared" si="1"/>
        <v>45719</v>
      </c>
      <c r="DL3" s="43">
        <f t="shared" si="1"/>
        <v>45720</v>
      </c>
      <c r="DM3" s="43">
        <f t="shared" si="1"/>
        <v>45721</v>
      </c>
      <c r="DN3" s="43">
        <f t="shared" si="1"/>
        <v>45722</v>
      </c>
      <c r="DO3" s="43">
        <f t="shared" si="1"/>
        <v>45723</v>
      </c>
      <c r="DP3" s="43">
        <f t="shared" si="1"/>
        <v>45724</v>
      </c>
      <c r="DQ3" s="43">
        <f t="shared" si="1"/>
        <v>45725</v>
      </c>
      <c r="DR3" s="43">
        <f t="shared" si="1"/>
        <v>45726</v>
      </c>
      <c r="DS3" s="43">
        <f t="shared" si="1"/>
        <v>45727</v>
      </c>
      <c r="DT3" s="43">
        <f t="shared" si="1"/>
        <v>45728</v>
      </c>
      <c r="DU3" s="43">
        <f t="shared" si="1"/>
        <v>45729</v>
      </c>
      <c r="DV3" s="43">
        <f t="shared" si="1"/>
        <v>45730</v>
      </c>
      <c r="DW3" s="43">
        <f t="shared" si="1"/>
        <v>45731</v>
      </c>
      <c r="DX3" s="43">
        <f t="shared" si="1"/>
        <v>45732</v>
      </c>
      <c r="DY3" s="43">
        <f t="shared" si="1"/>
        <v>45733</v>
      </c>
      <c r="DZ3" s="43">
        <f t="shared" si="1"/>
        <v>45734</v>
      </c>
      <c r="EA3" s="43">
        <f t="shared" si="1"/>
        <v>45735</v>
      </c>
      <c r="EB3" s="43">
        <f t="shared" si="1"/>
        <v>45736</v>
      </c>
      <c r="EC3" s="43">
        <f t="shared" si="1"/>
        <v>45737</v>
      </c>
      <c r="ED3" s="43">
        <f t="shared" si="1"/>
        <v>45738</v>
      </c>
      <c r="EE3" s="43">
        <f t="shared" si="1"/>
        <v>45739</v>
      </c>
      <c r="EF3" s="43">
        <f t="shared" si="1"/>
        <v>45740</v>
      </c>
      <c r="EG3" s="43">
        <f t="shared" si="1"/>
        <v>45741</v>
      </c>
      <c r="EH3" s="43">
        <f t="shared" si="1"/>
        <v>45742</v>
      </c>
      <c r="EI3" s="43">
        <f t="shared" si="1"/>
        <v>45743</v>
      </c>
      <c r="EJ3" s="43">
        <f t="shared" si="1"/>
        <v>45744</v>
      </c>
      <c r="EK3" s="43">
        <f t="shared" si="1"/>
        <v>45745</v>
      </c>
      <c r="EL3" s="43">
        <f t="shared" si="1"/>
        <v>45746</v>
      </c>
      <c r="EM3" s="44">
        <f t="shared" si="1"/>
        <v>45747</v>
      </c>
      <c r="EN3" s="42">
        <f t="shared" si="1"/>
        <v>45748</v>
      </c>
      <c r="EO3" s="43">
        <f t="shared" si="1"/>
        <v>45749</v>
      </c>
      <c r="EP3" s="43">
        <f t="shared" si="1"/>
        <v>45750</v>
      </c>
      <c r="EQ3" s="43">
        <f t="shared" si="1"/>
        <v>45751</v>
      </c>
      <c r="ER3" s="43">
        <f t="shared" si="1"/>
        <v>45752</v>
      </c>
      <c r="ES3" s="43">
        <f t="shared" si="1"/>
        <v>45753</v>
      </c>
      <c r="ET3" s="43">
        <f t="shared" si="1"/>
        <v>45754</v>
      </c>
      <c r="EU3" s="43">
        <f t="shared" si="1"/>
        <v>45755</v>
      </c>
      <c r="EV3" s="43">
        <f t="shared" si="1"/>
        <v>45756</v>
      </c>
      <c r="EW3" s="43">
        <f t="shared" si="1"/>
        <v>45757</v>
      </c>
      <c r="EX3" s="43">
        <f t="shared" si="1"/>
        <v>45758</v>
      </c>
      <c r="EY3" s="43">
        <f t="shared" si="1"/>
        <v>45759</v>
      </c>
      <c r="EZ3" s="43">
        <f t="shared" si="1"/>
        <v>45760</v>
      </c>
      <c r="FA3" s="43">
        <f t="shared" si="1"/>
        <v>45761</v>
      </c>
      <c r="FB3" s="43">
        <f t="shared" si="1"/>
        <v>45762</v>
      </c>
      <c r="FC3" s="43">
        <f t="shared" si="1"/>
        <v>45763</v>
      </c>
      <c r="FD3" s="43">
        <f t="shared" si="1"/>
        <v>45764</v>
      </c>
      <c r="FE3" s="43">
        <f t="shared" si="1"/>
        <v>45765</v>
      </c>
      <c r="FF3" s="43">
        <f t="shared" si="1"/>
        <v>45766</v>
      </c>
      <c r="FG3" s="43">
        <f t="shared" si="1"/>
        <v>45767</v>
      </c>
      <c r="FH3" s="43">
        <f t="shared" si="1"/>
        <v>45768</v>
      </c>
      <c r="FI3" s="43">
        <f t="shared" si="1"/>
        <v>45769</v>
      </c>
      <c r="FJ3" s="43">
        <f t="shared" si="1"/>
        <v>45770</v>
      </c>
      <c r="FK3" s="43">
        <f t="shared" si="1"/>
        <v>45771</v>
      </c>
      <c r="FL3" s="43">
        <f t="shared" si="1"/>
        <v>45772</v>
      </c>
      <c r="FM3" s="43">
        <f t="shared" si="1"/>
        <v>45773</v>
      </c>
      <c r="FN3" s="43">
        <f t="shared" si="1"/>
        <v>45774</v>
      </c>
      <c r="FO3" s="43">
        <f t="shared" si="1"/>
        <v>45775</v>
      </c>
      <c r="FP3" s="43">
        <f t="shared" si="1"/>
        <v>45776</v>
      </c>
      <c r="FQ3" s="45">
        <f t="shared" si="1"/>
        <v>45777</v>
      </c>
      <c r="FR3" s="46">
        <f t="shared" si="1"/>
        <v>45778</v>
      </c>
      <c r="FS3" s="43">
        <f t="shared" si="1"/>
        <v>45779</v>
      </c>
      <c r="FT3" s="43">
        <f t="shared" si="1"/>
        <v>45780</v>
      </c>
      <c r="FU3" s="43">
        <f t="shared" ref="FU3:IF3" si="2">DATE($H$1,FU1,FU2)</f>
        <v>45781</v>
      </c>
      <c r="FV3" s="43">
        <f t="shared" si="2"/>
        <v>45782</v>
      </c>
      <c r="FW3" s="43">
        <f t="shared" si="2"/>
        <v>45783</v>
      </c>
      <c r="FX3" s="43">
        <f t="shared" si="2"/>
        <v>45784</v>
      </c>
      <c r="FY3" s="43">
        <f t="shared" si="2"/>
        <v>45785</v>
      </c>
      <c r="FZ3" s="43">
        <f t="shared" si="2"/>
        <v>45786</v>
      </c>
      <c r="GA3" s="43">
        <f t="shared" si="2"/>
        <v>45787</v>
      </c>
      <c r="GB3" s="43">
        <f t="shared" si="2"/>
        <v>45788</v>
      </c>
      <c r="GC3" s="43">
        <f t="shared" si="2"/>
        <v>45789</v>
      </c>
      <c r="GD3" s="43">
        <f t="shared" si="2"/>
        <v>45790</v>
      </c>
      <c r="GE3" s="43">
        <f t="shared" si="2"/>
        <v>45791</v>
      </c>
      <c r="GF3" s="43">
        <f t="shared" si="2"/>
        <v>45792</v>
      </c>
      <c r="GG3" s="43">
        <f t="shared" si="2"/>
        <v>45793</v>
      </c>
      <c r="GH3" s="43">
        <f t="shared" si="2"/>
        <v>45794</v>
      </c>
      <c r="GI3" s="43">
        <f t="shared" si="2"/>
        <v>45795</v>
      </c>
      <c r="GJ3" s="43">
        <f t="shared" si="2"/>
        <v>45796</v>
      </c>
      <c r="GK3" s="43">
        <f t="shared" si="2"/>
        <v>45797</v>
      </c>
      <c r="GL3" s="43">
        <f t="shared" si="2"/>
        <v>45798</v>
      </c>
      <c r="GM3" s="43">
        <f t="shared" si="2"/>
        <v>45799</v>
      </c>
      <c r="GN3" s="43">
        <f t="shared" si="2"/>
        <v>45800</v>
      </c>
      <c r="GO3" s="43">
        <f t="shared" si="2"/>
        <v>45801</v>
      </c>
      <c r="GP3" s="43">
        <f t="shared" si="2"/>
        <v>45802</v>
      </c>
      <c r="GQ3" s="43">
        <f t="shared" si="2"/>
        <v>45803</v>
      </c>
      <c r="GR3" s="43">
        <f t="shared" si="2"/>
        <v>45804</v>
      </c>
      <c r="GS3" s="43">
        <f t="shared" si="2"/>
        <v>45805</v>
      </c>
      <c r="GT3" s="43">
        <f t="shared" si="2"/>
        <v>45806</v>
      </c>
      <c r="GU3" s="43">
        <f t="shared" si="2"/>
        <v>45807</v>
      </c>
      <c r="GV3" s="44">
        <f t="shared" si="2"/>
        <v>45808</v>
      </c>
      <c r="GW3" s="42">
        <f t="shared" si="2"/>
        <v>45809</v>
      </c>
      <c r="GX3" s="43">
        <f t="shared" si="2"/>
        <v>45810</v>
      </c>
      <c r="GY3" s="43">
        <f t="shared" si="2"/>
        <v>45811</v>
      </c>
      <c r="GZ3" s="43">
        <f t="shared" si="2"/>
        <v>45812</v>
      </c>
      <c r="HA3" s="43">
        <f t="shared" si="2"/>
        <v>45813</v>
      </c>
      <c r="HB3" s="43">
        <f t="shared" si="2"/>
        <v>45814</v>
      </c>
      <c r="HC3" s="43">
        <f t="shared" si="2"/>
        <v>45815</v>
      </c>
      <c r="HD3" s="43">
        <f t="shared" si="2"/>
        <v>45816</v>
      </c>
      <c r="HE3" s="43">
        <f t="shared" si="2"/>
        <v>45817</v>
      </c>
      <c r="HF3" s="43">
        <f t="shared" si="2"/>
        <v>45818</v>
      </c>
      <c r="HG3" s="43">
        <f t="shared" si="2"/>
        <v>45819</v>
      </c>
      <c r="HH3" s="43">
        <f t="shared" si="2"/>
        <v>45820</v>
      </c>
      <c r="HI3" s="43">
        <f t="shared" si="2"/>
        <v>45821</v>
      </c>
      <c r="HJ3" s="43">
        <f t="shared" si="2"/>
        <v>45822</v>
      </c>
      <c r="HK3" s="43">
        <f t="shared" si="2"/>
        <v>45823</v>
      </c>
      <c r="HL3" s="43">
        <f t="shared" si="2"/>
        <v>45824</v>
      </c>
      <c r="HM3" s="43">
        <f t="shared" si="2"/>
        <v>45825</v>
      </c>
      <c r="HN3" s="43">
        <f t="shared" si="2"/>
        <v>45826</v>
      </c>
      <c r="HO3" s="43">
        <f t="shared" si="2"/>
        <v>45827</v>
      </c>
      <c r="HP3" s="43">
        <f t="shared" si="2"/>
        <v>45828</v>
      </c>
      <c r="HQ3" s="43">
        <f t="shared" si="2"/>
        <v>45829</v>
      </c>
      <c r="HR3" s="43">
        <f t="shared" si="2"/>
        <v>45830</v>
      </c>
      <c r="HS3" s="43">
        <f t="shared" si="2"/>
        <v>45831</v>
      </c>
      <c r="HT3" s="43">
        <f t="shared" si="2"/>
        <v>45832</v>
      </c>
      <c r="HU3" s="43">
        <f t="shared" si="2"/>
        <v>45833</v>
      </c>
      <c r="HV3" s="43">
        <f t="shared" si="2"/>
        <v>45834</v>
      </c>
      <c r="HW3" s="43">
        <f t="shared" si="2"/>
        <v>45835</v>
      </c>
      <c r="HX3" s="43">
        <f t="shared" si="2"/>
        <v>45836</v>
      </c>
      <c r="HY3" s="43">
        <f t="shared" si="2"/>
        <v>45837</v>
      </c>
      <c r="HZ3" s="45">
        <f t="shared" si="2"/>
        <v>45838</v>
      </c>
      <c r="IA3" s="46">
        <f t="shared" si="2"/>
        <v>45839</v>
      </c>
      <c r="IB3" s="43">
        <f t="shared" si="2"/>
        <v>45840</v>
      </c>
      <c r="IC3" s="43">
        <f t="shared" si="2"/>
        <v>45841</v>
      </c>
      <c r="ID3" s="43">
        <f t="shared" si="2"/>
        <v>45842</v>
      </c>
      <c r="IE3" s="43">
        <f t="shared" si="2"/>
        <v>45843</v>
      </c>
      <c r="IF3" s="43">
        <f t="shared" si="2"/>
        <v>45844</v>
      </c>
      <c r="IG3" s="43">
        <f t="shared" ref="IG3:KR3" si="3">DATE($H$1,IG1,IG2)</f>
        <v>45845</v>
      </c>
      <c r="IH3" s="43">
        <f t="shared" si="3"/>
        <v>45846</v>
      </c>
      <c r="II3" s="43">
        <f t="shared" si="3"/>
        <v>45847</v>
      </c>
      <c r="IJ3" s="43">
        <f t="shared" si="3"/>
        <v>45848</v>
      </c>
      <c r="IK3" s="43">
        <f t="shared" si="3"/>
        <v>45849</v>
      </c>
      <c r="IL3" s="43">
        <f t="shared" si="3"/>
        <v>45850</v>
      </c>
      <c r="IM3" s="43">
        <f t="shared" si="3"/>
        <v>45851</v>
      </c>
      <c r="IN3" s="43">
        <f t="shared" si="3"/>
        <v>45852</v>
      </c>
      <c r="IO3" s="43">
        <f t="shared" si="3"/>
        <v>45853</v>
      </c>
      <c r="IP3" s="43">
        <f t="shared" si="3"/>
        <v>45854</v>
      </c>
      <c r="IQ3" s="43">
        <f t="shared" si="3"/>
        <v>45855</v>
      </c>
      <c r="IR3" s="43">
        <f t="shared" si="3"/>
        <v>45856</v>
      </c>
      <c r="IS3" s="43">
        <f t="shared" si="3"/>
        <v>45857</v>
      </c>
      <c r="IT3" s="43">
        <f t="shared" si="3"/>
        <v>45858</v>
      </c>
      <c r="IU3" s="43">
        <f t="shared" si="3"/>
        <v>45859</v>
      </c>
      <c r="IV3" s="43">
        <f t="shared" si="3"/>
        <v>45860</v>
      </c>
      <c r="IW3" s="43">
        <f t="shared" si="3"/>
        <v>45861</v>
      </c>
      <c r="IX3" s="43">
        <f t="shared" si="3"/>
        <v>45862</v>
      </c>
      <c r="IY3" s="43">
        <f t="shared" si="3"/>
        <v>45863</v>
      </c>
      <c r="IZ3" s="43">
        <f t="shared" si="3"/>
        <v>45864</v>
      </c>
      <c r="JA3" s="43">
        <f t="shared" si="3"/>
        <v>45865</v>
      </c>
      <c r="JB3" s="43">
        <f t="shared" si="3"/>
        <v>45866</v>
      </c>
      <c r="JC3" s="43">
        <f t="shared" si="3"/>
        <v>45867</v>
      </c>
      <c r="JD3" s="43">
        <f t="shared" si="3"/>
        <v>45868</v>
      </c>
      <c r="JE3" s="44">
        <f t="shared" si="3"/>
        <v>45869</v>
      </c>
      <c r="JF3" s="42">
        <f t="shared" si="3"/>
        <v>45870</v>
      </c>
      <c r="JG3" s="43">
        <f t="shared" si="3"/>
        <v>45871</v>
      </c>
      <c r="JH3" s="43">
        <f t="shared" si="3"/>
        <v>45872</v>
      </c>
      <c r="JI3" s="43">
        <f t="shared" si="3"/>
        <v>45873</v>
      </c>
      <c r="JJ3" s="43">
        <f t="shared" si="3"/>
        <v>45874</v>
      </c>
      <c r="JK3" s="43">
        <f t="shared" si="3"/>
        <v>45875</v>
      </c>
      <c r="JL3" s="43">
        <f t="shared" si="3"/>
        <v>45876</v>
      </c>
      <c r="JM3" s="43">
        <f t="shared" si="3"/>
        <v>45877</v>
      </c>
      <c r="JN3" s="43">
        <f t="shared" si="3"/>
        <v>45878</v>
      </c>
      <c r="JO3" s="43">
        <f t="shared" si="3"/>
        <v>45879</v>
      </c>
      <c r="JP3" s="43">
        <f t="shared" si="3"/>
        <v>45880</v>
      </c>
      <c r="JQ3" s="43">
        <f t="shared" si="3"/>
        <v>45881</v>
      </c>
      <c r="JR3" s="43">
        <f t="shared" si="3"/>
        <v>45882</v>
      </c>
      <c r="JS3" s="43">
        <f t="shared" si="3"/>
        <v>45883</v>
      </c>
      <c r="JT3" s="43">
        <f t="shared" si="3"/>
        <v>45884</v>
      </c>
      <c r="JU3" s="43">
        <f t="shared" si="3"/>
        <v>45885</v>
      </c>
      <c r="JV3" s="43">
        <f t="shared" si="3"/>
        <v>45886</v>
      </c>
      <c r="JW3" s="43">
        <f t="shared" si="3"/>
        <v>45887</v>
      </c>
      <c r="JX3" s="43">
        <f t="shared" si="3"/>
        <v>45888</v>
      </c>
      <c r="JY3" s="43">
        <f t="shared" si="3"/>
        <v>45889</v>
      </c>
      <c r="JZ3" s="43">
        <f t="shared" si="3"/>
        <v>45890</v>
      </c>
      <c r="KA3" s="43">
        <f t="shared" si="3"/>
        <v>45891</v>
      </c>
      <c r="KB3" s="43">
        <f t="shared" si="3"/>
        <v>45892</v>
      </c>
      <c r="KC3" s="43">
        <f t="shared" si="3"/>
        <v>45893</v>
      </c>
      <c r="KD3" s="43">
        <f t="shared" si="3"/>
        <v>45894</v>
      </c>
      <c r="KE3" s="43">
        <f t="shared" si="3"/>
        <v>45895</v>
      </c>
      <c r="KF3" s="43">
        <f t="shared" si="3"/>
        <v>45896</v>
      </c>
      <c r="KG3" s="43">
        <f t="shared" si="3"/>
        <v>45897</v>
      </c>
      <c r="KH3" s="43">
        <f t="shared" si="3"/>
        <v>45898</v>
      </c>
      <c r="KI3" s="43">
        <f t="shared" si="3"/>
        <v>45899</v>
      </c>
      <c r="KJ3" s="45">
        <f t="shared" si="3"/>
        <v>45900</v>
      </c>
      <c r="KK3" s="46">
        <f t="shared" si="3"/>
        <v>45901</v>
      </c>
      <c r="KL3" s="43">
        <f t="shared" si="3"/>
        <v>45902</v>
      </c>
      <c r="KM3" s="43">
        <f t="shared" si="3"/>
        <v>45903</v>
      </c>
      <c r="KN3" s="43">
        <f t="shared" si="3"/>
        <v>45904</v>
      </c>
      <c r="KO3" s="43">
        <f t="shared" si="3"/>
        <v>45905</v>
      </c>
      <c r="KP3" s="43">
        <f t="shared" si="3"/>
        <v>45906</v>
      </c>
      <c r="KQ3" s="43">
        <f t="shared" si="3"/>
        <v>45907</v>
      </c>
      <c r="KR3" s="43">
        <f t="shared" si="3"/>
        <v>45908</v>
      </c>
      <c r="KS3" s="43">
        <f t="shared" ref="KS3:ND3" si="4">DATE($H$1,KS1,KS2)</f>
        <v>45909</v>
      </c>
      <c r="KT3" s="43">
        <f t="shared" si="4"/>
        <v>45910</v>
      </c>
      <c r="KU3" s="43">
        <f t="shared" si="4"/>
        <v>45911</v>
      </c>
      <c r="KV3" s="43">
        <f t="shared" si="4"/>
        <v>45912</v>
      </c>
      <c r="KW3" s="43">
        <f t="shared" si="4"/>
        <v>45913</v>
      </c>
      <c r="KX3" s="43">
        <f t="shared" si="4"/>
        <v>45914</v>
      </c>
      <c r="KY3" s="43">
        <f t="shared" si="4"/>
        <v>45915</v>
      </c>
      <c r="KZ3" s="43">
        <f t="shared" si="4"/>
        <v>45916</v>
      </c>
      <c r="LA3" s="43">
        <f t="shared" si="4"/>
        <v>45917</v>
      </c>
      <c r="LB3" s="43">
        <f t="shared" si="4"/>
        <v>45918</v>
      </c>
      <c r="LC3" s="43">
        <f t="shared" si="4"/>
        <v>45919</v>
      </c>
      <c r="LD3" s="43">
        <f t="shared" si="4"/>
        <v>45920</v>
      </c>
      <c r="LE3" s="43">
        <f t="shared" si="4"/>
        <v>45921</v>
      </c>
      <c r="LF3" s="43">
        <f t="shared" si="4"/>
        <v>45922</v>
      </c>
      <c r="LG3" s="43">
        <f t="shared" si="4"/>
        <v>45923</v>
      </c>
      <c r="LH3" s="43">
        <f t="shared" si="4"/>
        <v>45924</v>
      </c>
      <c r="LI3" s="43">
        <f t="shared" si="4"/>
        <v>45925</v>
      </c>
      <c r="LJ3" s="43">
        <f t="shared" si="4"/>
        <v>45926</v>
      </c>
      <c r="LK3" s="43">
        <f t="shared" si="4"/>
        <v>45927</v>
      </c>
      <c r="LL3" s="43">
        <f t="shared" si="4"/>
        <v>45928</v>
      </c>
      <c r="LM3" s="43">
        <f t="shared" si="4"/>
        <v>45929</v>
      </c>
      <c r="LN3" s="44">
        <f t="shared" si="4"/>
        <v>45930</v>
      </c>
      <c r="LO3" s="42">
        <f t="shared" si="4"/>
        <v>45931</v>
      </c>
      <c r="LP3" s="43">
        <f t="shared" si="4"/>
        <v>45932</v>
      </c>
      <c r="LQ3" s="43">
        <f t="shared" si="4"/>
        <v>45933</v>
      </c>
      <c r="LR3" s="43">
        <f t="shared" si="4"/>
        <v>45934</v>
      </c>
      <c r="LS3" s="43">
        <f t="shared" si="4"/>
        <v>45935</v>
      </c>
      <c r="LT3" s="43">
        <f t="shared" si="4"/>
        <v>45936</v>
      </c>
      <c r="LU3" s="43">
        <f t="shared" si="4"/>
        <v>45937</v>
      </c>
      <c r="LV3" s="43">
        <f t="shared" si="4"/>
        <v>45938</v>
      </c>
      <c r="LW3" s="43">
        <f t="shared" si="4"/>
        <v>45939</v>
      </c>
      <c r="LX3" s="43">
        <f t="shared" si="4"/>
        <v>45940</v>
      </c>
      <c r="LY3" s="43">
        <f t="shared" si="4"/>
        <v>45941</v>
      </c>
      <c r="LZ3" s="43">
        <f t="shared" si="4"/>
        <v>45942</v>
      </c>
      <c r="MA3" s="43">
        <f t="shared" si="4"/>
        <v>45943</v>
      </c>
      <c r="MB3" s="43">
        <f t="shared" si="4"/>
        <v>45944</v>
      </c>
      <c r="MC3" s="43">
        <f t="shared" si="4"/>
        <v>45945</v>
      </c>
      <c r="MD3" s="43">
        <f t="shared" si="4"/>
        <v>45946</v>
      </c>
      <c r="ME3" s="43">
        <f t="shared" si="4"/>
        <v>45947</v>
      </c>
      <c r="MF3" s="43">
        <f t="shared" si="4"/>
        <v>45948</v>
      </c>
      <c r="MG3" s="43">
        <f t="shared" si="4"/>
        <v>45949</v>
      </c>
      <c r="MH3" s="43">
        <f t="shared" si="4"/>
        <v>45950</v>
      </c>
      <c r="MI3" s="43">
        <f t="shared" si="4"/>
        <v>45951</v>
      </c>
      <c r="MJ3" s="43">
        <f t="shared" si="4"/>
        <v>45952</v>
      </c>
      <c r="MK3" s="43">
        <f t="shared" si="4"/>
        <v>45953</v>
      </c>
      <c r="ML3" s="43">
        <f t="shared" si="4"/>
        <v>45954</v>
      </c>
      <c r="MM3" s="43">
        <f t="shared" si="4"/>
        <v>45955</v>
      </c>
      <c r="MN3" s="43">
        <f t="shared" si="4"/>
        <v>45956</v>
      </c>
      <c r="MO3" s="43">
        <f t="shared" si="4"/>
        <v>45957</v>
      </c>
      <c r="MP3" s="43">
        <f t="shared" si="4"/>
        <v>45958</v>
      </c>
      <c r="MQ3" s="43">
        <f t="shared" si="4"/>
        <v>45959</v>
      </c>
      <c r="MR3" s="43">
        <f t="shared" si="4"/>
        <v>45960</v>
      </c>
      <c r="MS3" s="45">
        <f t="shared" si="4"/>
        <v>45961</v>
      </c>
      <c r="MT3" s="46">
        <f t="shared" si="4"/>
        <v>45962</v>
      </c>
      <c r="MU3" s="43">
        <f t="shared" si="4"/>
        <v>45963</v>
      </c>
      <c r="MV3" s="43">
        <f t="shared" si="4"/>
        <v>45964</v>
      </c>
      <c r="MW3" s="43">
        <f t="shared" si="4"/>
        <v>45965</v>
      </c>
      <c r="MX3" s="43">
        <f t="shared" si="4"/>
        <v>45966</v>
      </c>
      <c r="MY3" s="43">
        <f t="shared" si="4"/>
        <v>45967</v>
      </c>
      <c r="MZ3" s="43">
        <f t="shared" si="4"/>
        <v>45968</v>
      </c>
      <c r="NA3" s="43">
        <f t="shared" si="4"/>
        <v>45969</v>
      </c>
      <c r="NB3" s="43">
        <f t="shared" si="4"/>
        <v>45970</v>
      </c>
      <c r="NC3" s="43">
        <f t="shared" si="4"/>
        <v>45971</v>
      </c>
      <c r="ND3" s="43">
        <f t="shared" si="4"/>
        <v>45972</v>
      </c>
      <c r="NE3" s="43">
        <f t="shared" ref="NE3:PB3" si="5">DATE($H$1,NE1,NE2)</f>
        <v>45973</v>
      </c>
      <c r="NF3" s="43">
        <f t="shared" si="5"/>
        <v>45974</v>
      </c>
      <c r="NG3" s="43">
        <f t="shared" si="5"/>
        <v>45975</v>
      </c>
      <c r="NH3" s="43">
        <f t="shared" si="5"/>
        <v>45976</v>
      </c>
      <c r="NI3" s="43">
        <f t="shared" si="5"/>
        <v>45977</v>
      </c>
      <c r="NJ3" s="43">
        <f t="shared" si="5"/>
        <v>45978</v>
      </c>
      <c r="NK3" s="43">
        <f t="shared" si="5"/>
        <v>45979</v>
      </c>
      <c r="NL3" s="43">
        <f t="shared" si="5"/>
        <v>45980</v>
      </c>
      <c r="NM3" s="43">
        <f t="shared" si="5"/>
        <v>45981</v>
      </c>
      <c r="NN3" s="43">
        <f t="shared" si="5"/>
        <v>45982</v>
      </c>
      <c r="NO3" s="43">
        <f t="shared" si="5"/>
        <v>45983</v>
      </c>
      <c r="NP3" s="43">
        <f t="shared" si="5"/>
        <v>45984</v>
      </c>
      <c r="NQ3" s="43">
        <f t="shared" si="5"/>
        <v>45985</v>
      </c>
      <c r="NR3" s="43">
        <f t="shared" si="5"/>
        <v>45986</v>
      </c>
      <c r="NS3" s="43">
        <f t="shared" si="5"/>
        <v>45987</v>
      </c>
      <c r="NT3" s="43">
        <f t="shared" si="5"/>
        <v>45988</v>
      </c>
      <c r="NU3" s="43">
        <f t="shared" si="5"/>
        <v>45989</v>
      </c>
      <c r="NV3" s="43">
        <f t="shared" si="5"/>
        <v>45990</v>
      </c>
      <c r="NW3" s="44">
        <f t="shared" si="5"/>
        <v>45991</v>
      </c>
      <c r="NX3" s="42">
        <f t="shared" si="5"/>
        <v>45992</v>
      </c>
      <c r="NY3" s="43">
        <f t="shared" si="5"/>
        <v>45993</v>
      </c>
      <c r="NZ3" s="43">
        <f t="shared" si="5"/>
        <v>45994</v>
      </c>
      <c r="OA3" s="43">
        <f t="shared" si="5"/>
        <v>45995</v>
      </c>
      <c r="OB3" s="43">
        <f t="shared" si="5"/>
        <v>45996</v>
      </c>
      <c r="OC3" s="43">
        <f t="shared" si="5"/>
        <v>45997</v>
      </c>
      <c r="OD3" s="43">
        <f t="shared" si="5"/>
        <v>45998</v>
      </c>
      <c r="OE3" s="43">
        <f t="shared" si="5"/>
        <v>45999</v>
      </c>
      <c r="OF3" s="43">
        <f t="shared" si="5"/>
        <v>46000</v>
      </c>
      <c r="OG3" s="43">
        <f t="shared" si="5"/>
        <v>46001</v>
      </c>
      <c r="OH3" s="43">
        <f t="shared" si="5"/>
        <v>46002</v>
      </c>
      <c r="OI3" s="43">
        <f t="shared" si="5"/>
        <v>46003</v>
      </c>
      <c r="OJ3" s="43">
        <f t="shared" si="5"/>
        <v>46004</v>
      </c>
      <c r="OK3" s="43">
        <f t="shared" si="5"/>
        <v>46005</v>
      </c>
      <c r="OL3" s="43">
        <f t="shared" si="5"/>
        <v>46006</v>
      </c>
      <c r="OM3" s="43">
        <f t="shared" si="5"/>
        <v>46007</v>
      </c>
      <c r="ON3" s="43">
        <f t="shared" si="5"/>
        <v>46008</v>
      </c>
      <c r="OO3" s="43">
        <f t="shared" si="5"/>
        <v>46009</v>
      </c>
      <c r="OP3" s="43">
        <f t="shared" si="5"/>
        <v>46010</v>
      </c>
      <c r="OQ3" s="43">
        <f t="shared" si="5"/>
        <v>46011</v>
      </c>
      <c r="OR3" s="43">
        <f t="shared" si="5"/>
        <v>46012</v>
      </c>
      <c r="OS3" s="43">
        <f t="shared" si="5"/>
        <v>46013</v>
      </c>
      <c r="OT3" s="43">
        <f t="shared" si="5"/>
        <v>46014</v>
      </c>
      <c r="OU3" s="43">
        <f t="shared" si="5"/>
        <v>46015</v>
      </c>
      <c r="OV3" s="43">
        <f t="shared" si="5"/>
        <v>46016</v>
      </c>
      <c r="OW3" s="43">
        <f t="shared" si="5"/>
        <v>46017</v>
      </c>
      <c r="OX3" s="43">
        <f t="shared" si="5"/>
        <v>46018</v>
      </c>
      <c r="OY3" s="43">
        <f t="shared" si="5"/>
        <v>46019</v>
      </c>
      <c r="OZ3" s="43">
        <f t="shared" si="5"/>
        <v>46020</v>
      </c>
      <c r="PA3" s="43">
        <f t="shared" si="5"/>
        <v>46021</v>
      </c>
      <c r="PB3" s="45">
        <f t="shared" si="5"/>
        <v>46022</v>
      </c>
      <c r="PC3" s="47"/>
      <c r="PD3" s="48" t="s">
        <v>26</v>
      </c>
      <c r="PE3" s="49" t="s">
        <v>27</v>
      </c>
      <c r="PF3" s="49" t="s">
        <v>28</v>
      </c>
      <c r="PG3" s="50" t="s">
        <v>29</v>
      </c>
      <c r="PH3" s="51" t="s">
        <v>30</v>
      </c>
      <c r="PI3" s="51" t="s">
        <v>21</v>
      </c>
      <c r="PJ3" s="52" t="s">
        <v>31</v>
      </c>
      <c r="PK3" s="52" t="s">
        <v>32</v>
      </c>
      <c r="PL3" s="52" t="s">
        <v>33</v>
      </c>
      <c r="PM3" s="52" t="s">
        <v>34</v>
      </c>
      <c r="PN3" s="52" t="s">
        <v>35</v>
      </c>
      <c r="PO3" s="53" t="s">
        <v>25</v>
      </c>
      <c r="PP3" s="53"/>
      <c r="PQ3" s="53" t="s">
        <v>25</v>
      </c>
      <c r="PR3" s="53" t="s">
        <v>25</v>
      </c>
      <c r="PS3" s="53" t="s">
        <v>25</v>
      </c>
      <c r="PT3" s="53" t="s">
        <v>25</v>
      </c>
      <c r="PU3" s="53" t="s">
        <v>25</v>
      </c>
      <c r="PV3" s="53" t="s">
        <v>25</v>
      </c>
      <c r="PW3" s="53"/>
      <c r="PX3" s="54" t="s">
        <v>25</v>
      </c>
      <c r="PY3" s="1"/>
      <c r="PZ3" s="55" t="s">
        <v>36</v>
      </c>
      <c r="QA3" s="56"/>
      <c r="QB3" s="57"/>
      <c r="QC3" s="58" t="s">
        <v>37</v>
      </c>
      <c r="QD3" s="59"/>
      <c r="QE3" s="60"/>
      <c r="QF3" s="55" t="s">
        <v>38</v>
      </c>
      <c r="QG3" s="56"/>
      <c r="QH3" s="57"/>
      <c r="QI3" s="58" t="s">
        <v>39</v>
      </c>
      <c r="QJ3" s="59"/>
      <c r="QK3" s="60"/>
      <c r="QL3" s="55" t="s">
        <v>40</v>
      </c>
      <c r="QM3" s="56"/>
      <c r="QN3" s="57"/>
      <c r="QO3" s="58" t="s">
        <v>41</v>
      </c>
      <c r="QP3" s="59"/>
      <c r="QQ3" s="60"/>
      <c r="QR3" s="55" t="s">
        <v>42</v>
      </c>
      <c r="QS3" s="56"/>
      <c r="QT3" s="57"/>
      <c r="QU3" s="58" t="s">
        <v>43</v>
      </c>
      <c r="QV3" s="59"/>
      <c r="QW3" s="60"/>
      <c r="QX3" s="55" t="s">
        <v>44</v>
      </c>
      <c r="QY3" s="56"/>
      <c r="QZ3" s="57"/>
      <c r="RA3" s="58" t="s">
        <v>45</v>
      </c>
      <c r="RB3" s="59"/>
      <c r="RC3" s="60"/>
      <c r="RD3" s="55" t="s">
        <v>46</v>
      </c>
      <c r="RE3" s="56"/>
      <c r="RF3" s="57"/>
      <c r="RG3" s="58" t="s">
        <v>47</v>
      </c>
      <c r="RH3" s="59"/>
      <c r="RI3" s="61"/>
      <c r="RJ3" s="62" t="s">
        <v>48</v>
      </c>
      <c r="RK3" s="63"/>
      <c r="RL3" s="62" t="s">
        <v>49</v>
      </c>
      <c r="RM3" s="63"/>
      <c r="RN3" s="62" t="s">
        <v>50</v>
      </c>
      <c r="RO3" s="63"/>
      <c r="RP3" s="62" t="s">
        <v>51</v>
      </c>
      <c r="RQ3" s="63"/>
      <c r="RR3" s="64">
        <f>H1</f>
        <v>2025</v>
      </c>
      <c r="RS3" s="65"/>
      <c r="RT3" s="66"/>
      <c r="RU3" s="67" t="s">
        <v>52</v>
      </c>
      <c r="RV3" s="68"/>
      <c r="RW3" s="68"/>
      <c r="RX3" s="68"/>
      <c r="RY3" s="68"/>
      <c r="RZ3" s="69"/>
    </row>
    <row r="4" spans="1:494" ht="15" customHeight="1" x14ac:dyDescent="0.35">
      <c r="B4" s="70" t="s">
        <v>53</v>
      </c>
      <c r="C4" s="71" t="s">
        <v>54</v>
      </c>
      <c r="D4" s="72"/>
      <c r="E4" s="72"/>
      <c r="F4" s="72"/>
      <c r="G4" s="72"/>
      <c r="H4" s="72"/>
      <c r="I4" s="72"/>
      <c r="J4" s="73"/>
      <c r="K4" s="74" t="s">
        <v>55</v>
      </c>
      <c r="L4" s="75" t="s">
        <v>56</v>
      </c>
      <c r="M4" s="76" t="s">
        <v>57</v>
      </c>
      <c r="N4" s="77"/>
      <c r="O4" s="77"/>
      <c r="P4" s="77"/>
      <c r="Q4" s="77"/>
      <c r="R4" s="77"/>
      <c r="S4" s="77"/>
      <c r="T4" s="77"/>
      <c r="U4" s="77"/>
      <c r="V4" s="78"/>
      <c r="W4" s="79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  <c r="AL4" s="80"/>
      <c r="AM4" s="80"/>
      <c r="AN4" s="80"/>
      <c r="AO4" s="80"/>
      <c r="AP4" s="80"/>
      <c r="AQ4" s="80"/>
      <c r="AR4" s="80"/>
      <c r="AS4" s="80"/>
      <c r="AT4" s="80"/>
      <c r="AU4" s="80"/>
      <c r="AV4" s="80"/>
      <c r="AW4" s="80"/>
      <c r="AX4" s="80"/>
      <c r="AY4" s="80"/>
      <c r="AZ4" s="81"/>
      <c r="BA4" s="82" t="s">
        <v>36</v>
      </c>
      <c r="BB4" s="83"/>
      <c r="BC4" s="83"/>
      <c r="BD4" s="83"/>
      <c r="BE4" s="83"/>
      <c r="BF4" s="83"/>
      <c r="BG4" s="83"/>
      <c r="BH4" s="83"/>
      <c r="BI4" s="83"/>
      <c r="BJ4" s="83"/>
      <c r="BK4" s="83"/>
      <c r="BL4" s="83"/>
      <c r="BM4" s="83"/>
      <c r="BN4" s="83"/>
      <c r="BO4" s="83"/>
      <c r="BP4" s="83"/>
      <c r="BQ4" s="83"/>
      <c r="BR4" s="83"/>
      <c r="BS4" s="83"/>
      <c r="BT4" s="83"/>
      <c r="BU4" s="83"/>
      <c r="BV4" s="83"/>
      <c r="BW4" s="83"/>
      <c r="BX4" s="83"/>
      <c r="BY4" s="83"/>
      <c r="BZ4" s="83"/>
      <c r="CA4" s="83"/>
      <c r="CB4" s="83"/>
      <c r="CC4" s="83"/>
      <c r="CD4" s="83"/>
      <c r="CE4" s="83"/>
      <c r="CF4" s="84" t="s">
        <v>37</v>
      </c>
      <c r="CG4" s="85"/>
      <c r="CH4" s="85"/>
      <c r="CI4" s="85"/>
      <c r="CJ4" s="85"/>
      <c r="CK4" s="85"/>
      <c r="CL4" s="85"/>
      <c r="CM4" s="85"/>
      <c r="CN4" s="85"/>
      <c r="CO4" s="85"/>
      <c r="CP4" s="85"/>
      <c r="CQ4" s="85"/>
      <c r="CR4" s="85"/>
      <c r="CS4" s="85"/>
      <c r="CT4" s="85"/>
      <c r="CU4" s="85"/>
      <c r="CV4" s="85"/>
      <c r="CW4" s="85"/>
      <c r="CX4" s="85"/>
      <c r="CY4" s="85"/>
      <c r="CZ4" s="85"/>
      <c r="DA4" s="85"/>
      <c r="DB4" s="85"/>
      <c r="DC4" s="85"/>
      <c r="DD4" s="85"/>
      <c r="DE4" s="85"/>
      <c r="DF4" s="85"/>
      <c r="DG4" s="85"/>
      <c r="DH4" s="86"/>
      <c r="DI4" s="85" t="s">
        <v>38</v>
      </c>
      <c r="DJ4" s="85"/>
      <c r="DK4" s="85"/>
      <c r="DL4" s="85"/>
      <c r="DM4" s="85"/>
      <c r="DN4" s="85"/>
      <c r="DO4" s="85"/>
      <c r="DP4" s="85"/>
      <c r="DQ4" s="85"/>
      <c r="DR4" s="85"/>
      <c r="DS4" s="85"/>
      <c r="DT4" s="85"/>
      <c r="DU4" s="85"/>
      <c r="DV4" s="85"/>
      <c r="DW4" s="85"/>
      <c r="DX4" s="85"/>
      <c r="DY4" s="85"/>
      <c r="DZ4" s="85"/>
      <c r="EA4" s="85"/>
      <c r="EB4" s="85"/>
      <c r="EC4" s="85"/>
      <c r="ED4" s="85"/>
      <c r="EE4" s="85"/>
      <c r="EF4" s="85"/>
      <c r="EG4" s="85"/>
      <c r="EH4" s="85"/>
      <c r="EI4" s="85"/>
      <c r="EJ4" s="85"/>
      <c r="EK4" s="85"/>
      <c r="EL4" s="85"/>
      <c r="EM4" s="85"/>
      <c r="EN4" s="84" t="s">
        <v>39</v>
      </c>
      <c r="EO4" s="85"/>
      <c r="EP4" s="85"/>
      <c r="EQ4" s="85"/>
      <c r="ER4" s="85"/>
      <c r="ES4" s="85"/>
      <c r="ET4" s="85"/>
      <c r="EU4" s="85"/>
      <c r="EV4" s="85"/>
      <c r="EW4" s="85"/>
      <c r="EX4" s="85"/>
      <c r="EY4" s="85"/>
      <c r="EZ4" s="85"/>
      <c r="FA4" s="85"/>
      <c r="FB4" s="85"/>
      <c r="FC4" s="85"/>
      <c r="FD4" s="85"/>
      <c r="FE4" s="85"/>
      <c r="FF4" s="85"/>
      <c r="FG4" s="85"/>
      <c r="FH4" s="85"/>
      <c r="FI4" s="85"/>
      <c r="FJ4" s="85"/>
      <c r="FK4" s="85"/>
      <c r="FL4" s="85"/>
      <c r="FM4" s="85"/>
      <c r="FN4" s="85"/>
      <c r="FO4" s="85"/>
      <c r="FP4" s="85"/>
      <c r="FQ4" s="86"/>
      <c r="FR4" s="85" t="s">
        <v>40</v>
      </c>
      <c r="FS4" s="85"/>
      <c r="FT4" s="85"/>
      <c r="FU4" s="85"/>
      <c r="FV4" s="85"/>
      <c r="FW4" s="85"/>
      <c r="FX4" s="85"/>
      <c r="FY4" s="85"/>
      <c r="FZ4" s="85"/>
      <c r="GA4" s="85"/>
      <c r="GB4" s="85"/>
      <c r="GC4" s="85"/>
      <c r="GD4" s="85"/>
      <c r="GE4" s="85"/>
      <c r="GF4" s="85"/>
      <c r="GG4" s="85"/>
      <c r="GH4" s="85"/>
      <c r="GI4" s="85"/>
      <c r="GJ4" s="85"/>
      <c r="GK4" s="85"/>
      <c r="GL4" s="85"/>
      <c r="GM4" s="85"/>
      <c r="GN4" s="85"/>
      <c r="GO4" s="85"/>
      <c r="GP4" s="85"/>
      <c r="GQ4" s="85"/>
      <c r="GR4" s="85"/>
      <c r="GS4" s="85"/>
      <c r="GT4" s="85"/>
      <c r="GU4" s="85"/>
      <c r="GV4" s="85"/>
      <c r="GW4" s="84" t="s">
        <v>41</v>
      </c>
      <c r="GX4" s="85"/>
      <c r="GY4" s="85"/>
      <c r="GZ4" s="85"/>
      <c r="HA4" s="85"/>
      <c r="HB4" s="85"/>
      <c r="HC4" s="85"/>
      <c r="HD4" s="85"/>
      <c r="HE4" s="85"/>
      <c r="HF4" s="85"/>
      <c r="HG4" s="85"/>
      <c r="HH4" s="85"/>
      <c r="HI4" s="85"/>
      <c r="HJ4" s="85"/>
      <c r="HK4" s="85"/>
      <c r="HL4" s="85"/>
      <c r="HM4" s="85"/>
      <c r="HN4" s="85"/>
      <c r="HO4" s="85"/>
      <c r="HP4" s="85"/>
      <c r="HQ4" s="85"/>
      <c r="HR4" s="85"/>
      <c r="HS4" s="85"/>
      <c r="HT4" s="85"/>
      <c r="HU4" s="85"/>
      <c r="HV4" s="85"/>
      <c r="HW4" s="85"/>
      <c r="HX4" s="85"/>
      <c r="HY4" s="85"/>
      <c r="HZ4" s="86"/>
      <c r="IA4" s="85" t="s">
        <v>42</v>
      </c>
      <c r="IB4" s="85"/>
      <c r="IC4" s="85"/>
      <c r="ID4" s="85"/>
      <c r="IE4" s="85"/>
      <c r="IF4" s="85"/>
      <c r="IG4" s="85"/>
      <c r="IH4" s="85"/>
      <c r="II4" s="85"/>
      <c r="IJ4" s="85"/>
      <c r="IK4" s="85"/>
      <c r="IL4" s="85"/>
      <c r="IM4" s="85"/>
      <c r="IN4" s="85"/>
      <c r="IO4" s="85"/>
      <c r="IP4" s="85"/>
      <c r="IQ4" s="85"/>
      <c r="IR4" s="85"/>
      <c r="IS4" s="85"/>
      <c r="IT4" s="85"/>
      <c r="IU4" s="85"/>
      <c r="IV4" s="85"/>
      <c r="IW4" s="85"/>
      <c r="IX4" s="85"/>
      <c r="IY4" s="85"/>
      <c r="IZ4" s="85"/>
      <c r="JA4" s="85"/>
      <c r="JB4" s="85"/>
      <c r="JC4" s="85"/>
      <c r="JD4" s="85"/>
      <c r="JE4" s="85"/>
      <c r="JF4" s="84" t="s">
        <v>43</v>
      </c>
      <c r="JG4" s="85"/>
      <c r="JH4" s="85"/>
      <c r="JI4" s="85"/>
      <c r="JJ4" s="85"/>
      <c r="JK4" s="85"/>
      <c r="JL4" s="85"/>
      <c r="JM4" s="85"/>
      <c r="JN4" s="85"/>
      <c r="JO4" s="85"/>
      <c r="JP4" s="85"/>
      <c r="JQ4" s="85"/>
      <c r="JR4" s="85"/>
      <c r="JS4" s="85"/>
      <c r="JT4" s="85"/>
      <c r="JU4" s="85"/>
      <c r="JV4" s="85"/>
      <c r="JW4" s="85"/>
      <c r="JX4" s="85"/>
      <c r="JY4" s="85"/>
      <c r="JZ4" s="85"/>
      <c r="KA4" s="85"/>
      <c r="KB4" s="85"/>
      <c r="KC4" s="85"/>
      <c r="KD4" s="85"/>
      <c r="KE4" s="85"/>
      <c r="KF4" s="85"/>
      <c r="KG4" s="85"/>
      <c r="KH4" s="85"/>
      <c r="KI4" s="85"/>
      <c r="KJ4" s="86"/>
      <c r="KK4" s="85" t="s">
        <v>44</v>
      </c>
      <c r="KL4" s="85"/>
      <c r="KM4" s="85"/>
      <c r="KN4" s="85"/>
      <c r="KO4" s="85"/>
      <c r="KP4" s="85"/>
      <c r="KQ4" s="85"/>
      <c r="KR4" s="85"/>
      <c r="KS4" s="85"/>
      <c r="KT4" s="85"/>
      <c r="KU4" s="85"/>
      <c r="KV4" s="85"/>
      <c r="KW4" s="85"/>
      <c r="KX4" s="85"/>
      <c r="KY4" s="85"/>
      <c r="KZ4" s="85"/>
      <c r="LA4" s="85"/>
      <c r="LB4" s="85"/>
      <c r="LC4" s="85"/>
      <c r="LD4" s="85"/>
      <c r="LE4" s="85"/>
      <c r="LF4" s="85"/>
      <c r="LG4" s="85"/>
      <c r="LH4" s="85"/>
      <c r="LI4" s="85"/>
      <c r="LJ4" s="85"/>
      <c r="LK4" s="85"/>
      <c r="LL4" s="85"/>
      <c r="LM4" s="85"/>
      <c r="LN4" s="85"/>
      <c r="LO4" s="84" t="s">
        <v>45</v>
      </c>
      <c r="LP4" s="85"/>
      <c r="LQ4" s="85"/>
      <c r="LR4" s="85"/>
      <c r="LS4" s="85"/>
      <c r="LT4" s="85"/>
      <c r="LU4" s="85"/>
      <c r="LV4" s="85"/>
      <c r="LW4" s="85"/>
      <c r="LX4" s="85"/>
      <c r="LY4" s="85"/>
      <c r="LZ4" s="85"/>
      <c r="MA4" s="85"/>
      <c r="MB4" s="85"/>
      <c r="MC4" s="85"/>
      <c r="MD4" s="85"/>
      <c r="ME4" s="85"/>
      <c r="MF4" s="85"/>
      <c r="MG4" s="85"/>
      <c r="MH4" s="85"/>
      <c r="MI4" s="85"/>
      <c r="MJ4" s="85"/>
      <c r="MK4" s="85"/>
      <c r="ML4" s="85"/>
      <c r="MM4" s="85"/>
      <c r="MN4" s="85"/>
      <c r="MO4" s="85"/>
      <c r="MP4" s="85"/>
      <c r="MQ4" s="85"/>
      <c r="MR4" s="85"/>
      <c r="MS4" s="86"/>
      <c r="MT4" s="85" t="s">
        <v>46</v>
      </c>
      <c r="MU4" s="85"/>
      <c r="MV4" s="85"/>
      <c r="MW4" s="85"/>
      <c r="MX4" s="85"/>
      <c r="MY4" s="85"/>
      <c r="MZ4" s="85"/>
      <c r="NA4" s="85"/>
      <c r="NB4" s="85"/>
      <c r="NC4" s="85"/>
      <c r="ND4" s="85"/>
      <c r="NE4" s="85"/>
      <c r="NF4" s="85"/>
      <c r="NG4" s="85"/>
      <c r="NH4" s="85"/>
      <c r="NI4" s="85"/>
      <c r="NJ4" s="85"/>
      <c r="NK4" s="85"/>
      <c r="NL4" s="85"/>
      <c r="NM4" s="85"/>
      <c r="NN4" s="85"/>
      <c r="NO4" s="85"/>
      <c r="NP4" s="85"/>
      <c r="NQ4" s="85"/>
      <c r="NR4" s="85"/>
      <c r="NS4" s="85"/>
      <c r="NT4" s="85"/>
      <c r="NU4" s="85"/>
      <c r="NV4" s="85"/>
      <c r="NW4" s="85"/>
      <c r="NX4" s="84" t="s">
        <v>47</v>
      </c>
      <c r="NY4" s="85"/>
      <c r="NZ4" s="85"/>
      <c r="OA4" s="85"/>
      <c r="OB4" s="85"/>
      <c r="OC4" s="85"/>
      <c r="OD4" s="85"/>
      <c r="OE4" s="85"/>
      <c r="OF4" s="85"/>
      <c r="OG4" s="85"/>
      <c r="OH4" s="85"/>
      <c r="OI4" s="85"/>
      <c r="OJ4" s="85"/>
      <c r="OK4" s="85"/>
      <c r="OL4" s="85"/>
      <c r="OM4" s="85"/>
      <c r="ON4" s="85"/>
      <c r="OO4" s="85"/>
      <c r="OP4" s="85"/>
      <c r="OQ4" s="85"/>
      <c r="OR4" s="85"/>
      <c r="OS4" s="85"/>
      <c r="OT4" s="85"/>
      <c r="OU4" s="85"/>
      <c r="OV4" s="85"/>
      <c r="OW4" s="85"/>
      <c r="OX4" s="85"/>
      <c r="OY4" s="85"/>
      <c r="OZ4" s="85"/>
      <c r="PA4" s="85"/>
      <c r="PB4" s="86"/>
      <c r="PC4" s="47"/>
      <c r="PD4" s="87"/>
      <c r="PE4" s="88"/>
      <c r="PF4" s="88"/>
      <c r="PG4" s="88"/>
      <c r="PH4" s="89"/>
      <c r="PI4" s="89"/>
      <c r="PJ4" s="89"/>
      <c r="PK4" s="89"/>
      <c r="PL4" s="89"/>
      <c r="PM4" s="89"/>
      <c r="PN4" s="89"/>
      <c r="PO4" s="90"/>
      <c r="PP4" s="90"/>
      <c r="PQ4" s="90"/>
      <c r="PR4" s="90"/>
      <c r="PS4" s="90"/>
      <c r="PT4" s="90"/>
      <c r="PU4" s="90"/>
      <c r="PV4" s="90"/>
      <c r="PW4" s="90"/>
      <c r="PX4" s="91"/>
      <c r="PY4" s="1"/>
      <c r="PZ4" s="92" t="s">
        <v>58</v>
      </c>
      <c r="QA4" s="93" t="s">
        <v>59</v>
      </c>
      <c r="QB4" s="94" t="s">
        <v>60</v>
      </c>
      <c r="QC4" s="95" t="s">
        <v>61</v>
      </c>
      <c r="QD4" s="96" t="s">
        <v>59</v>
      </c>
      <c r="QE4" s="97" t="s">
        <v>60</v>
      </c>
      <c r="QF4" s="98" t="s">
        <v>61</v>
      </c>
      <c r="QG4" s="93" t="s">
        <v>59</v>
      </c>
      <c r="QH4" s="94" t="s">
        <v>60</v>
      </c>
      <c r="QI4" s="95" t="s">
        <v>61</v>
      </c>
      <c r="QJ4" s="96" t="s">
        <v>59</v>
      </c>
      <c r="QK4" s="97" t="s">
        <v>60</v>
      </c>
      <c r="QL4" s="98" t="s">
        <v>61</v>
      </c>
      <c r="QM4" s="93" t="s">
        <v>59</v>
      </c>
      <c r="QN4" s="94" t="s">
        <v>60</v>
      </c>
      <c r="QO4" s="95" t="s">
        <v>61</v>
      </c>
      <c r="QP4" s="96" t="s">
        <v>59</v>
      </c>
      <c r="QQ4" s="97" t="s">
        <v>60</v>
      </c>
      <c r="QR4" s="98" t="s">
        <v>61</v>
      </c>
      <c r="QS4" s="93" t="s">
        <v>59</v>
      </c>
      <c r="QT4" s="94" t="s">
        <v>60</v>
      </c>
      <c r="QU4" s="95" t="s">
        <v>61</v>
      </c>
      <c r="QV4" s="96" t="s">
        <v>59</v>
      </c>
      <c r="QW4" s="97" t="s">
        <v>60</v>
      </c>
      <c r="QX4" s="98" t="s">
        <v>61</v>
      </c>
      <c r="QY4" s="93" t="s">
        <v>59</v>
      </c>
      <c r="QZ4" s="94" t="s">
        <v>60</v>
      </c>
      <c r="RA4" s="95" t="s">
        <v>61</v>
      </c>
      <c r="RB4" s="96" t="s">
        <v>59</v>
      </c>
      <c r="RC4" s="97" t="s">
        <v>60</v>
      </c>
      <c r="RD4" s="98" t="s">
        <v>61</v>
      </c>
      <c r="RE4" s="93" t="s">
        <v>59</v>
      </c>
      <c r="RF4" s="94" t="s">
        <v>60</v>
      </c>
      <c r="RG4" s="95" t="s">
        <v>61</v>
      </c>
      <c r="RH4" s="96" t="s">
        <v>59</v>
      </c>
      <c r="RI4" s="97" t="s">
        <v>60</v>
      </c>
      <c r="RJ4" s="99" t="s">
        <v>61</v>
      </c>
      <c r="RK4" s="100" t="s">
        <v>60</v>
      </c>
      <c r="RL4" s="99" t="s">
        <v>61</v>
      </c>
      <c r="RM4" s="100" t="s">
        <v>60</v>
      </c>
      <c r="RN4" s="99" t="s">
        <v>61</v>
      </c>
      <c r="RO4" s="100" t="s">
        <v>60</v>
      </c>
      <c r="RP4" s="99" t="s">
        <v>61</v>
      </c>
      <c r="RQ4" s="100" t="s">
        <v>60</v>
      </c>
      <c r="RR4" s="101" t="s">
        <v>61</v>
      </c>
      <c r="RS4" s="102" t="s">
        <v>60</v>
      </c>
      <c r="RT4" s="103"/>
      <c r="RU4" s="104" t="s">
        <v>62</v>
      </c>
      <c r="RV4" s="105" t="str">
        <f t="shared" ref="RV4:RW19" si="6">K4</f>
        <v>Qte.</v>
      </c>
      <c r="RW4" s="105" t="str">
        <f t="shared" si="6"/>
        <v>Freq.</v>
      </c>
      <c r="RX4" s="106" t="s">
        <v>63</v>
      </c>
      <c r="RY4" s="107" t="str">
        <f>B4</f>
        <v>Liste des PAV - Dénomination interne</v>
      </c>
      <c r="RZ4" s="108" t="s">
        <v>64</v>
      </c>
    </row>
    <row r="5" spans="1:494" ht="30" customHeight="1" thickBot="1" x14ac:dyDescent="0.4">
      <c r="B5" s="109" t="s">
        <v>65</v>
      </c>
      <c r="C5" s="110" t="s">
        <v>66</v>
      </c>
      <c r="D5" s="111" t="s">
        <v>66</v>
      </c>
      <c r="E5" s="111" t="s">
        <v>66</v>
      </c>
      <c r="F5" s="111" t="s">
        <v>66</v>
      </c>
      <c r="G5" s="111" t="s">
        <v>66</v>
      </c>
      <c r="H5" s="111" t="s">
        <v>66</v>
      </c>
      <c r="I5" s="111" t="s">
        <v>66</v>
      </c>
      <c r="J5" s="111" t="s">
        <v>66</v>
      </c>
      <c r="K5" s="112" t="s">
        <v>67</v>
      </c>
      <c r="L5" s="113" t="s">
        <v>68</v>
      </c>
      <c r="M5" s="114" t="s">
        <v>69</v>
      </c>
      <c r="N5" s="115" t="s">
        <v>70</v>
      </c>
      <c r="O5" s="115" t="s">
        <v>71</v>
      </c>
      <c r="P5" s="115" t="s">
        <v>72</v>
      </c>
      <c r="Q5" s="115" t="s">
        <v>73</v>
      </c>
      <c r="R5" s="115" t="s">
        <v>74</v>
      </c>
      <c r="S5" s="115" t="s">
        <v>75</v>
      </c>
      <c r="T5" s="115" t="s">
        <v>76</v>
      </c>
      <c r="U5" s="115" t="s">
        <v>77</v>
      </c>
      <c r="V5" s="116" t="s">
        <v>78</v>
      </c>
      <c r="W5" s="117" t="s">
        <v>79</v>
      </c>
      <c r="X5" s="118" t="s">
        <v>80</v>
      </c>
      <c r="Y5" s="119" t="s">
        <v>79</v>
      </c>
      <c r="Z5" s="120" t="s">
        <v>81</v>
      </c>
      <c r="AA5" s="121" t="s">
        <v>82</v>
      </c>
      <c r="AB5" s="118" t="s">
        <v>80</v>
      </c>
      <c r="AC5" s="121" t="s">
        <v>82</v>
      </c>
      <c r="AD5" s="119" t="s">
        <v>79</v>
      </c>
      <c r="AE5" s="118" t="s">
        <v>80</v>
      </c>
      <c r="AF5" s="122" t="s">
        <v>83</v>
      </c>
      <c r="AG5" s="122" t="s">
        <v>83</v>
      </c>
      <c r="AH5" s="119" t="s">
        <v>79</v>
      </c>
      <c r="AI5" s="118" t="s">
        <v>80</v>
      </c>
      <c r="AJ5" s="120" t="s">
        <v>81</v>
      </c>
      <c r="AK5" s="120" t="s">
        <v>81</v>
      </c>
      <c r="AL5" s="122" t="s">
        <v>83</v>
      </c>
      <c r="AM5" s="121" t="s">
        <v>82</v>
      </c>
      <c r="AN5" s="121" t="s">
        <v>82</v>
      </c>
      <c r="AO5" s="122" t="s">
        <v>83</v>
      </c>
      <c r="AP5" s="123"/>
      <c r="AQ5" s="123"/>
      <c r="AR5" s="123"/>
      <c r="AS5" s="123"/>
      <c r="AT5" s="123"/>
      <c r="AU5" s="123"/>
      <c r="AV5" s="123"/>
      <c r="AW5" s="123"/>
      <c r="AX5" s="123"/>
      <c r="AY5" s="124"/>
      <c r="AZ5" s="125"/>
      <c r="BA5" s="126" t="str">
        <f>TEXT(BA3,"jjj")</f>
        <v>mer</v>
      </c>
      <c r="BB5" s="127" t="str">
        <f>TEXT(BB3,"jjj")</f>
        <v>jeu</v>
      </c>
      <c r="BC5" s="127" t="str">
        <f t="shared" ref="BC5:DN5" si="7">TEXT(BC3,"jjj")</f>
        <v>ven</v>
      </c>
      <c r="BD5" s="127" t="str">
        <f t="shared" si="7"/>
        <v>sam</v>
      </c>
      <c r="BE5" s="127" t="str">
        <f t="shared" si="7"/>
        <v>dim</v>
      </c>
      <c r="BF5" s="127" t="str">
        <f t="shared" si="7"/>
        <v>lun</v>
      </c>
      <c r="BG5" s="127" t="str">
        <f t="shared" si="7"/>
        <v>mar</v>
      </c>
      <c r="BH5" s="127" t="str">
        <f t="shared" si="7"/>
        <v>mer</v>
      </c>
      <c r="BI5" s="127" t="str">
        <f t="shared" si="7"/>
        <v>jeu</v>
      </c>
      <c r="BJ5" s="127" t="str">
        <f t="shared" si="7"/>
        <v>ven</v>
      </c>
      <c r="BK5" s="127" t="str">
        <f t="shared" si="7"/>
        <v>sam</v>
      </c>
      <c r="BL5" s="127" t="str">
        <f t="shared" si="7"/>
        <v>dim</v>
      </c>
      <c r="BM5" s="127" t="str">
        <f t="shared" si="7"/>
        <v>lun</v>
      </c>
      <c r="BN5" s="127" t="str">
        <f t="shared" si="7"/>
        <v>mar</v>
      </c>
      <c r="BO5" s="127" t="str">
        <f t="shared" si="7"/>
        <v>mer</v>
      </c>
      <c r="BP5" s="127" t="str">
        <f t="shared" si="7"/>
        <v>jeu</v>
      </c>
      <c r="BQ5" s="127" t="str">
        <f t="shared" si="7"/>
        <v>ven</v>
      </c>
      <c r="BR5" s="127" t="str">
        <f t="shared" si="7"/>
        <v>sam</v>
      </c>
      <c r="BS5" s="127" t="str">
        <f t="shared" si="7"/>
        <v>dim</v>
      </c>
      <c r="BT5" s="127" t="str">
        <f t="shared" si="7"/>
        <v>lun</v>
      </c>
      <c r="BU5" s="127" t="str">
        <f t="shared" si="7"/>
        <v>mar</v>
      </c>
      <c r="BV5" s="127" t="str">
        <f t="shared" si="7"/>
        <v>mer</v>
      </c>
      <c r="BW5" s="127" t="str">
        <f t="shared" si="7"/>
        <v>jeu</v>
      </c>
      <c r="BX5" s="127" t="str">
        <f t="shared" si="7"/>
        <v>ven</v>
      </c>
      <c r="BY5" s="127" t="str">
        <f t="shared" si="7"/>
        <v>sam</v>
      </c>
      <c r="BZ5" s="127" t="str">
        <f t="shared" si="7"/>
        <v>dim</v>
      </c>
      <c r="CA5" s="127" t="str">
        <f t="shared" si="7"/>
        <v>lun</v>
      </c>
      <c r="CB5" s="127" t="str">
        <f t="shared" si="7"/>
        <v>mar</v>
      </c>
      <c r="CC5" s="127" t="str">
        <f t="shared" si="7"/>
        <v>mer</v>
      </c>
      <c r="CD5" s="127" t="str">
        <f t="shared" si="7"/>
        <v>jeu</v>
      </c>
      <c r="CE5" s="128" t="str">
        <f t="shared" si="7"/>
        <v>ven</v>
      </c>
      <c r="CF5" s="126" t="str">
        <f t="shared" si="7"/>
        <v>sam</v>
      </c>
      <c r="CG5" s="127" t="str">
        <f t="shared" si="7"/>
        <v>dim</v>
      </c>
      <c r="CH5" s="127" t="str">
        <f t="shared" si="7"/>
        <v>lun</v>
      </c>
      <c r="CI5" s="127" t="str">
        <f t="shared" si="7"/>
        <v>mar</v>
      </c>
      <c r="CJ5" s="127" t="str">
        <f t="shared" si="7"/>
        <v>mer</v>
      </c>
      <c r="CK5" s="127" t="str">
        <f t="shared" si="7"/>
        <v>jeu</v>
      </c>
      <c r="CL5" s="127" t="str">
        <f t="shared" si="7"/>
        <v>ven</v>
      </c>
      <c r="CM5" s="127" t="str">
        <f t="shared" si="7"/>
        <v>sam</v>
      </c>
      <c r="CN5" s="127" t="str">
        <f t="shared" si="7"/>
        <v>dim</v>
      </c>
      <c r="CO5" s="127" t="str">
        <f t="shared" si="7"/>
        <v>lun</v>
      </c>
      <c r="CP5" s="127" t="str">
        <f t="shared" si="7"/>
        <v>mar</v>
      </c>
      <c r="CQ5" s="127" t="str">
        <f t="shared" si="7"/>
        <v>mer</v>
      </c>
      <c r="CR5" s="127" t="str">
        <f t="shared" si="7"/>
        <v>jeu</v>
      </c>
      <c r="CS5" s="127" t="str">
        <f t="shared" si="7"/>
        <v>ven</v>
      </c>
      <c r="CT5" s="127" t="str">
        <f t="shared" si="7"/>
        <v>sam</v>
      </c>
      <c r="CU5" s="127" t="str">
        <f t="shared" si="7"/>
        <v>dim</v>
      </c>
      <c r="CV5" s="127" t="str">
        <f t="shared" si="7"/>
        <v>lun</v>
      </c>
      <c r="CW5" s="127" t="str">
        <f t="shared" si="7"/>
        <v>mar</v>
      </c>
      <c r="CX5" s="127" t="str">
        <f t="shared" si="7"/>
        <v>mer</v>
      </c>
      <c r="CY5" s="127" t="str">
        <f t="shared" si="7"/>
        <v>jeu</v>
      </c>
      <c r="CZ5" s="127" t="str">
        <f t="shared" si="7"/>
        <v>ven</v>
      </c>
      <c r="DA5" s="127" t="str">
        <f t="shared" si="7"/>
        <v>sam</v>
      </c>
      <c r="DB5" s="127" t="str">
        <f t="shared" si="7"/>
        <v>dim</v>
      </c>
      <c r="DC5" s="127" t="str">
        <f t="shared" si="7"/>
        <v>lun</v>
      </c>
      <c r="DD5" s="127" t="str">
        <f t="shared" si="7"/>
        <v>mar</v>
      </c>
      <c r="DE5" s="127" t="str">
        <f t="shared" si="7"/>
        <v>mer</v>
      </c>
      <c r="DF5" s="127" t="str">
        <f t="shared" si="7"/>
        <v>jeu</v>
      </c>
      <c r="DG5" s="127" t="str">
        <f t="shared" si="7"/>
        <v>ven</v>
      </c>
      <c r="DH5" s="129" t="str">
        <f t="shared" si="7"/>
        <v/>
      </c>
      <c r="DI5" s="130" t="str">
        <f t="shared" si="7"/>
        <v>sam</v>
      </c>
      <c r="DJ5" s="127" t="str">
        <f t="shared" si="7"/>
        <v>dim</v>
      </c>
      <c r="DK5" s="127" t="str">
        <f t="shared" si="7"/>
        <v>lun</v>
      </c>
      <c r="DL5" s="127" t="str">
        <f t="shared" si="7"/>
        <v>mar</v>
      </c>
      <c r="DM5" s="127" t="str">
        <f t="shared" si="7"/>
        <v>mer</v>
      </c>
      <c r="DN5" s="127" t="str">
        <f t="shared" si="7"/>
        <v>jeu</v>
      </c>
      <c r="DO5" s="127" t="str">
        <f t="shared" ref="DO5:FZ5" si="8">TEXT(DO3,"jjj")</f>
        <v>ven</v>
      </c>
      <c r="DP5" s="127" t="str">
        <f t="shared" si="8"/>
        <v>sam</v>
      </c>
      <c r="DQ5" s="127" t="str">
        <f t="shared" si="8"/>
        <v>dim</v>
      </c>
      <c r="DR5" s="127" t="str">
        <f t="shared" si="8"/>
        <v>lun</v>
      </c>
      <c r="DS5" s="127" t="str">
        <f t="shared" si="8"/>
        <v>mar</v>
      </c>
      <c r="DT5" s="127" t="str">
        <f t="shared" si="8"/>
        <v>mer</v>
      </c>
      <c r="DU5" s="127" t="str">
        <f t="shared" si="8"/>
        <v>jeu</v>
      </c>
      <c r="DV5" s="127" t="str">
        <f t="shared" si="8"/>
        <v>ven</v>
      </c>
      <c r="DW5" s="127" t="str">
        <f t="shared" si="8"/>
        <v>sam</v>
      </c>
      <c r="DX5" s="127" t="str">
        <f t="shared" si="8"/>
        <v>dim</v>
      </c>
      <c r="DY5" s="127" t="str">
        <f t="shared" si="8"/>
        <v>lun</v>
      </c>
      <c r="DZ5" s="127" t="str">
        <f t="shared" si="8"/>
        <v>mar</v>
      </c>
      <c r="EA5" s="127" t="str">
        <f t="shared" si="8"/>
        <v>mer</v>
      </c>
      <c r="EB5" s="127" t="str">
        <f t="shared" si="8"/>
        <v>jeu</v>
      </c>
      <c r="EC5" s="127" t="str">
        <f t="shared" si="8"/>
        <v>ven</v>
      </c>
      <c r="ED5" s="127" t="str">
        <f t="shared" si="8"/>
        <v>sam</v>
      </c>
      <c r="EE5" s="127" t="str">
        <f t="shared" si="8"/>
        <v>dim</v>
      </c>
      <c r="EF5" s="127" t="str">
        <f t="shared" si="8"/>
        <v>lun</v>
      </c>
      <c r="EG5" s="127" t="str">
        <f t="shared" si="8"/>
        <v>mar</v>
      </c>
      <c r="EH5" s="127" t="str">
        <f t="shared" si="8"/>
        <v>mer</v>
      </c>
      <c r="EI5" s="127" t="str">
        <f t="shared" si="8"/>
        <v>jeu</v>
      </c>
      <c r="EJ5" s="127" t="str">
        <f t="shared" si="8"/>
        <v>ven</v>
      </c>
      <c r="EK5" s="127" t="str">
        <f t="shared" si="8"/>
        <v>sam</v>
      </c>
      <c r="EL5" s="127" t="str">
        <f t="shared" si="8"/>
        <v>dim</v>
      </c>
      <c r="EM5" s="128" t="str">
        <f t="shared" si="8"/>
        <v>lun</v>
      </c>
      <c r="EN5" s="126" t="str">
        <f t="shared" si="8"/>
        <v>mar</v>
      </c>
      <c r="EO5" s="127" t="str">
        <f t="shared" si="8"/>
        <v>mer</v>
      </c>
      <c r="EP5" s="127" t="str">
        <f t="shared" si="8"/>
        <v>jeu</v>
      </c>
      <c r="EQ5" s="127" t="str">
        <f t="shared" si="8"/>
        <v>ven</v>
      </c>
      <c r="ER5" s="127" t="str">
        <f t="shared" si="8"/>
        <v>sam</v>
      </c>
      <c r="ES5" s="127" t="str">
        <f t="shared" si="8"/>
        <v>dim</v>
      </c>
      <c r="ET5" s="127" t="str">
        <f t="shared" si="8"/>
        <v>lun</v>
      </c>
      <c r="EU5" s="127" t="str">
        <f t="shared" si="8"/>
        <v>mar</v>
      </c>
      <c r="EV5" s="127" t="str">
        <f t="shared" si="8"/>
        <v>mer</v>
      </c>
      <c r="EW5" s="127" t="str">
        <f t="shared" si="8"/>
        <v>jeu</v>
      </c>
      <c r="EX5" s="127" t="str">
        <f t="shared" si="8"/>
        <v>ven</v>
      </c>
      <c r="EY5" s="127" t="str">
        <f t="shared" si="8"/>
        <v>sam</v>
      </c>
      <c r="EZ5" s="127" t="str">
        <f t="shared" si="8"/>
        <v>dim</v>
      </c>
      <c r="FA5" s="127" t="str">
        <f t="shared" si="8"/>
        <v>lun</v>
      </c>
      <c r="FB5" s="127" t="str">
        <f t="shared" si="8"/>
        <v>mar</v>
      </c>
      <c r="FC5" s="127" t="str">
        <f t="shared" si="8"/>
        <v>mer</v>
      </c>
      <c r="FD5" s="127" t="str">
        <f t="shared" si="8"/>
        <v>jeu</v>
      </c>
      <c r="FE5" s="127" t="str">
        <f t="shared" si="8"/>
        <v>ven</v>
      </c>
      <c r="FF5" s="127" t="str">
        <f t="shared" si="8"/>
        <v>sam</v>
      </c>
      <c r="FG5" s="127" t="str">
        <f t="shared" si="8"/>
        <v>dim</v>
      </c>
      <c r="FH5" s="127" t="str">
        <f t="shared" si="8"/>
        <v>lun</v>
      </c>
      <c r="FI5" s="127" t="str">
        <f t="shared" si="8"/>
        <v>mar</v>
      </c>
      <c r="FJ5" s="127" t="str">
        <f t="shared" si="8"/>
        <v>mer</v>
      </c>
      <c r="FK5" s="127" t="str">
        <f t="shared" si="8"/>
        <v>jeu</v>
      </c>
      <c r="FL5" s="127" t="str">
        <f t="shared" si="8"/>
        <v>ven</v>
      </c>
      <c r="FM5" s="127" t="str">
        <f t="shared" si="8"/>
        <v>sam</v>
      </c>
      <c r="FN5" s="127" t="str">
        <f t="shared" si="8"/>
        <v>dim</v>
      </c>
      <c r="FO5" s="127" t="str">
        <f t="shared" si="8"/>
        <v>lun</v>
      </c>
      <c r="FP5" s="127" t="str">
        <f t="shared" si="8"/>
        <v>mar</v>
      </c>
      <c r="FQ5" s="129" t="str">
        <f t="shared" si="8"/>
        <v>mer</v>
      </c>
      <c r="FR5" s="130" t="str">
        <f t="shared" si="8"/>
        <v>jeu</v>
      </c>
      <c r="FS5" s="127" t="str">
        <f t="shared" si="8"/>
        <v>ven</v>
      </c>
      <c r="FT5" s="127" t="str">
        <f t="shared" si="8"/>
        <v>sam</v>
      </c>
      <c r="FU5" s="127" t="str">
        <f t="shared" si="8"/>
        <v>dim</v>
      </c>
      <c r="FV5" s="127" t="str">
        <f t="shared" si="8"/>
        <v>lun</v>
      </c>
      <c r="FW5" s="127" t="str">
        <f t="shared" si="8"/>
        <v>mar</v>
      </c>
      <c r="FX5" s="127" t="str">
        <f t="shared" si="8"/>
        <v>mer</v>
      </c>
      <c r="FY5" s="127" t="str">
        <f t="shared" si="8"/>
        <v>jeu</v>
      </c>
      <c r="FZ5" s="127" t="str">
        <f t="shared" si="8"/>
        <v>ven</v>
      </c>
      <c r="GA5" s="127" t="str">
        <f t="shared" ref="GA5:IL5" si="9">TEXT(GA3,"jjj")</f>
        <v>sam</v>
      </c>
      <c r="GB5" s="127" t="str">
        <f t="shared" si="9"/>
        <v>dim</v>
      </c>
      <c r="GC5" s="127" t="str">
        <f t="shared" si="9"/>
        <v>lun</v>
      </c>
      <c r="GD5" s="127" t="str">
        <f t="shared" si="9"/>
        <v>mar</v>
      </c>
      <c r="GE5" s="127" t="str">
        <f t="shared" si="9"/>
        <v>mer</v>
      </c>
      <c r="GF5" s="127" t="str">
        <f t="shared" si="9"/>
        <v>jeu</v>
      </c>
      <c r="GG5" s="127" t="str">
        <f t="shared" si="9"/>
        <v>ven</v>
      </c>
      <c r="GH5" s="127" t="str">
        <f t="shared" si="9"/>
        <v>sam</v>
      </c>
      <c r="GI5" s="127" t="str">
        <f t="shared" si="9"/>
        <v>dim</v>
      </c>
      <c r="GJ5" s="127" t="str">
        <f t="shared" si="9"/>
        <v>lun</v>
      </c>
      <c r="GK5" s="127" t="str">
        <f t="shared" si="9"/>
        <v>mar</v>
      </c>
      <c r="GL5" s="127" t="str">
        <f t="shared" si="9"/>
        <v>mer</v>
      </c>
      <c r="GM5" s="127" t="str">
        <f t="shared" si="9"/>
        <v>jeu</v>
      </c>
      <c r="GN5" s="127" t="str">
        <f t="shared" si="9"/>
        <v>ven</v>
      </c>
      <c r="GO5" s="127" t="str">
        <f t="shared" si="9"/>
        <v>sam</v>
      </c>
      <c r="GP5" s="127" t="str">
        <f t="shared" si="9"/>
        <v>dim</v>
      </c>
      <c r="GQ5" s="127" t="str">
        <f t="shared" si="9"/>
        <v>lun</v>
      </c>
      <c r="GR5" s="127" t="str">
        <f t="shared" si="9"/>
        <v>mar</v>
      </c>
      <c r="GS5" s="127" t="str">
        <f t="shared" si="9"/>
        <v>mer</v>
      </c>
      <c r="GT5" s="127" t="str">
        <f t="shared" si="9"/>
        <v>jeu</v>
      </c>
      <c r="GU5" s="127" t="str">
        <f t="shared" si="9"/>
        <v>ven</v>
      </c>
      <c r="GV5" s="128" t="str">
        <f t="shared" si="9"/>
        <v>sam</v>
      </c>
      <c r="GW5" s="126" t="str">
        <f t="shared" si="9"/>
        <v>dim</v>
      </c>
      <c r="GX5" s="127" t="str">
        <f t="shared" si="9"/>
        <v>lun</v>
      </c>
      <c r="GY5" s="127" t="str">
        <f t="shared" si="9"/>
        <v>mar</v>
      </c>
      <c r="GZ5" s="127" t="str">
        <f t="shared" si="9"/>
        <v>mer</v>
      </c>
      <c r="HA5" s="127" t="str">
        <f t="shared" si="9"/>
        <v>jeu</v>
      </c>
      <c r="HB5" s="127" t="str">
        <f t="shared" si="9"/>
        <v>ven</v>
      </c>
      <c r="HC5" s="127" t="str">
        <f t="shared" si="9"/>
        <v>sam</v>
      </c>
      <c r="HD5" s="127" t="str">
        <f t="shared" si="9"/>
        <v>dim</v>
      </c>
      <c r="HE5" s="127" t="str">
        <f t="shared" si="9"/>
        <v>lun</v>
      </c>
      <c r="HF5" s="127" t="str">
        <f t="shared" si="9"/>
        <v>mar</v>
      </c>
      <c r="HG5" s="127" t="str">
        <f t="shared" si="9"/>
        <v>mer</v>
      </c>
      <c r="HH5" s="127" t="str">
        <f t="shared" si="9"/>
        <v>jeu</v>
      </c>
      <c r="HI5" s="127" t="str">
        <f t="shared" si="9"/>
        <v>ven</v>
      </c>
      <c r="HJ5" s="127" t="str">
        <f t="shared" si="9"/>
        <v>sam</v>
      </c>
      <c r="HK5" s="127" t="str">
        <f t="shared" si="9"/>
        <v>dim</v>
      </c>
      <c r="HL5" s="127" t="str">
        <f t="shared" si="9"/>
        <v>lun</v>
      </c>
      <c r="HM5" s="127" t="str">
        <f t="shared" si="9"/>
        <v>mar</v>
      </c>
      <c r="HN5" s="127" t="str">
        <f t="shared" si="9"/>
        <v>mer</v>
      </c>
      <c r="HO5" s="127" t="str">
        <f t="shared" si="9"/>
        <v>jeu</v>
      </c>
      <c r="HP5" s="127" t="str">
        <f t="shared" si="9"/>
        <v>ven</v>
      </c>
      <c r="HQ5" s="127" t="str">
        <f t="shared" si="9"/>
        <v>sam</v>
      </c>
      <c r="HR5" s="127" t="str">
        <f t="shared" si="9"/>
        <v>dim</v>
      </c>
      <c r="HS5" s="127" t="str">
        <f t="shared" si="9"/>
        <v>lun</v>
      </c>
      <c r="HT5" s="127" t="str">
        <f t="shared" si="9"/>
        <v>mar</v>
      </c>
      <c r="HU5" s="127" t="str">
        <f t="shared" si="9"/>
        <v>mer</v>
      </c>
      <c r="HV5" s="127" t="str">
        <f t="shared" si="9"/>
        <v>jeu</v>
      </c>
      <c r="HW5" s="127" t="str">
        <f t="shared" si="9"/>
        <v>ven</v>
      </c>
      <c r="HX5" s="127" t="str">
        <f t="shared" si="9"/>
        <v>sam</v>
      </c>
      <c r="HY5" s="127" t="str">
        <f t="shared" si="9"/>
        <v>dim</v>
      </c>
      <c r="HZ5" s="129" t="str">
        <f t="shared" si="9"/>
        <v>lun</v>
      </c>
      <c r="IA5" s="130" t="str">
        <f t="shared" si="9"/>
        <v>mar</v>
      </c>
      <c r="IB5" s="127" t="str">
        <f t="shared" si="9"/>
        <v>mer</v>
      </c>
      <c r="IC5" s="127" t="str">
        <f t="shared" si="9"/>
        <v>jeu</v>
      </c>
      <c r="ID5" s="127" t="str">
        <f t="shared" si="9"/>
        <v>ven</v>
      </c>
      <c r="IE5" s="127" t="str">
        <f t="shared" si="9"/>
        <v>sam</v>
      </c>
      <c r="IF5" s="127" t="str">
        <f t="shared" si="9"/>
        <v>dim</v>
      </c>
      <c r="IG5" s="127" t="str">
        <f t="shared" si="9"/>
        <v>lun</v>
      </c>
      <c r="IH5" s="127" t="str">
        <f t="shared" si="9"/>
        <v>mar</v>
      </c>
      <c r="II5" s="127" t="str">
        <f t="shared" si="9"/>
        <v>mer</v>
      </c>
      <c r="IJ5" s="127" t="str">
        <f t="shared" si="9"/>
        <v>jeu</v>
      </c>
      <c r="IK5" s="127" t="str">
        <f t="shared" si="9"/>
        <v>ven</v>
      </c>
      <c r="IL5" s="127" t="str">
        <f t="shared" si="9"/>
        <v>sam</v>
      </c>
      <c r="IM5" s="127" t="str">
        <f t="shared" ref="IM5:KX5" si="10">TEXT(IM3,"jjj")</f>
        <v>dim</v>
      </c>
      <c r="IN5" s="127" t="str">
        <f t="shared" si="10"/>
        <v>lun</v>
      </c>
      <c r="IO5" s="127" t="str">
        <f t="shared" si="10"/>
        <v>mar</v>
      </c>
      <c r="IP5" s="127" t="str">
        <f t="shared" si="10"/>
        <v>mer</v>
      </c>
      <c r="IQ5" s="127" t="str">
        <f t="shared" si="10"/>
        <v>jeu</v>
      </c>
      <c r="IR5" s="127" t="str">
        <f t="shared" si="10"/>
        <v>ven</v>
      </c>
      <c r="IS5" s="127" t="str">
        <f t="shared" si="10"/>
        <v>sam</v>
      </c>
      <c r="IT5" s="127" t="str">
        <f t="shared" si="10"/>
        <v>dim</v>
      </c>
      <c r="IU5" s="127" t="str">
        <f t="shared" si="10"/>
        <v>lun</v>
      </c>
      <c r="IV5" s="127" t="str">
        <f t="shared" si="10"/>
        <v>mar</v>
      </c>
      <c r="IW5" s="127" t="str">
        <f t="shared" si="10"/>
        <v>mer</v>
      </c>
      <c r="IX5" s="127" t="str">
        <f t="shared" si="10"/>
        <v>jeu</v>
      </c>
      <c r="IY5" s="127" t="str">
        <f t="shared" si="10"/>
        <v>ven</v>
      </c>
      <c r="IZ5" s="127" t="str">
        <f t="shared" si="10"/>
        <v>sam</v>
      </c>
      <c r="JA5" s="127" t="str">
        <f t="shared" si="10"/>
        <v>dim</v>
      </c>
      <c r="JB5" s="127" t="str">
        <f t="shared" si="10"/>
        <v>lun</v>
      </c>
      <c r="JC5" s="127" t="str">
        <f t="shared" si="10"/>
        <v>mar</v>
      </c>
      <c r="JD5" s="127" t="str">
        <f t="shared" si="10"/>
        <v>mer</v>
      </c>
      <c r="JE5" s="128" t="str">
        <f t="shared" si="10"/>
        <v>jeu</v>
      </c>
      <c r="JF5" s="126" t="str">
        <f t="shared" si="10"/>
        <v>ven</v>
      </c>
      <c r="JG5" s="127" t="str">
        <f t="shared" si="10"/>
        <v>sam</v>
      </c>
      <c r="JH5" s="127" t="str">
        <f t="shared" si="10"/>
        <v>dim</v>
      </c>
      <c r="JI5" s="127" t="str">
        <f t="shared" si="10"/>
        <v>lun</v>
      </c>
      <c r="JJ5" s="127" t="str">
        <f t="shared" si="10"/>
        <v>mar</v>
      </c>
      <c r="JK5" s="127" t="str">
        <f t="shared" si="10"/>
        <v>mer</v>
      </c>
      <c r="JL5" s="127" t="str">
        <f t="shared" si="10"/>
        <v>jeu</v>
      </c>
      <c r="JM5" s="127" t="str">
        <f t="shared" si="10"/>
        <v>ven</v>
      </c>
      <c r="JN5" s="127" t="str">
        <f t="shared" si="10"/>
        <v>sam</v>
      </c>
      <c r="JO5" s="127" t="str">
        <f t="shared" si="10"/>
        <v>dim</v>
      </c>
      <c r="JP5" s="127" t="str">
        <f t="shared" si="10"/>
        <v>lun</v>
      </c>
      <c r="JQ5" s="127" t="str">
        <f t="shared" si="10"/>
        <v>mar</v>
      </c>
      <c r="JR5" s="127" t="str">
        <f t="shared" si="10"/>
        <v>mer</v>
      </c>
      <c r="JS5" s="127" t="str">
        <f t="shared" si="10"/>
        <v>jeu</v>
      </c>
      <c r="JT5" s="127" t="str">
        <f t="shared" si="10"/>
        <v>ven</v>
      </c>
      <c r="JU5" s="127" t="str">
        <f t="shared" si="10"/>
        <v>sam</v>
      </c>
      <c r="JV5" s="127" t="str">
        <f t="shared" si="10"/>
        <v>dim</v>
      </c>
      <c r="JW5" s="127" t="str">
        <f t="shared" si="10"/>
        <v>lun</v>
      </c>
      <c r="JX5" s="127" t="str">
        <f t="shared" si="10"/>
        <v>mar</v>
      </c>
      <c r="JY5" s="127" t="str">
        <f t="shared" si="10"/>
        <v>mer</v>
      </c>
      <c r="JZ5" s="127" t="str">
        <f t="shared" si="10"/>
        <v>jeu</v>
      </c>
      <c r="KA5" s="127" t="str">
        <f t="shared" si="10"/>
        <v>ven</v>
      </c>
      <c r="KB5" s="127" t="str">
        <f t="shared" si="10"/>
        <v>sam</v>
      </c>
      <c r="KC5" s="127" t="str">
        <f t="shared" si="10"/>
        <v>dim</v>
      </c>
      <c r="KD5" s="127" t="str">
        <f t="shared" si="10"/>
        <v>lun</v>
      </c>
      <c r="KE5" s="127" t="str">
        <f t="shared" si="10"/>
        <v>mar</v>
      </c>
      <c r="KF5" s="127" t="str">
        <f t="shared" si="10"/>
        <v>mer</v>
      </c>
      <c r="KG5" s="127" t="str">
        <f t="shared" si="10"/>
        <v>jeu</v>
      </c>
      <c r="KH5" s="127" t="str">
        <f t="shared" si="10"/>
        <v>ven</v>
      </c>
      <c r="KI5" s="127" t="str">
        <f t="shared" si="10"/>
        <v>sam</v>
      </c>
      <c r="KJ5" s="129" t="str">
        <f t="shared" si="10"/>
        <v>dim</v>
      </c>
      <c r="KK5" s="130" t="str">
        <f t="shared" si="10"/>
        <v>lun</v>
      </c>
      <c r="KL5" s="127" t="str">
        <f t="shared" si="10"/>
        <v>mar</v>
      </c>
      <c r="KM5" s="127" t="str">
        <f t="shared" si="10"/>
        <v>mer</v>
      </c>
      <c r="KN5" s="127" t="str">
        <f t="shared" si="10"/>
        <v>jeu</v>
      </c>
      <c r="KO5" s="127" t="str">
        <f t="shared" si="10"/>
        <v>ven</v>
      </c>
      <c r="KP5" s="127" t="str">
        <f t="shared" si="10"/>
        <v>sam</v>
      </c>
      <c r="KQ5" s="127" t="str">
        <f t="shared" si="10"/>
        <v>dim</v>
      </c>
      <c r="KR5" s="127" t="str">
        <f t="shared" si="10"/>
        <v>lun</v>
      </c>
      <c r="KS5" s="127" t="str">
        <f t="shared" si="10"/>
        <v>mar</v>
      </c>
      <c r="KT5" s="127" t="str">
        <f t="shared" si="10"/>
        <v>mer</v>
      </c>
      <c r="KU5" s="127" t="str">
        <f t="shared" si="10"/>
        <v>jeu</v>
      </c>
      <c r="KV5" s="127" t="str">
        <f t="shared" si="10"/>
        <v>ven</v>
      </c>
      <c r="KW5" s="127" t="str">
        <f t="shared" si="10"/>
        <v>sam</v>
      </c>
      <c r="KX5" s="127" t="str">
        <f t="shared" si="10"/>
        <v>dim</v>
      </c>
      <c r="KY5" s="127" t="str">
        <f t="shared" ref="KY5:NJ5" si="11">TEXT(KY3,"jjj")</f>
        <v>lun</v>
      </c>
      <c r="KZ5" s="127" t="str">
        <f t="shared" si="11"/>
        <v>mar</v>
      </c>
      <c r="LA5" s="127" t="str">
        <f t="shared" si="11"/>
        <v>mer</v>
      </c>
      <c r="LB5" s="127" t="str">
        <f t="shared" si="11"/>
        <v>jeu</v>
      </c>
      <c r="LC5" s="127" t="str">
        <f t="shared" si="11"/>
        <v>ven</v>
      </c>
      <c r="LD5" s="127" t="str">
        <f t="shared" si="11"/>
        <v>sam</v>
      </c>
      <c r="LE5" s="127" t="str">
        <f t="shared" si="11"/>
        <v>dim</v>
      </c>
      <c r="LF5" s="127" t="str">
        <f t="shared" si="11"/>
        <v>lun</v>
      </c>
      <c r="LG5" s="127" t="str">
        <f t="shared" si="11"/>
        <v>mar</v>
      </c>
      <c r="LH5" s="127" t="str">
        <f t="shared" si="11"/>
        <v>mer</v>
      </c>
      <c r="LI5" s="127" t="str">
        <f t="shared" si="11"/>
        <v>jeu</v>
      </c>
      <c r="LJ5" s="127" t="str">
        <f t="shared" si="11"/>
        <v>ven</v>
      </c>
      <c r="LK5" s="127" t="str">
        <f t="shared" si="11"/>
        <v>sam</v>
      </c>
      <c r="LL5" s="127" t="str">
        <f t="shared" si="11"/>
        <v>dim</v>
      </c>
      <c r="LM5" s="127" t="str">
        <f t="shared" si="11"/>
        <v>lun</v>
      </c>
      <c r="LN5" s="128" t="str">
        <f t="shared" si="11"/>
        <v>mar</v>
      </c>
      <c r="LO5" s="126" t="str">
        <f t="shared" si="11"/>
        <v>mer</v>
      </c>
      <c r="LP5" s="127" t="str">
        <f t="shared" si="11"/>
        <v>jeu</v>
      </c>
      <c r="LQ5" s="127" t="str">
        <f t="shared" si="11"/>
        <v>ven</v>
      </c>
      <c r="LR5" s="127" t="str">
        <f t="shared" si="11"/>
        <v>sam</v>
      </c>
      <c r="LS5" s="127" t="str">
        <f t="shared" si="11"/>
        <v>dim</v>
      </c>
      <c r="LT5" s="127" t="str">
        <f t="shared" si="11"/>
        <v>lun</v>
      </c>
      <c r="LU5" s="127" t="str">
        <f t="shared" si="11"/>
        <v>mar</v>
      </c>
      <c r="LV5" s="127" t="str">
        <f t="shared" si="11"/>
        <v>mer</v>
      </c>
      <c r="LW5" s="127" t="str">
        <f t="shared" si="11"/>
        <v>jeu</v>
      </c>
      <c r="LX5" s="127" t="str">
        <f t="shared" si="11"/>
        <v>ven</v>
      </c>
      <c r="LY5" s="127" t="str">
        <f t="shared" si="11"/>
        <v>sam</v>
      </c>
      <c r="LZ5" s="127" t="str">
        <f t="shared" si="11"/>
        <v>dim</v>
      </c>
      <c r="MA5" s="127" t="str">
        <f t="shared" si="11"/>
        <v>lun</v>
      </c>
      <c r="MB5" s="127" t="str">
        <f t="shared" si="11"/>
        <v>mar</v>
      </c>
      <c r="MC5" s="127" t="str">
        <f t="shared" si="11"/>
        <v>mer</v>
      </c>
      <c r="MD5" s="127" t="str">
        <f t="shared" si="11"/>
        <v>jeu</v>
      </c>
      <c r="ME5" s="127" t="str">
        <f t="shared" si="11"/>
        <v>ven</v>
      </c>
      <c r="MF5" s="127" t="str">
        <f t="shared" si="11"/>
        <v>sam</v>
      </c>
      <c r="MG5" s="127" t="str">
        <f t="shared" si="11"/>
        <v>dim</v>
      </c>
      <c r="MH5" s="127" t="str">
        <f t="shared" si="11"/>
        <v>lun</v>
      </c>
      <c r="MI5" s="127" t="str">
        <f t="shared" si="11"/>
        <v>mar</v>
      </c>
      <c r="MJ5" s="127" t="str">
        <f t="shared" si="11"/>
        <v>mer</v>
      </c>
      <c r="MK5" s="127" t="str">
        <f t="shared" si="11"/>
        <v>jeu</v>
      </c>
      <c r="ML5" s="127" t="str">
        <f t="shared" si="11"/>
        <v>ven</v>
      </c>
      <c r="MM5" s="127" t="str">
        <f t="shared" si="11"/>
        <v>sam</v>
      </c>
      <c r="MN5" s="127" t="str">
        <f t="shared" si="11"/>
        <v>dim</v>
      </c>
      <c r="MO5" s="127" t="str">
        <f t="shared" si="11"/>
        <v>lun</v>
      </c>
      <c r="MP5" s="127" t="str">
        <f t="shared" si="11"/>
        <v>mar</v>
      </c>
      <c r="MQ5" s="127" t="str">
        <f t="shared" si="11"/>
        <v>mer</v>
      </c>
      <c r="MR5" s="127" t="str">
        <f t="shared" si="11"/>
        <v>jeu</v>
      </c>
      <c r="MS5" s="129" t="str">
        <f t="shared" si="11"/>
        <v>ven</v>
      </c>
      <c r="MT5" s="130" t="str">
        <f t="shared" si="11"/>
        <v>sam</v>
      </c>
      <c r="MU5" s="127" t="str">
        <f t="shared" si="11"/>
        <v>dim</v>
      </c>
      <c r="MV5" s="127" t="str">
        <f t="shared" si="11"/>
        <v>lun</v>
      </c>
      <c r="MW5" s="127" t="str">
        <f t="shared" si="11"/>
        <v>mar</v>
      </c>
      <c r="MX5" s="127" t="str">
        <f t="shared" si="11"/>
        <v>mer</v>
      </c>
      <c r="MY5" s="127" t="str">
        <f t="shared" si="11"/>
        <v>jeu</v>
      </c>
      <c r="MZ5" s="127" t="str">
        <f t="shared" si="11"/>
        <v>ven</v>
      </c>
      <c r="NA5" s="127" t="str">
        <f t="shared" si="11"/>
        <v>sam</v>
      </c>
      <c r="NB5" s="127" t="str">
        <f t="shared" si="11"/>
        <v>dim</v>
      </c>
      <c r="NC5" s="127" t="str">
        <f t="shared" si="11"/>
        <v>lun</v>
      </c>
      <c r="ND5" s="127" t="str">
        <f t="shared" si="11"/>
        <v>mar</v>
      </c>
      <c r="NE5" s="127" t="str">
        <f t="shared" si="11"/>
        <v>mer</v>
      </c>
      <c r="NF5" s="127" t="str">
        <f t="shared" si="11"/>
        <v>jeu</v>
      </c>
      <c r="NG5" s="127" t="str">
        <f t="shared" si="11"/>
        <v>ven</v>
      </c>
      <c r="NH5" s="127" t="str">
        <f t="shared" si="11"/>
        <v>sam</v>
      </c>
      <c r="NI5" s="127" t="str">
        <f t="shared" si="11"/>
        <v>dim</v>
      </c>
      <c r="NJ5" s="127" t="str">
        <f t="shared" si="11"/>
        <v>lun</v>
      </c>
      <c r="NK5" s="127" t="str">
        <f t="shared" ref="NK5:PB5" si="12">TEXT(NK3,"jjj")</f>
        <v>mar</v>
      </c>
      <c r="NL5" s="127" t="str">
        <f t="shared" si="12"/>
        <v>mer</v>
      </c>
      <c r="NM5" s="127" t="str">
        <f t="shared" si="12"/>
        <v>jeu</v>
      </c>
      <c r="NN5" s="127" t="str">
        <f t="shared" si="12"/>
        <v>ven</v>
      </c>
      <c r="NO5" s="127" t="str">
        <f t="shared" si="12"/>
        <v>sam</v>
      </c>
      <c r="NP5" s="127" t="str">
        <f t="shared" si="12"/>
        <v>dim</v>
      </c>
      <c r="NQ5" s="127" t="str">
        <f t="shared" si="12"/>
        <v>lun</v>
      </c>
      <c r="NR5" s="127" t="str">
        <f t="shared" si="12"/>
        <v>mar</v>
      </c>
      <c r="NS5" s="127" t="str">
        <f t="shared" si="12"/>
        <v>mer</v>
      </c>
      <c r="NT5" s="127" t="str">
        <f t="shared" si="12"/>
        <v>jeu</v>
      </c>
      <c r="NU5" s="127" t="str">
        <f t="shared" si="12"/>
        <v>ven</v>
      </c>
      <c r="NV5" s="127" t="str">
        <f t="shared" si="12"/>
        <v>sam</v>
      </c>
      <c r="NW5" s="128" t="str">
        <f t="shared" si="12"/>
        <v>dim</v>
      </c>
      <c r="NX5" s="126" t="str">
        <f t="shared" si="12"/>
        <v>lun</v>
      </c>
      <c r="NY5" s="127" t="str">
        <f t="shared" si="12"/>
        <v>mar</v>
      </c>
      <c r="NZ5" s="127" t="str">
        <f t="shared" si="12"/>
        <v>mer</v>
      </c>
      <c r="OA5" s="127" t="str">
        <f t="shared" si="12"/>
        <v>jeu</v>
      </c>
      <c r="OB5" s="127" t="str">
        <f t="shared" si="12"/>
        <v>ven</v>
      </c>
      <c r="OC5" s="127" t="str">
        <f t="shared" si="12"/>
        <v>sam</v>
      </c>
      <c r="OD5" s="127" t="str">
        <f t="shared" si="12"/>
        <v>dim</v>
      </c>
      <c r="OE5" s="127" t="str">
        <f t="shared" si="12"/>
        <v>lun</v>
      </c>
      <c r="OF5" s="127" t="str">
        <f t="shared" si="12"/>
        <v>mar</v>
      </c>
      <c r="OG5" s="127" t="str">
        <f t="shared" si="12"/>
        <v>mer</v>
      </c>
      <c r="OH5" s="127" t="str">
        <f t="shared" si="12"/>
        <v>jeu</v>
      </c>
      <c r="OI5" s="127" t="str">
        <f t="shared" si="12"/>
        <v>ven</v>
      </c>
      <c r="OJ5" s="127" t="str">
        <f t="shared" si="12"/>
        <v>sam</v>
      </c>
      <c r="OK5" s="127" t="str">
        <f t="shared" si="12"/>
        <v>dim</v>
      </c>
      <c r="OL5" s="127" t="str">
        <f t="shared" si="12"/>
        <v>lun</v>
      </c>
      <c r="OM5" s="127" t="str">
        <f t="shared" si="12"/>
        <v>mar</v>
      </c>
      <c r="ON5" s="127" t="str">
        <f t="shared" si="12"/>
        <v>mer</v>
      </c>
      <c r="OO5" s="127" t="str">
        <f t="shared" si="12"/>
        <v>jeu</v>
      </c>
      <c r="OP5" s="127" t="str">
        <f t="shared" si="12"/>
        <v>ven</v>
      </c>
      <c r="OQ5" s="127" t="str">
        <f t="shared" si="12"/>
        <v>sam</v>
      </c>
      <c r="OR5" s="127" t="str">
        <f t="shared" si="12"/>
        <v>dim</v>
      </c>
      <c r="OS5" s="127" t="str">
        <f t="shared" si="12"/>
        <v>lun</v>
      </c>
      <c r="OT5" s="127" t="str">
        <f t="shared" si="12"/>
        <v>mar</v>
      </c>
      <c r="OU5" s="127" t="str">
        <f t="shared" si="12"/>
        <v>mer</v>
      </c>
      <c r="OV5" s="127" t="str">
        <f t="shared" si="12"/>
        <v>jeu</v>
      </c>
      <c r="OW5" s="127" t="str">
        <f t="shared" si="12"/>
        <v>ven</v>
      </c>
      <c r="OX5" s="127" t="str">
        <f t="shared" si="12"/>
        <v>sam</v>
      </c>
      <c r="OY5" s="127" t="str">
        <f t="shared" si="12"/>
        <v>dim</v>
      </c>
      <c r="OZ5" s="127" t="str">
        <f t="shared" si="12"/>
        <v>lun</v>
      </c>
      <c r="PA5" s="127" t="str">
        <f t="shared" si="12"/>
        <v>mar</v>
      </c>
      <c r="PB5" s="129" t="str">
        <f t="shared" si="12"/>
        <v>mer</v>
      </c>
      <c r="PC5" s="47"/>
      <c r="PD5" s="131"/>
      <c r="PE5" s="132"/>
      <c r="PF5" s="132"/>
      <c r="PG5" s="132"/>
      <c r="PH5" s="133"/>
      <c r="PI5" s="134"/>
      <c r="PJ5" s="134"/>
      <c r="PK5" s="134"/>
      <c r="PL5" s="134"/>
      <c r="PM5" s="134"/>
      <c r="PN5" s="134"/>
      <c r="PO5" s="135"/>
      <c r="PP5" s="135"/>
      <c r="PQ5" s="135"/>
      <c r="PR5" s="135"/>
      <c r="PS5" s="135"/>
      <c r="PT5" s="135"/>
      <c r="PU5" s="135"/>
      <c r="PV5" s="135"/>
      <c r="PW5" s="135"/>
      <c r="PX5" s="136"/>
      <c r="PY5" s="137"/>
      <c r="PZ5" s="138">
        <f>IF(SUM(PZ6:PZ217)=0,"Attente…",SUM(PZ6:PZ217))</f>
        <v>119870</v>
      </c>
      <c r="QA5" s="139" t="s">
        <v>84</v>
      </c>
      <c r="QB5" s="140" t="e">
        <f ca="1">IF(SUMIF(INDIRECT("'Annuel'!A:A"),"Collecte de CAV",INDIRECT("'Annuel'!b:b"))=0,"Attente…",(SUMIF(INDIRECT("'Annuel'!A:A"),"Collecte de CAV",INDIRECT("'Annuel'!b:b"))))</f>
        <v>#REF!</v>
      </c>
      <c r="QC5" s="141">
        <f>IF(SUM(QC6:QC217)=0,"Attente…",SUM(QC6:QC217))</f>
        <v>106800</v>
      </c>
      <c r="QD5" s="142" t="s">
        <v>84</v>
      </c>
      <c r="QE5" s="143" t="e">
        <f ca="1">IF(SUMIF(INDIRECT("'Annuel'!A:A"),"Collecte de CAV",INDIRECT("'Annuel'!C:C"))=0,"Attente…",(SUMIF(INDIRECT("'Annuel'!A:A"),"Collecte de CAV",INDIRECT("'Annuel'!C:C"))))</f>
        <v>#REF!</v>
      </c>
      <c r="QF5" s="138">
        <f>IF(SUM(QF6:QF217)=0,"Attente…",SUM(QF6:QF217))</f>
        <v>125580</v>
      </c>
      <c r="QG5" s="139" t="s">
        <v>84</v>
      </c>
      <c r="QH5" s="140" t="e">
        <f ca="1">IF(SUMIF(INDIRECT("'Annuel'!A:A"),"Collecte de CAV",INDIRECT("'Annuel'!d:d"))=0,"Attente…",SUMIF(INDIRECT("'Annuel'!A:A"),"Collecte de CAV",INDIRECT("'Annuel'!d:d")))</f>
        <v>#REF!</v>
      </c>
      <c r="QI5" s="141">
        <f>IF(SUM(QI6:QI217)=0,"Attente…",SUM(QI6:QI217))</f>
        <v>142580</v>
      </c>
      <c r="QJ5" s="142" t="s">
        <v>84</v>
      </c>
      <c r="QK5" s="143" t="e">
        <f ca="1">IF(SUMIF(INDIRECT("'Annuel'!A:A"),"Collecte de CAV",INDIRECT("'Annuel'!e:e"))=0,"Attente…",(SUMIF(INDIRECT("'Annuel'!A:A"),"Collecte de CAV",INDIRECT("'Annuel'!e:e"))))</f>
        <v>#REF!</v>
      </c>
      <c r="QL5" s="138">
        <f>IF(SUM(QL6:QL217)=0,"Attente…",SUM(QL6:QL217))</f>
        <v>136680</v>
      </c>
      <c r="QM5" s="139" t="s">
        <v>84</v>
      </c>
      <c r="QN5" s="140" t="e">
        <f ca="1">IF(SUMIF(INDIRECT("'Annuel'!A:A"),"Collecte de CAV",INDIRECT("'Annuel'!f:f"))=0,"Attente…",(SUMIF(INDIRECT("'Annuel'!A:A"),"Collecte de CAV",INDIRECT("'Annuel'!f:f"))))</f>
        <v>#REF!</v>
      </c>
      <c r="QO5" s="141">
        <f>IF(SUM(QO6:QO217)=0,"Attente…",SUM(QO6:QO217))</f>
        <v>127730</v>
      </c>
      <c r="QP5" s="142" t="s">
        <v>84</v>
      </c>
      <c r="QQ5" s="143" t="e">
        <f ca="1">IF(SUMIF(INDIRECT("'Annuel'!A:A"),"Collecte de CAV",INDIRECT("'Annuel'!g:g"))=0,"Attente…",SUMIF(INDIRECT("'Annuel'!A:A"),"Collecte de CAV",INDIRECT("'Annuel'!g:g")))</f>
        <v>#REF!</v>
      </c>
      <c r="QR5" s="138">
        <f>IF(SUM(QR6:QR217)=0,"Attente…",SUM(QR6:QR217))</f>
        <v>138905</v>
      </c>
      <c r="QS5" s="139" t="s">
        <v>84</v>
      </c>
      <c r="QT5" s="140" t="e">
        <f ca="1">IF(SUMIF(INDIRECT("'Annuel'!A:A"),"Collecte de CAV",INDIRECT("'Annuel'!h:h"))=0,"Attente…",(SUMIF(INDIRECT("'Annuel'!A:A"),"Collecte de CAV",INDIRECT("'Annuel'!h:h"))))</f>
        <v>#REF!</v>
      </c>
      <c r="QU5" s="141">
        <f>IF(SUM(QU6:QU217)=0,"Attente…",SUM(QU6:QU217))</f>
        <v>145040</v>
      </c>
      <c r="QV5" s="142" t="s">
        <v>84</v>
      </c>
      <c r="QW5" s="143" t="e">
        <f ca="1">IF(SUMIF(INDIRECT("'Annuel'!A:A"),"Collecte de CAV",INDIRECT("'Annuel'!i:i"))=0,"Attente…",(SUMIF(INDIRECT("'Annuel'!A:A"),"Collecte de CAV",INDIRECT("'Annuel'!i:i"))))</f>
        <v>#REF!</v>
      </c>
      <c r="QX5" s="138">
        <f>IF(SUM(QX6:QX217)=0,"Attente…",SUM(QX6:QX217))</f>
        <v>137036</v>
      </c>
      <c r="QY5" s="139" t="s">
        <v>84</v>
      </c>
      <c r="QZ5" s="140" t="e">
        <f ca="1">IF(SUMIF(INDIRECT("'Annuel'!A:A"),"Collecte de CAV",INDIRECT("'Annuel'!j:j"))=0,"Attente…",(SUMIF(INDIRECT("'Annuel'!A:A"),"Collecte de CAV",INDIRECT("'Annuel'!j:j"))))</f>
        <v>#REF!</v>
      </c>
      <c r="RA5" s="141">
        <f>IF(SUM(RA6:RA217)=0,"Attente…",SUM(RA6:RA217))</f>
        <v>127810</v>
      </c>
      <c r="RB5" s="142" t="s">
        <v>84</v>
      </c>
      <c r="RC5" s="143" t="e">
        <f ca="1">IF(SUMIF(INDIRECT("'Annuel'!A:A"),"Collecte de CAV",INDIRECT("'Annuel'!k:k"))=0,"Attente…",(SUMIF(INDIRECT("'Annuel'!A:A"),"Collecte de CAV",INDIRECT("'Annuel'!k:k"))))</f>
        <v>#REF!</v>
      </c>
      <c r="RD5" s="138">
        <f>IF(SUM(RD6:RD217)=0,"Attente…",SUM(RD6:RD217))</f>
        <v>100360</v>
      </c>
      <c r="RE5" s="139" t="s">
        <v>84</v>
      </c>
      <c r="RF5" s="140" t="e">
        <f ca="1">IF(SUMIF(INDIRECT("'Annuel'!A:A"),"Collecte de CAV",INDIRECT("'Annuel'!l:l"))=0,"Attente…",(SUMIF(INDIRECT("'Annuel'!A:A"),"Collecte de CAV",INDIRECT("'Annuel'!l:l"))))</f>
        <v>#REF!</v>
      </c>
      <c r="RG5" s="141">
        <f>IF(SUM(RG6:RG217)=0,"Attente…",SUM(RG6:RG217))</f>
        <v>54370</v>
      </c>
      <c r="RH5" s="142" t="s">
        <v>84</v>
      </c>
      <c r="RI5" s="143" t="e">
        <f ca="1">IF(SUMIF(INDIRECT("'Annuel'!A:A"),"Collecte de CAV",INDIRECT("'Annuel'!m:m"))=0,"Attente…",(SUMIF(INDIRECT("'Annuel'!A:A"),"Collecte de CAV",INDIRECT("'Annuel'!m:m"))))</f>
        <v>#REF!</v>
      </c>
      <c r="RJ5" s="144">
        <f>IFERROR(PZ5+QC5+QF5,"Attente...")</f>
        <v>352250</v>
      </c>
      <c r="RK5" s="145" t="str">
        <f t="shared" ref="RK5:RK68" ca="1" si="13">IFERROR(QB5+QE5+QH5,"Attente…")</f>
        <v>Attente…</v>
      </c>
      <c r="RL5" s="144">
        <f>IFERROR(QI5+QL5+QO5,"Attente...")</f>
        <v>406990</v>
      </c>
      <c r="RM5" s="145" t="str">
        <f ca="1">IFERROR(QK5+QN5+QQ5,"Attente…")</f>
        <v>Attente…</v>
      </c>
      <c r="RN5" s="144">
        <f>IFERROR(QR5+QU5+QX5,"Attente...")</f>
        <v>420981</v>
      </c>
      <c r="RO5" s="145" t="str">
        <f t="shared" ref="RO5:RO68" ca="1" si="14">IFERROR(QT5+QW5+QZ5,"Attente…")</f>
        <v>Attente…</v>
      </c>
      <c r="RP5" s="144">
        <f>IFERROR(RA5+RD5+RG5,"Attente...")</f>
        <v>282540</v>
      </c>
      <c r="RQ5" s="145" t="str">
        <f t="shared" ref="RQ5:RQ68" ca="1" si="15">IFERROR(RC5+RF5+RI5,"Attente…")</f>
        <v>Attente…</v>
      </c>
      <c r="RR5" s="146">
        <f>IFERROR(RJ5+RL5+RN5+RP5,"Attente...")</f>
        <v>1462761</v>
      </c>
      <c r="RS5" s="147" t="str">
        <f t="shared" ref="RS5:RS68" ca="1" si="16">IFERROR(RK5+RM5+RO5+RQ5,"Attente…")</f>
        <v>Attente…</v>
      </c>
      <c r="RT5" s="148"/>
      <c r="RU5" s="149" t="s">
        <v>85</v>
      </c>
      <c r="RV5" s="150" t="str">
        <f t="shared" si="6"/>
        <v>CAV</v>
      </c>
      <c r="RW5" s="150" t="str">
        <f t="shared" si="6"/>
        <v>pass.</v>
      </c>
      <c r="RX5" s="150" t="s">
        <v>86</v>
      </c>
      <c r="RY5" s="151" t="str">
        <f>B5</f>
        <v>(tel que cela doit être mentionné sur les feuilles de collecte)</v>
      </c>
      <c r="RZ5" s="152" t="s">
        <v>87</v>
      </c>
    </row>
    <row r="6" spans="1:494" ht="15" hidden="1" customHeight="1" x14ac:dyDescent="0.35">
      <c r="B6" s="153" t="str">
        <f t="shared" ref="B6:B69" si="17">UPPER(P6)&amp;" - "&amp;M6&amp;IF(N6="",""," ("&amp;N6&amp;")")</f>
        <v>ROUEN - 27 rue Saint-Sever (Cours Clémenceau)</v>
      </c>
      <c r="C6" s="154">
        <v>190</v>
      </c>
      <c r="D6" s="155"/>
      <c r="E6" s="155"/>
      <c r="F6" s="155"/>
      <c r="G6" s="155"/>
      <c r="H6" s="155"/>
      <c r="I6" s="155"/>
      <c r="J6" s="156"/>
      <c r="K6" s="157">
        <f t="shared" ref="K6:K69" si="18">COUNTA(C6:J6)</f>
        <v>1</v>
      </c>
      <c r="L6" s="157">
        <f t="shared" ref="L6:L69" si="19">COUNTA(W6:AY6)</f>
        <v>1</v>
      </c>
      <c r="M6" s="158" t="s">
        <v>88</v>
      </c>
      <c r="N6" s="159" t="s">
        <v>89</v>
      </c>
      <c r="O6" s="159">
        <v>76000</v>
      </c>
      <c r="P6" s="159" t="s">
        <v>90</v>
      </c>
      <c r="Q6" s="159" t="s">
        <v>91</v>
      </c>
      <c r="R6" s="159" t="s">
        <v>92</v>
      </c>
      <c r="S6" s="159" t="s">
        <v>93</v>
      </c>
      <c r="T6" s="159" t="s">
        <v>94</v>
      </c>
      <c r="U6" s="159" t="s">
        <v>95</v>
      </c>
      <c r="V6" s="160" t="s">
        <v>96</v>
      </c>
      <c r="W6" s="161"/>
      <c r="X6" s="162"/>
      <c r="Y6" s="163"/>
      <c r="Z6" s="162"/>
      <c r="AA6" s="163"/>
      <c r="AB6" s="162">
        <v>1</v>
      </c>
      <c r="AC6" s="163"/>
      <c r="AD6" s="162"/>
      <c r="AE6" s="163"/>
      <c r="AF6" s="162"/>
      <c r="AG6" s="163"/>
      <c r="AH6" s="163"/>
      <c r="AI6" s="162"/>
      <c r="AJ6" s="163"/>
      <c r="AK6" s="162"/>
      <c r="AL6" s="163"/>
      <c r="AM6" s="162"/>
      <c r="AN6" s="163"/>
      <c r="AO6" s="162"/>
      <c r="AP6" s="164"/>
      <c r="AQ6" s="164"/>
      <c r="AR6" s="164"/>
      <c r="AS6" s="164"/>
      <c r="AT6" s="164"/>
      <c r="AU6" s="164"/>
      <c r="AV6" s="164"/>
      <c r="AW6" s="164"/>
      <c r="AX6" s="164"/>
      <c r="AY6" s="165"/>
      <c r="AZ6" s="41"/>
      <c r="BA6" s="166"/>
      <c r="BB6" s="167"/>
      <c r="BC6" s="167">
        <v>100</v>
      </c>
      <c r="BD6" s="167"/>
      <c r="BE6" s="167"/>
      <c r="BF6" s="167"/>
      <c r="BG6" s="167">
        <v>100</v>
      </c>
      <c r="BH6" s="167"/>
      <c r="BI6" s="167"/>
      <c r="BJ6" s="167">
        <v>10</v>
      </c>
      <c r="BK6" s="167"/>
      <c r="BL6" s="167"/>
      <c r="BM6" s="167"/>
      <c r="BN6" s="167">
        <v>10</v>
      </c>
      <c r="BO6" s="167"/>
      <c r="BP6" s="167"/>
      <c r="BQ6" s="167">
        <v>10</v>
      </c>
      <c r="BR6" s="167"/>
      <c r="BS6" s="167"/>
      <c r="BT6" s="167"/>
      <c r="BU6" s="167">
        <v>50</v>
      </c>
      <c r="BV6" s="167"/>
      <c r="BW6" s="167"/>
      <c r="BX6" s="167">
        <v>10</v>
      </c>
      <c r="BY6" s="167"/>
      <c r="BZ6" s="167"/>
      <c r="CA6" s="167"/>
      <c r="CB6" s="167">
        <v>50</v>
      </c>
      <c r="CC6" s="167"/>
      <c r="CD6" s="167"/>
      <c r="CE6" s="168">
        <v>10</v>
      </c>
      <c r="CF6" s="166"/>
      <c r="CG6" s="167"/>
      <c r="CH6" s="167"/>
      <c r="CI6" s="167">
        <v>10</v>
      </c>
      <c r="CJ6" s="167"/>
      <c r="CK6" s="167"/>
      <c r="CL6" s="167">
        <v>100</v>
      </c>
      <c r="CM6" s="167"/>
      <c r="CN6" s="167"/>
      <c r="CO6" s="167"/>
      <c r="CP6" s="167">
        <v>100</v>
      </c>
      <c r="CQ6" s="167"/>
      <c r="CR6" s="167"/>
      <c r="CS6" s="167">
        <v>10</v>
      </c>
      <c r="CT6" s="167"/>
      <c r="CU6" s="167"/>
      <c r="CV6" s="167"/>
      <c r="CW6" s="167">
        <v>10</v>
      </c>
      <c r="CX6" s="167"/>
      <c r="CY6" s="167"/>
      <c r="CZ6" s="167">
        <v>10</v>
      </c>
      <c r="DA6" s="167"/>
      <c r="DB6" s="167"/>
      <c r="DC6" s="167"/>
      <c r="DD6" s="167">
        <v>50</v>
      </c>
      <c r="DE6" s="167"/>
      <c r="DF6" s="167"/>
      <c r="DG6" s="167">
        <v>10</v>
      </c>
      <c r="DH6" s="169"/>
      <c r="DI6" s="170"/>
      <c r="DJ6" s="167"/>
      <c r="DK6" s="167"/>
      <c r="DL6" s="167">
        <v>100</v>
      </c>
      <c r="DM6" s="167"/>
      <c r="DN6" s="167"/>
      <c r="DO6" s="167">
        <v>10</v>
      </c>
      <c r="DP6" s="167"/>
      <c r="DQ6" s="167"/>
      <c r="DR6" s="167"/>
      <c r="DS6" s="167">
        <v>10</v>
      </c>
      <c r="DT6" s="167"/>
      <c r="DU6" s="167"/>
      <c r="DV6" s="167">
        <v>50</v>
      </c>
      <c r="DW6" s="167"/>
      <c r="DX6" s="167"/>
      <c r="DY6" s="167"/>
      <c r="DZ6" s="167">
        <v>10</v>
      </c>
      <c r="EA6" s="167"/>
      <c r="EB6" s="167"/>
      <c r="EC6" s="167">
        <v>10</v>
      </c>
      <c r="ED6" s="167"/>
      <c r="EE6" s="167"/>
      <c r="EF6" s="167"/>
      <c r="EG6" s="167">
        <v>50</v>
      </c>
      <c r="EH6" s="167"/>
      <c r="EI6" s="167"/>
      <c r="EJ6" s="167">
        <v>50</v>
      </c>
      <c r="EK6" s="167"/>
      <c r="EL6" s="167"/>
      <c r="EM6" s="168"/>
      <c r="EN6" s="166">
        <v>100</v>
      </c>
      <c r="EO6" s="167"/>
      <c r="EP6" s="167"/>
      <c r="EQ6" s="167">
        <v>10</v>
      </c>
      <c r="ER6" s="167"/>
      <c r="ES6" s="167"/>
      <c r="ET6" s="167"/>
      <c r="EU6" s="167">
        <v>100</v>
      </c>
      <c r="EV6" s="167"/>
      <c r="EW6" s="167"/>
      <c r="EX6" s="167">
        <v>50</v>
      </c>
      <c r="EY6" s="167"/>
      <c r="EZ6" s="167"/>
      <c r="FA6" s="167"/>
      <c r="FB6" s="167">
        <v>50</v>
      </c>
      <c r="FC6" s="167"/>
      <c r="FD6" s="167"/>
      <c r="FE6" s="167"/>
      <c r="FF6" s="167"/>
      <c r="FG6" s="167"/>
      <c r="FH6" s="167"/>
      <c r="FI6" s="167">
        <v>100</v>
      </c>
      <c r="FJ6" s="167"/>
      <c r="FK6" s="167"/>
      <c r="FL6" s="167"/>
      <c r="FM6" s="167"/>
      <c r="FN6" s="167"/>
      <c r="FO6" s="167"/>
      <c r="FP6" s="167">
        <v>100</v>
      </c>
      <c r="FQ6" s="169"/>
      <c r="FR6" s="170"/>
      <c r="FS6" s="167">
        <v>50</v>
      </c>
      <c r="FT6" s="167"/>
      <c r="FU6" s="167"/>
      <c r="FV6" s="167"/>
      <c r="FW6" s="167">
        <v>50</v>
      </c>
      <c r="FX6" s="167"/>
      <c r="FY6" s="167"/>
      <c r="FZ6" s="167">
        <v>10</v>
      </c>
      <c r="GA6" s="167"/>
      <c r="GB6" s="167"/>
      <c r="GC6" s="167"/>
      <c r="GD6" s="167">
        <v>50</v>
      </c>
      <c r="GE6" s="167"/>
      <c r="GF6" s="167"/>
      <c r="GG6" s="167">
        <v>10</v>
      </c>
      <c r="GH6" s="167"/>
      <c r="GI6" s="167"/>
      <c r="GJ6" s="167"/>
      <c r="GK6" s="167">
        <v>50</v>
      </c>
      <c r="GL6" s="167"/>
      <c r="GM6" s="167"/>
      <c r="GN6" s="167"/>
      <c r="GO6" s="167"/>
      <c r="GP6" s="167"/>
      <c r="GQ6" s="167"/>
      <c r="GR6" s="167"/>
      <c r="GS6" s="167"/>
      <c r="GT6" s="167"/>
      <c r="GU6" s="167"/>
      <c r="GV6" s="168"/>
      <c r="GW6" s="166"/>
      <c r="GX6" s="167"/>
      <c r="GY6" s="167"/>
      <c r="GZ6" s="167"/>
      <c r="HA6" s="167"/>
      <c r="HB6" s="167"/>
      <c r="HC6" s="167"/>
      <c r="HD6" s="167"/>
      <c r="HE6" s="167"/>
      <c r="HF6" s="167"/>
      <c r="HG6" s="167"/>
      <c r="HH6" s="167"/>
      <c r="HI6" s="167"/>
      <c r="HJ6" s="167"/>
      <c r="HK6" s="167"/>
      <c r="HL6" s="167"/>
      <c r="HM6" s="167"/>
      <c r="HN6" s="167"/>
      <c r="HO6" s="167"/>
      <c r="HP6" s="167"/>
      <c r="HQ6" s="167"/>
      <c r="HR6" s="167"/>
      <c r="HS6" s="167"/>
      <c r="HT6" s="167"/>
      <c r="HU6" s="167"/>
      <c r="HV6" s="167"/>
      <c r="HW6" s="167"/>
      <c r="HX6" s="167"/>
      <c r="HY6" s="167"/>
      <c r="HZ6" s="169"/>
      <c r="IA6" s="170"/>
      <c r="IB6" s="167"/>
      <c r="IC6" s="167"/>
      <c r="ID6" s="167"/>
      <c r="IE6" s="167"/>
      <c r="IF6" s="167"/>
      <c r="IG6" s="167"/>
      <c r="IH6" s="167"/>
      <c r="II6" s="167"/>
      <c r="IJ6" s="167"/>
      <c r="IK6" s="167"/>
      <c r="IL6" s="167"/>
      <c r="IM6" s="167"/>
      <c r="IN6" s="167"/>
      <c r="IO6" s="167"/>
      <c r="IP6" s="167">
        <v>150</v>
      </c>
      <c r="IQ6" s="167"/>
      <c r="IR6" s="167"/>
      <c r="IS6" s="167"/>
      <c r="IT6" s="167"/>
      <c r="IU6" s="167"/>
      <c r="IV6" s="167">
        <v>100</v>
      </c>
      <c r="IW6" s="167"/>
      <c r="IX6" s="167"/>
      <c r="IY6" s="167"/>
      <c r="IZ6" s="167"/>
      <c r="JA6" s="167"/>
      <c r="JB6" s="167"/>
      <c r="JC6" s="167"/>
      <c r="JD6" s="167"/>
      <c r="JE6" s="168"/>
      <c r="JF6" s="166"/>
      <c r="JG6" s="167"/>
      <c r="JH6" s="167"/>
      <c r="JI6" s="167"/>
      <c r="JJ6" s="167"/>
      <c r="JK6" s="167"/>
      <c r="JL6" s="167"/>
      <c r="JM6" s="167"/>
      <c r="JN6" s="167"/>
      <c r="JO6" s="167"/>
      <c r="JP6" s="167"/>
      <c r="JQ6" s="167"/>
      <c r="JR6" s="167"/>
      <c r="JS6" s="167"/>
      <c r="JT6" s="167"/>
      <c r="JU6" s="167"/>
      <c r="JV6" s="167"/>
      <c r="JW6" s="167"/>
      <c r="JX6" s="167"/>
      <c r="JY6" s="167"/>
      <c r="JZ6" s="167"/>
      <c r="KA6" s="167"/>
      <c r="KB6" s="167"/>
      <c r="KC6" s="167"/>
      <c r="KD6" s="167"/>
      <c r="KE6" s="167"/>
      <c r="KF6" s="167"/>
      <c r="KG6" s="167"/>
      <c r="KH6" s="167"/>
      <c r="KI6" s="167"/>
      <c r="KJ6" s="169"/>
      <c r="KK6" s="170"/>
      <c r="KL6" s="167"/>
      <c r="KM6" s="167"/>
      <c r="KN6" s="167"/>
      <c r="KO6" s="167"/>
      <c r="KP6" s="167"/>
      <c r="KQ6" s="167"/>
      <c r="KR6" s="167"/>
      <c r="KS6" s="167">
        <v>100</v>
      </c>
      <c r="KT6" s="167"/>
      <c r="KU6" s="167"/>
      <c r="KV6" s="167"/>
      <c r="KW6" s="167"/>
      <c r="KX6" s="167"/>
      <c r="KY6" s="167"/>
      <c r="KZ6" s="167"/>
      <c r="LA6" s="167"/>
      <c r="LB6" s="167"/>
      <c r="LC6" s="167"/>
      <c r="LD6" s="167"/>
      <c r="LE6" s="167"/>
      <c r="LF6" s="167"/>
      <c r="LG6" s="167"/>
      <c r="LH6" s="167"/>
      <c r="LI6" s="167"/>
      <c r="LJ6" s="167"/>
      <c r="LK6" s="167"/>
      <c r="LL6" s="167"/>
      <c r="LM6" s="167"/>
      <c r="LN6" s="168"/>
      <c r="LO6" s="166"/>
      <c r="LP6" s="167"/>
      <c r="LQ6" s="167"/>
      <c r="LR6" s="167"/>
      <c r="LS6" s="167"/>
      <c r="LT6" s="167"/>
      <c r="LU6" s="167"/>
      <c r="LV6" s="167"/>
      <c r="LW6" s="167"/>
      <c r="LX6" s="167"/>
      <c r="LY6" s="167"/>
      <c r="LZ6" s="167"/>
      <c r="MA6" s="167"/>
      <c r="MB6" s="167"/>
      <c r="MC6" s="167"/>
      <c r="MD6" s="167"/>
      <c r="ME6" s="167"/>
      <c r="MF6" s="167"/>
      <c r="MG6" s="167"/>
      <c r="MH6" s="167"/>
      <c r="MI6" s="167"/>
      <c r="MJ6" s="167"/>
      <c r="MK6" s="167"/>
      <c r="ML6" s="167"/>
      <c r="MM6" s="167"/>
      <c r="MN6" s="167"/>
      <c r="MO6" s="167"/>
      <c r="MP6" s="167"/>
      <c r="MQ6" s="167"/>
      <c r="MR6" s="167"/>
      <c r="MS6" s="169"/>
      <c r="MT6" s="170"/>
      <c r="MU6" s="167"/>
      <c r="MV6" s="167"/>
      <c r="MW6" s="167"/>
      <c r="MX6" s="167"/>
      <c r="MY6" s="167"/>
      <c r="MZ6" s="167"/>
      <c r="NA6" s="167"/>
      <c r="NB6" s="167"/>
      <c r="NC6" s="167"/>
      <c r="ND6" s="167"/>
      <c r="NE6" s="167"/>
      <c r="NF6" s="167"/>
      <c r="NG6" s="167"/>
      <c r="NH6" s="167"/>
      <c r="NI6" s="167"/>
      <c r="NJ6" s="167"/>
      <c r="NK6" s="167"/>
      <c r="NL6" s="167"/>
      <c r="NM6" s="167"/>
      <c r="NN6" s="167"/>
      <c r="NO6" s="167"/>
      <c r="NP6" s="167"/>
      <c r="NQ6" s="167"/>
      <c r="NR6" s="167"/>
      <c r="NS6" s="167"/>
      <c r="NT6" s="167"/>
      <c r="NU6" s="167"/>
      <c r="NV6" s="167"/>
      <c r="NW6" s="168"/>
      <c r="NX6" s="166"/>
      <c r="NY6" s="167"/>
      <c r="NZ6" s="167"/>
      <c r="OA6" s="167"/>
      <c r="OB6" s="167"/>
      <c r="OC6" s="167"/>
      <c r="OD6" s="167"/>
      <c r="OE6" s="167"/>
      <c r="OF6" s="167"/>
      <c r="OG6" s="167"/>
      <c r="OH6" s="167"/>
      <c r="OI6" s="167"/>
      <c r="OJ6" s="167"/>
      <c r="OK6" s="167"/>
      <c r="OL6" s="167"/>
      <c r="OM6" s="167"/>
      <c r="ON6" s="167"/>
      <c r="OO6" s="167"/>
      <c r="OP6" s="167"/>
      <c r="OQ6" s="167"/>
      <c r="OR6" s="167"/>
      <c r="OS6" s="167"/>
      <c r="OT6" s="167"/>
      <c r="OU6" s="167"/>
      <c r="OV6" s="167"/>
      <c r="OW6" s="167"/>
      <c r="OX6" s="167"/>
      <c r="OY6" s="167"/>
      <c r="OZ6" s="167"/>
      <c r="PA6" s="167"/>
      <c r="PB6" s="169"/>
      <c r="PC6" s="47"/>
      <c r="PD6" s="171" t="s">
        <v>97</v>
      </c>
      <c r="PE6" s="172" t="s">
        <v>98</v>
      </c>
      <c r="PF6" s="172" t="s">
        <v>98</v>
      </c>
      <c r="PG6" s="172" t="s">
        <v>98</v>
      </c>
      <c r="PH6" s="172" t="s">
        <v>98</v>
      </c>
      <c r="PI6" s="172" t="s">
        <v>98</v>
      </c>
      <c r="PJ6" s="172" t="s">
        <v>98</v>
      </c>
      <c r="PK6" s="172" t="s">
        <v>98</v>
      </c>
      <c r="PL6" s="172" t="s">
        <v>98</v>
      </c>
      <c r="PM6" s="172" t="s">
        <v>98</v>
      </c>
      <c r="PN6" s="172" t="s">
        <v>98</v>
      </c>
      <c r="PO6" s="173"/>
      <c r="PP6" s="173"/>
      <c r="PQ6" s="173"/>
      <c r="PR6" s="173"/>
      <c r="PS6" s="173"/>
      <c r="PT6" s="173"/>
      <c r="PU6" s="173"/>
      <c r="PV6" s="173"/>
      <c r="PW6" s="173"/>
      <c r="PX6" s="174"/>
      <c r="PY6" s="1"/>
      <c r="PZ6" s="175">
        <f t="shared" ref="PZ6:PZ69" si="20">SUM(BA6:CE6)</f>
        <v>350</v>
      </c>
      <c r="QA6" s="176">
        <f t="shared" ref="QA6:QA69" si="21">IFERROR(PZ6/PZ$5,"Attente…")</f>
        <v>2.9198298156336033E-3</v>
      </c>
      <c r="QB6" s="177" t="str">
        <f t="shared" ref="QB6:QB69" ca="1" si="22">IFERROR(QA6*QB$5,"Attente…")</f>
        <v>Attente…</v>
      </c>
      <c r="QC6" s="178">
        <f t="shared" ref="QC6:QC69" si="23">SUM(CF6:DH6)</f>
        <v>300</v>
      </c>
      <c r="QD6" s="179">
        <f t="shared" ref="QD6:QD69" si="24">IFERROR(QC6/QC$5,"Attente…")</f>
        <v>2.8089887640449437E-3</v>
      </c>
      <c r="QE6" s="180" t="str">
        <f t="shared" ref="QE6:QE69" ca="1" si="25">IFERROR(QD6*QE$5,"Attente…")</f>
        <v>Attente…</v>
      </c>
      <c r="QF6" s="175">
        <f t="shared" ref="QF6:QF69" si="26">SUM(DI6:EM6)</f>
        <v>290</v>
      </c>
      <c r="QG6" s="176">
        <f t="shared" ref="QG6:QG69" si="27">IFERROR(QF6/QF$5,"Attente…")</f>
        <v>2.30928491798057E-3</v>
      </c>
      <c r="QH6" s="177" t="str">
        <f t="shared" ref="QH6:QH69" ca="1" si="28">IFERROR(QG6*QH$5,"Attente…")</f>
        <v>Attente…</v>
      </c>
      <c r="QI6" s="178">
        <f t="shared" ref="QI6:QI69" si="29">SUM(EN6:FQ6)</f>
        <v>510</v>
      </c>
      <c r="QJ6" s="179">
        <f t="shared" ref="QJ6:QJ69" si="30">IFERROR(QI6/QI$5,"Attente…")</f>
        <v>3.576939262168607E-3</v>
      </c>
      <c r="QK6" s="180" t="str">
        <f t="shared" ref="QK6:QK69" ca="1" si="31">IFERROR(QJ6*QK$5,"Attente…")</f>
        <v>Attente…</v>
      </c>
      <c r="QL6" s="175">
        <f t="shared" ref="QL6:QL69" si="32">SUM(FR6:GV6)</f>
        <v>220</v>
      </c>
      <c r="QM6" s="176">
        <f t="shared" ref="QM6:QM69" si="33">IFERROR(QL6/QL$5,"Attente…")</f>
        <v>1.6095990635059995E-3</v>
      </c>
      <c r="QN6" s="177" t="str">
        <f t="shared" ref="QN6:QN69" ca="1" si="34">IFERROR(QM6*QN$5,"Attente…")</f>
        <v>Attente…</v>
      </c>
      <c r="QO6" s="178">
        <f t="shared" ref="QO6:QO69" si="35">SUM(GW6:HZ6)</f>
        <v>0</v>
      </c>
      <c r="QP6" s="179">
        <f t="shared" ref="QP6:QP69" si="36">IFERROR(QO6/QO$5,"Attente…")</f>
        <v>0</v>
      </c>
      <c r="QQ6" s="180" t="str">
        <f t="shared" ref="QQ6:QQ69" ca="1" si="37">IFERROR(QP6*QQ$5,"Attente…")</f>
        <v>Attente…</v>
      </c>
      <c r="QR6" s="175">
        <f t="shared" ref="QR6:QR69" si="38">SUM(IA6:JE6)</f>
        <v>250</v>
      </c>
      <c r="QS6" s="176">
        <f t="shared" ref="QS6:QS69" si="39">IFERROR(QR6/QR$5,"Attente…")</f>
        <v>1.7997912242179908E-3</v>
      </c>
      <c r="QT6" s="177" t="str">
        <f t="shared" ref="QT6:QT69" ca="1" si="40">IFERROR(QS6*QT$5,"Attente…")</f>
        <v>Attente…</v>
      </c>
      <c r="QU6" s="178">
        <f t="shared" ref="QU6:QU69" si="41">SUM(JF6:KJ6)</f>
        <v>0</v>
      </c>
      <c r="QV6" s="179">
        <f t="shared" ref="QV6:QV69" si="42">IFERROR(QU6/QU$5,"Attente…")</f>
        <v>0</v>
      </c>
      <c r="QW6" s="180" t="str">
        <f t="shared" ref="QW6:QW69" ca="1" si="43">IFERROR(QV6*QW$5,"Attente…")</f>
        <v>Attente…</v>
      </c>
      <c r="QX6" s="175">
        <f t="shared" ref="QX6:QX69" si="44">SUM(KK6:LN6)</f>
        <v>100</v>
      </c>
      <c r="QY6" s="176">
        <f t="shared" ref="QY6:QY69" si="45">IFERROR(QX6/QX$5,"Attente…")</f>
        <v>7.2973525205055601E-4</v>
      </c>
      <c r="QZ6" s="177" t="str">
        <f t="shared" ref="QZ6:QZ69" ca="1" si="46">IFERROR(QY6*QZ$5,"Attente…")</f>
        <v>Attente…</v>
      </c>
      <c r="RA6" s="178">
        <f t="shared" ref="RA6:RA69" si="47">SUM(LO6:MS6)</f>
        <v>0</v>
      </c>
      <c r="RB6" s="179">
        <f t="shared" ref="RB6:RB69" si="48">IFERROR(RA6/RA$5,"Attente…")</f>
        <v>0</v>
      </c>
      <c r="RC6" s="180" t="str">
        <f t="shared" ref="RC6:RC69" ca="1" si="49">IFERROR(RB6*RC$5,"Attente…")</f>
        <v>Attente…</v>
      </c>
      <c r="RD6" s="175">
        <f t="shared" ref="RD6:RD69" si="50">SUM(MT6:NW6)</f>
        <v>0</v>
      </c>
      <c r="RE6" s="176">
        <f t="shared" ref="RE6:RE69" si="51">IFERROR(RD6/RD$5,"Attente…")</f>
        <v>0</v>
      </c>
      <c r="RF6" s="177" t="str">
        <f t="shared" ref="RF6:RF69" ca="1" si="52">IFERROR(RE6*RF$5,"Attente…")</f>
        <v>Attente…</v>
      </c>
      <c r="RG6" s="178">
        <f t="shared" ref="RG6:RG69" si="53">SUM(NX6:PB6)</f>
        <v>0</v>
      </c>
      <c r="RH6" s="179">
        <f t="shared" ref="RH6:RH69" si="54">IFERROR(RG6/RG$5,"Attente…")</f>
        <v>0</v>
      </c>
      <c r="RI6" s="181" t="str">
        <f t="shared" ref="RI6:RI69" ca="1" si="55">IFERROR(RH6*RI$5,"Attente…")</f>
        <v>Attente…</v>
      </c>
      <c r="RJ6" s="182">
        <f t="shared" ref="RJ6:RJ69" si="56">IF(RJ$5="Attente...","Attente…",PZ6+QC6+QF6)</f>
        <v>940</v>
      </c>
      <c r="RK6" s="183" t="str">
        <f t="shared" ca="1" si="13"/>
        <v>Attente…</v>
      </c>
      <c r="RL6" s="182">
        <f t="shared" ref="RL6:RL69" si="57">IF(RL$5="Attente...","Attente…",QI6+QL6+QO6)</f>
        <v>730</v>
      </c>
      <c r="RM6" s="183" t="str">
        <f t="shared" ref="RM6:RM69" ca="1" si="58">IFERROR(QK6+QN6+QQ6,"Atttente…")</f>
        <v>Atttente…</v>
      </c>
      <c r="RN6" s="182">
        <f t="shared" ref="RN6:RN69" si="59">IF(RN$5="Attente...","Attente…",QR6+QU6+QX6)</f>
        <v>350</v>
      </c>
      <c r="RO6" s="183" t="str">
        <f t="shared" ca="1" si="14"/>
        <v>Attente…</v>
      </c>
      <c r="RP6" s="182">
        <f t="shared" ref="RP6:RP69" si="60">IF(RP$5="Attente...","Attente…",RA6+RD6+RG6)</f>
        <v>0</v>
      </c>
      <c r="RQ6" s="183" t="str">
        <f t="shared" ca="1" si="15"/>
        <v>Attente…</v>
      </c>
      <c r="RR6" s="184">
        <f t="shared" ref="RR6:RR69" si="61">IF(RR$5="Attente...","Attente…",RJ6+RL6+RN6+RP6)</f>
        <v>2020</v>
      </c>
      <c r="RS6" s="185" t="str">
        <f t="shared" ca="1" si="16"/>
        <v>Attente…</v>
      </c>
      <c r="RT6" s="103"/>
      <c r="RU6" s="186">
        <f t="shared" ref="RU6:RU69" si="62">IFERROR(AVERAGE(BA6:PB6)/K6/2/100,"")</f>
        <v>0.24634146341463414</v>
      </c>
      <c r="RV6" s="187">
        <f t="shared" si="6"/>
        <v>1</v>
      </c>
      <c r="RW6" s="187">
        <f t="shared" si="6"/>
        <v>1</v>
      </c>
      <c r="RX6" s="187">
        <f t="shared" ref="RX6:RX69" si="63">COUNTA(BA6:PB6)</f>
        <v>41</v>
      </c>
      <c r="RY6" s="188" t="str">
        <f t="shared" ref="RY6:RY69" si="64">IF(B6="","",B6)</f>
        <v>ROUEN - 27 rue Saint-Sever (Cours Clémenceau)</v>
      </c>
      <c r="RZ6" s="189" t="str">
        <f>IF(OR(RZ5="",RZ5="  &lt;/Document&gt;
&lt;/kml&gt;"),"",
IF(B6="","  &lt;/Document&gt;
&lt;/kml&gt;",
IF(TournéesCAV!Q15=""," ",
"    &lt;Placemark&gt;
      &lt;description&gt;&lt;![CDATA["&amp;B6&amp;"&lt;br&gt;&lt;br&gt;"&amp;RV6&amp;" CAV&lt;br&gt;&lt;br&gt;Présent sur "&amp;RW6&amp;" tournée(s)&lt;br&gt;&lt;br&gt;Taux de remplissage moyen "&amp;TEXT(RU6*1000,"0 %")&amp;"]]&gt;&lt;/description&gt;
      &lt;Style&gt;
        &lt;IconStyle&gt;
          &lt;color&gt;ff"&amp;
          DEC2HEX(0,2)&amp;
          DEC2HEX(
            IF(RU6&lt;=0.5,
               INT(255*(RU6*2)),
               255
            ),2)&amp;
          DEC2HEX(
            IF(RU6&lt;=0.5,
               255,
               INT(255*(1-(RU6-0.5)*2))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&lt;Point&gt;&lt;coordinates&gt;"&amp;R6&amp;","&amp;Q6&amp;",0&lt;/coordinates&gt;&lt;/Point&gt;
    &lt;/Placemark&gt;"
)))</f>
        <v xml:space="preserve">    &lt;Placemark&gt;
      &lt;description&gt;&lt;![CDATA[ROUEN - 27 rue Saint-Sever (Cours Clémenceau)&lt;br&gt;&lt;br&gt;1 CAV&lt;br&gt;&lt;br&gt;Présent sur 1 tournée(s)&lt;br&gt;&lt;br&gt;Taux de remplissage moyen 25%]]&gt;&lt;/description&gt;
      &lt;Style&gt;
        &lt;IconStyle&gt;
          &lt;color&gt;ff007DFF&lt;/color&gt;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&lt;Point&gt;&lt;coordinates&gt;1.0892883,49.4344744,0&lt;/coordinates&gt;&lt;/Point&gt;
    &lt;/Placemark&gt;</v>
      </c>
    </row>
    <row r="7" spans="1:494" ht="15" hidden="1" customHeight="1" x14ac:dyDescent="0.35">
      <c r="B7" s="153" t="str">
        <f t="shared" si="17"/>
        <v>ROUEN - 46 Rue Desseaux (Proche bac verre)</v>
      </c>
      <c r="C7" s="154">
        <v>116</v>
      </c>
      <c r="D7" s="155"/>
      <c r="E7" s="155"/>
      <c r="F7" s="155"/>
      <c r="G7" s="155"/>
      <c r="H7" s="155"/>
      <c r="I7" s="155"/>
      <c r="J7" s="156"/>
      <c r="K7" s="157">
        <f t="shared" si="18"/>
        <v>1</v>
      </c>
      <c r="L7" s="157">
        <f t="shared" si="19"/>
        <v>2</v>
      </c>
      <c r="M7" s="158" t="s">
        <v>99</v>
      </c>
      <c r="N7" s="159" t="s">
        <v>100</v>
      </c>
      <c r="O7" s="159">
        <v>76000</v>
      </c>
      <c r="P7" s="159" t="s">
        <v>90</v>
      </c>
      <c r="Q7" s="159" t="s">
        <v>101</v>
      </c>
      <c r="R7" s="159" t="s">
        <v>102</v>
      </c>
      <c r="S7" s="159" t="s">
        <v>93</v>
      </c>
      <c r="T7" s="159" t="s">
        <v>94</v>
      </c>
      <c r="U7" s="159" t="s">
        <v>103</v>
      </c>
      <c r="V7" s="160" t="s">
        <v>96</v>
      </c>
      <c r="W7" s="161"/>
      <c r="X7" s="162"/>
      <c r="Y7" s="163"/>
      <c r="Z7" s="162"/>
      <c r="AA7" s="163">
        <v>1</v>
      </c>
      <c r="AB7" s="162">
        <v>2</v>
      </c>
      <c r="AC7" s="163"/>
      <c r="AD7" s="162"/>
      <c r="AE7" s="163"/>
      <c r="AF7" s="162"/>
      <c r="AG7" s="163"/>
      <c r="AH7" s="163"/>
      <c r="AI7" s="162"/>
      <c r="AJ7" s="163"/>
      <c r="AK7" s="162"/>
      <c r="AL7" s="163"/>
      <c r="AM7" s="162"/>
      <c r="AN7" s="163"/>
      <c r="AO7" s="162"/>
      <c r="AP7" s="164"/>
      <c r="AQ7" s="164"/>
      <c r="AR7" s="164"/>
      <c r="AS7" s="164"/>
      <c r="AT7" s="164"/>
      <c r="AU7" s="164"/>
      <c r="AV7" s="164"/>
      <c r="AW7" s="164"/>
      <c r="AX7" s="164"/>
      <c r="AY7" s="165"/>
      <c r="AZ7" s="41"/>
      <c r="BA7" s="190"/>
      <c r="BB7" s="191"/>
      <c r="BC7" s="191">
        <v>50</v>
      </c>
      <c r="BD7" s="191"/>
      <c r="BE7" s="191"/>
      <c r="BF7" s="191"/>
      <c r="BG7" s="191">
        <v>50</v>
      </c>
      <c r="BH7" s="191"/>
      <c r="BI7" s="191"/>
      <c r="BJ7" s="191">
        <v>10</v>
      </c>
      <c r="BK7" s="191"/>
      <c r="BL7" s="191"/>
      <c r="BM7" s="191"/>
      <c r="BN7" s="191">
        <v>50</v>
      </c>
      <c r="BO7" s="191"/>
      <c r="BP7" s="191"/>
      <c r="BQ7" s="191">
        <v>50</v>
      </c>
      <c r="BR7" s="191"/>
      <c r="BS7" s="191"/>
      <c r="BT7" s="191"/>
      <c r="BU7" s="191">
        <v>50</v>
      </c>
      <c r="BV7" s="191"/>
      <c r="BW7" s="191"/>
      <c r="BX7" s="191">
        <v>10</v>
      </c>
      <c r="BY7" s="191"/>
      <c r="BZ7" s="191"/>
      <c r="CA7" s="191"/>
      <c r="CB7" s="191">
        <v>50</v>
      </c>
      <c r="CC7" s="191"/>
      <c r="CD7" s="191"/>
      <c r="CE7" s="192">
        <v>10</v>
      </c>
      <c r="CF7" s="190"/>
      <c r="CG7" s="191"/>
      <c r="CH7" s="191"/>
      <c r="CI7" s="191">
        <v>50</v>
      </c>
      <c r="CJ7" s="191"/>
      <c r="CK7" s="191"/>
      <c r="CL7" s="191">
        <v>10</v>
      </c>
      <c r="CM7" s="191"/>
      <c r="CN7" s="191"/>
      <c r="CO7" s="191"/>
      <c r="CP7" s="191">
        <v>100</v>
      </c>
      <c r="CQ7" s="191"/>
      <c r="CR7" s="191"/>
      <c r="CS7" s="191">
        <v>50</v>
      </c>
      <c r="CT7" s="191"/>
      <c r="CU7" s="191"/>
      <c r="CV7" s="191"/>
      <c r="CW7" s="191">
        <v>50</v>
      </c>
      <c r="CX7" s="191"/>
      <c r="CY7" s="191"/>
      <c r="CZ7" s="191">
        <v>50</v>
      </c>
      <c r="DA7" s="191"/>
      <c r="DB7" s="191"/>
      <c r="DC7" s="191"/>
      <c r="DD7" s="191">
        <v>50</v>
      </c>
      <c r="DE7" s="191"/>
      <c r="DF7" s="191"/>
      <c r="DG7" s="191">
        <v>10</v>
      </c>
      <c r="DH7" s="193"/>
      <c r="DI7" s="194"/>
      <c r="DJ7" s="191"/>
      <c r="DK7" s="191"/>
      <c r="DL7" s="191">
        <v>100</v>
      </c>
      <c r="DM7" s="191"/>
      <c r="DN7" s="191"/>
      <c r="DO7" s="191">
        <v>10</v>
      </c>
      <c r="DP7" s="191"/>
      <c r="DQ7" s="191"/>
      <c r="DR7" s="191"/>
      <c r="DS7" s="191">
        <v>10</v>
      </c>
      <c r="DT7" s="191"/>
      <c r="DU7" s="191"/>
      <c r="DV7" s="191">
        <v>50</v>
      </c>
      <c r="DW7" s="191"/>
      <c r="DX7" s="191"/>
      <c r="DY7" s="191"/>
      <c r="DZ7" s="191">
        <v>50</v>
      </c>
      <c r="EA7" s="191"/>
      <c r="EB7" s="191"/>
      <c r="EC7" s="191">
        <v>10</v>
      </c>
      <c r="ED7" s="191"/>
      <c r="EE7" s="191"/>
      <c r="EF7" s="191"/>
      <c r="EG7" s="191">
        <v>50</v>
      </c>
      <c r="EH7" s="191"/>
      <c r="EI7" s="191"/>
      <c r="EJ7" s="191">
        <v>100</v>
      </c>
      <c r="EK7" s="191"/>
      <c r="EL7" s="191"/>
      <c r="EM7" s="192"/>
      <c r="EN7" s="190">
        <v>100</v>
      </c>
      <c r="EO7" s="191"/>
      <c r="EP7" s="191"/>
      <c r="EQ7" s="191">
        <v>50</v>
      </c>
      <c r="ER7" s="191"/>
      <c r="ES7" s="191"/>
      <c r="ET7" s="191"/>
      <c r="EU7" s="191">
        <v>100</v>
      </c>
      <c r="EV7" s="191"/>
      <c r="EW7" s="191"/>
      <c r="EX7" s="191">
        <v>100</v>
      </c>
      <c r="EY7" s="191"/>
      <c r="EZ7" s="191"/>
      <c r="FA7" s="191"/>
      <c r="FB7" s="191">
        <v>50</v>
      </c>
      <c r="FC7" s="191"/>
      <c r="FD7" s="191"/>
      <c r="FE7" s="191"/>
      <c r="FF7" s="191"/>
      <c r="FG7" s="191"/>
      <c r="FH7" s="191"/>
      <c r="FI7" s="191">
        <v>150</v>
      </c>
      <c r="FJ7" s="191"/>
      <c r="FK7" s="191"/>
      <c r="FL7" s="191"/>
      <c r="FM7" s="191"/>
      <c r="FN7" s="191"/>
      <c r="FO7" s="191"/>
      <c r="FP7" s="191">
        <v>100</v>
      </c>
      <c r="FQ7" s="193"/>
      <c r="FR7" s="194"/>
      <c r="FS7" s="191">
        <v>50</v>
      </c>
      <c r="FT7" s="191"/>
      <c r="FU7" s="191"/>
      <c r="FV7" s="191"/>
      <c r="FW7" s="191">
        <v>50</v>
      </c>
      <c r="FX7" s="191"/>
      <c r="FY7" s="191"/>
      <c r="FZ7" s="191">
        <v>50</v>
      </c>
      <c r="GA7" s="191"/>
      <c r="GB7" s="191"/>
      <c r="GC7" s="191"/>
      <c r="GD7" s="191">
        <v>50</v>
      </c>
      <c r="GE7" s="191"/>
      <c r="GF7" s="191"/>
      <c r="GG7" s="191">
        <v>50</v>
      </c>
      <c r="GH7" s="191"/>
      <c r="GI7" s="191"/>
      <c r="GJ7" s="191"/>
      <c r="GK7" s="191">
        <v>100</v>
      </c>
      <c r="GL7" s="191"/>
      <c r="GM7" s="191"/>
      <c r="GN7" s="191">
        <v>100</v>
      </c>
      <c r="GO7" s="191"/>
      <c r="GP7" s="191"/>
      <c r="GQ7" s="191"/>
      <c r="GR7" s="191">
        <v>100</v>
      </c>
      <c r="GS7" s="191"/>
      <c r="GT7" s="191"/>
      <c r="GU7" s="191">
        <v>50</v>
      </c>
      <c r="GV7" s="192"/>
      <c r="GW7" s="190"/>
      <c r="GX7" s="191"/>
      <c r="GY7" s="191">
        <v>50</v>
      </c>
      <c r="GZ7" s="191"/>
      <c r="HA7" s="191"/>
      <c r="HB7" s="191">
        <v>100</v>
      </c>
      <c r="HC7" s="191"/>
      <c r="HD7" s="191"/>
      <c r="HE7" s="191"/>
      <c r="HF7" s="191">
        <v>150</v>
      </c>
      <c r="HG7" s="191"/>
      <c r="HH7" s="191"/>
      <c r="HI7" s="191">
        <v>10</v>
      </c>
      <c r="HJ7" s="191"/>
      <c r="HK7" s="191"/>
      <c r="HL7" s="191"/>
      <c r="HM7" s="191"/>
      <c r="HN7" s="191"/>
      <c r="HO7" s="191"/>
      <c r="HP7" s="191">
        <v>100</v>
      </c>
      <c r="HQ7" s="191"/>
      <c r="HR7" s="191"/>
      <c r="HS7" s="191"/>
      <c r="HT7" s="191"/>
      <c r="HU7" s="191"/>
      <c r="HV7" s="191"/>
      <c r="HW7" s="191">
        <v>100</v>
      </c>
      <c r="HX7" s="191"/>
      <c r="HY7" s="191"/>
      <c r="HZ7" s="193"/>
      <c r="IA7" s="194">
        <v>100</v>
      </c>
      <c r="IB7" s="191"/>
      <c r="IC7" s="191"/>
      <c r="ID7" s="191">
        <v>50</v>
      </c>
      <c r="IE7" s="191"/>
      <c r="IF7" s="191"/>
      <c r="IG7" s="191"/>
      <c r="IH7" s="191"/>
      <c r="II7" s="191"/>
      <c r="IJ7" s="191"/>
      <c r="IK7" s="191">
        <v>100</v>
      </c>
      <c r="IL7" s="191"/>
      <c r="IM7" s="191"/>
      <c r="IN7" s="191"/>
      <c r="IO7" s="191"/>
      <c r="IP7" s="191">
        <v>100</v>
      </c>
      <c r="IQ7" s="191"/>
      <c r="IR7" s="191"/>
      <c r="IS7" s="191"/>
      <c r="IT7" s="191"/>
      <c r="IU7" s="191"/>
      <c r="IV7" s="191"/>
      <c r="IW7" s="191"/>
      <c r="IX7" s="191"/>
      <c r="IY7" s="191"/>
      <c r="IZ7" s="191"/>
      <c r="JA7" s="191"/>
      <c r="JB7" s="191"/>
      <c r="JC7" s="191">
        <v>150</v>
      </c>
      <c r="JD7" s="191"/>
      <c r="JE7" s="192"/>
      <c r="JF7" s="190">
        <v>50</v>
      </c>
      <c r="JG7" s="191"/>
      <c r="JH7" s="191"/>
      <c r="JI7" s="191"/>
      <c r="JJ7" s="191">
        <v>150</v>
      </c>
      <c r="JK7" s="191"/>
      <c r="JL7" s="191"/>
      <c r="JM7" s="191">
        <v>50</v>
      </c>
      <c r="JN7" s="191"/>
      <c r="JO7" s="191"/>
      <c r="JP7" s="191"/>
      <c r="JQ7" s="191">
        <v>50</v>
      </c>
      <c r="JR7" s="191"/>
      <c r="JS7" s="191"/>
      <c r="JT7" s="191"/>
      <c r="JU7" s="191"/>
      <c r="JV7" s="191"/>
      <c r="JW7" s="191"/>
      <c r="JX7" s="191">
        <v>150</v>
      </c>
      <c r="JY7" s="191"/>
      <c r="JZ7" s="191"/>
      <c r="KA7" s="191"/>
      <c r="KB7" s="191"/>
      <c r="KC7" s="191"/>
      <c r="KD7" s="191"/>
      <c r="KE7" s="191">
        <v>100</v>
      </c>
      <c r="KF7" s="191"/>
      <c r="KG7" s="191"/>
      <c r="KH7" s="191">
        <v>100</v>
      </c>
      <c r="KI7" s="191"/>
      <c r="KJ7" s="193"/>
      <c r="KK7" s="194"/>
      <c r="KL7" s="191">
        <v>50</v>
      </c>
      <c r="KM7" s="191"/>
      <c r="KN7" s="191"/>
      <c r="KO7" s="191">
        <v>50</v>
      </c>
      <c r="KP7" s="191"/>
      <c r="KQ7" s="191"/>
      <c r="KR7" s="191"/>
      <c r="KS7" s="191">
        <v>50</v>
      </c>
      <c r="KT7" s="191"/>
      <c r="KU7" s="191"/>
      <c r="KV7" s="191">
        <v>10</v>
      </c>
      <c r="KW7" s="191"/>
      <c r="KX7" s="191"/>
      <c r="KY7" s="191"/>
      <c r="KZ7" s="191">
        <v>50</v>
      </c>
      <c r="LA7" s="191"/>
      <c r="LB7" s="191"/>
      <c r="LC7" s="191"/>
      <c r="LD7" s="191"/>
      <c r="LE7" s="191"/>
      <c r="LF7" s="191"/>
      <c r="LG7" s="191">
        <v>100</v>
      </c>
      <c r="LH7" s="191"/>
      <c r="LI7" s="191"/>
      <c r="LJ7" s="191">
        <v>10</v>
      </c>
      <c r="LK7" s="191"/>
      <c r="LL7" s="191"/>
      <c r="LM7" s="191"/>
      <c r="LN7" s="192">
        <v>100</v>
      </c>
      <c r="LO7" s="190"/>
      <c r="LP7" s="191"/>
      <c r="LQ7" s="191"/>
      <c r="LR7" s="191"/>
      <c r="LS7" s="191"/>
      <c r="LT7" s="191"/>
      <c r="LU7" s="191">
        <v>200</v>
      </c>
      <c r="LV7" s="191"/>
      <c r="LW7" s="191"/>
      <c r="LX7" s="191">
        <v>50</v>
      </c>
      <c r="LY7" s="191"/>
      <c r="LZ7" s="191"/>
      <c r="MA7" s="191"/>
      <c r="MB7" s="191">
        <v>50</v>
      </c>
      <c r="MC7" s="191"/>
      <c r="MD7" s="191"/>
      <c r="ME7" s="191">
        <v>50</v>
      </c>
      <c r="MF7" s="191"/>
      <c r="MG7" s="191"/>
      <c r="MH7" s="191"/>
      <c r="MI7" s="191">
        <v>150</v>
      </c>
      <c r="MJ7" s="191"/>
      <c r="MK7" s="191"/>
      <c r="ML7" s="191">
        <v>50</v>
      </c>
      <c r="MM7" s="191"/>
      <c r="MN7" s="191"/>
      <c r="MO7" s="191"/>
      <c r="MP7" s="191">
        <v>50</v>
      </c>
      <c r="MQ7" s="191"/>
      <c r="MR7" s="191"/>
      <c r="MS7" s="193"/>
      <c r="MT7" s="194"/>
      <c r="MU7" s="191"/>
      <c r="MV7" s="191"/>
      <c r="MW7" s="191">
        <v>150</v>
      </c>
      <c r="MX7" s="191"/>
      <c r="MY7" s="191"/>
      <c r="MZ7" s="191">
        <v>50</v>
      </c>
      <c r="NA7" s="191"/>
      <c r="NB7" s="191"/>
      <c r="NC7" s="191"/>
      <c r="ND7" s="191"/>
      <c r="NE7" s="191">
        <v>150</v>
      </c>
      <c r="NF7" s="191"/>
      <c r="NG7" s="191">
        <v>10</v>
      </c>
      <c r="NH7" s="191"/>
      <c r="NI7" s="191"/>
      <c r="NJ7" s="191"/>
      <c r="NK7" s="191">
        <v>50</v>
      </c>
      <c r="NL7" s="191"/>
      <c r="NM7" s="191"/>
      <c r="NN7" s="191">
        <v>50</v>
      </c>
      <c r="NO7" s="191"/>
      <c r="NP7" s="191"/>
      <c r="NQ7" s="191"/>
      <c r="NR7" s="191">
        <v>10</v>
      </c>
      <c r="NS7" s="191"/>
      <c r="NT7" s="191"/>
      <c r="NU7" s="191">
        <v>100</v>
      </c>
      <c r="NV7" s="191"/>
      <c r="NW7" s="192"/>
      <c r="NX7" s="190"/>
      <c r="NY7" s="191">
        <v>100</v>
      </c>
      <c r="NZ7" s="191"/>
      <c r="OA7" s="191"/>
      <c r="OB7" s="191"/>
      <c r="OC7" s="191"/>
      <c r="OD7" s="191"/>
      <c r="OE7" s="191"/>
      <c r="OF7" s="191">
        <v>50</v>
      </c>
      <c r="OG7" s="191"/>
      <c r="OH7" s="191"/>
      <c r="OI7" s="191">
        <v>10</v>
      </c>
      <c r="OJ7" s="191"/>
      <c r="OK7" s="191"/>
      <c r="OL7" s="191"/>
      <c r="OM7" s="191">
        <v>100</v>
      </c>
      <c r="ON7" s="191"/>
      <c r="OO7" s="191"/>
      <c r="OP7" s="191"/>
      <c r="OQ7" s="191"/>
      <c r="OR7" s="191"/>
      <c r="OS7" s="191"/>
      <c r="OT7" s="191"/>
      <c r="OU7" s="191"/>
      <c r="OV7" s="191"/>
      <c r="OW7" s="191"/>
      <c r="OX7" s="191"/>
      <c r="OY7" s="191"/>
      <c r="OZ7" s="191"/>
      <c r="PA7" s="191"/>
      <c r="PB7" s="193"/>
      <c r="PC7" s="47"/>
      <c r="PD7" s="154" t="s">
        <v>97</v>
      </c>
      <c r="PE7" s="155" t="s">
        <v>98</v>
      </c>
      <c r="PF7" s="155" t="s">
        <v>98</v>
      </c>
      <c r="PG7" s="155" t="s">
        <v>98</v>
      </c>
      <c r="PH7" s="155" t="s">
        <v>98</v>
      </c>
      <c r="PI7" s="155" t="s">
        <v>98</v>
      </c>
      <c r="PJ7" s="155" t="s">
        <v>98</v>
      </c>
      <c r="PK7" s="155" t="s">
        <v>98</v>
      </c>
      <c r="PL7" s="155" t="s">
        <v>98</v>
      </c>
      <c r="PM7" s="155" t="s">
        <v>98</v>
      </c>
      <c r="PN7" s="155" t="s">
        <v>98</v>
      </c>
      <c r="PO7" s="156"/>
      <c r="PP7" s="156"/>
      <c r="PQ7" s="156"/>
      <c r="PR7" s="156"/>
      <c r="PS7" s="156"/>
      <c r="PT7" s="156"/>
      <c r="PU7" s="156"/>
      <c r="PV7" s="156"/>
      <c r="PW7" s="156"/>
      <c r="PX7" s="195"/>
      <c r="PY7" s="1"/>
      <c r="PZ7" s="196">
        <f t="shared" si="20"/>
        <v>330</v>
      </c>
      <c r="QA7" s="176">
        <f t="shared" si="21"/>
        <v>2.752982397597397E-3</v>
      </c>
      <c r="QB7" s="177" t="str">
        <f t="shared" ca="1" si="22"/>
        <v>Attente…</v>
      </c>
      <c r="QC7" s="197">
        <f t="shared" si="23"/>
        <v>370</v>
      </c>
      <c r="QD7" s="179">
        <f t="shared" si="24"/>
        <v>3.4644194756554307E-3</v>
      </c>
      <c r="QE7" s="180" t="str">
        <f t="shared" ca="1" si="25"/>
        <v>Attente…</v>
      </c>
      <c r="QF7" s="196">
        <f t="shared" si="26"/>
        <v>380</v>
      </c>
      <c r="QG7" s="176">
        <f t="shared" si="27"/>
        <v>3.025959547698678E-3</v>
      </c>
      <c r="QH7" s="177" t="str">
        <f t="shared" ca="1" si="28"/>
        <v>Attente…</v>
      </c>
      <c r="QI7" s="197">
        <f t="shared" si="29"/>
        <v>650</v>
      </c>
      <c r="QJ7" s="179">
        <f t="shared" si="30"/>
        <v>4.5588441576658719E-3</v>
      </c>
      <c r="QK7" s="180" t="str">
        <f t="shared" ca="1" si="31"/>
        <v>Attente…</v>
      </c>
      <c r="QL7" s="196">
        <f t="shared" si="32"/>
        <v>600</v>
      </c>
      <c r="QM7" s="176">
        <f t="shared" si="33"/>
        <v>4.3898156277436349E-3</v>
      </c>
      <c r="QN7" s="177" t="str">
        <f t="shared" ca="1" si="34"/>
        <v>Attente…</v>
      </c>
      <c r="QO7" s="197">
        <f t="shared" si="35"/>
        <v>510</v>
      </c>
      <c r="QP7" s="179">
        <f t="shared" si="36"/>
        <v>3.9927973068190712E-3</v>
      </c>
      <c r="QQ7" s="180" t="str">
        <f t="shared" ca="1" si="37"/>
        <v>Attente…</v>
      </c>
      <c r="QR7" s="196">
        <f t="shared" si="38"/>
        <v>500</v>
      </c>
      <c r="QS7" s="176">
        <f t="shared" si="39"/>
        <v>3.5995824484359815E-3</v>
      </c>
      <c r="QT7" s="177" t="str">
        <f t="shared" ca="1" si="40"/>
        <v>Attente…</v>
      </c>
      <c r="QU7" s="197">
        <f t="shared" si="41"/>
        <v>650</v>
      </c>
      <c r="QV7" s="179">
        <f t="shared" si="42"/>
        <v>4.4815223386651956E-3</v>
      </c>
      <c r="QW7" s="180" t="str">
        <f t="shared" ca="1" si="43"/>
        <v>Attente…</v>
      </c>
      <c r="QX7" s="196">
        <f t="shared" si="44"/>
        <v>420</v>
      </c>
      <c r="QY7" s="176">
        <f t="shared" si="45"/>
        <v>3.0648880586123355E-3</v>
      </c>
      <c r="QZ7" s="177" t="str">
        <f t="shared" ca="1" si="46"/>
        <v>Attente…</v>
      </c>
      <c r="RA7" s="197">
        <f t="shared" si="47"/>
        <v>600</v>
      </c>
      <c r="RB7" s="179">
        <f t="shared" si="48"/>
        <v>4.6944683514591971E-3</v>
      </c>
      <c r="RC7" s="180" t="str">
        <f t="shared" ca="1" si="49"/>
        <v>Attente…</v>
      </c>
      <c r="RD7" s="196">
        <f t="shared" si="50"/>
        <v>570</v>
      </c>
      <c r="RE7" s="176">
        <f t="shared" si="51"/>
        <v>5.679553607014747E-3</v>
      </c>
      <c r="RF7" s="177" t="str">
        <f t="shared" ca="1" si="52"/>
        <v>Attente…</v>
      </c>
      <c r="RG7" s="197">
        <f t="shared" si="53"/>
        <v>260</v>
      </c>
      <c r="RH7" s="179">
        <f t="shared" si="54"/>
        <v>4.7820489240389917E-3</v>
      </c>
      <c r="RI7" s="198" t="str">
        <f t="shared" ca="1" si="55"/>
        <v>Attente…</v>
      </c>
      <c r="RJ7" s="199">
        <f t="shared" si="56"/>
        <v>1080</v>
      </c>
      <c r="RK7" s="200" t="str">
        <f t="shared" ca="1" si="13"/>
        <v>Attente…</v>
      </c>
      <c r="RL7" s="199">
        <f t="shared" si="57"/>
        <v>1760</v>
      </c>
      <c r="RM7" s="200" t="str">
        <f t="shared" ca="1" si="58"/>
        <v>Atttente…</v>
      </c>
      <c r="RN7" s="199">
        <f t="shared" si="59"/>
        <v>1570</v>
      </c>
      <c r="RO7" s="200" t="str">
        <f t="shared" ca="1" si="14"/>
        <v>Attente…</v>
      </c>
      <c r="RP7" s="199">
        <f t="shared" si="60"/>
        <v>1430</v>
      </c>
      <c r="RQ7" s="200" t="str">
        <f t="shared" ca="1" si="15"/>
        <v>Attente…</v>
      </c>
      <c r="RR7" s="201">
        <f t="shared" si="61"/>
        <v>5840</v>
      </c>
      <c r="RS7" s="202" t="str">
        <f t="shared" ca="1" si="16"/>
        <v>Attente…</v>
      </c>
      <c r="RT7" s="103"/>
      <c r="RU7" s="203">
        <f t="shared" si="62"/>
        <v>0.33953488372093027</v>
      </c>
      <c r="RV7" s="204">
        <f t="shared" si="6"/>
        <v>1</v>
      </c>
      <c r="RW7" s="204">
        <f t="shared" si="6"/>
        <v>2</v>
      </c>
      <c r="RX7" s="204">
        <f t="shared" si="63"/>
        <v>86</v>
      </c>
      <c r="RY7" s="205" t="str">
        <f t="shared" si="64"/>
        <v>ROUEN - 46 Rue Desseaux (Proche bac verre)</v>
      </c>
      <c r="RZ7" s="189" t="str">
        <f>IF(OR(RZ6="",RZ6="  &lt;/Document&gt;
&lt;/kml&gt;"),"",
IF(B7="","  &lt;/Document&gt;
&lt;/kml&gt;",
IF(TournéesCAV!Q16=""," ",
"    &lt;Placemark&gt;
      &lt;description&gt;&lt;![CDATA["&amp;B7&amp;"&lt;br&gt;&lt;br&gt;"&amp;RV7&amp;" CAV&lt;br&gt;&lt;br&gt;Présent sur "&amp;RW7&amp;" tournée(s)&lt;br&gt;&lt;br&gt;Taux de remplissage moyen "&amp;TEXT(RU7*1000,"0 %")&amp;"]]&gt;&lt;/description&gt;
      &lt;Style&gt;
        &lt;IconStyle&gt;
          &lt;color&gt;ff"&amp;
          DEC2HEX(0,2)&amp;
          DEC2HEX(
            IF(RU7&lt;=0.5,
               INT(255*(RU7*2)),
               255
            ),2)&amp;
          DEC2HEX(
            IF(RU7&lt;=0.5,
               255,
               INT(255*(1-(RU7-0.5)*2))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&lt;Point&gt;&lt;coordinates&gt;"&amp;R7&amp;","&amp;Q7&amp;",0&lt;/coordinates&gt;&lt;/Point&gt;
    &lt;/Placemark&gt;"
)))</f>
        <v xml:space="preserve">    &lt;Placemark&gt;
      &lt;description&gt;&lt;![CDATA[ROUEN - 46 Rue Desseaux (Proche bac verre)&lt;br&gt;&lt;br&gt;1 CAV&lt;br&gt;&lt;br&gt;Présent sur 2 tournée(s)&lt;br&gt;&lt;br&gt;Taux de remplissage moyen 34%]]&gt;&lt;/description&gt;
      &lt;Style&gt;
        &lt;IconStyle&gt;
          &lt;color&gt;ff00ADFF&lt;/color&gt;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&lt;Point&gt;&lt;coordinates&gt;1.0912983,49.4325742,0&lt;/coordinates&gt;&lt;/Point&gt;
    &lt;/Placemark&gt;</v>
      </c>
    </row>
    <row r="8" spans="1:494" ht="15" hidden="1" customHeight="1" x14ac:dyDescent="0.35">
      <c r="B8" s="153" t="str">
        <f t="shared" si="17"/>
        <v>MONT-SAINT-AIGNAN - Centre Commercial La Vatine (Parking Carrefour)</v>
      </c>
      <c r="C8" s="154">
        <v>48</v>
      </c>
      <c r="D8" s="155">
        <v>106</v>
      </c>
      <c r="E8" s="155">
        <v>42</v>
      </c>
      <c r="F8" s="155">
        <v>49</v>
      </c>
      <c r="G8" s="155" t="s">
        <v>104</v>
      </c>
      <c r="H8" s="155" t="s">
        <v>104</v>
      </c>
      <c r="I8" s="155"/>
      <c r="J8" s="156"/>
      <c r="K8" s="157">
        <f t="shared" si="18"/>
        <v>6</v>
      </c>
      <c r="L8" s="157">
        <f t="shared" si="19"/>
        <v>6</v>
      </c>
      <c r="M8" s="158" t="s">
        <v>105</v>
      </c>
      <c r="N8" s="159" t="s">
        <v>106</v>
      </c>
      <c r="O8" s="159">
        <v>76130</v>
      </c>
      <c r="P8" s="159" t="s">
        <v>107</v>
      </c>
      <c r="Q8" s="159" t="s">
        <v>108</v>
      </c>
      <c r="R8" s="159" t="s">
        <v>109</v>
      </c>
      <c r="S8" s="159" t="s">
        <v>93</v>
      </c>
      <c r="T8" s="159" t="s">
        <v>110</v>
      </c>
      <c r="U8" s="159" t="s">
        <v>111</v>
      </c>
      <c r="V8" s="160" t="s">
        <v>96</v>
      </c>
      <c r="W8" s="161"/>
      <c r="X8" s="162"/>
      <c r="Y8" s="163"/>
      <c r="Z8" s="162"/>
      <c r="AA8" s="163">
        <v>9</v>
      </c>
      <c r="AB8" s="162"/>
      <c r="AC8" s="163"/>
      <c r="AD8" s="162">
        <v>1</v>
      </c>
      <c r="AE8" s="163">
        <v>1</v>
      </c>
      <c r="AF8" s="162">
        <v>14</v>
      </c>
      <c r="AG8" s="163"/>
      <c r="AH8" s="163">
        <v>1</v>
      </c>
      <c r="AI8" s="162">
        <v>1</v>
      </c>
      <c r="AJ8" s="163"/>
      <c r="AK8" s="162"/>
      <c r="AL8" s="163"/>
      <c r="AM8" s="162"/>
      <c r="AN8" s="163"/>
      <c r="AO8" s="162"/>
      <c r="AP8" s="164"/>
      <c r="AQ8" s="164"/>
      <c r="AR8" s="164"/>
      <c r="AS8" s="164"/>
      <c r="AT8" s="164"/>
      <c r="AU8" s="164"/>
      <c r="AV8" s="164"/>
      <c r="AW8" s="164"/>
      <c r="AX8" s="164"/>
      <c r="AY8" s="165"/>
      <c r="AZ8" s="41"/>
      <c r="BA8" s="190"/>
      <c r="BB8" s="191"/>
      <c r="BC8" s="191">
        <v>750</v>
      </c>
      <c r="BD8" s="191"/>
      <c r="BE8" s="191"/>
      <c r="BF8" s="191">
        <v>750</v>
      </c>
      <c r="BG8" s="191"/>
      <c r="BH8" s="191"/>
      <c r="BI8" s="191"/>
      <c r="BJ8" s="191">
        <v>860</v>
      </c>
      <c r="BK8" s="191"/>
      <c r="BL8" s="191"/>
      <c r="BM8" s="191">
        <v>900</v>
      </c>
      <c r="BN8" s="191">
        <v>180</v>
      </c>
      <c r="BO8" s="191">
        <v>130</v>
      </c>
      <c r="BP8" s="191"/>
      <c r="BQ8" s="191">
        <v>900</v>
      </c>
      <c r="BR8" s="191"/>
      <c r="BS8" s="191"/>
      <c r="BT8" s="191">
        <v>560</v>
      </c>
      <c r="BU8" s="191">
        <v>220</v>
      </c>
      <c r="BV8" s="191">
        <v>550</v>
      </c>
      <c r="BW8" s="191"/>
      <c r="BX8" s="191">
        <v>600</v>
      </c>
      <c r="BY8" s="191"/>
      <c r="BZ8" s="191"/>
      <c r="CA8" s="191">
        <v>650</v>
      </c>
      <c r="CB8" s="191">
        <v>270</v>
      </c>
      <c r="CC8" s="191">
        <v>220</v>
      </c>
      <c r="CD8" s="191"/>
      <c r="CE8" s="192">
        <v>400</v>
      </c>
      <c r="CF8" s="190"/>
      <c r="CG8" s="191"/>
      <c r="CH8" s="191">
        <v>600</v>
      </c>
      <c r="CI8" s="191"/>
      <c r="CJ8" s="191">
        <v>300</v>
      </c>
      <c r="CK8" s="191"/>
      <c r="CL8" s="191">
        <v>350</v>
      </c>
      <c r="CM8" s="191"/>
      <c r="CN8" s="191"/>
      <c r="CO8" s="191">
        <v>600</v>
      </c>
      <c r="CP8" s="191">
        <v>400</v>
      </c>
      <c r="CQ8" s="191">
        <v>330</v>
      </c>
      <c r="CR8" s="191"/>
      <c r="CS8" s="191">
        <v>350</v>
      </c>
      <c r="CT8" s="191"/>
      <c r="CU8" s="191"/>
      <c r="CV8" s="191">
        <v>510</v>
      </c>
      <c r="CW8" s="191">
        <v>260</v>
      </c>
      <c r="CX8" s="191">
        <v>500</v>
      </c>
      <c r="CY8" s="191"/>
      <c r="CZ8" s="191">
        <v>550</v>
      </c>
      <c r="DA8" s="191"/>
      <c r="DB8" s="191"/>
      <c r="DC8" s="191">
        <v>750</v>
      </c>
      <c r="DD8" s="191">
        <v>300</v>
      </c>
      <c r="DE8" s="191">
        <v>600</v>
      </c>
      <c r="DF8" s="191"/>
      <c r="DG8" s="191">
        <v>820</v>
      </c>
      <c r="DH8" s="193"/>
      <c r="DI8" s="194"/>
      <c r="DJ8" s="191"/>
      <c r="DK8" s="191">
        <v>1010</v>
      </c>
      <c r="DL8" s="191">
        <v>140</v>
      </c>
      <c r="DM8" s="191">
        <v>180</v>
      </c>
      <c r="DN8" s="191"/>
      <c r="DO8" s="191">
        <v>410</v>
      </c>
      <c r="DP8" s="191"/>
      <c r="DQ8" s="191"/>
      <c r="DR8" s="191">
        <v>1200</v>
      </c>
      <c r="DS8" s="191">
        <v>60</v>
      </c>
      <c r="DT8" s="191">
        <v>180</v>
      </c>
      <c r="DU8" s="191"/>
      <c r="DV8" s="191">
        <v>310</v>
      </c>
      <c r="DW8" s="191"/>
      <c r="DX8" s="191"/>
      <c r="DY8" s="191">
        <v>1010</v>
      </c>
      <c r="DZ8" s="191">
        <v>510</v>
      </c>
      <c r="EA8" s="191">
        <v>270</v>
      </c>
      <c r="EB8" s="191"/>
      <c r="EC8" s="191">
        <v>510</v>
      </c>
      <c r="ED8" s="191"/>
      <c r="EE8" s="191"/>
      <c r="EF8" s="191">
        <v>710</v>
      </c>
      <c r="EG8" s="191">
        <v>320</v>
      </c>
      <c r="EH8" s="191">
        <v>220</v>
      </c>
      <c r="EI8" s="191"/>
      <c r="EJ8" s="191">
        <v>560</v>
      </c>
      <c r="EK8" s="191"/>
      <c r="EL8" s="191"/>
      <c r="EM8" s="192">
        <v>850</v>
      </c>
      <c r="EN8" s="190">
        <v>450</v>
      </c>
      <c r="EO8" s="191">
        <v>180</v>
      </c>
      <c r="EP8" s="191"/>
      <c r="EQ8" s="191">
        <v>300</v>
      </c>
      <c r="ER8" s="191"/>
      <c r="ES8" s="191"/>
      <c r="ET8" s="191">
        <f>800+610</f>
        <v>1410</v>
      </c>
      <c r="EU8" s="191">
        <v>510</v>
      </c>
      <c r="EV8" s="191">
        <v>270</v>
      </c>
      <c r="EW8" s="191"/>
      <c r="EX8" s="191">
        <v>760</v>
      </c>
      <c r="EY8" s="191"/>
      <c r="EZ8" s="191"/>
      <c r="FA8" s="191">
        <v>750</v>
      </c>
      <c r="FB8" s="191">
        <v>600</v>
      </c>
      <c r="FC8" s="191">
        <v>270</v>
      </c>
      <c r="FD8" s="191"/>
      <c r="FE8" s="191">
        <v>550</v>
      </c>
      <c r="FF8" s="191"/>
      <c r="FG8" s="191"/>
      <c r="FH8" s="191"/>
      <c r="FI8" s="191">
        <v>1200</v>
      </c>
      <c r="FJ8" s="191"/>
      <c r="FK8" s="191">
        <v>600</v>
      </c>
      <c r="FL8" s="191">
        <v>300</v>
      </c>
      <c r="FM8" s="191"/>
      <c r="FN8" s="191"/>
      <c r="FO8" s="191">
        <v>950</v>
      </c>
      <c r="FP8" s="191">
        <v>350</v>
      </c>
      <c r="FQ8" s="193">
        <v>500</v>
      </c>
      <c r="FR8" s="194"/>
      <c r="FS8" s="191">
        <v>450</v>
      </c>
      <c r="FT8" s="191"/>
      <c r="FU8" s="191"/>
      <c r="FV8" s="191">
        <v>1200</v>
      </c>
      <c r="FW8" s="191">
        <v>300</v>
      </c>
      <c r="FX8" s="191">
        <v>300</v>
      </c>
      <c r="FY8" s="191"/>
      <c r="FZ8" s="191">
        <v>900</v>
      </c>
      <c r="GA8" s="191"/>
      <c r="GB8" s="191"/>
      <c r="GC8" s="191">
        <v>900</v>
      </c>
      <c r="GD8" s="191">
        <v>400</v>
      </c>
      <c r="GE8" s="191">
        <v>300</v>
      </c>
      <c r="GF8" s="191"/>
      <c r="GG8" s="191">
        <v>350</v>
      </c>
      <c r="GH8" s="191"/>
      <c r="GI8" s="191"/>
      <c r="GJ8" s="191">
        <v>600</v>
      </c>
      <c r="GK8" s="191">
        <v>150</v>
      </c>
      <c r="GL8" s="191">
        <v>400</v>
      </c>
      <c r="GM8" s="191"/>
      <c r="GN8" s="191">
        <v>600</v>
      </c>
      <c r="GO8" s="191"/>
      <c r="GP8" s="191"/>
      <c r="GQ8" s="191">
        <v>750</v>
      </c>
      <c r="GR8" s="191">
        <v>370</v>
      </c>
      <c r="GS8" s="191">
        <v>140</v>
      </c>
      <c r="GT8" s="191"/>
      <c r="GU8" s="191">
        <v>850</v>
      </c>
      <c r="GV8" s="192"/>
      <c r="GW8" s="190"/>
      <c r="GX8" s="191">
        <v>850</v>
      </c>
      <c r="GY8" s="191">
        <v>500</v>
      </c>
      <c r="GZ8" s="191"/>
      <c r="HA8" s="191">
        <v>510</v>
      </c>
      <c r="HB8" s="191">
        <v>60</v>
      </c>
      <c r="HC8" s="191"/>
      <c r="HD8" s="191"/>
      <c r="HE8" s="191"/>
      <c r="HF8" s="191">
        <v>900</v>
      </c>
      <c r="HG8" s="191"/>
      <c r="HH8" s="191">
        <v>750</v>
      </c>
      <c r="HI8" s="191">
        <v>150</v>
      </c>
      <c r="HJ8" s="191"/>
      <c r="HK8" s="191"/>
      <c r="HL8" s="191">
        <v>900</v>
      </c>
      <c r="HM8" s="191">
        <v>350</v>
      </c>
      <c r="HN8" s="191">
        <v>550</v>
      </c>
      <c r="HO8" s="191"/>
      <c r="HP8" s="191">
        <v>400</v>
      </c>
      <c r="HQ8" s="191"/>
      <c r="HR8" s="191"/>
      <c r="HS8" s="191">
        <v>850</v>
      </c>
      <c r="HT8" s="191">
        <v>460</v>
      </c>
      <c r="HU8" s="191"/>
      <c r="HV8" s="191"/>
      <c r="HW8" s="191">
        <v>800</v>
      </c>
      <c r="HX8" s="191"/>
      <c r="HY8" s="191"/>
      <c r="HZ8" s="206">
        <v>1200</v>
      </c>
      <c r="IA8" s="194">
        <v>500</v>
      </c>
      <c r="IB8" s="191">
        <v>140</v>
      </c>
      <c r="IC8" s="191"/>
      <c r="ID8" s="191">
        <v>300</v>
      </c>
      <c r="IE8" s="191"/>
      <c r="IF8" s="191"/>
      <c r="IG8" s="191">
        <v>900</v>
      </c>
      <c r="IH8" s="191"/>
      <c r="II8" s="191">
        <v>750</v>
      </c>
      <c r="IJ8" s="191"/>
      <c r="IK8" s="191">
        <v>600</v>
      </c>
      <c r="IL8" s="191"/>
      <c r="IM8" s="191"/>
      <c r="IN8" s="191">
        <v>1010</v>
      </c>
      <c r="IO8" s="191"/>
      <c r="IP8" s="191">
        <v>200</v>
      </c>
      <c r="IQ8" s="191"/>
      <c r="IR8" s="191"/>
      <c r="IS8" s="191"/>
      <c r="IT8" s="191"/>
      <c r="IU8" s="191">
        <v>1200</v>
      </c>
      <c r="IV8" s="191">
        <v>400</v>
      </c>
      <c r="IW8" s="191">
        <v>500</v>
      </c>
      <c r="IX8" s="191"/>
      <c r="IY8" s="191">
        <v>760</v>
      </c>
      <c r="IZ8" s="191"/>
      <c r="JA8" s="191"/>
      <c r="JB8" s="191">
        <v>1200</v>
      </c>
      <c r="JC8" s="191"/>
      <c r="JD8" s="191">
        <v>650</v>
      </c>
      <c r="JE8" s="192"/>
      <c r="JF8" s="190">
        <v>800</v>
      </c>
      <c r="JG8" s="191"/>
      <c r="JH8" s="191"/>
      <c r="JI8" s="191">
        <v>750</v>
      </c>
      <c r="JJ8" s="191">
        <v>700</v>
      </c>
      <c r="JK8" s="191">
        <v>300</v>
      </c>
      <c r="JL8" s="191"/>
      <c r="JM8" s="191">
        <v>800</v>
      </c>
      <c r="JN8" s="191"/>
      <c r="JO8" s="191"/>
      <c r="JP8" s="191">
        <v>950</v>
      </c>
      <c r="JQ8" s="191">
        <v>250</v>
      </c>
      <c r="JR8" s="191">
        <v>450</v>
      </c>
      <c r="JS8" s="191">
        <v>650</v>
      </c>
      <c r="JT8" s="191"/>
      <c r="JU8" s="191"/>
      <c r="JV8" s="191"/>
      <c r="JW8" s="191">
        <v>820</v>
      </c>
      <c r="JX8" s="191">
        <v>550</v>
      </c>
      <c r="JY8" s="191">
        <v>300</v>
      </c>
      <c r="JZ8" s="191">
        <v>600</v>
      </c>
      <c r="KA8" s="191">
        <v>600</v>
      </c>
      <c r="KB8" s="191"/>
      <c r="KC8" s="191"/>
      <c r="KD8" s="191">
        <v>1200</v>
      </c>
      <c r="KE8" s="191">
        <v>500</v>
      </c>
      <c r="KF8" s="191">
        <v>650</v>
      </c>
      <c r="KG8" s="191">
        <v>380</v>
      </c>
      <c r="KH8" s="191">
        <v>600</v>
      </c>
      <c r="KI8" s="191"/>
      <c r="KJ8" s="193"/>
      <c r="KK8" s="194">
        <v>1200</v>
      </c>
      <c r="KL8" s="191">
        <v>500</v>
      </c>
      <c r="KM8" s="191">
        <v>50</v>
      </c>
      <c r="KN8" s="191"/>
      <c r="KO8" s="191">
        <v>900</v>
      </c>
      <c r="KP8" s="191"/>
      <c r="KQ8" s="191"/>
      <c r="KR8" s="191">
        <v>1200</v>
      </c>
      <c r="KS8" s="191">
        <v>400</v>
      </c>
      <c r="KT8" s="191"/>
      <c r="KU8" s="191"/>
      <c r="KV8" s="191">
        <v>900</v>
      </c>
      <c r="KW8" s="191"/>
      <c r="KX8" s="191"/>
      <c r="KY8" s="191">
        <v>1150</v>
      </c>
      <c r="KZ8" s="191"/>
      <c r="LA8" s="191"/>
      <c r="LB8" s="191"/>
      <c r="LC8" s="191">
        <v>1150</v>
      </c>
      <c r="LD8" s="191"/>
      <c r="LE8" s="191"/>
      <c r="LF8" s="191">
        <v>1200</v>
      </c>
      <c r="LG8" s="191">
        <v>510</v>
      </c>
      <c r="LH8" s="191">
        <v>320</v>
      </c>
      <c r="LI8" s="191"/>
      <c r="LJ8" s="191">
        <v>550</v>
      </c>
      <c r="LK8" s="191"/>
      <c r="LL8" s="191"/>
      <c r="LM8" s="191">
        <v>700</v>
      </c>
      <c r="LN8" s="192">
        <v>610</v>
      </c>
      <c r="LO8" s="190">
        <v>300</v>
      </c>
      <c r="LP8" s="191"/>
      <c r="LQ8" s="191">
        <v>300</v>
      </c>
      <c r="LR8" s="191"/>
      <c r="LS8" s="191"/>
      <c r="LT8" s="191">
        <v>850</v>
      </c>
      <c r="LU8" s="191">
        <v>370</v>
      </c>
      <c r="LV8" s="191">
        <v>330</v>
      </c>
      <c r="LW8" s="191"/>
      <c r="LX8" s="191">
        <v>510</v>
      </c>
      <c r="LY8" s="191"/>
      <c r="LZ8" s="191"/>
      <c r="MA8" s="191">
        <v>700</v>
      </c>
      <c r="MB8" s="191">
        <v>300</v>
      </c>
      <c r="MC8" s="191">
        <v>360</v>
      </c>
      <c r="MD8" s="191"/>
      <c r="ME8" s="191">
        <v>550</v>
      </c>
      <c r="MF8" s="191"/>
      <c r="MG8" s="191"/>
      <c r="MH8" s="191">
        <v>810</v>
      </c>
      <c r="MI8" s="191">
        <v>280</v>
      </c>
      <c r="MJ8" s="191">
        <v>180</v>
      </c>
      <c r="MK8" s="191"/>
      <c r="ML8" s="191">
        <v>610</v>
      </c>
      <c r="MM8" s="191"/>
      <c r="MN8" s="191"/>
      <c r="MO8" s="191">
        <v>720</v>
      </c>
      <c r="MP8" s="191">
        <v>570</v>
      </c>
      <c r="MQ8" s="191"/>
      <c r="MR8" s="191"/>
      <c r="MS8" s="193">
        <v>650</v>
      </c>
      <c r="MT8" s="194"/>
      <c r="MU8" s="191"/>
      <c r="MV8" s="191">
        <v>860</v>
      </c>
      <c r="MW8" s="191">
        <v>240</v>
      </c>
      <c r="MX8" s="191">
        <v>330</v>
      </c>
      <c r="MY8" s="191"/>
      <c r="MZ8" s="191">
        <v>500</v>
      </c>
      <c r="NA8" s="191"/>
      <c r="NB8" s="191"/>
      <c r="NC8" s="191">
        <v>600</v>
      </c>
      <c r="ND8" s="191"/>
      <c r="NE8" s="191"/>
      <c r="NF8" s="191">
        <v>510</v>
      </c>
      <c r="NG8" s="191">
        <v>60</v>
      </c>
      <c r="NH8" s="191"/>
      <c r="NI8" s="191"/>
      <c r="NJ8" s="191">
        <v>610</v>
      </c>
      <c r="NK8" s="191">
        <v>240</v>
      </c>
      <c r="NL8" s="191">
        <v>310</v>
      </c>
      <c r="NM8" s="191"/>
      <c r="NN8" s="191">
        <v>400</v>
      </c>
      <c r="NO8" s="191"/>
      <c r="NP8" s="191"/>
      <c r="NQ8" s="191">
        <v>560</v>
      </c>
      <c r="NR8" s="191">
        <v>310</v>
      </c>
      <c r="NS8" s="191"/>
      <c r="NT8" s="191"/>
      <c r="NU8" s="191">
        <v>240</v>
      </c>
      <c r="NV8" s="191"/>
      <c r="NW8" s="192"/>
      <c r="NX8" s="190">
        <v>620</v>
      </c>
      <c r="NY8" s="191"/>
      <c r="NZ8" s="191">
        <v>250</v>
      </c>
      <c r="OA8" s="191"/>
      <c r="OB8" s="191">
        <v>300</v>
      </c>
      <c r="OC8" s="191"/>
      <c r="OD8" s="191"/>
      <c r="OE8" s="191">
        <v>650</v>
      </c>
      <c r="OF8" s="191">
        <v>200</v>
      </c>
      <c r="OG8" s="191">
        <v>180</v>
      </c>
      <c r="OH8" s="191"/>
      <c r="OI8" s="191">
        <v>310</v>
      </c>
      <c r="OJ8" s="191"/>
      <c r="OK8" s="191"/>
      <c r="OL8" s="191">
        <v>710</v>
      </c>
      <c r="OM8" s="191">
        <v>170</v>
      </c>
      <c r="ON8" s="191"/>
      <c r="OO8" s="191"/>
      <c r="OP8" s="191"/>
      <c r="OQ8" s="191"/>
      <c r="OR8" s="191"/>
      <c r="OS8" s="191"/>
      <c r="OT8" s="191"/>
      <c r="OU8" s="191"/>
      <c r="OV8" s="191"/>
      <c r="OW8" s="191"/>
      <c r="OX8" s="191"/>
      <c r="OY8" s="191"/>
      <c r="OZ8" s="191"/>
      <c r="PA8" s="191"/>
      <c r="PB8" s="193"/>
      <c r="PC8" s="47"/>
      <c r="PD8" s="154" t="s">
        <v>97</v>
      </c>
      <c r="PE8" s="155" t="s">
        <v>98</v>
      </c>
      <c r="PF8" s="155" t="s">
        <v>98</v>
      </c>
      <c r="PG8" s="155" t="s">
        <v>98</v>
      </c>
      <c r="PH8" s="155" t="s">
        <v>98</v>
      </c>
      <c r="PI8" s="155" t="s">
        <v>98</v>
      </c>
      <c r="PJ8" s="155" t="s">
        <v>98</v>
      </c>
      <c r="PK8" s="155" t="s">
        <v>98</v>
      </c>
      <c r="PL8" s="155" t="s">
        <v>98</v>
      </c>
      <c r="PM8" s="155" t="s">
        <v>98</v>
      </c>
      <c r="PN8" s="155" t="s">
        <v>98</v>
      </c>
      <c r="PO8" s="156"/>
      <c r="PP8" s="156"/>
      <c r="PQ8" s="156"/>
      <c r="PR8" s="156"/>
      <c r="PS8" s="156"/>
      <c r="PT8" s="156"/>
      <c r="PU8" s="156"/>
      <c r="PV8" s="156"/>
      <c r="PW8" s="156"/>
      <c r="PX8" s="195"/>
      <c r="PY8" s="1"/>
      <c r="PZ8" s="196">
        <f t="shared" si="20"/>
        <v>7940</v>
      </c>
      <c r="QA8" s="176">
        <f t="shared" si="21"/>
        <v>6.6238424960373743E-2</v>
      </c>
      <c r="QB8" s="177" t="str">
        <f t="shared" ca="1" si="22"/>
        <v>Attente…</v>
      </c>
      <c r="QC8" s="197">
        <f t="shared" si="23"/>
        <v>7220</v>
      </c>
      <c r="QD8" s="179">
        <f t="shared" si="24"/>
        <v>6.7602996254681649E-2</v>
      </c>
      <c r="QE8" s="180" t="str">
        <f t="shared" ca="1" si="25"/>
        <v>Attente…</v>
      </c>
      <c r="QF8" s="196">
        <f t="shared" si="26"/>
        <v>8450</v>
      </c>
      <c r="QG8" s="176">
        <f t="shared" si="27"/>
        <v>6.7287784679089024E-2</v>
      </c>
      <c r="QH8" s="177" t="str">
        <f t="shared" ca="1" si="28"/>
        <v>Attente…</v>
      </c>
      <c r="QI8" s="197">
        <f t="shared" si="29"/>
        <v>9950</v>
      </c>
      <c r="QJ8" s="179">
        <f t="shared" si="30"/>
        <v>6.978538364426988E-2</v>
      </c>
      <c r="QK8" s="180" t="str">
        <f t="shared" ca="1" si="31"/>
        <v>Attente…</v>
      </c>
      <c r="QL8" s="196">
        <f t="shared" si="32"/>
        <v>8960</v>
      </c>
      <c r="QM8" s="176">
        <f t="shared" si="33"/>
        <v>6.5554580040971616E-2</v>
      </c>
      <c r="QN8" s="177" t="str">
        <f t="shared" ca="1" si="34"/>
        <v>Attente…</v>
      </c>
      <c r="QO8" s="197">
        <f t="shared" si="35"/>
        <v>9230</v>
      </c>
      <c r="QP8" s="179">
        <f t="shared" si="36"/>
        <v>7.2261802239098102E-2</v>
      </c>
      <c r="QQ8" s="180" t="str">
        <f t="shared" ca="1" si="37"/>
        <v>Attente…</v>
      </c>
      <c r="QR8" s="196">
        <f t="shared" si="38"/>
        <v>9110</v>
      </c>
      <c r="QS8" s="176">
        <f t="shared" si="39"/>
        <v>6.5584392210503578E-2</v>
      </c>
      <c r="QT8" s="177" t="str">
        <f t="shared" ca="1" si="40"/>
        <v>Attente…</v>
      </c>
      <c r="QU8" s="197">
        <f t="shared" si="41"/>
        <v>11850</v>
      </c>
      <c r="QV8" s="179">
        <f t="shared" si="42"/>
        <v>8.1701599558742413E-2</v>
      </c>
      <c r="QW8" s="180" t="str">
        <f t="shared" ca="1" si="43"/>
        <v>Attente…</v>
      </c>
      <c r="QX8" s="196">
        <f t="shared" si="44"/>
        <v>11340</v>
      </c>
      <c r="QY8" s="176">
        <f t="shared" si="45"/>
        <v>8.2751977582533054E-2</v>
      </c>
      <c r="QZ8" s="177" t="str">
        <f t="shared" ca="1" si="46"/>
        <v>Attente…</v>
      </c>
      <c r="RA8" s="197">
        <f t="shared" si="47"/>
        <v>8390</v>
      </c>
      <c r="RB8" s="179">
        <f t="shared" si="48"/>
        <v>6.5644315781237778E-2</v>
      </c>
      <c r="RC8" s="180" t="str">
        <f t="shared" ca="1" si="49"/>
        <v>Attente…</v>
      </c>
      <c r="RD8" s="196">
        <f t="shared" si="50"/>
        <v>5770</v>
      </c>
      <c r="RE8" s="176">
        <f t="shared" si="51"/>
        <v>5.7493025109605418E-2</v>
      </c>
      <c r="RF8" s="177" t="str">
        <f t="shared" ca="1" si="52"/>
        <v>Attente…</v>
      </c>
      <c r="RG8" s="197">
        <f t="shared" si="53"/>
        <v>3390</v>
      </c>
      <c r="RH8" s="179">
        <f t="shared" si="54"/>
        <v>6.2350560971123785E-2</v>
      </c>
      <c r="RI8" s="198" t="str">
        <f t="shared" ca="1" si="55"/>
        <v>Attente…</v>
      </c>
      <c r="RJ8" s="199">
        <f t="shared" si="56"/>
        <v>23610</v>
      </c>
      <c r="RK8" s="200" t="str">
        <f t="shared" ca="1" si="13"/>
        <v>Attente…</v>
      </c>
      <c r="RL8" s="199">
        <f t="shared" si="57"/>
        <v>28140</v>
      </c>
      <c r="RM8" s="200" t="str">
        <f t="shared" ca="1" si="58"/>
        <v>Atttente…</v>
      </c>
      <c r="RN8" s="199">
        <f t="shared" si="59"/>
        <v>32300</v>
      </c>
      <c r="RO8" s="200" t="str">
        <f t="shared" ca="1" si="14"/>
        <v>Attente…</v>
      </c>
      <c r="RP8" s="199">
        <f t="shared" si="60"/>
        <v>17550</v>
      </c>
      <c r="RQ8" s="200" t="str">
        <f t="shared" ca="1" si="15"/>
        <v>Attente…</v>
      </c>
      <c r="RR8" s="201">
        <f t="shared" si="61"/>
        <v>101600</v>
      </c>
      <c r="RS8" s="202" t="str">
        <f t="shared" ca="1" si="16"/>
        <v>Attente…</v>
      </c>
      <c r="RT8" s="103"/>
      <c r="RU8" s="203">
        <f t="shared" si="62"/>
        <v>0.46014492753623187</v>
      </c>
      <c r="RV8" s="204">
        <f t="shared" si="6"/>
        <v>6</v>
      </c>
      <c r="RW8" s="204">
        <f t="shared" si="6"/>
        <v>6</v>
      </c>
      <c r="RX8" s="204">
        <f t="shared" si="63"/>
        <v>184</v>
      </c>
      <c r="RY8" s="205" t="str">
        <f t="shared" si="64"/>
        <v>MONT-SAINT-AIGNAN - Centre Commercial La Vatine (Parking Carrefour)</v>
      </c>
      <c r="RZ8" s="189" t="str">
        <f>IF(OR(RZ7="",RZ7="  &lt;/Document&gt;
&lt;/kml&gt;"),"",
IF(B8="","  &lt;/Document&gt;
&lt;/kml&gt;",
IF(TournéesCAV!Q143=""," ",
"    &lt;Placemark&gt;
      &lt;description&gt;&lt;![CDATA["&amp;B8&amp;"&lt;br&gt;&lt;br&gt;"&amp;RV8&amp;" CAV&lt;br&gt;&lt;br&gt;Présent sur "&amp;RW8&amp;" tournée(s)&lt;br&gt;&lt;br&gt;Taux de remplissage moyen "&amp;TEXT(RU8*1000,"0 %")&amp;"]]&gt;&lt;/description&gt;
      &lt;Style&gt;
        &lt;IconStyle&gt;
          &lt;color&gt;ff"&amp;
          DEC2HEX(0,2)&amp;
          DEC2HEX(
            IF(RU8&lt;=0.5,
               INT(255*(RU8*2)),
               255
            ),2)&amp;
          DEC2HEX(
            IF(RU8&lt;=0.5,
               255,
               INT(255*(1-(RU8-0.5)*2))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&lt;Point&gt;&lt;coordinates&gt;"&amp;R8&amp;","&amp;Q8&amp;",0&lt;/coordinates&gt;&lt;/Point&gt;
    &lt;/Placemark&gt;"
)))</f>
        <v xml:space="preserve">    &lt;Placemark&gt;
      &lt;description&gt;&lt;![CDATA[MONT-SAINT-AIGNAN - Centre Commercial La Vatine (Parking Carrefour)&lt;br&gt;&lt;br&gt;6 CAV&lt;br&gt;&lt;br&gt;Présent sur 6 tournée(s)&lt;br&gt;&lt;br&gt;Taux de remplissage moyen 46%]]&gt;&lt;/description&gt;
      &lt;Style&gt;
        &lt;IconStyle&gt;
          &lt;color&gt;ff00EAFF&lt;/color&gt;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&lt;Point&gt;&lt;coordinates&gt;1.0914162455078147,49.469906696445484,0&lt;/coordinates&gt;&lt;/Point&gt;
    &lt;/Placemark&gt;</v>
      </c>
    </row>
    <row r="9" spans="1:494" ht="15" hidden="1" customHeight="1" x14ac:dyDescent="0.35">
      <c r="B9" s="153" t="str">
        <f t="shared" si="17"/>
        <v>BARENTIN - Centre commercial du Mesnil Roux (Parking Carrefour en face du Feu Vert)</v>
      </c>
      <c r="C9" s="154" t="s">
        <v>104</v>
      </c>
      <c r="D9" s="155" t="s">
        <v>104</v>
      </c>
      <c r="E9" s="155" t="s">
        <v>104</v>
      </c>
      <c r="F9" s="155" t="s">
        <v>104</v>
      </c>
      <c r="G9" s="155"/>
      <c r="H9" s="155"/>
      <c r="I9" s="155"/>
      <c r="J9" s="156"/>
      <c r="K9" s="157">
        <f t="shared" si="18"/>
        <v>4</v>
      </c>
      <c r="L9" s="157">
        <f t="shared" si="19"/>
        <v>2</v>
      </c>
      <c r="M9" s="158" t="s">
        <v>112</v>
      </c>
      <c r="N9" s="159" t="s">
        <v>113</v>
      </c>
      <c r="O9" s="159">
        <v>76360</v>
      </c>
      <c r="P9" s="159" t="s">
        <v>34</v>
      </c>
      <c r="Q9" s="159" t="s">
        <v>114</v>
      </c>
      <c r="R9" s="159" t="s">
        <v>115</v>
      </c>
      <c r="S9" s="159"/>
      <c r="T9" s="159" t="s">
        <v>110</v>
      </c>
      <c r="U9" s="159" t="s">
        <v>116</v>
      </c>
      <c r="V9" s="160" t="s">
        <v>96</v>
      </c>
      <c r="W9" s="161"/>
      <c r="X9" s="162"/>
      <c r="Y9" s="163"/>
      <c r="Z9" s="162"/>
      <c r="AA9" s="163"/>
      <c r="AB9" s="162"/>
      <c r="AC9" s="163"/>
      <c r="AD9" s="162"/>
      <c r="AE9" s="163"/>
      <c r="AF9" s="162"/>
      <c r="AG9" s="163"/>
      <c r="AH9" s="163">
        <v>2</v>
      </c>
      <c r="AI9" s="162">
        <v>2</v>
      </c>
      <c r="AJ9" s="163"/>
      <c r="AK9" s="162"/>
      <c r="AL9" s="163"/>
      <c r="AM9" s="162"/>
      <c r="AN9" s="163"/>
      <c r="AO9" s="162"/>
      <c r="AP9" s="164"/>
      <c r="AQ9" s="164"/>
      <c r="AR9" s="164"/>
      <c r="AS9" s="164"/>
      <c r="AT9" s="164"/>
      <c r="AU9" s="164"/>
      <c r="AV9" s="164"/>
      <c r="AW9" s="164"/>
      <c r="AX9" s="164"/>
      <c r="AY9" s="165"/>
      <c r="AZ9" s="41"/>
      <c r="BA9" s="190"/>
      <c r="BB9" s="191"/>
      <c r="BC9" s="191">
        <v>600</v>
      </c>
      <c r="BD9" s="191"/>
      <c r="BE9" s="191"/>
      <c r="BF9" s="191">
        <v>120</v>
      </c>
      <c r="BG9" s="191"/>
      <c r="BH9" s="191"/>
      <c r="BI9" s="191"/>
      <c r="BJ9" s="191">
        <v>300</v>
      </c>
      <c r="BK9" s="191"/>
      <c r="BL9" s="191"/>
      <c r="BM9" s="191">
        <v>40</v>
      </c>
      <c r="BN9" s="191"/>
      <c r="BO9" s="191"/>
      <c r="BP9" s="191"/>
      <c r="BQ9" s="191">
        <v>200</v>
      </c>
      <c r="BR9" s="191"/>
      <c r="BS9" s="191"/>
      <c r="BT9" s="191">
        <v>250</v>
      </c>
      <c r="BU9" s="191"/>
      <c r="BV9" s="191"/>
      <c r="BW9" s="191"/>
      <c r="BX9" s="191">
        <v>160</v>
      </c>
      <c r="BY9" s="191"/>
      <c r="BZ9" s="191"/>
      <c r="CA9" s="191">
        <v>350</v>
      </c>
      <c r="CB9" s="191"/>
      <c r="CC9" s="191"/>
      <c r="CD9" s="191"/>
      <c r="CE9" s="192">
        <v>300</v>
      </c>
      <c r="CF9" s="190"/>
      <c r="CG9" s="191"/>
      <c r="CH9" s="191">
        <v>200</v>
      </c>
      <c r="CI9" s="191"/>
      <c r="CJ9" s="191"/>
      <c r="CK9" s="191"/>
      <c r="CL9" s="191">
        <v>300</v>
      </c>
      <c r="CM9" s="191"/>
      <c r="CN9" s="191"/>
      <c r="CO9" s="191">
        <v>120</v>
      </c>
      <c r="CP9" s="191"/>
      <c r="CQ9" s="191"/>
      <c r="CR9" s="191"/>
      <c r="CS9" s="191">
        <v>160</v>
      </c>
      <c r="CT9" s="191"/>
      <c r="CU9" s="191"/>
      <c r="CV9" s="191">
        <v>310</v>
      </c>
      <c r="CW9" s="191"/>
      <c r="CX9" s="191"/>
      <c r="CY9" s="191"/>
      <c r="CZ9" s="191">
        <v>360</v>
      </c>
      <c r="DA9" s="191"/>
      <c r="DB9" s="191"/>
      <c r="DC9" s="191">
        <v>320</v>
      </c>
      <c r="DD9" s="191"/>
      <c r="DE9" s="191"/>
      <c r="DF9" s="191"/>
      <c r="DG9" s="191">
        <v>120</v>
      </c>
      <c r="DH9" s="193"/>
      <c r="DI9" s="194"/>
      <c r="DJ9" s="191"/>
      <c r="DK9" s="191">
        <v>120</v>
      </c>
      <c r="DL9" s="191"/>
      <c r="DM9" s="191"/>
      <c r="DN9" s="191"/>
      <c r="DO9" s="191">
        <v>210</v>
      </c>
      <c r="DP9" s="191"/>
      <c r="DQ9" s="191"/>
      <c r="DR9" s="191">
        <v>200</v>
      </c>
      <c r="DS9" s="191"/>
      <c r="DT9" s="191"/>
      <c r="DU9" s="191"/>
      <c r="DV9" s="191">
        <v>210</v>
      </c>
      <c r="DW9" s="191"/>
      <c r="DX9" s="191"/>
      <c r="DY9" s="191">
        <v>160</v>
      </c>
      <c r="DZ9" s="191"/>
      <c r="EA9" s="191"/>
      <c r="EB9" s="191"/>
      <c r="EC9" s="191">
        <v>310</v>
      </c>
      <c r="ED9" s="191"/>
      <c r="EE9" s="191"/>
      <c r="EF9" s="191">
        <v>170</v>
      </c>
      <c r="EG9" s="191"/>
      <c r="EH9" s="191"/>
      <c r="EI9" s="191"/>
      <c r="EJ9" s="191">
        <v>220</v>
      </c>
      <c r="EK9" s="191"/>
      <c r="EL9" s="191"/>
      <c r="EM9" s="192">
        <v>350</v>
      </c>
      <c r="EN9" s="190"/>
      <c r="EO9" s="191"/>
      <c r="EP9" s="191"/>
      <c r="EQ9" s="191">
        <v>210</v>
      </c>
      <c r="ER9" s="191"/>
      <c r="ES9" s="191"/>
      <c r="ET9" s="191">
        <v>120</v>
      </c>
      <c r="EU9" s="191"/>
      <c r="EV9" s="191"/>
      <c r="EW9" s="191"/>
      <c r="EX9" s="191">
        <v>460</v>
      </c>
      <c r="EY9" s="191"/>
      <c r="EZ9" s="191"/>
      <c r="FA9" s="191">
        <v>350</v>
      </c>
      <c r="FB9" s="191"/>
      <c r="FC9" s="191"/>
      <c r="FD9" s="191"/>
      <c r="FE9" s="191">
        <v>750</v>
      </c>
      <c r="FF9" s="191"/>
      <c r="FG9" s="191"/>
      <c r="FH9" s="191"/>
      <c r="FI9" s="191">
        <v>500</v>
      </c>
      <c r="FJ9" s="191"/>
      <c r="FK9" s="191"/>
      <c r="FL9" s="191">
        <v>400</v>
      </c>
      <c r="FM9" s="191"/>
      <c r="FN9" s="191"/>
      <c r="FO9" s="191">
        <v>120</v>
      </c>
      <c r="FP9" s="191"/>
      <c r="FQ9" s="193"/>
      <c r="FR9" s="194"/>
      <c r="FS9" s="191">
        <v>500</v>
      </c>
      <c r="FT9" s="191"/>
      <c r="FU9" s="191"/>
      <c r="FV9" s="191">
        <v>250</v>
      </c>
      <c r="FW9" s="191"/>
      <c r="FX9" s="191"/>
      <c r="FY9" s="191"/>
      <c r="FZ9" s="191">
        <v>450</v>
      </c>
      <c r="GA9" s="191"/>
      <c r="GB9" s="191"/>
      <c r="GC9" s="191">
        <v>500</v>
      </c>
      <c r="GD9" s="191"/>
      <c r="GE9" s="191"/>
      <c r="GF9" s="191"/>
      <c r="GG9" s="191">
        <v>300</v>
      </c>
      <c r="GH9" s="191"/>
      <c r="GI9" s="191"/>
      <c r="GJ9" s="191">
        <v>300</v>
      </c>
      <c r="GK9" s="191"/>
      <c r="GL9" s="191"/>
      <c r="GM9" s="191"/>
      <c r="GN9" s="191">
        <v>350</v>
      </c>
      <c r="GO9" s="191"/>
      <c r="GP9" s="191"/>
      <c r="GQ9" s="191">
        <v>200</v>
      </c>
      <c r="GR9" s="191"/>
      <c r="GS9" s="191"/>
      <c r="GT9" s="191"/>
      <c r="GU9" s="191">
        <v>400</v>
      </c>
      <c r="GV9" s="192"/>
      <c r="GW9" s="190"/>
      <c r="GX9" s="191">
        <v>200</v>
      </c>
      <c r="GY9" s="191"/>
      <c r="GZ9" s="191"/>
      <c r="HA9" s="191"/>
      <c r="HB9" s="191">
        <v>160</v>
      </c>
      <c r="HC9" s="191"/>
      <c r="HD9" s="191"/>
      <c r="HE9" s="191"/>
      <c r="HF9" s="191">
        <v>550</v>
      </c>
      <c r="HG9" s="191"/>
      <c r="HH9" s="191"/>
      <c r="HI9" s="191">
        <v>300</v>
      </c>
      <c r="HJ9" s="191"/>
      <c r="HK9" s="191"/>
      <c r="HL9" s="191">
        <v>210</v>
      </c>
      <c r="HM9" s="191"/>
      <c r="HN9" s="191"/>
      <c r="HO9" s="191"/>
      <c r="HP9" s="191">
        <v>500</v>
      </c>
      <c r="HQ9" s="191"/>
      <c r="HR9" s="191"/>
      <c r="HS9" s="191">
        <v>120</v>
      </c>
      <c r="HT9" s="191"/>
      <c r="HU9" s="191"/>
      <c r="HV9" s="191"/>
      <c r="HW9" s="191">
        <v>450</v>
      </c>
      <c r="HX9" s="191"/>
      <c r="HY9" s="191"/>
      <c r="HZ9" s="193">
        <v>200</v>
      </c>
      <c r="IA9" s="194"/>
      <c r="IB9" s="191"/>
      <c r="IC9" s="191"/>
      <c r="ID9" s="191">
        <v>200</v>
      </c>
      <c r="IE9" s="191"/>
      <c r="IF9" s="191"/>
      <c r="IG9" s="191">
        <v>300</v>
      </c>
      <c r="IH9" s="191"/>
      <c r="II9" s="191"/>
      <c r="IJ9" s="191"/>
      <c r="IK9" s="191">
        <v>500</v>
      </c>
      <c r="IL9" s="191"/>
      <c r="IM9" s="191"/>
      <c r="IN9" s="191">
        <v>120</v>
      </c>
      <c r="IO9" s="191"/>
      <c r="IP9" s="191"/>
      <c r="IQ9" s="191"/>
      <c r="IR9" s="191">
        <v>120</v>
      </c>
      <c r="IS9" s="191"/>
      <c r="IT9" s="191"/>
      <c r="IU9" s="191">
        <v>400</v>
      </c>
      <c r="IV9" s="191"/>
      <c r="IW9" s="191"/>
      <c r="IX9" s="191"/>
      <c r="IY9" s="191">
        <v>600</v>
      </c>
      <c r="IZ9" s="191"/>
      <c r="JA9" s="191"/>
      <c r="JB9" s="191">
        <v>300</v>
      </c>
      <c r="JC9" s="191"/>
      <c r="JD9" s="191"/>
      <c r="JE9" s="192"/>
      <c r="JF9" s="190">
        <v>360</v>
      </c>
      <c r="JG9" s="191"/>
      <c r="JH9" s="191"/>
      <c r="JI9" s="191">
        <v>300</v>
      </c>
      <c r="JJ9" s="191"/>
      <c r="JK9" s="191"/>
      <c r="JL9" s="191"/>
      <c r="JM9" s="191">
        <v>400</v>
      </c>
      <c r="JN9" s="191"/>
      <c r="JO9" s="191"/>
      <c r="JP9" s="191">
        <v>400</v>
      </c>
      <c r="JQ9" s="191"/>
      <c r="JR9" s="191"/>
      <c r="JS9" s="191">
        <v>310</v>
      </c>
      <c r="JT9" s="191"/>
      <c r="JU9" s="191"/>
      <c r="JV9" s="191"/>
      <c r="JW9" s="191">
        <v>350</v>
      </c>
      <c r="JX9" s="191"/>
      <c r="JY9" s="191"/>
      <c r="JZ9" s="191"/>
      <c r="KA9" s="191">
        <v>500</v>
      </c>
      <c r="KB9" s="191"/>
      <c r="KC9" s="191"/>
      <c r="KD9" s="191">
        <v>310</v>
      </c>
      <c r="KE9" s="191"/>
      <c r="KF9" s="191"/>
      <c r="KG9" s="191"/>
      <c r="KH9" s="191">
        <v>300</v>
      </c>
      <c r="KI9" s="191"/>
      <c r="KJ9" s="193"/>
      <c r="KK9" s="194">
        <v>300</v>
      </c>
      <c r="KL9" s="191"/>
      <c r="KM9" s="191"/>
      <c r="KN9" s="191"/>
      <c r="KO9" s="191">
        <v>300</v>
      </c>
      <c r="KP9" s="191"/>
      <c r="KQ9" s="191"/>
      <c r="KR9" s="191">
        <v>310</v>
      </c>
      <c r="KS9" s="191"/>
      <c r="KT9" s="191"/>
      <c r="KU9" s="191"/>
      <c r="KV9" s="191">
        <v>310</v>
      </c>
      <c r="KW9" s="191"/>
      <c r="KX9" s="191"/>
      <c r="KY9" s="191">
        <v>200</v>
      </c>
      <c r="KZ9" s="191"/>
      <c r="LA9" s="191"/>
      <c r="LB9" s="191"/>
      <c r="LC9" s="191">
        <v>220</v>
      </c>
      <c r="LD9" s="191"/>
      <c r="LE9" s="191"/>
      <c r="LF9" s="191">
        <v>170</v>
      </c>
      <c r="LG9" s="191"/>
      <c r="LH9" s="191"/>
      <c r="LI9" s="191"/>
      <c r="LJ9" s="191">
        <v>350</v>
      </c>
      <c r="LK9" s="191"/>
      <c r="LL9" s="191"/>
      <c r="LM9" s="191">
        <v>200</v>
      </c>
      <c r="LN9" s="192"/>
      <c r="LO9" s="190"/>
      <c r="LP9" s="191"/>
      <c r="LQ9" s="191">
        <v>300</v>
      </c>
      <c r="LR9" s="191"/>
      <c r="LS9" s="191"/>
      <c r="LT9" s="191">
        <v>500</v>
      </c>
      <c r="LU9" s="191"/>
      <c r="LV9" s="191"/>
      <c r="LW9" s="191"/>
      <c r="LX9" s="191">
        <v>600</v>
      </c>
      <c r="LY9" s="191"/>
      <c r="LZ9" s="191"/>
      <c r="MA9" s="191">
        <v>300</v>
      </c>
      <c r="MB9" s="191"/>
      <c r="MC9" s="191"/>
      <c r="MD9" s="191"/>
      <c r="ME9" s="191">
        <v>260</v>
      </c>
      <c r="MF9" s="191"/>
      <c r="MG9" s="191"/>
      <c r="MH9" s="191">
        <v>210</v>
      </c>
      <c r="MI9" s="191"/>
      <c r="MJ9" s="191"/>
      <c r="MK9" s="191"/>
      <c r="ML9" s="191">
        <v>200</v>
      </c>
      <c r="MM9" s="191"/>
      <c r="MN9" s="191"/>
      <c r="MO9" s="191">
        <v>400</v>
      </c>
      <c r="MP9" s="191"/>
      <c r="MQ9" s="191"/>
      <c r="MR9" s="191"/>
      <c r="MS9" s="193">
        <v>350</v>
      </c>
      <c r="MT9" s="194"/>
      <c r="MU9" s="191"/>
      <c r="MV9" s="191">
        <v>210</v>
      </c>
      <c r="MW9" s="191"/>
      <c r="MX9" s="191"/>
      <c r="MY9" s="191"/>
      <c r="MZ9" s="191">
        <v>170</v>
      </c>
      <c r="NA9" s="191"/>
      <c r="NB9" s="191"/>
      <c r="NC9" s="191">
        <v>300</v>
      </c>
      <c r="ND9" s="191"/>
      <c r="NE9" s="191"/>
      <c r="NF9" s="191"/>
      <c r="NG9" s="191">
        <v>400</v>
      </c>
      <c r="NH9" s="191"/>
      <c r="NI9" s="191"/>
      <c r="NJ9" s="191">
        <v>160</v>
      </c>
      <c r="NK9" s="191"/>
      <c r="NL9" s="191"/>
      <c r="NM9" s="191"/>
      <c r="NN9" s="191">
        <v>260</v>
      </c>
      <c r="NO9" s="191"/>
      <c r="NP9" s="191"/>
      <c r="NQ9" s="191">
        <v>160</v>
      </c>
      <c r="NR9" s="191"/>
      <c r="NS9" s="191"/>
      <c r="NT9" s="191"/>
      <c r="NU9" s="191">
        <v>350</v>
      </c>
      <c r="NV9" s="191"/>
      <c r="NW9" s="192"/>
      <c r="NX9" s="190">
        <v>120</v>
      </c>
      <c r="NY9" s="191"/>
      <c r="NZ9" s="191"/>
      <c r="OA9" s="191"/>
      <c r="OB9" s="191">
        <v>120</v>
      </c>
      <c r="OC9" s="191"/>
      <c r="OD9" s="191"/>
      <c r="OE9" s="191">
        <v>210</v>
      </c>
      <c r="OF9" s="191"/>
      <c r="OG9" s="191"/>
      <c r="OH9" s="191"/>
      <c r="OI9" s="191">
        <v>200</v>
      </c>
      <c r="OJ9" s="191"/>
      <c r="OK9" s="191"/>
      <c r="OL9" s="191">
        <v>120</v>
      </c>
      <c r="OM9" s="191"/>
      <c r="ON9" s="191"/>
      <c r="OO9" s="191"/>
      <c r="OP9" s="191"/>
      <c r="OQ9" s="191"/>
      <c r="OR9" s="191"/>
      <c r="OS9" s="191"/>
      <c r="OT9" s="191"/>
      <c r="OU9" s="191"/>
      <c r="OV9" s="191"/>
      <c r="OW9" s="191"/>
      <c r="OX9" s="191"/>
      <c r="OY9" s="191"/>
      <c r="OZ9" s="191"/>
      <c r="PA9" s="191"/>
      <c r="PB9" s="193"/>
      <c r="PC9" s="47"/>
      <c r="PD9" s="154" t="s">
        <v>98</v>
      </c>
      <c r="PE9" s="155" t="s">
        <v>98</v>
      </c>
      <c r="PF9" s="155" t="s">
        <v>98</v>
      </c>
      <c r="PG9" s="155" t="s">
        <v>98</v>
      </c>
      <c r="PH9" s="155" t="s">
        <v>98</v>
      </c>
      <c r="PI9" s="155" t="s">
        <v>98</v>
      </c>
      <c r="PJ9" s="155" t="s">
        <v>98</v>
      </c>
      <c r="PK9" s="155" t="s">
        <v>98</v>
      </c>
      <c r="PL9" s="155" t="s">
        <v>98</v>
      </c>
      <c r="PM9" s="155" t="s">
        <v>97</v>
      </c>
      <c r="PN9" s="155" t="s">
        <v>98</v>
      </c>
      <c r="PO9" s="156"/>
      <c r="PP9" s="156"/>
      <c r="PQ9" s="156"/>
      <c r="PR9" s="156"/>
      <c r="PS9" s="156"/>
      <c r="PT9" s="156"/>
      <c r="PU9" s="156"/>
      <c r="PV9" s="156"/>
      <c r="PW9" s="156"/>
      <c r="PX9" s="195"/>
      <c r="PY9" s="1"/>
      <c r="PZ9" s="196">
        <f t="shared" si="20"/>
        <v>2320</v>
      </c>
      <c r="QA9" s="176">
        <f t="shared" si="21"/>
        <v>1.9354300492199883E-2</v>
      </c>
      <c r="QB9" s="177" t="str">
        <f t="shared" ca="1" si="22"/>
        <v>Attente…</v>
      </c>
      <c r="QC9" s="197">
        <f t="shared" si="23"/>
        <v>1890</v>
      </c>
      <c r="QD9" s="179">
        <f t="shared" si="24"/>
        <v>1.7696629213483146E-2</v>
      </c>
      <c r="QE9" s="180" t="str">
        <f t="shared" ca="1" si="25"/>
        <v>Attente…</v>
      </c>
      <c r="QF9" s="196">
        <f t="shared" si="26"/>
        <v>1950</v>
      </c>
      <c r="QG9" s="176">
        <f t="shared" si="27"/>
        <v>1.5527950310559006E-2</v>
      </c>
      <c r="QH9" s="177" t="str">
        <f t="shared" ca="1" si="28"/>
        <v>Attente…</v>
      </c>
      <c r="QI9" s="197">
        <f t="shared" si="29"/>
        <v>2910</v>
      </c>
      <c r="QJ9" s="179">
        <f t="shared" si="30"/>
        <v>2.0409594613550287E-2</v>
      </c>
      <c r="QK9" s="180" t="str">
        <f t="shared" ca="1" si="31"/>
        <v>Attente…</v>
      </c>
      <c r="QL9" s="196">
        <f t="shared" si="32"/>
        <v>3250</v>
      </c>
      <c r="QM9" s="176">
        <f t="shared" si="33"/>
        <v>2.3778167983611355E-2</v>
      </c>
      <c r="QN9" s="177" t="str">
        <f t="shared" ca="1" si="34"/>
        <v>Attente…</v>
      </c>
      <c r="QO9" s="197">
        <f t="shared" si="35"/>
        <v>2690</v>
      </c>
      <c r="QP9" s="179">
        <f t="shared" si="36"/>
        <v>2.1060048539888829E-2</v>
      </c>
      <c r="QQ9" s="180" t="str">
        <f t="shared" ca="1" si="37"/>
        <v>Attente…</v>
      </c>
      <c r="QR9" s="196">
        <f t="shared" si="38"/>
        <v>2540</v>
      </c>
      <c r="QS9" s="176">
        <f t="shared" si="39"/>
        <v>1.8285878838054787E-2</v>
      </c>
      <c r="QT9" s="177" t="str">
        <f t="shared" ca="1" si="40"/>
        <v>Attente…</v>
      </c>
      <c r="QU9" s="197">
        <f t="shared" si="41"/>
        <v>3230</v>
      </c>
      <c r="QV9" s="179">
        <f t="shared" si="42"/>
        <v>2.2269718698290128E-2</v>
      </c>
      <c r="QW9" s="180" t="str">
        <f t="shared" ca="1" si="43"/>
        <v>Attente…</v>
      </c>
      <c r="QX9" s="196">
        <f t="shared" si="44"/>
        <v>2360</v>
      </c>
      <c r="QY9" s="176">
        <f t="shared" si="45"/>
        <v>1.7221751948393121E-2</v>
      </c>
      <c r="QZ9" s="177" t="str">
        <f t="shared" ca="1" si="46"/>
        <v>Attente…</v>
      </c>
      <c r="RA9" s="197">
        <f t="shared" si="47"/>
        <v>3120</v>
      </c>
      <c r="RB9" s="179">
        <f t="shared" si="48"/>
        <v>2.4411235427587826E-2</v>
      </c>
      <c r="RC9" s="180" t="str">
        <f t="shared" ca="1" si="49"/>
        <v>Attente…</v>
      </c>
      <c r="RD9" s="196">
        <f t="shared" si="50"/>
        <v>2010</v>
      </c>
      <c r="RE9" s="176">
        <f t="shared" si="51"/>
        <v>2.0027899561578317E-2</v>
      </c>
      <c r="RF9" s="177" t="str">
        <f t="shared" ca="1" si="52"/>
        <v>Attente…</v>
      </c>
      <c r="RG9" s="197">
        <f t="shared" si="53"/>
        <v>770</v>
      </c>
      <c r="RH9" s="179">
        <f t="shared" si="54"/>
        <v>1.4162221813500093E-2</v>
      </c>
      <c r="RI9" s="198" t="str">
        <f t="shared" ca="1" si="55"/>
        <v>Attente…</v>
      </c>
      <c r="RJ9" s="199">
        <f t="shared" si="56"/>
        <v>6160</v>
      </c>
      <c r="RK9" s="200" t="str">
        <f t="shared" ca="1" si="13"/>
        <v>Attente…</v>
      </c>
      <c r="RL9" s="199">
        <f t="shared" si="57"/>
        <v>8850</v>
      </c>
      <c r="RM9" s="200" t="str">
        <f t="shared" ca="1" si="58"/>
        <v>Atttente…</v>
      </c>
      <c r="RN9" s="199">
        <f t="shared" si="59"/>
        <v>8130</v>
      </c>
      <c r="RO9" s="200" t="str">
        <f t="shared" ca="1" si="14"/>
        <v>Attente…</v>
      </c>
      <c r="RP9" s="199">
        <f t="shared" si="60"/>
        <v>5900</v>
      </c>
      <c r="RQ9" s="200" t="str">
        <f t="shared" ca="1" si="15"/>
        <v>Attente…</v>
      </c>
      <c r="RR9" s="201">
        <f t="shared" si="61"/>
        <v>29040</v>
      </c>
      <c r="RS9" s="202" t="str">
        <f t="shared" ca="1" si="16"/>
        <v>Attente…</v>
      </c>
      <c r="RT9" s="103"/>
      <c r="RU9" s="203">
        <f t="shared" si="62"/>
        <v>0.36299999999999999</v>
      </c>
      <c r="RV9" s="204">
        <f t="shared" si="6"/>
        <v>4</v>
      </c>
      <c r="RW9" s="204">
        <f t="shared" si="6"/>
        <v>2</v>
      </c>
      <c r="RX9" s="204">
        <f t="shared" si="63"/>
        <v>100</v>
      </c>
      <c r="RY9" s="205" t="str">
        <f t="shared" si="64"/>
        <v>BARENTIN - Centre commercial du Mesnil Roux (Parking Carrefour en face du Feu Vert)</v>
      </c>
      <c r="RZ9" s="189" t="str">
        <f>IF(OR(RZ8="",RZ8="  &lt;/Document&gt;
&lt;/kml&gt;"),"",
IF(B9="","  &lt;/Document&gt;
&lt;/kml&gt;",
IF(TournéesCAV!Q6=""," ",
"    &lt;Placemark&gt;
      &lt;description&gt;&lt;![CDATA["&amp;B9&amp;"&lt;br&gt;&lt;br&gt;"&amp;RV9&amp;" CAV&lt;br&gt;&lt;br&gt;Présent sur "&amp;RW9&amp;" tournée(s)&lt;br&gt;&lt;br&gt;Collecté "&amp;RX9&amp;" fois en "&amp;$H$1&amp;"&lt;br&gt;&lt;br&gt;Taux de remplissage moyen "&amp;TEXT(RU9*1000,"0 %")&amp;"]]&gt;&lt;/description&gt;
      &lt;Style&gt;
        &lt;IconStyle&gt;
          &lt;color&gt;ff"&amp;
          DEC2HEX(0,2)&amp;
          DEC2HEX(
            IF(RU9&lt;=0.5,
               INT(255*(RU9*2)),
               255
            ),2)&amp;
          DEC2HEX(
            IF(RU9&lt;=0.5,
               255,
               INT(255*(1-(RU9-0.5)*2))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&lt;Point&gt;&lt;coordinates&gt;"&amp;R9&amp;","&amp;Q9&amp;",0&lt;/coordinates&gt;&lt;/Point&gt;
    &lt;/Placemark&gt;"
)))</f>
        <v xml:space="preserve">    &lt;Placemark&gt;
      &lt;description&gt;&lt;![CDATA[BARENTIN - Centre commercial du Mesnil Roux (Parking Carrefour en face du Feu Vert)&lt;br&gt;&lt;br&gt;4 CAV&lt;br&gt;&lt;br&gt;Présent sur 2 tournée(s)&lt;br&gt;&lt;br&gt;Collecté 100 fois en 2025&lt;br&gt;&lt;br&gt;Taux de remplissage moyen 36%]]&gt;&lt;/description&gt;
      &lt;Style&gt;
        &lt;IconStyle&gt;
          &lt;color&gt;ff00B9FF&lt;/color&gt;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&lt;Point&gt;&lt;coordinates&gt;0.9655591899352833,49.53551416050364,0&lt;/coordinates&gt;&lt;/Point&gt;
    &lt;/Placemark&gt;</v>
      </c>
    </row>
    <row r="10" spans="1:494" ht="15" hidden="1" customHeight="1" x14ac:dyDescent="0.35">
      <c r="B10" s="153" t="str">
        <f t="shared" si="17"/>
        <v>OISSEL - 6 Avenue Du Général De Gaulle (Centre Commercial Saint Julien)</v>
      </c>
      <c r="C10" s="154" t="s">
        <v>104</v>
      </c>
      <c r="D10" s="155"/>
      <c r="E10" s="155"/>
      <c r="F10" s="155"/>
      <c r="G10" s="155"/>
      <c r="H10" s="155"/>
      <c r="I10" s="155"/>
      <c r="J10" s="156"/>
      <c r="K10" s="157">
        <f t="shared" si="18"/>
        <v>1</v>
      </c>
      <c r="L10" s="157">
        <f t="shared" si="19"/>
        <v>1</v>
      </c>
      <c r="M10" s="158" t="s">
        <v>117</v>
      </c>
      <c r="N10" s="159" t="s">
        <v>118</v>
      </c>
      <c r="O10" s="159">
        <v>76350</v>
      </c>
      <c r="P10" s="159" t="s">
        <v>119</v>
      </c>
      <c r="Q10" s="159" t="s">
        <v>120</v>
      </c>
      <c r="R10" s="159" t="s">
        <v>121</v>
      </c>
      <c r="S10" s="159" t="s">
        <v>93</v>
      </c>
      <c r="T10" s="159" t="s">
        <v>110</v>
      </c>
      <c r="U10" s="159" t="s">
        <v>122</v>
      </c>
      <c r="V10" s="160" t="s">
        <v>123</v>
      </c>
      <c r="W10" s="161"/>
      <c r="X10" s="162"/>
      <c r="Y10" s="163"/>
      <c r="Z10" s="162"/>
      <c r="AA10" s="163"/>
      <c r="AB10" s="162"/>
      <c r="AC10" s="163"/>
      <c r="AD10" s="162"/>
      <c r="AE10" s="163"/>
      <c r="AF10" s="162"/>
      <c r="AG10" s="163"/>
      <c r="AH10" s="163"/>
      <c r="AI10" s="162"/>
      <c r="AJ10" s="163"/>
      <c r="AK10" s="162"/>
      <c r="AL10" s="163"/>
      <c r="AM10" s="162"/>
      <c r="AN10" s="163"/>
      <c r="AO10" s="162">
        <v>1</v>
      </c>
      <c r="AP10" s="164"/>
      <c r="AQ10" s="164"/>
      <c r="AR10" s="164"/>
      <c r="AS10" s="164"/>
      <c r="AT10" s="164"/>
      <c r="AU10" s="164"/>
      <c r="AV10" s="164"/>
      <c r="AW10" s="164"/>
      <c r="AX10" s="164"/>
      <c r="AY10" s="165"/>
      <c r="AZ10" s="41"/>
      <c r="BA10" s="190"/>
      <c r="BB10" s="191">
        <v>200</v>
      </c>
      <c r="BC10" s="191"/>
      <c r="BD10" s="191"/>
      <c r="BE10" s="191"/>
      <c r="BF10" s="191"/>
      <c r="BG10" s="191"/>
      <c r="BH10" s="191">
        <v>150</v>
      </c>
      <c r="BI10" s="191"/>
      <c r="BJ10" s="191"/>
      <c r="BK10" s="191"/>
      <c r="BL10" s="191"/>
      <c r="BM10" s="191"/>
      <c r="BN10" s="191"/>
      <c r="BO10" s="191">
        <v>200</v>
      </c>
      <c r="BP10" s="191"/>
      <c r="BQ10" s="191"/>
      <c r="BR10" s="191"/>
      <c r="BS10" s="191"/>
      <c r="BT10" s="191"/>
      <c r="BU10" s="191"/>
      <c r="BV10" s="191">
        <v>150</v>
      </c>
      <c r="BW10" s="191"/>
      <c r="BX10" s="191"/>
      <c r="BY10" s="191"/>
      <c r="BZ10" s="191"/>
      <c r="CA10" s="191"/>
      <c r="CB10" s="191"/>
      <c r="CC10" s="191">
        <v>100</v>
      </c>
      <c r="CD10" s="191"/>
      <c r="CE10" s="192"/>
      <c r="CF10" s="190"/>
      <c r="CG10" s="191"/>
      <c r="CH10" s="191"/>
      <c r="CI10" s="191"/>
      <c r="CJ10" s="191">
        <v>200</v>
      </c>
      <c r="CK10" s="191"/>
      <c r="CL10" s="191"/>
      <c r="CM10" s="191"/>
      <c r="CN10" s="191"/>
      <c r="CO10" s="191"/>
      <c r="CP10" s="191"/>
      <c r="CQ10" s="191">
        <v>150</v>
      </c>
      <c r="CR10" s="191"/>
      <c r="CS10" s="191"/>
      <c r="CT10" s="191"/>
      <c r="CU10" s="191"/>
      <c r="CV10" s="191"/>
      <c r="CW10" s="191"/>
      <c r="CX10" s="191">
        <v>200</v>
      </c>
      <c r="CY10" s="191"/>
      <c r="CZ10" s="191"/>
      <c r="DA10" s="191"/>
      <c r="DB10" s="191"/>
      <c r="DC10" s="191"/>
      <c r="DD10" s="191"/>
      <c r="DE10" s="191">
        <v>200</v>
      </c>
      <c r="DF10" s="191"/>
      <c r="DG10" s="191"/>
      <c r="DH10" s="193"/>
      <c r="DI10" s="194"/>
      <c r="DJ10" s="191"/>
      <c r="DK10" s="191"/>
      <c r="DL10" s="191"/>
      <c r="DM10" s="191">
        <v>150</v>
      </c>
      <c r="DN10" s="191"/>
      <c r="DO10" s="191"/>
      <c r="DP10" s="191"/>
      <c r="DQ10" s="191"/>
      <c r="DR10" s="191"/>
      <c r="DS10" s="191"/>
      <c r="DT10" s="191"/>
      <c r="DU10" s="191"/>
      <c r="DV10" s="191"/>
      <c r="DW10" s="191"/>
      <c r="DX10" s="191"/>
      <c r="DY10" s="191"/>
      <c r="DZ10" s="191"/>
      <c r="EA10" s="191">
        <v>150</v>
      </c>
      <c r="EB10" s="191"/>
      <c r="EC10" s="191"/>
      <c r="ED10" s="191"/>
      <c r="EE10" s="191"/>
      <c r="EF10" s="191"/>
      <c r="EG10" s="191"/>
      <c r="EH10" s="191">
        <v>200</v>
      </c>
      <c r="EI10" s="191"/>
      <c r="EJ10" s="191"/>
      <c r="EK10" s="191"/>
      <c r="EL10" s="191"/>
      <c r="EM10" s="192"/>
      <c r="EN10" s="190"/>
      <c r="EO10" s="191">
        <v>150</v>
      </c>
      <c r="EP10" s="191"/>
      <c r="EQ10" s="191"/>
      <c r="ER10" s="191"/>
      <c r="ES10" s="191"/>
      <c r="ET10" s="191"/>
      <c r="EU10" s="191"/>
      <c r="EV10" s="191">
        <v>200</v>
      </c>
      <c r="EW10" s="191"/>
      <c r="EX10" s="191"/>
      <c r="EY10" s="191"/>
      <c r="EZ10" s="191"/>
      <c r="FA10" s="191"/>
      <c r="FB10" s="191"/>
      <c r="FC10" s="191">
        <v>200</v>
      </c>
      <c r="FD10" s="191"/>
      <c r="FE10" s="191"/>
      <c r="FF10" s="191"/>
      <c r="FG10" s="191"/>
      <c r="FH10" s="191"/>
      <c r="FI10" s="191"/>
      <c r="FJ10" s="191">
        <v>200</v>
      </c>
      <c r="FK10" s="191"/>
      <c r="FL10" s="191"/>
      <c r="FM10" s="191"/>
      <c r="FN10" s="191"/>
      <c r="FO10" s="191"/>
      <c r="FP10" s="191"/>
      <c r="FQ10" s="193">
        <v>100</v>
      </c>
      <c r="FR10" s="194"/>
      <c r="FS10" s="191"/>
      <c r="FT10" s="191"/>
      <c r="FU10" s="191"/>
      <c r="FV10" s="191"/>
      <c r="FW10" s="191"/>
      <c r="FX10" s="191">
        <v>100</v>
      </c>
      <c r="FY10" s="191"/>
      <c r="FZ10" s="191"/>
      <c r="GA10" s="191"/>
      <c r="GB10" s="191"/>
      <c r="GC10" s="191"/>
      <c r="GD10" s="191"/>
      <c r="GE10" s="191">
        <v>200</v>
      </c>
      <c r="GF10" s="191"/>
      <c r="GG10" s="191"/>
      <c r="GH10" s="191"/>
      <c r="GI10" s="191"/>
      <c r="GJ10" s="191"/>
      <c r="GK10" s="191"/>
      <c r="GL10" s="191">
        <v>150</v>
      </c>
      <c r="GM10" s="191"/>
      <c r="GN10" s="191"/>
      <c r="GO10" s="191"/>
      <c r="GP10" s="191"/>
      <c r="GQ10" s="191"/>
      <c r="GR10" s="191"/>
      <c r="GS10" s="191">
        <v>100</v>
      </c>
      <c r="GT10" s="191"/>
      <c r="GU10" s="191"/>
      <c r="GV10" s="192"/>
      <c r="GW10" s="190"/>
      <c r="GX10" s="191"/>
      <c r="GY10" s="191"/>
      <c r="GZ10" s="191">
        <v>200</v>
      </c>
      <c r="HA10" s="191"/>
      <c r="HB10" s="191"/>
      <c r="HC10" s="191"/>
      <c r="HD10" s="191"/>
      <c r="HE10" s="191"/>
      <c r="HF10" s="191"/>
      <c r="HG10" s="191"/>
      <c r="HH10" s="191"/>
      <c r="HI10" s="191"/>
      <c r="HJ10" s="191"/>
      <c r="HK10" s="191"/>
      <c r="HL10" s="191"/>
      <c r="HM10" s="191"/>
      <c r="HN10" s="191">
        <v>200</v>
      </c>
      <c r="HO10" s="191"/>
      <c r="HP10" s="191"/>
      <c r="HQ10" s="191"/>
      <c r="HR10" s="191"/>
      <c r="HS10" s="191"/>
      <c r="HT10" s="191"/>
      <c r="HU10" s="191">
        <v>200</v>
      </c>
      <c r="HV10" s="191"/>
      <c r="HW10" s="191"/>
      <c r="HX10" s="191"/>
      <c r="HY10" s="191"/>
      <c r="HZ10" s="193"/>
      <c r="IA10" s="194"/>
      <c r="IB10" s="191">
        <v>200</v>
      </c>
      <c r="IC10" s="191"/>
      <c r="ID10" s="191"/>
      <c r="IE10" s="191"/>
      <c r="IF10" s="191"/>
      <c r="IG10" s="191"/>
      <c r="IH10" s="191"/>
      <c r="II10" s="191">
        <v>150</v>
      </c>
      <c r="IJ10" s="191"/>
      <c r="IK10" s="191"/>
      <c r="IL10" s="191"/>
      <c r="IM10" s="191"/>
      <c r="IN10" s="191"/>
      <c r="IO10" s="191"/>
      <c r="IP10" s="191"/>
      <c r="IQ10" s="191">
        <v>200</v>
      </c>
      <c r="IR10" s="191"/>
      <c r="IS10" s="191"/>
      <c r="IT10" s="191"/>
      <c r="IU10" s="191"/>
      <c r="IV10" s="191"/>
      <c r="IW10" s="191"/>
      <c r="IX10" s="191">
        <v>50</v>
      </c>
      <c r="IY10" s="191"/>
      <c r="IZ10" s="191"/>
      <c r="JA10" s="191"/>
      <c r="JB10" s="191"/>
      <c r="JC10" s="191"/>
      <c r="JD10" s="191">
        <v>50</v>
      </c>
      <c r="JE10" s="192"/>
      <c r="JF10" s="190"/>
      <c r="JG10" s="191"/>
      <c r="JH10" s="191"/>
      <c r="JI10" s="191"/>
      <c r="JJ10" s="191"/>
      <c r="JK10" s="191">
        <v>200</v>
      </c>
      <c r="JL10" s="191"/>
      <c r="JM10" s="191"/>
      <c r="JN10" s="191"/>
      <c r="JO10" s="191"/>
      <c r="JP10" s="191"/>
      <c r="JQ10" s="191"/>
      <c r="JR10" s="191"/>
      <c r="JS10" s="191">
        <v>150</v>
      </c>
      <c r="JT10" s="191"/>
      <c r="JU10" s="191"/>
      <c r="JV10" s="191"/>
      <c r="JW10" s="191"/>
      <c r="JX10" s="191"/>
      <c r="JY10" s="191">
        <v>200</v>
      </c>
      <c r="JZ10" s="191"/>
      <c r="KA10" s="191"/>
      <c r="KB10" s="191"/>
      <c r="KC10" s="191"/>
      <c r="KD10" s="191"/>
      <c r="KE10" s="191"/>
      <c r="KF10" s="191"/>
      <c r="KG10" s="191">
        <v>200</v>
      </c>
      <c r="KH10" s="191"/>
      <c r="KI10" s="191"/>
      <c r="KJ10" s="193"/>
      <c r="KK10" s="194"/>
      <c r="KL10" s="191"/>
      <c r="KM10" s="191">
        <v>150</v>
      </c>
      <c r="KN10" s="191"/>
      <c r="KO10" s="191"/>
      <c r="KP10" s="191"/>
      <c r="KQ10" s="191"/>
      <c r="KR10" s="191"/>
      <c r="KS10" s="191"/>
      <c r="KT10" s="191"/>
      <c r="KU10" s="191">
        <v>150</v>
      </c>
      <c r="KV10" s="191"/>
      <c r="KW10" s="191"/>
      <c r="KX10" s="191"/>
      <c r="KY10" s="191"/>
      <c r="KZ10" s="191"/>
      <c r="LA10" s="191">
        <v>200</v>
      </c>
      <c r="LB10" s="191"/>
      <c r="LC10" s="191"/>
      <c r="LD10" s="191"/>
      <c r="LE10" s="191"/>
      <c r="LF10" s="191"/>
      <c r="LG10" s="191"/>
      <c r="LH10" s="191">
        <v>150</v>
      </c>
      <c r="LI10" s="191"/>
      <c r="LJ10" s="191"/>
      <c r="LK10" s="191"/>
      <c r="LL10" s="191"/>
      <c r="LM10" s="191"/>
      <c r="LN10" s="192"/>
      <c r="LO10" s="190">
        <v>200</v>
      </c>
      <c r="LP10" s="191"/>
      <c r="LQ10" s="191"/>
      <c r="LR10" s="191"/>
      <c r="LS10" s="191"/>
      <c r="LT10" s="191"/>
      <c r="LU10" s="191"/>
      <c r="LV10" s="191">
        <v>150</v>
      </c>
      <c r="LW10" s="191"/>
      <c r="LX10" s="191"/>
      <c r="LY10" s="191"/>
      <c r="LZ10" s="191"/>
      <c r="MA10" s="191"/>
      <c r="MB10" s="191"/>
      <c r="MC10" s="191">
        <v>50</v>
      </c>
      <c r="MD10" s="191"/>
      <c r="ME10" s="191"/>
      <c r="MF10" s="191"/>
      <c r="MG10" s="191"/>
      <c r="MH10" s="191"/>
      <c r="MI10" s="191"/>
      <c r="MJ10" s="191">
        <v>10</v>
      </c>
      <c r="MK10" s="191"/>
      <c r="ML10" s="191"/>
      <c r="MM10" s="191"/>
      <c r="MN10" s="191"/>
      <c r="MO10" s="191"/>
      <c r="MP10" s="191"/>
      <c r="MQ10" s="191">
        <v>50</v>
      </c>
      <c r="MR10" s="191"/>
      <c r="MS10" s="193"/>
      <c r="MT10" s="194"/>
      <c r="MU10" s="191"/>
      <c r="MV10" s="191"/>
      <c r="MW10" s="191"/>
      <c r="MX10" s="191">
        <v>150</v>
      </c>
      <c r="MY10" s="191"/>
      <c r="MZ10" s="191"/>
      <c r="NA10" s="191"/>
      <c r="NB10" s="191"/>
      <c r="NC10" s="191"/>
      <c r="ND10" s="191"/>
      <c r="NE10" s="191"/>
      <c r="NF10" s="191"/>
      <c r="NG10" s="191"/>
      <c r="NH10" s="191"/>
      <c r="NI10" s="191"/>
      <c r="NJ10" s="191"/>
      <c r="NK10" s="191"/>
      <c r="NL10" s="191">
        <v>200</v>
      </c>
      <c r="NM10" s="191">
        <v>100</v>
      </c>
      <c r="NN10" s="191"/>
      <c r="NO10" s="191"/>
      <c r="NP10" s="191"/>
      <c r="NQ10" s="191"/>
      <c r="NR10" s="191"/>
      <c r="NS10" s="191">
        <v>150</v>
      </c>
      <c r="NT10" s="191"/>
      <c r="NU10" s="191"/>
      <c r="NV10" s="191"/>
      <c r="NW10" s="192"/>
      <c r="NX10" s="190"/>
      <c r="NY10" s="191"/>
      <c r="NZ10" s="191">
        <v>100</v>
      </c>
      <c r="OA10" s="191"/>
      <c r="OB10" s="191"/>
      <c r="OC10" s="191"/>
      <c r="OD10" s="191"/>
      <c r="OE10" s="191"/>
      <c r="OF10" s="191"/>
      <c r="OG10" s="191">
        <v>150</v>
      </c>
      <c r="OH10" s="191"/>
      <c r="OI10" s="191"/>
      <c r="OJ10" s="191"/>
      <c r="OK10" s="191"/>
      <c r="OL10" s="191"/>
      <c r="OM10" s="191"/>
      <c r="ON10" s="191">
        <v>150</v>
      </c>
      <c r="OO10" s="191"/>
      <c r="OP10" s="191"/>
      <c r="OQ10" s="191"/>
      <c r="OR10" s="191"/>
      <c r="OS10" s="191"/>
      <c r="OT10" s="191"/>
      <c r="OU10" s="191"/>
      <c r="OV10" s="191"/>
      <c r="OW10" s="191"/>
      <c r="OX10" s="191"/>
      <c r="OY10" s="191"/>
      <c r="OZ10" s="191"/>
      <c r="PA10" s="191"/>
      <c r="PB10" s="193"/>
      <c r="PC10" s="47"/>
      <c r="PD10" s="154" t="s">
        <v>97</v>
      </c>
      <c r="PE10" s="155" t="s">
        <v>98</v>
      </c>
      <c r="PF10" s="155" t="s">
        <v>98</v>
      </c>
      <c r="PG10" s="155" t="s">
        <v>97</v>
      </c>
      <c r="PH10" s="155" t="s">
        <v>98</v>
      </c>
      <c r="PI10" s="155" t="s">
        <v>98</v>
      </c>
      <c r="PJ10" s="155" t="s">
        <v>98</v>
      </c>
      <c r="PK10" s="155" t="s">
        <v>98</v>
      </c>
      <c r="PL10" s="155" t="s">
        <v>98</v>
      </c>
      <c r="PM10" s="155" t="s">
        <v>98</v>
      </c>
      <c r="PN10" s="155" t="s">
        <v>98</v>
      </c>
      <c r="PO10" s="156"/>
      <c r="PP10" s="156"/>
      <c r="PQ10" s="156"/>
      <c r="PR10" s="156"/>
      <c r="PS10" s="156"/>
      <c r="PT10" s="156"/>
      <c r="PU10" s="156"/>
      <c r="PV10" s="156"/>
      <c r="PW10" s="156"/>
      <c r="PX10" s="195"/>
      <c r="PY10" s="1"/>
      <c r="PZ10" s="196">
        <f t="shared" si="20"/>
        <v>800</v>
      </c>
      <c r="QA10" s="176">
        <f t="shared" si="21"/>
        <v>6.6738967214482357E-3</v>
      </c>
      <c r="QB10" s="177" t="str">
        <f t="shared" ca="1" si="22"/>
        <v>Attente…</v>
      </c>
      <c r="QC10" s="197">
        <f t="shared" si="23"/>
        <v>750</v>
      </c>
      <c r="QD10" s="179">
        <f t="shared" si="24"/>
        <v>7.0224719101123594E-3</v>
      </c>
      <c r="QE10" s="180" t="str">
        <f t="shared" ca="1" si="25"/>
        <v>Attente…</v>
      </c>
      <c r="QF10" s="196">
        <f t="shared" si="26"/>
        <v>500</v>
      </c>
      <c r="QG10" s="176">
        <f t="shared" si="27"/>
        <v>3.9815257206561551E-3</v>
      </c>
      <c r="QH10" s="177" t="str">
        <f t="shared" ca="1" si="28"/>
        <v>Attente…</v>
      </c>
      <c r="QI10" s="197">
        <f t="shared" si="29"/>
        <v>850</v>
      </c>
      <c r="QJ10" s="179">
        <f t="shared" si="30"/>
        <v>5.9615654369476788E-3</v>
      </c>
      <c r="QK10" s="180" t="str">
        <f t="shared" ca="1" si="31"/>
        <v>Attente…</v>
      </c>
      <c r="QL10" s="196">
        <f t="shared" si="32"/>
        <v>550</v>
      </c>
      <c r="QM10" s="176">
        <f t="shared" si="33"/>
        <v>4.0239976587649988E-3</v>
      </c>
      <c r="QN10" s="177" t="str">
        <f t="shared" ca="1" si="34"/>
        <v>Attente…</v>
      </c>
      <c r="QO10" s="197">
        <f t="shared" si="35"/>
        <v>600</v>
      </c>
      <c r="QP10" s="179">
        <f t="shared" si="36"/>
        <v>4.6974085962577308E-3</v>
      </c>
      <c r="QQ10" s="180" t="str">
        <f t="shared" ca="1" si="37"/>
        <v>Attente…</v>
      </c>
      <c r="QR10" s="196">
        <f t="shared" si="38"/>
        <v>650</v>
      </c>
      <c r="QS10" s="176">
        <f t="shared" si="39"/>
        <v>4.679457182966776E-3</v>
      </c>
      <c r="QT10" s="177" t="str">
        <f t="shared" ca="1" si="40"/>
        <v>Attente…</v>
      </c>
      <c r="QU10" s="197">
        <f t="shared" si="41"/>
        <v>750</v>
      </c>
      <c r="QV10" s="179">
        <f t="shared" si="42"/>
        <v>5.1709873138444567E-3</v>
      </c>
      <c r="QW10" s="180" t="str">
        <f t="shared" ca="1" si="43"/>
        <v>Attente…</v>
      </c>
      <c r="QX10" s="196">
        <f t="shared" si="44"/>
        <v>650</v>
      </c>
      <c r="QY10" s="176">
        <f t="shared" si="45"/>
        <v>4.7432791383286146E-3</v>
      </c>
      <c r="QZ10" s="177" t="str">
        <f t="shared" ca="1" si="46"/>
        <v>Attente…</v>
      </c>
      <c r="RA10" s="197">
        <f t="shared" si="47"/>
        <v>460</v>
      </c>
      <c r="RB10" s="179">
        <f t="shared" si="48"/>
        <v>3.5990924027853844E-3</v>
      </c>
      <c r="RC10" s="180" t="str">
        <f t="shared" ca="1" si="49"/>
        <v>Attente…</v>
      </c>
      <c r="RD10" s="196">
        <f t="shared" si="50"/>
        <v>600</v>
      </c>
      <c r="RE10" s="176">
        <f t="shared" si="51"/>
        <v>5.9784774810681543E-3</v>
      </c>
      <c r="RF10" s="177" t="str">
        <f t="shared" ca="1" si="52"/>
        <v>Attente…</v>
      </c>
      <c r="RG10" s="197">
        <f t="shared" si="53"/>
        <v>400</v>
      </c>
      <c r="RH10" s="179">
        <f t="shared" si="54"/>
        <v>7.3569983446753725E-3</v>
      </c>
      <c r="RI10" s="198" t="str">
        <f t="shared" ca="1" si="55"/>
        <v>Attente…</v>
      </c>
      <c r="RJ10" s="199">
        <f t="shared" si="56"/>
        <v>2050</v>
      </c>
      <c r="RK10" s="200" t="str">
        <f t="shared" ca="1" si="13"/>
        <v>Attente…</v>
      </c>
      <c r="RL10" s="199">
        <f t="shared" si="57"/>
        <v>2000</v>
      </c>
      <c r="RM10" s="200" t="str">
        <f t="shared" ca="1" si="58"/>
        <v>Atttente…</v>
      </c>
      <c r="RN10" s="199">
        <f t="shared" si="59"/>
        <v>2050</v>
      </c>
      <c r="RO10" s="200" t="str">
        <f t="shared" ca="1" si="14"/>
        <v>Attente…</v>
      </c>
      <c r="RP10" s="199">
        <f t="shared" si="60"/>
        <v>1460</v>
      </c>
      <c r="RQ10" s="200" t="str">
        <f t="shared" ca="1" si="15"/>
        <v>Attente…</v>
      </c>
      <c r="RR10" s="201">
        <f t="shared" si="61"/>
        <v>7560</v>
      </c>
      <c r="RS10" s="202" t="str">
        <f t="shared" ca="1" si="16"/>
        <v>Attente…</v>
      </c>
      <c r="RT10" s="103"/>
      <c r="RU10" s="203">
        <f t="shared" si="62"/>
        <v>0.77142857142857135</v>
      </c>
      <c r="RV10" s="204">
        <f t="shared" si="6"/>
        <v>1</v>
      </c>
      <c r="RW10" s="204">
        <f t="shared" si="6"/>
        <v>1</v>
      </c>
      <c r="RX10" s="204">
        <f t="shared" si="63"/>
        <v>49</v>
      </c>
      <c r="RY10" s="205" t="str">
        <f t="shared" si="64"/>
        <v>OISSEL - 6 Avenue Du Général De Gaulle (Centre Commercial Saint Julien)</v>
      </c>
      <c r="RZ10" s="189" t="str">
        <f>IF(OR(RZ9="",RZ9="  &lt;/Document&gt;
&lt;/kml&gt;"),"",
IF(B10="","  &lt;/Document&gt;
&lt;/kml&gt;",
IF(TournéesCAV!Q10=""," ",
"    &lt;Placemark&gt;
      &lt;description&gt;&lt;![CDATA["&amp;B10&amp;"&lt;br&gt;&lt;br&gt;"&amp;RV10&amp;" CAV&lt;br&gt;&lt;br&gt;Présent sur "&amp;RW10&amp;" tournée(s)&lt;br&gt;&lt;br&gt;Taux de remplissage moyen "&amp;TEXT(RU10*1000,"0 %")&amp;"]]&gt;&lt;/description&gt;
      &lt;Style&gt;
        &lt;IconStyle&gt;
          &lt;color&gt;ff"&amp;
          DEC2HEX(0,2)&amp;
          DEC2HEX(
            IF(RU10&lt;=0.5,
               INT(255*(RU10*2)),
               255
            ),2)&amp;
          DEC2HEX(
            IF(RU10&lt;=0.5,
               255,
               INT(255*(1-(RU10-0.5)*2))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&lt;Point&gt;&lt;coordinates&gt;"&amp;R10&amp;","&amp;Q10&amp;",0&lt;/coordinates&gt;&lt;/Point&gt;
    &lt;/Placemark&gt;"
)))</f>
        <v xml:space="preserve">    &lt;Placemark&gt;
      &lt;description&gt;&lt;![CDATA[OISSEL - 6 Avenue Du Général De Gaulle (Centre Commercial Saint Julien)&lt;br&gt;&lt;br&gt;1 CAV&lt;br&gt;&lt;br&gt;Présent sur 1 tournée(s)&lt;br&gt;&lt;br&gt;Taux de remplissage moyen 77%]]&gt;&lt;/description&gt;
      &lt;Style&gt;
        &lt;IconStyle&gt;
          &lt;color&gt;ff00FF74&lt;/color&gt;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&lt;Point&gt;&lt;coordinates&gt;1.0831592,49.3383041,0&lt;/coordinates&gt;&lt;/Point&gt;
    &lt;/Placemark&gt;</v>
      </c>
    </row>
    <row r="11" spans="1:494" ht="15" hidden="1" customHeight="1" x14ac:dyDescent="0.35">
      <c r="B11" s="153" t="str">
        <f t="shared" si="17"/>
        <v>OISSEL - Rue Masson  (Place de la république)</v>
      </c>
      <c r="C11" s="154" t="s">
        <v>104</v>
      </c>
      <c r="D11" s="155"/>
      <c r="E11" s="155"/>
      <c r="F11" s="155"/>
      <c r="G11" s="155"/>
      <c r="H11" s="155"/>
      <c r="I11" s="155"/>
      <c r="J11" s="156"/>
      <c r="K11" s="157">
        <f t="shared" si="18"/>
        <v>1</v>
      </c>
      <c r="L11" s="157">
        <f t="shared" si="19"/>
        <v>1</v>
      </c>
      <c r="M11" s="158" t="s">
        <v>124</v>
      </c>
      <c r="N11" s="159" t="s">
        <v>125</v>
      </c>
      <c r="O11" s="159">
        <v>76350</v>
      </c>
      <c r="P11" s="159" t="s">
        <v>119</v>
      </c>
      <c r="Q11" s="159" t="s">
        <v>126</v>
      </c>
      <c r="R11" s="159" t="s">
        <v>127</v>
      </c>
      <c r="S11" s="159" t="s">
        <v>93</v>
      </c>
      <c r="T11" s="159" t="s">
        <v>94</v>
      </c>
      <c r="U11" s="159" t="s">
        <v>128</v>
      </c>
      <c r="V11" s="160" t="s">
        <v>123</v>
      </c>
      <c r="W11" s="161"/>
      <c r="X11" s="162"/>
      <c r="Y11" s="163"/>
      <c r="Z11" s="162"/>
      <c r="AA11" s="163"/>
      <c r="AB11" s="162"/>
      <c r="AC11" s="163"/>
      <c r="AD11" s="162"/>
      <c r="AE11" s="163"/>
      <c r="AF11" s="162"/>
      <c r="AG11" s="163"/>
      <c r="AH11" s="163"/>
      <c r="AI11" s="162"/>
      <c r="AJ11" s="163"/>
      <c r="AK11" s="162"/>
      <c r="AL11" s="163"/>
      <c r="AM11" s="162"/>
      <c r="AN11" s="163"/>
      <c r="AO11" s="162">
        <v>2</v>
      </c>
      <c r="AP11" s="164"/>
      <c r="AQ11" s="164"/>
      <c r="AR11" s="164"/>
      <c r="AS11" s="164"/>
      <c r="AT11" s="164"/>
      <c r="AU11" s="164"/>
      <c r="AV11" s="164"/>
      <c r="AW11" s="164"/>
      <c r="AX11" s="164"/>
      <c r="AY11" s="165"/>
      <c r="AZ11" s="41"/>
      <c r="BA11" s="190"/>
      <c r="BB11" s="191">
        <v>200</v>
      </c>
      <c r="BC11" s="191"/>
      <c r="BD11" s="191"/>
      <c r="BE11" s="191"/>
      <c r="BF11" s="191"/>
      <c r="BG11" s="191"/>
      <c r="BH11" s="191">
        <v>200</v>
      </c>
      <c r="BI11" s="191"/>
      <c r="BJ11" s="191"/>
      <c r="BK11" s="191"/>
      <c r="BL11" s="191"/>
      <c r="BM11" s="191"/>
      <c r="BN11" s="191"/>
      <c r="BO11" s="191">
        <v>150</v>
      </c>
      <c r="BP11" s="191"/>
      <c r="BQ11" s="191"/>
      <c r="BR11" s="191"/>
      <c r="BS11" s="191"/>
      <c r="BT11" s="191"/>
      <c r="BU11" s="191"/>
      <c r="BV11" s="191">
        <v>150</v>
      </c>
      <c r="BW11" s="191"/>
      <c r="BX11" s="191"/>
      <c r="BY11" s="191"/>
      <c r="BZ11" s="191"/>
      <c r="CA11" s="191"/>
      <c r="CB11" s="191"/>
      <c r="CC11" s="191">
        <v>200</v>
      </c>
      <c r="CD11" s="191"/>
      <c r="CE11" s="192"/>
      <c r="CF11" s="190"/>
      <c r="CG11" s="191"/>
      <c r="CH11" s="191"/>
      <c r="CI11" s="191"/>
      <c r="CJ11" s="191">
        <v>200</v>
      </c>
      <c r="CK11" s="191"/>
      <c r="CL11" s="191"/>
      <c r="CM11" s="191"/>
      <c r="CN11" s="191"/>
      <c r="CO11" s="191"/>
      <c r="CP11" s="191"/>
      <c r="CQ11" s="191">
        <v>150</v>
      </c>
      <c r="CR11" s="191"/>
      <c r="CS11" s="191"/>
      <c r="CT11" s="191"/>
      <c r="CU11" s="191"/>
      <c r="CV11" s="191"/>
      <c r="CW11" s="191"/>
      <c r="CX11" s="191">
        <v>200</v>
      </c>
      <c r="CY11" s="191"/>
      <c r="CZ11" s="191"/>
      <c r="DA11" s="191"/>
      <c r="DB11" s="191"/>
      <c r="DC11" s="191"/>
      <c r="DD11" s="191"/>
      <c r="DE11" s="191">
        <v>200</v>
      </c>
      <c r="DF11" s="191"/>
      <c r="DG11" s="191"/>
      <c r="DH11" s="193"/>
      <c r="DI11" s="194"/>
      <c r="DJ11" s="191"/>
      <c r="DK11" s="191"/>
      <c r="DL11" s="191"/>
      <c r="DM11" s="191">
        <v>200</v>
      </c>
      <c r="DN11" s="191"/>
      <c r="DO11" s="191"/>
      <c r="DP11" s="191"/>
      <c r="DQ11" s="191"/>
      <c r="DR11" s="191"/>
      <c r="DS11" s="191"/>
      <c r="DT11" s="191">
        <v>200</v>
      </c>
      <c r="DU11" s="191"/>
      <c r="DV11" s="191"/>
      <c r="DW11" s="191"/>
      <c r="DX11" s="191"/>
      <c r="DY11" s="191"/>
      <c r="DZ11" s="191"/>
      <c r="EA11" s="191">
        <v>200</v>
      </c>
      <c r="EB11" s="191"/>
      <c r="EC11" s="191"/>
      <c r="ED11" s="191"/>
      <c r="EE11" s="191"/>
      <c r="EF11" s="191"/>
      <c r="EG11" s="191"/>
      <c r="EH11" s="191">
        <v>200</v>
      </c>
      <c r="EI11" s="191"/>
      <c r="EJ11" s="191"/>
      <c r="EK11" s="191"/>
      <c r="EL11" s="191"/>
      <c r="EM11" s="192"/>
      <c r="EN11" s="190"/>
      <c r="EO11" s="191">
        <v>200</v>
      </c>
      <c r="EP11" s="191"/>
      <c r="EQ11" s="191"/>
      <c r="ER11" s="191"/>
      <c r="ES11" s="191"/>
      <c r="ET11" s="191"/>
      <c r="EU11" s="191"/>
      <c r="EV11" s="191">
        <v>200</v>
      </c>
      <c r="EW11" s="191"/>
      <c r="EX11" s="191"/>
      <c r="EY11" s="191"/>
      <c r="EZ11" s="191"/>
      <c r="FA11" s="191"/>
      <c r="FB11" s="191"/>
      <c r="FC11" s="191">
        <v>200</v>
      </c>
      <c r="FD11" s="191"/>
      <c r="FE11" s="191"/>
      <c r="FF11" s="191"/>
      <c r="FG11" s="191"/>
      <c r="FH11" s="191"/>
      <c r="FI11" s="191"/>
      <c r="FJ11" s="191">
        <v>200</v>
      </c>
      <c r="FK11" s="191"/>
      <c r="FL11" s="191"/>
      <c r="FM11" s="191"/>
      <c r="FN11" s="191"/>
      <c r="FO11" s="191"/>
      <c r="FP11" s="191"/>
      <c r="FQ11" s="193">
        <v>150</v>
      </c>
      <c r="FR11" s="194"/>
      <c r="FS11" s="191"/>
      <c r="FT11" s="191"/>
      <c r="FU11" s="191"/>
      <c r="FV11" s="191"/>
      <c r="FW11" s="191"/>
      <c r="FX11" s="191">
        <v>150</v>
      </c>
      <c r="FY11" s="191"/>
      <c r="FZ11" s="191"/>
      <c r="GA11" s="191"/>
      <c r="GB11" s="191"/>
      <c r="GC11" s="191"/>
      <c r="GD11" s="191"/>
      <c r="GE11" s="191">
        <v>200</v>
      </c>
      <c r="GF11" s="191"/>
      <c r="GG11" s="191"/>
      <c r="GH11" s="191"/>
      <c r="GI11" s="191"/>
      <c r="GJ11" s="191"/>
      <c r="GK11" s="191"/>
      <c r="GL11" s="191">
        <v>150</v>
      </c>
      <c r="GM11" s="191"/>
      <c r="GN11" s="191"/>
      <c r="GO11" s="191"/>
      <c r="GP11" s="191"/>
      <c r="GQ11" s="191"/>
      <c r="GR11" s="191"/>
      <c r="GS11" s="191">
        <v>150</v>
      </c>
      <c r="GT11" s="191"/>
      <c r="GU11" s="191"/>
      <c r="GV11" s="192"/>
      <c r="GW11" s="190"/>
      <c r="GX11" s="191"/>
      <c r="GY11" s="191"/>
      <c r="GZ11" s="191">
        <v>200</v>
      </c>
      <c r="HA11" s="191"/>
      <c r="HB11" s="191"/>
      <c r="HC11" s="191"/>
      <c r="HD11" s="191"/>
      <c r="HE11" s="191"/>
      <c r="HF11" s="191"/>
      <c r="HG11" s="191"/>
      <c r="HH11" s="191"/>
      <c r="HI11" s="191"/>
      <c r="HJ11" s="191"/>
      <c r="HK11" s="191"/>
      <c r="HL11" s="191"/>
      <c r="HM11" s="191"/>
      <c r="HN11" s="191">
        <v>200</v>
      </c>
      <c r="HO11" s="191"/>
      <c r="HP11" s="191"/>
      <c r="HQ11" s="191"/>
      <c r="HR11" s="191"/>
      <c r="HS11" s="191"/>
      <c r="HT11" s="191"/>
      <c r="HU11" s="191">
        <v>200</v>
      </c>
      <c r="HV11" s="191"/>
      <c r="HW11" s="191"/>
      <c r="HX11" s="191"/>
      <c r="HY11" s="191"/>
      <c r="HZ11" s="193"/>
      <c r="IA11" s="194"/>
      <c r="IB11" s="191">
        <v>200</v>
      </c>
      <c r="IC11" s="191"/>
      <c r="ID11" s="191"/>
      <c r="IE11" s="191"/>
      <c r="IF11" s="191"/>
      <c r="IG11" s="191"/>
      <c r="IH11" s="191"/>
      <c r="II11" s="191">
        <v>150</v>
      </c>
      <c r="IJ11" s="191"/>
      <c r="IK11" s="191"/>
      <c r="IL11" s="191"/>
      <c r="IM11" s="191"/>
      <c r="IN11" s="191"/>
      <c r="IO11" s="191"/>
      <c r="IP11" s="191"/>
      <c r="IQ11" s="191">
        <v>200</v>
      </c>
      <c r="IR11" s="191"/>
      <c r="IS11" s="191"/>
      <c r="IT11" s="191"/>
      <c r="IU11" s="191"/>
      <c r="IV11" s="191"/>
      <c r="IW11" s="191"/>
      <c r="IX11" s="191">
        <v>200</v>
      </c>
      <c r="IY11" s="191"/>
      <c r="IZ11" s="191"/>
      <c r="JA11" s="191"/>
      <c r="JB11" s="191"/>
      <c r="JC11" s="191"/>
      <c r="JD11" s="191">
        <v>150</v>
      </c>
      <c r="JE11" s="192"/>
      <c r="JF11" s="190"/>
      <c r="JG11" s="191"/>
      <c r="JH11" s="191"/>
      <c r="JI11" s="191"/>
      <c r="JJ11" s="191"/>
      <c r="JK11" s="191">
        <v>200</v>
      </c>
      <c r="JL11" s="191"/>
      <c r="JM11" s="191"/>
      <c r="JN11" s="191"/>
      <c r="JO11" s="191"/>
      <c r="JP11" s="191"/>
      <c r="JQ11" s="191"/>
      <c r="JR11" s="191"/>
      <c r="JS11" s="191">
        <v>200</v>
      </c>
      <c r="JT11" s="191"/>
      <c r="JU11" s="191"/>
      <c r="JV11" s="191"/>
      <c r="JW11" s="191"/>
      <c r="JX11" s="191"/>
      <c r="JY11" s="191"/>
      <c r="JZ11" s="191"/>
      <c r="KA11" s="191"/>
      <c r="KB11" s="191"/>
      <c r="KC11" s="191"/>
      <c r="KD11" s="191"/>
      <c r="KE11" s="191"/>
      <c r="KF11" s="191"/>
      <c r="KG11" s="191">
        <v>200</v>
      </c>
      <c r="KH11" s="191"/>
      <c r="KI11" s="191"/>
      <c r="KJ11" s="193"/>
      <c r="KK11" s="194"/>
      <c r="KL11" s="191"/>
      <c r="KM11" s="191">
        <v>150</v>
      </c>
      <c r="KN11" s="191"/>
      <c r="KO11" s="191"/>
      <c r="KP11" s="191"/>
      <c r="KQ11" s="191"/>
      <c r="KR11" s="191"/>
      <c r="KS11" s="191"/>
      <c r="KT11" s="191"/>
      <c r="KU11" s="191">
        <v>200</v>
      </c>
      <c r="KV11" s="191"/>
      <c r="KW11" s="191"/>
      <c r="KX11" s="191"/>
      <c r="KY11" s="191"/>
      <c r="KZ11" s="191"/>
      <c r="LA11" s="191">
        <v>200</v>
      </c>
      <c r="LB11" s="191"/>
      <c r="LC11" s="191"/>
      <c r="LD11" s="191"/>
      <c r="LE11" s="191"/>
      <c r="LF11" s="191"/>
      <c r="LG11" s="191"/>
      <c r="LH11" s="191">
        <v>150</v>
      </c>
      <c r="LI11" s="191"/>
      <c r="LJ11" s="191"/>
      <c r="LK11" s="191"/>
      <c r="LL11" s="191"/>
      <c r="LM11" s="191"/>
      <c r="LN11" s="192"/>
      <c r="LO11" s="190">
        <v>200</v>
      </c>
      <c r="LP11" s="191"/>
      <c r="LQ11" s="191"/>
      <c r="LR11" s="191"/>
      <c r="LS11" s="191"/>
      <c r="LT11" s="191"/>
      <c r="LU11" s="191"/>
      <c r="LV11" s="191">
        <v>150</v>
      </c>
      <c r="LW11" s="191"/>
      <c r="LX11" s="191"/>
      <c r="LY11" s="191"/>
      <c r="LZ11" s="191"/>
      <c r="MA11" s="191"/>
      <c r="MB11" s="191"/>
      <c r="MC11" s="191">
        <v>150</v>
      </c>
      <c r="MD11" s="191"/>
      <c r="ME11" s="191"/>
      <c r="MF11" s="191"/>
      <c r="MG11" s="191"/>
      <c r="MH11" s="191"/>
      <c r="MI11" s="191"/>
      <c r="MJ11" s="191">
        <v>10</v>
      </c>
      <c r="MK11" s="191"/>
      <c r="ML11" s="191"/>
      <c r="MM11" s="191"/>
      <c r="MN11" s="191"/>
      <c r="MO11" s="191"/>
      <c r="MP11" s="191"/>
      <c r="MQ11" s="191">
        <v>100</v>
      </c>
      <c r="MR11" s="191"/>
      <c r="MS11" s="193"/>
      <c r="MT11" s="194"/>
      <c r="MU11" s="191"/>
      <c r="MV11" s="191"/>
      <c r="MW11" s="191"/>
      <c r="MX11" s="191">
        <v>150</v>
      </c>
      <c r="MY11" s="191"/>
      <c r="MZ11" s="191"/>
      <c r="NA11" s="191"/>
      <c r="NB11" s="191"/>
      <c r="NC11" s="191"/>
      <c r="ND11" s="191"/>
      <c r="NE11" s="191"/>
      <c r="NF11" s="191"/>
      <c r="NG11" s="191"/>
      <c r="NH11" s="191"/>
      <c r="NI11" s="191"/>
      <c r="NJ11" s="191"/>
      <c r="NK11" s="191"/>
      <c r="NL11" s="191">
        <v>200</v>
      </c>
      <c r="NM11" s="191">
        <v>100</v>
      </c>
      <c r="NN11" s="191"/>
      <c r="NO11" s="191"/>
      <c r="NP11" s="191"/>
      <c r="NQ11" s="191"/>
      <c r="NR11" s="191"/>
      <c r="NS11" s="191">
        <v>150</v>
      </c>
      <c r="NT11" s="191"/>
      <c r="NU11" s="191"/>
      <c r="NV11" s="191"/>
      <c r="NW11" s="192"/>
      <c r="NX11" s="190"/>
      <c r="NY11" s="191"/>
      <c r="NZ11" s="191">
        <v>100</v>
      </c>
      <c r="OA11" s="191"/>
      <c r="OB11" s="191"/>
      <c r="OC11" s="191"/>
      <c r="OD11" s="191"/>
      <c r="OE11" s="191"/>
      <c r="OF11" s="191"/>
      <c r="OG11" s="191">
        <v>150</v>
      </c>
      <c r="OH11" s="191"/>
      <c r="OI11" s="191"/>
      <c r="OJ11" s="191"/>
      <c r="OK11" s="191"/>
      <c r="OL11" s="191"/>
      <c r="OM11" s="191"/>
      <c r="ON11" s="191">
        <v>200</v>
      </c>
      <c r="OO11" s="191"/>
      <c r="OP11" s="191"/>
      <c r="OQ11" s="191"/>
      <c r="OR11" s="191"/>
      <c r="OS11" s="191"/>
      <c r="OT11" s="191"/>
      <c r="OU11" s="191"/>
      <c r="OV11" s="191"/>
      <c r="OW11" s="191"/>
      <c r="OX11" s="191"/>
      <c r="OY11" s="191"/>
      <c r="OZ11" s="191"/>
      <c r="PA11" s="191"/>
      <c r="PB11" s="193"/>
      <c r="PC11" s="47"/>
      <c r="PD11" s="154" t="s">
        <v>97</v>
      </c>
      <c r="PE11" s="155" t="s">
        <v>98</v>
      </c>
      <c r="PF11" s="155" t="s">
        <v>98</v>
      </c>
      <c r="PG11" s="155" t="s">
        <v>97</v>
      </c>
      <c r="PH11" s="155" t="s">
        <v>98</v>
      </c>
      <c r="PI11" s="155" t="s">
        <v>98</v>
      </c>
      <c r="PJ11" s="155" t="s">
        <v>98</v>
      </c>
      <c r="PK11" s="155" t="s">
        <v>98</v>
      </c>
      <c r="PL11" s="155" t="s">
        <v>98</v>
      </c>
      <c r="PM11" s="155" t="s">
        <v>98</v>
      </c>
      <c r="PN11" s="155" t="s">
        <v>98</v>
      </c>
      <c r="PO11" s="156"/>
      <c r="PP11" s="156"/>
      <c r="PQ11" s="156"/>
      <c r="PR11" s="156"/>
      <c r="PS11" s="156"/>
      <c r="PT11" s="156"/>
      <c r="PU11" s="156"/>
      <c r="PV11" s="156"/>
      <c r="PW11" s="156"/>
      <c r="PX11" s="195"/>
      <c r="PY11" s="1"/>
      <c r="PZ11" s="196">
        <f t="shared" si="20"/>
        <v>900</v>
      </c>
      <c r="QA11" s="176">
        <f t="shared" si="21"/>
        <v>7.5081338116292648E-3</v>
      </c>
      <c r="QB11" s="177" t="str">
        <f t="shared" ca="1" si="22"/>
        <v>Attente…</v>
      </c>
      <c r="QC11" s="197">
        <f t="shared" si="23"/>
        <v>750</v>
      </c>
      <c r="QD11" s="179">
        <f t="shared" si="24"/>
        <v>7.0224719101123594E-3</v>
      </c>
      <c r="QE11" s="180" t="str">
        <f t="shared" ca="1" si="25"/>
        <v>Attente…</v>
      </c>
      <c r="QF11" s="196">
        <f t="shared" si="26"/>
        <v>800</v>
      </c>
      <c r="QG11" s="176">
        <f t="shared" si="27"/>
        <v>6.370441153049849E-3</v>
      </c>
      <c r="QH11" s="177" t="str">
        <f t="shared" ca="1" si="28"/>
        <v>Attente…</v>
      </c>
      <c r="QI11" s="197">
        <f t="shared" si="29"/>
        <v>950</v>
      </c>
      <c r="QJ11" s="179">
        <f t="shared" si="30"/>
        <v>6.6629260765885823E-3</v>
      </c>
      <c r="QK11" s="180" t="str">
        <f t="shared" ca="1" si="31"/>
        <v>Attente…</v>
      </c>
      <c r="QL11" s="196">
        <f t="shared" si="32"/>
        <v>650</v>
      </c>
      <c r="QM11" s="176">
        <f t="shared" si="33"/>
        <v>4.755633596722271E-3</v>
      </c>
      <c r="QN11" s="177" t="str">
        <f t="shared" ca="1" si="34"/>
        <v>Attente…</v>
      </c>
      <c r="QO11" s="197">
        <f t="shared" si="35"/>
        <v>600</v>
      </c>
      <c r="QP11" s="179">
        <f t="shared" si="36"/>
        <v>4.6974085962577308E-3</v>
      </c>
      <c r="QQ11" s="180" t="str">
        <f t="shared" ca="1" si="37"/>
        <v>Attente…</v>
      </c>
      <c r="QR11" s="196">
        <f t="shared" si="38"/>
        <v>900</v>
      </c>
      <c r="QS11" s="176">
        <f t="shared" si="39"/>
        <v>6.4792484071847668E-3</v>
      </c>
      <c r="QT11" s="177" t="str">
        <f t="shared" ca="1" si="40"/>
        <v>Attente…</v>
      </c>
      <c r="QU11" s="197">
        <f t="shared" si="41"/>
        <v>600</v>
      </c>
      <c r="QV11" s="179">
        <f t="shared" si="42"/>
        <v>4.1367898510755651E-3</v>
      </c>
      <c r="QW11" s="180" t="str">
        <f t="shared" ca="1" si="43"/>
        <v>Attente…</v>
      </c>
      <c r="QX11" s="196">
        <f t="shared" si="44"/>
        <v>700</v>
      </c>
      <c r="QY11" s="176">
        <f t="shared" si="45"/>
        <v>5.1081467643538927E-3</v>
      </c>
      <c r="QZ11" s="177" t="str">
        <f t="shared" ca="1" si="46"/>
        <v>Attente…</v>
      </c>
      <c r="RA11" s="197">
        <f t="shared" si="47"/>
        <v>610</v>
      </c>
      <c r="RB11" s="179">
        <f t="shared" si="48"/>
        <v>4.7727094906501837E-3</v>
      </c>
      <c r="RC11" s="180" t="str">
        <f t="shared" ca="1" si="49"/>
        <v>Attente…</v>
      </c>
      <c r="RD11" s="196">
        <f t="shared" si="50"/>
        <v>600</v>
      </c>
      <c r="RE11" s="176">
        <f t="shared" si="51"/>
        <v>5.9784774810681543E-3</v>
      </c>
      <c r="RF11" s="177" t="str">
        <f t="shared" ca="1" si="52"/>
        <v>Attente…</v>
      </c>
      <c r="RG11" s="197">
        <f t="shared" si="53"/>
        <v>450</v>
      </c>
      <c r="RH11" s="179">
        <f t="shared" si="54"/>
        <v>8.2766231377597935E-3</v>
      </c>
      <c r="RI11" s="198" t="str">
        <f t="shared" ca="1" si="55"/>
        <v>Attente…</v>
      </c>
      <c r="RJ11" s="199">
        <f t="shared" si="56"/>
        <v>2450</v>
      </c>
      <c r="RK11" s="200" t="str">
        <f t="shared" ca="1" si="13"/>
        <v>Attente…</v>
      </c>
      <c r="RL11" s="199">
        <f t="shared" si="57"/>
        <v>2200</v>
      </c>
      <c r="RM11" s="200" t="str">
        <f t="shared" ca="1" si="58"/>
        <v>Atttente…</v>
      </c>
      <c r="RN11" s="199">
        <f t="shared" si="59"/>
        <v>2200</v>
      </c>
      <c r="RO11" s="200" t="str">
        <f t="shared" ca="1" si="14"/>
        <v>Attente…</v>
      </c>
      <c r="RP11" s="199">
        <f t="shared" si="60"/>
        <v>1660</v>
      </c>
      <c r="RQ11" s="200" t="str">
        <f t="shared" ca="1" si="15"/>
        <v>Attente…</v>
      </c>
      <c r="RR11" s="201">
        <f t="shared" si="61"/>
        <v>8510</v>
      </c>
      <c r="RS11" s="202" t="str">
        <f t="shared" ca="1" si="16"/>
        <v>Attente…</v>
      </c>
      <c r="RT11" s="103"/>
      <c r="RU11" s="203">
        <f t="shared" si="62"/>
        <v>0.86836734693877549</v>
      </c>
      <c r="RV11" s="204">
        <f t="shared" si="6"/>
        <v>1</v>
      </c>
      <c r="RW11" s="204">
        <f t="shared" si="6"/>
        <v>1</v>
      </c>
      <c r="RX11" s="204">
        <f t="shared" si="63"/>
        <v>49</v>
      </c>
      <c r="RY11" s="205" t="str">
        <f t="shared" si="64"/>
        <v>OISSEL - Rue Masson  (Place de la république)</v>
      </c>
      <c r="RZ11" s="189" t="str">
        <f>IF(OR(RZ10="",RZ10="  &lt;/Document&gt;
&lt;/kml&gt;"),"",
IF(B11="","  &lt;/Document&gt;
&lt;/kml&gt;",
IF(TournéesCAV!Q11=""," ",
"    &lt;Placemark&gt;
      &lt;description&gt;&lt;![CDATA["&amp;B11&amp;"&lt;br&gt;&lt;br&gt;"&amp;RV11&amp;" CAV&lt;br&gt;&lt;br&gt;Présent sur "&amp;RW11&amp;" tournée(s)&lt;br&gt;&lt;br&gt;Taux de remplissage moyen "&amp;TEXT(RU11*1000,"0 %")&amp;"]]&gt;&lt;/description&gt;
      &lt;Style&gt;
        &lt;IconStyle&gt;
          &lt;color&gt;ff"&amp;
          DEC2HEX(0,2)&amp;
          DEC2HEX(
            IF(RU11&lt;=0.5,
               INT(255*(RU11*2)),
               255
            ),2)&amp;
          DEC2HEX(
            IF(RU11&lt;=0.5,
               255,
               INT(255*(1-(RU11-0.5)*2))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&lt;Point&gt;&lt;coordinates&gt;"&amp;R11&amp;","&amp;Q11&amp;",0&lt;/coordinates&gt;&lt;/Point&gt;
    &lt;/Placemark&gt;"
)))</f>
        <v xml:space="preserve">    &lt;Placemark&gt;
      &lt;description&gt;&lt;![CDATA[OISSEL - Rue Masson  (Place de la république)&lt;br&gt;&lt;br&gt;1 CAV&lt;br&gt;&lt;br&gt;Présent sur 1 tournée(s)&lt;br&gt;&lt;br&gt;Taux de remplissage moyen 87%]]&gt;&lt;/description&gt;
      &lt;Style&gt;
        &lt;IconStyle&gt;
          &lt;color&gt;ff00FF43&lt;/color&gt;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&lt;Point&gt;&lt;coordinates&gt;1.094681,49.340531,0&lt;/coordinates&gt;&lt;/Point&gt;
    &lt;/Placemark&gt;</v>
      </c>
    </row>
    <row r="12" spans="1:494" ht="15" hidden="1" customHeight="1" x14ac:dyDescent="0.35">
      <c r="B12" s="153" t="str">
        <f t="shared" si="17"/>
        <v>TOURVILLE-LA-RIVIÈRE - Rue Jean Jaures (Place de la Poste)</v>
      </c>
      <c r="C12" s="154" t="s">
        <v>104</v>
      </c>
      <c r="D12" s="155"/>
      <c r="E12" s="155"/>
      <c r="F12" s="155"/>
      <c r="G12" s="155"/>
      <c r="H12" s="155"/>
      <c r="I12" s="155"/>
      <c r="J12" s="156"/>
      <c r="K12" s="157">
        <f t="shared" si="18"/>
        <v>1</v>
      </c>
      <c r="L12" s="157">
        <f t="shared" si="19"/>
        <v>1</v>
      </c>
      <c r="M12" s="158" t="s">
        <v>129</v>
      </c>
      <c r="N12" s="159" t="s">
        <v>130</v>
      </c>
      <c r="O12" s="159">
        <v>76410</v>
      </c>
      <c r="P12" s="159" t="s">
        <v>131</v>
      </c>
      <c r="Q12" s="159" t="s">
        <v>132</v>
      </c>
      <c r="R12" s="159" t="s">
        <v>133</v>
      </c>
      <c r="S12" s="159" t="s">
        <v>93</v>
      </c>
      <c r="T12" s="159" t="s">
        <v>94</v>
      </c>
      <c r="U12" s="159" t="s">
        <v>134</v>
      </c>
      <c r="V12" s="160" t="s">
        <v>123</v>
      </c>
      <c r="W12" s="161"/>
      <c r="X12" s="162"/>
      <c r="Y12" s="163"/>
      <c r="Z12" s="162"/>
      <c r="AA12" s="163"/>
      <c r="AB12" s="162"/>
      <c r="AC12" s="163"/>
      <c r="AD12" s="162"/>
      <c r="AE12" s="163"/>
      <c r="AF12" s="162"/>
      <c r="AG12" s="163"/>
      <c r="AH12" s="163"/>
      <c r="AI12" s="162"/>
      <c r="AJ12" s="163"/>
      <c r="AK12" s="162"/>
      <c r="AL12" s="163"/>
      <c r="AM12" s="162"/>
      <c r="AN12" s="163"/>
      <c r="AO12" s="162">
        <v>3</v>
      </c>
      <c r="AP12" s="164"/>
      <c r="AQ12" s="164"/>
      <c r="AR12" s="164"/>
      <c r="AS12" s="164"/>
      <c r="AT12" s="164"/>
      <c r="AU12" s="164"/>
      <c r="AV12" s="164"/>
      <c r="AW12" s="164"/>
      <c r="AX12" s="164"/>
      <c r="AY12" s="165"/>
      <c r="AZ12" s="41"/>
      <c r="BA12" s="190"/>
      <c r="BB12" s="191">
        <v>200</v>
      </c>
      <c r="BC12" s="191"/>
      <c r="BD12" s="191"/>
      <c r="BE12" s="191"/>
      <c r="BF12" s="191"/>
      <c r="BG12" s="191"/>
      <c r="BH12" s="191">
        <v>150</v>
      </c>
      <c r="BI12" s="191"/>
      <c r="BJ12" s="191"/>
      <c r="BK12" s="191"/>
      <c r="BL12" s="191"/>
      <c r="BM12" s="191"/>
      <c r="BN12" s="191"/>
      <c r="BO12" s="191">
        <v>100</v>
      </c>
      <c r="BP12" s="191"/>
      <c r="BQ12" s="191"/>
      <c r="BR12" s="191"/>
      <c r="BS12" s="191"/>
      <c r="BT12" s="191"/>
      <c r="BU12" s="191"/>
      <c r="BV12" s="191">
        <v>100</v>
      </c>
      <c r="BW12" s="191"/>
      <c r="BX12" s="191"/>
      <c r="BY12" s="191"/>
      <c r="BZ12" s="191"/>
      <c r="CA12" s="191"/>
      <c r="CB12" s="191"/>
      <c r="CC12" s="191">
        <v>100</v>
      </c>
      <c r="CD12" s="191"/>
      <c r="CE12" s="192"/>
      <c r="CF12" s="190"/>
      <c r="CG12" s="191"/>
      <c r="CH12" s="191"/>
      <c r="CI12" s="191"/>
      <c r="CJ12" s="191">
        <v>100</v>
      </c>
      <c r="CK12" s="191"/>
      <c r="CL12" s="191"/>
      <c r="CM12" s="191"/>
      <c r="CN12" s="191"/>
      <c r="CO12" s="191"/>
      <c r="CP12" s="191"/>
      <c r="CQ12" s="191">
        <v>100</v>
      </c>
      <c r="CR12" s="191"/>
      <c r="CS12" s="191"/>
      <c r="CT12" s="191"/>
      <c r="CU12" s="191"/>
      <c r="CV12" s="191"/>
      <c r="CW12" s="191"/>
      <c r="CX12" s="191">
        <v>50</v>
      </c>
      <c r="CY12" s="191"/>
      <c r="CZ12" s="191"/>
      <c r="DA12" s="191"/>
      <c r="DB12" s="191"/>
      <c r="DC12" s="191"/>
      <c r="DD12" s="191"/>
      <c r="DE12" s="191">
        <v>100</v>
      </c>
      <c r="DF12" s="191"/>
      <c r="DG12" s="191"/>
      <c r="DH12" s="193"/>
      <c r="DI12" s="194"/>
      <c r="DJ12" s="191"/>
      <c r="DK12" s="191"/>
      <c r="DL12" s="191"/>
      <c r="DM12" s="191">
        <v>150</v>
      </c>
      <c r="DN12" s="191"/>
      <c r="DO12" s="191"/>
      <c r="DP12" s="191"/>
      <c r="DQ12" s="191"/>
      <c r="DR12" s="191"/>
      <c r="DS12" s="191"/>
      <c r="DT12" s="191">
        <v>150</v>
      </c>
      <c r="DU12" s="191"/>
      <c r="DV12" s="191"/>
      <c r="DW12" s="191"/>
      <c r="DX12" s="191"/>
      <c r="DY12" s="191"/>
      <c r="DZ12" s="191"/>
      <c r="EA12" s="191">
        <v>150</v>
      </c>
      <c r="EB12" s="191"/>
      <c r="EC12" s="191"/>
      <c r="ED12" s="191"/>
      <c r="EE12" s="191"/>
      <c r="EF12" s="191"/>
      <c r="EG12" s="191"/>
      <c r="EH12" s="191">
        <v>100</v>
      </c>
      <c r="EI12" s="191"/>
      <c r="EJ12" s="191"/>
      <c r="EK12" s="191"/>
      <c r="EL12" s="191"/>
      <c r="EM12" s="192"/>
      <c r="EN12" s="190"/>
      <c r="EO12" s="191">
        <v>200</v>
      </c>
      <c r="EP12" s="191"/>
      <c r="EQ12" s="191"/>
      <c r="ER12" s="191"/>
      <c r="ES12" s="191"/>
      <c r="ET12" s="191"/>
      <c r="EU12" s="191"/>
      <c r="EV12" s="191">
        <v>200</v>
      </c>
      <c r="EW12" s="191"/>
      <c r="EX12" s="191"/>
      <c r="EY12" s="191"/>
      <c r="EZ12" s="191"/>
      <c r="FA12" s="191"/>
      <c r="FB12" s="191"/>
      <c r="FC12" s="191">
        <v>200</v>
      </c>
      <c r="FD12" s="191"/>
      <c r="FE12" s="191"/>
      <c r="FF12" s="191"/>
      <c r="FG12" s="191"/>
      <c r="FH12" s="191"/>
      <c r="FI12" s="191"/>
      <c r="FJ12" s="191">
        <v>150</v>
      </c>
      <c r="FK12" s="191"/>
      <c r="FL12" s="191"/>
      <c r="FM12" s="191"/>
      <c r="FN12" s="191"/>
      <c r="FO12" s="191"/>
      <c r="FP12" s="191"/>
      <c r="FQ12" s="193">
        <v>100</v>
      </c>
      <c r="FR12" s="194"/>
      <c r="FS12" s="191"/>
      <c r="FT12" s="191"/>
      <c r="FU12" s="191"/>
      <c r="FV12" s="191"/>
      <c r="FW12" s="191"/>
      <c r="FX12" s="191">
        <v>150</v>
      </c>
      <c r="FY12" s="191"/>
      <c r="FZ12" s="191"/>
      <c r="GA12" s="191"/>
      <c r="GB12" s="191"/>
      <c r="GC12" s="191"/>
      <c r="GD12" s="191"/>
      <c r="GE12" s="191">
        <v>100</v>
      </c>
      <c r="GF12" s="191"/>
      <c r="GG12" s="191"/>
      <c r="GH12" s="191"/>
      <c r="GI12" s="191"/>
      <c r="GJ12" s="191"/>
      <c r="GK12" s="191"/>
      <c r="GL12" s="191">
        <v>150</v>
      </c>
      <c r="GM12" s="191"/>
      <c r="GN12" s="191"/>
      <c r="GO12" s="191"/>
      <c r="GP12" s="191"/>
      <c r="GQ12" s="191"/>
      <c r="GR12" s="191"/>
      <c r="GS12" s="191">
        <v>100</v>
      </c>
      <c r="GT12" s="191"/>
      <c r="GU12" s="191"/>
      <c r="GV12" s="192"/>
      <c r="GW12" s="190"/>
      <c r="GX12" s="191"/>
      <c r="GY12" s="191"/>
      <c r="GZ12" s="191">
        <v>100</v>
      </c>
      <c r="HA12" s="191"/>
      <c r="HB12" s="191"/>
      <c r="HC12" s="191"/>
      <c r="HD12" s="191"/>
      <c r="HE12" s="191"/>
      <c r="HF12" s="191"/>
      <c r="HG12" s="191"/>
      <c r="HH12" s="191"/>
      <c r="HI12" s="191"/>
      <c r="HJ12" s="191"/>
      <c r="HK12" s="191"/>
      <c r="HL12" s="191"/>
      <c r="HM12" s="191"/>
      <c r="HN12" s="191">
        <v>200</v>
      </c>
      <c r="HO12" s="191"/>
      <c r="HP12" s="191"/>
      <c r="HQ12" s="191"/>
      <c r="HR12" s="191"/>
      <c r="HS12" s="191"/>
      <c r="HT12" s="191"/>
      <c r="HU12" s="191">
        <v>150</v>
      </c>
      <c r="HV12" s="191"/>
      <c r="HW12" s="191"/>
      <c r="HX12" s="191"/>
      <c r="HY12" s="191"/>
      <c r="HZ12" s="193"/>
      <c r="IA12" s="194"/>
      <c r="IB12" s="191">
        <v>150</v>
      </c>
      <c r="IC12" s="191"/>
      <c r="ID12" s="191"/>
      <c r="IE12" s="191"/>
      <c r="IF12" s="191"/>
      <c r="IG12" s="191"/>
      <c r="IH12" s="191"/>
      <c r="II12" s="191">
        <v>150</v>
      </c>
      <c r="IJ12" s="191"/>
      <c r="IK12" s="191"/>
      <c r="IL12" s="191"/>
      <c r="IM12" s="191"/>
      <c r="IN12" s="191"/>
      <c r="IO12" s="191"/>
      <c r="IP12" s="191"/>
      <c r="IQ12" s="191">
        <v>200</v>
      </c>
      <c r="IR12" s="191"/>
      <c r="IS12" s="191"/>
      <c r="IT12" s="191"/>
      <c r="IU12" s="191"/>
      <c r="IV12" s="191"/>
      <c r="IW12" s="191"/>
      <c r="IX12" s="191">
        <v>150</v>
      </c>
      <c r="IY12" s="191"/>
      <c r="IZ12" s="191"/>
      <c r="JA12" s="191"/>
      <c r="JB12" s="191"/>
      <c r="JC12" s="191"/>
      <c r="JD12" s="191">
        <v>150</v>
      </c>
      <c r="JE12" s="192"/>
      <c r="JF12" s="190"/>
      <c r="JG12" s="191"/>
      <c r="JH12" s="191"/>
      <c r="JI12" s="191"/>
      <c r="JJ12" s="191"/>
      <c r="JK12" s="191">
        <v>150</v>
      </c>
      <c r="JL12" s="191"/>
      <c r="JM12" s="191"/>
      <c r="JN12" s="191"/>
      <c r="JO12" s="191"/>
      <c r="JP12" s="191"/>
      <c r="JQ12" s="191"/>
      <c r="JR12" s="191"/>
      <c r="JS12" s="191">
        <v>150</v>
      </c>
      <c r="JT12" s="191"/>
      <c r="JU12" s="191"/>
      <c r="JV12" s="191"/>
      <c r="JW12" s="191"/>
      <c r="JX12" s="191"/>
      <c r="JY12" s="191">
        <v>100</v>
      </c>
      <c r="JZ12" s="191"/>
      <c r="KA12" s="191"/>
      <c r="KB12" s="191"/>
      <c r="KC12" s="191"/>
      <c r="KD12" s="191"/>
      <c r="KE12" s="191"/>
      <c r="KF12" s="191"/>
      <c r="KG12" s="191">
        <v>200</v>
      </c>
      <c r="KH12" s="191"/>
      <c r="KI12" s="191"/>
      <c r="KJ12" s="193"/>
      <c r="KK12" s="194"/>
      <c r="KL12" s="191"/>
      <c r="KM12" s="191">
        <v>100</v>
      </c>
      <c r="KN12" s="191"/>
      <c r="KO12" s="191"/>
      <c r="KP12" s="191"/>
      <c r="KQ12" s="191"/>
      <c r="KR12" s="191"/>
      <c r="KS12" s="191"/>
      <c r="KT12" s="191"/>
      <c r="KU12" s="191">
        <v>200</v>
      </c>
      <c r="KV12" s="191"/>
      <c r="KW12" s="191"/>
      <c r="KX12" s="191"/>
      <c r="KY12" s="191"/>
      <c r="KZ12" s="191"/>
      <c r="LA12" s="191">
        <v>150</v>
      </c>
      <c r="LB12" s="191"/>
      <c r="LC12" s="191"/>
      <c r="LD12" s="191"/>
      <c r="LE12" s="191"/>
      <c r="LF12" s="191"/>
      <c r="LG12" s="191"/>
      <c r="LH12" s="191">
        <v>100</v>
      </c>
      <c r="LI12" s="191"/>
      <c r="LJ12" s="191"/>
      <c r="LK12" s="191"/>
      <c r="LL12" s="191"/>
      <c r="LM12" s="191"/>
      <c r="LN12" s="192"/>
      <c r="LO12" s="190">
        <v>150</v>
      </c>
      <c r="LP12" s="191"/>
      <c r="LQ12" s="191"/>
      <c r="LR12" s="191"/>
      <c r="LS12" s="191"/>
      <c r="LT12" s="191"/>
      <c r="LU12" s="191"/>
      <c r="LV12" s="191">
        <v>100</v>
      </c>
      <c r="LW12" s="191"/>
      <c r="LX12" s="191"/>
      <c r="LY12" s="191"/>
      <c r="LZ12" s="191"/>
      <c r="MA12" s="191"/>
      <c r="MB12" s="191"/>
      <c r="MC12" s="191">
        <v>50</v>
      </c>
      <c r="MD12" s="191"/>
      <c r="ME12" s="191"/>
      <c r="MF12" s="191"/>
      <c r="MG12" s="191"/>
      <c r="MH12" s="191"/>
      <c r="MI12" s="191"/>
      <c r="MJ12" s="191">
        <v>100</v>
      </c>
      <c r="MK12" s="191"/>
      <c r="ML12" s="191"/>
      <c r="MM12" s="191"/>
      <c r="MN12" s="191"/>
      <c r="MO12" s="191"/>
      <c r="MP12" s="191"/>
      <c r="MQ12" s="191">
        <v>50</v>
      </c>
      <c r="MR12" s="191"/>
      <c r="MS12" s="193"/>
      <c r="MT12" s="194"/>
      <c r="MU12" s="191"/>
      <c r="MV12" s="191"/>
      <c r="MW12" s="191"/>
      <c r="MX12" s="191">
        <v>150</v>
      </c>
      <c r="MY12" s="191"/>
      <c r="MZ12" s="191"/>
      <c r="NA12" s="191"/>
      <c r="NB12" s="191"/>
      <c r="NC12" s="191"/>
      <c r="ND12" s="191"/>
      <c r="NE12" s="191"/>
      <c r="NF12" s="191"/>
      <c r="NG12" s="191"/>
      <c r="NH12" s="191"/>
      <c r="NI12" s="191"/>
      <c r="NJ12" s="191"/>
      <c r="NK12" s="191"/>
      <c r="NL12" s="191"/>
      <c r="NM12" s="191">
        <v>150</v>
      </c>
      <c r="NN12" s="191"/>
      <c r="NO12" s="191"/>
      <c r="NP12" s="191"/>
      <c r="NQ12" s="191"/>
      <c r="NR12" s="191"/>
      <c r="NS12" s="191">
        <v>150</v>
      </c>
      <c r="NT12" s="191"/>
      <c r="NU12" s="191"/>
      <c r="NV12" s="191"/>
      <c r="NW12" s="192"/>
      <c r="NX12" s="190"/>
      <c r="NY12" s="191"/>
      <c r="NZ12" s="191">
        <v>10</v>
      </c>
      <c r="OA12" s="191"/>
      <c r="OB12" s="191"/>
      <c r="OC12" s="191"/>
      <c r="OD12" s="191"/>
      <c r="OE12" s="191"/>
      <c r="OF12" s="191"/>
      <c r="OG12" s="191">
        <v>100</v>
      </c>
      <c r="OH12" s="191"/>
      <c r="OI12" s="191"/>
      <c r="OJ12" s="191"/>
      <c r="OK12" s="191"/>
      <c r="OL12" s="191"/>
      <c r="OM12" s="191"/>
      <c r="ON12" s="191">
        <v>50</v>
      </c>
      <c r="OO12" s="191"/>
      <c r="OP12" s="191"/>
      <c r="OQ12" s="191"/>
      <c r="OR12" s="191"/>
      <c r="OS12" s="191"/>
      <c r="OT12" s="191"/>
      <c r="OU12" s="191"/>
      <c r="OV12" s="191"/>
      <c r="OW12" s="191"/>
      <c r="OX12" s="191"/>
      <c r="OY12" s="191"/>
      <c r="OZ12" s="191"/>
      <c r="PA12" s="191"/>
      <c r="PB12" s="193"/>
      <c r="PC12" s="47"/>
      <c r="PD12" s="154" t="s">
        <v>97</v>
      </c>
      <c r="PE12" s="155" t="s">
        <v>98</v>
      </c>
      <c r="PF12" s="155" t="s">
        <v>98</v>
      </c>
      <c r="PG12" s="155" t="s">
        <v>97</v>
      </c>
      <c r="PH12" s="155" t="s">
        <v>98</v>
      </c>
      <c r="PI12" s="155" t="s">
        <v>98</v>
      </c>
      <c r="PJ12" s="155" t="s">
        <v>98</v>
      </c>
      <c r="PK12" s="155" t="s">
        <v>98</v>
      </c>
      <c r="PL12" s="155" t="s">
        <v>98</v>
      </c>
      <c r="PM12" s="155" t="s">
        <v>98</v>
      </c>
      <c r="PN12" s="155" t="s">
        <v>98</v>
      </c>
      <c r="PO12" s="156"/>
      <c r="PP12" s="156"/>
      <c r="PQ12" s="156"/>
      <c r="PR12" s="156"/>
      <c r="PS12" s="156"/>
      <c r="PT12" s="156"/>
      <c r="PU12" s="156"/>
      <c r="PV12" s="156"/>
      <c r="PW12" s="156"/>
      <c r="PX12" s="195"/>
      <c r="PY12" s="1"/>
      <c r="PZ12" s="196">
        <f t="shared" si="20"/>
        <v>650</v>
      </c>
      <c r="QA12" s="176">
        <f t="shared" si="21"/>
        <v>5.4225410861766911E-3</v>
      </c>
      <c r="QB12" s="177" t="str">
        <f t="shared" ca="1" si="22"/>
        <v>Attente…</v>
      </c>
      <c r="QC12" s="197">
        <f t="shared" si="23"/>
        <v>350</v>
      </c>
      <c r="QD12" s="179">
        <f t="shared" si="24"/>
        <v>3.2771535580524347E-3</v>
      </c>
      <c r="QE12" s="180" t="str">
        <f t="shared" ca="1" si="25"/>
        <v>Attente…</v>
      </c>
      <c r="QF12" s="196">
        <f t="shared" si="26"/>
        <v>550</v>
      </c>
      <c r="QG12" s="176">
        <f t="shared" si="27"/>
        <v>4.379678292721771E-3</v>
      </c>
      <c r="QH12" s="177" t="str">
        <f t="shared" ca="1" si="28"/>
        <v>Attente…</v>
      </c>
      <c r="QI12" s="197">
        <f t="shared" si="29"/>
        <v>850</v>
      </c>
      <c r="QJ12" s="179">
        <f t="shared" si="30"/>
        <v>5.9615654369476788E-3</v>
      </c>
      <c r="QK12" s="180" t="str">
        <f t="shared" ca="1" si="31"/>
        <v>Attente…</v>
      </c>
      <c r="QL12" s="196">
        <f t="shared" si="32"/>
        <v>500</v>
      </c>
      <c r="QM12" s="176">
        <f t="shared" si="33"/>
        <v>3.6581796897863623E-3</v>
      </c>
      <c r="QN12" s="177" t="str">
        <f t="shared" ca="1" si="34"/>
        <v>Attente…</v>
      </c>
      <c r="QO12" s="197">
        <f t="shared" si="35"/>
        <v>450</v>
      </c>
      <c r="QP12" s="179">
        <f t="shared" si="36"/>
        <v>3.5230564471932986E-3</v>
      </c>
      <c r="QQ12" s="180" t="str">
        <f t="shared" ca="1" si="37"/>
        <v>Attente…</v>
      </c>
      <c r="QR12" s="196">
        <f t="shared" si="38"/>
        <v>800</v>
      </c>
      <c r="QS12" s="176">
        <f t="shared" si="39"/>
        <v>5.7593319174975705E-3</v>
      </c>
      <c r="QT12" s="177" t="str">
        <f t="shared" ca="1" si="40"/>
        <v>Attente…</v>
      </c>
      <c r="QU12" s="197">
        <f t="shared" si="41"/>
        <v>600</v>
      </c>
      <c r="QV12" s="179">
        <f t="shared" si="42"/>
        <v>4.1367898510755651E-3</v>
      </c>
      <c r="QW12" s="180" t="str">
        <f t="shared" ca="1" si="43"/>
        <v>Attente…</v>
      </c>
      <c r="QX12" s="196">
        <f t="shared" si="44"/>
        <v>550</v>
      </c>
      <c r="QY12" s="176">
        <f t="shared" si="45"/>
        <v>4.0135438862780584E-3</v>
      </c>
      <c r="QZ12" s="177" t="str">
        <f t="shared" ca="1" si="46"/>
        <v>Attente…</v>
      </c>
      <c r="RA12" s="197">
        <f t="shared" si="47"/>
        <v>450</v>
      </c>
      <c r="RB12" s="179">
        <f t="shared" si="48"/>
        <v>3.5208512635943978E-3</v>
      </c>
      <c r="RC12" s="180" t="str">
        <f t="shared" ca="1" si="49"/>
        <v>Attente…</v>
      </c>
      <c r="RD12" s="196">
        <f t="shared" si="50"/>
        <v>450</v>
      </c>
      <c r="RE12" s="176">
        <f t="shared" si="51"/>
        <v>4.483858110801116E-3</v>
      </c>
      <c r="RF12" s="177" t="str">
        <f t="shared" ca="1" si="52"/>
        <v>Attente…</v>
      </c>
      <c r="RG12" s="197">
        <f t="shared" si="53"/>
        <v>160</v>
      </c>
      <c r="RH12" s="179">
        <f t="shared" si="54"/>
        <v>2.9427993378701488E-3</v>
      </c>
      <c r="RI12" s="198" t="str">
        <f t="shared" ca="1" si="55"/>
        <v>Attente…</v>
      </c>
      <c r="RJ12" s="199">
        <f t="shared" si="56"/>
        <v>1550</v>
      </c>
      <c r="RK12" s="200" t="str">
        <f t="shared" ca="1" si="13"/>
        <v>Attente…</v>
      </c>
      <c r="RL12" s="199">
        <f t="shared" si="57"/>
        <v>1800</v>
      </c>
      <c r="RM12" s="200" t="str">
        <f t="shared" ca="1" si="58"/>
        <v>Atttente…</v>
      </c>
      <c r="RN12" s="199">
        <f t="shared" si="59"/>
        <v>1950</v>
      </c>
      <c r="RO12" s="200" t="str">
        <f t="shared" ca="1" si="14"/>
        <v>Attente…</v>
      </c>
      <c r="RP12" s="199">
        <f t="shared" si="60"/>
        <v>1060</v>
      </c>
      <c r="RQ12" s="200" t="str">
        <f t="shared" ca="1" si="15"/>
        <v>Attente…</v>
      </c>
      <c r="RR12" s="201">
        <f t="shared" si="61"/>
        <v>6360</v>
      </c>
      <c r="RS12" s="202" t="str">
        <f t="shared" ca="1" si="16"/>
        <v>Attente…</v>
      </c>
      <c r="RT12" s="103"/>
      <c r="RU12" s="203">
        <f t="shared" si="62"/>
        <v>0.64897959183673459</v>
      </c>
      <c r="RV12" s="204">
        <f t="shared" si="6"/>
        <v>1</v>
      </c>
      <c r="RW12" s="204">
        <f t="shared" si="6"/>
        <v>1</v>
      </c>
      <c r="RX12" s="204">
        <f t="shared" si="63"/>
        <v>49</v>
      </c>
      <c r="RY12" s="205" t="str">
        <f t="shared" si="64"/>
        <v>TOURVILLE-LA-RIVIÈRE - Rue Jean Jaures (Place de la Poste)</v>
      </c>
      <c r="RZ12" s="189" t="str">
        <f>IF(OR(RZ11="",RZ11="  &lt;/Document&gt;
&lt;/kml&gt;"),"",
IF(B12="","  &lt;/Document&gt;
&lt;/kml&gt;",
IF(TournéesCAV!Q12=""," ",
"    &lt;Placemark&gt;
      &lt;description&gt;&lt;![CDATA["&amp;B12&amp;"&lt;br&gt;&lt;br&gt;"&amp;RV12&amp;" CAV&lt;br&gt;&lt;br&gt;Présent sur "&amp;RW12&amp;" tournée(s)&lt;br&gt;&lt;br&gt;Taux de remplissage moyen "&amp;TEXT(RU12*1000,"0 %")&amp;"]]&gt;&lt;/description&gt;
      &lt;Style&gt;
        &lt;IconStyle&gt;
          &lt;color&gt;ff"&amp;
          DEC2HEX(0,2)&amp;
          DEC2HEX(
            IF(RU12&lt;=0.5,
               INT(255*(RU12*2)),
               255
            ),2)&amp;
          DEC2HEX(
            IF(RU12&lt;=0.5,
               255,
               INT(255*(1-(RU12-0.5)*2))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&lt;Point&gt;&lt;coordinates&gt;"&amp;R12&amp;","&amp;Q12&amp;",0&lt;/coordinates&gt;&lt;/Point&gt;
    &lt;/Placemark&gt;"
)))</f>
        <v xml:space="preserve">    &lt;Placemark&gt;
      &lt;description&gt;&lt;![CDATA[TOURVILLE-LA-RIVIÈRE - Rue Jean Jaures (Place de la Poste)&lt;br&gt;&lt;br&gt;1 CAV&lt;br&gt;&lt;br&gt;Présent sur 1 tournée(s)&lt;br&gt;&lt;br&gt;Taux de remplissage moyen 65%]]&gt;&lt;/description&gt;
      &lt;Style&gt;
        &lt;IconStyle&gt;
          &lt;color&gt;ff00FFB3&lt;/color&gt;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&lt;Point&gt;&lt;coordinates&gt;1.0160943,49.2971761,0&lt;/coordinates&gt;&lt;/Point&gt;
    &lt;/Placemark&gt;</v>
      </c>
    </row>
    <row r="13" spans="1:494" ht="15" hidden="1" customHeight="1" x14ac:dyDescent="0.35">
      <c r="A13"/>
      <c r="B13" s="153" t="str">
        <f t="shared" si="17"/>
        <v>TOURVILLE-LA-RIVIÈRE - Avenue Gustave Picard (Parking Carrefour)</v>
      </c>
      <c r="C13" s="154">
        <v>80</v>
      </c>
      <c r="D13" s="155">
        <v>82</v>
      </c>
      <c r="E13" s="155">
        <v>83</v>
      </c>
      <c r="F13" s="155">
        <v>119</v>
      </c>
      <c r="G13" s="155"/>
      <c r="H13" s="155"/>
      <c r="I13" s="155"/>
      <c r="J13" s="156"/>
      <c r="K13" s="157">
        <f t="shared" si="18"/>
        <v>4</v>
      </c>
      <c r="L13" s="157">
        <f t="shared" si="19"/>
        <v>1</v>
      </c>
      <c r="M13" s="158" t="s">
        <v>135</v>
      </c>
      <c r="N13" s="159" t="s">
        <v>106</v>
      </c>
      <c r="O13" s="159">
        <v>76410</v>
      </c>
      <c r="P13" s="159" t="s">
        <v>131</v>
      </c>
      <c r="Q13" s="159" t="s">
        <v>136</v>
      </c>
      <c r="R13" s="159" t="s">
        <v>137</v>
      </c>
      <c r="S13" s="159" t="s">
        <v>93</v>
      </c>
      <c r="T13" s="159" t="s">
        <v>110</v>
      </c>
      <c r="U13" s="159" t="s">
        <v>138</v>
      </c>
      <c r="V13" s="160" t="s">
        <v>96</v>
      </c>
      <c r="W13" s="161"/>
      <c r="X13" s="162"/>
      <c r="Y13" s="163"/>
      <c r="Z13" s="162"/>
      <c r="AA13" s="163"/>
      <c r="AB13" s="162"/>
      <c r="AC13" s="163"/>
      <c r="AD13" s="162"/>
      <c r="AE13" s="163"/>
      <c r="AF13" s="162"/>
      <c r="AG13" s="163"/>
      <c r="AH13" s="163"/>
      <c r="AI13" s="162"/>
      <c r="AJ13" s="163"/>
      <c r="AK13" s="162"/>
      <c r="AL13" s="163"/>
      <c r="AM13" s="162"/>
      <c r="AN13" s="163"/>
      <c r="AO13" s="162">
        <v>4</v>
      </c>
      <c r="AP13" s="164"/>
      <c r="AQ13" s="164"/>
      <c r="AR13" s="164"/>
      <c r="AS13" s="164"/>
      <c r="AT13" s="164"/>
      <c r="AU13" s="164"/>
      <c r="AV13" s="164"/>
      <c r="AW13" s="164"/>
      <c r="AX13" s="164"/>
      <c r="AY13" s="165"/>
      <c r="AZ13" s="41"/>
      <c r="BA13" s="190"/>
      <c r="BB13" s="191">
        <v>800</v>
      </c>
      <c r="BC13" s="191"/>
      <c r="BD13" s="191"/>
      <c r="BE13" s="191"/>
      <c r="BF13" s="191"/>
      <c r="BG13" s="191"/>
      <c r="BH13" s="191">
        <v>400</v>
      </c>
      <c r="BI13" s="191"/>
      <c r="BJ13" s="191"/>
      <c r="BK13" s="191"/>
      <c r="BL13" s="191"/>
      <c r="BM13" s="191"/>
      <c r="BN13" s="191"/>
      <c r="BO13" s="191">
        <v>260</v>
      </c>
      <c r="BP13" s="191"/>
      <c r="BQ13" s="191"/>
      <c r="BR13" s="191"/>
      <c r="BS13" s="191"/>
      <c r="BT13" s="191"/>
      <c r="BU13" s="191"/>
      <c r="BV13" s="191">
        <v>400</v>
      </c>
      <c r="BW13" s="191"/>
      <c r="BX13" s="191"/>
      <c r="BY13" s="191"/>
      <c r="BZ13" s="191"/>
      <c r="CA13" s="191"/>
      <c r="CB13" s="191"/>
      <c r="CC13" s="191">
        <v>260</v>
      </c>
      <c r="CD13" s="191"/>
      <c r="CE13" s="192"/>
      <c r="CF13" s="190"/>
      <c r="CG13" s="191"/>
      <c r="CH13" s="191"/>
      <c r="CI13" s="191"/>
      <c r="CJ13" s="191">
        <v>600</v>
      </c>
      <c r="CK13" s="191"/>
      <c r="CL13" s="191"/>
      <c r="CM13" s="191"/>
      <c r="CN13" s="191"/>
      <c r="CO13" s="191"/>
      <c r="CP13" s="191"/>
      <c r="CQ13" s="191">
        <v>500</v>
      </c>
      <c r="CR13" s="191"/>
      <c r="CS13" s="191"/>
      <c r="CT13" s="191"/>
      <c r="CU13" s="191"/>
      <c r="CV13" s="191"/>
      <c r="CW13" s="191"/>
      <c r="CX13" s="191">
        <v>300</v>
      </c>
      <c r="CY13" s="191"/>
      <c r="CZ13" s="191"/>
      <c r="DA13" s="191"/>
      <c r="DB13" s="191"/>
      <c r="DC13" s="191"/>
      <c r="DD13" s="191"/>
      <c r="DE13" s="191">
        <v>250</v>
      </c>
      <c r="DF13" s="191"/>
      <c r="DG13" s="191"/>
      <c r="DH13" s="193"/>
      <c r="DI13" s="194"/>
      <c r="DJ13" s="191"/>
      <c r="DK13" s="191"/>
      <c r="DL13" s="191"/>
      <c r="DM13" s="191">
        <v>650</v>
      </c>
      <c r="DN13" s="191"/>
      <c r="DO13" s="191"/>
      <c r="DP13" s="191"/>
      <c r="DQ13" s="191"/>
      <c r="DR13" s="191"/>
      <c r="DS13" s="191"/>
      <c r="DT13" s="191">
        <v>450</v>
      </c>
      <c r="DU13" s="191"/>
      <c r="DV13" s="191"/>
      <c r="DW13" s="191"/>
      <c r="DX13" s="191"/>
      <c r="DY13" s="191"/>
      <c r="DZ13" s="191"/>
      <c r="EA13" s="191">
        <v>500</v>
      </c>
      <c r="EB13" s="191"/>
      <c r="EC13" s="191"/>
      <c r="ED13" s="191"/>
      <c r="EE13" s="191"/>
      <c r="EF13" s="191"/>
      <c r="EG13" s="191"/>
      <c r="EH13" s="191">
        <v>450</v>
      </c>
      <c r="EI13" s="191"/>
      <c r="EJ13" s="191"/>
      <c r="EK13" s="191"/>
      <c r="EL13" s="191"/>
      <c r="EM13" s="192"/>
      <c r="EN13" s="190"/>
      <c r="EO13" s="191">
        <v>750</v>
      </c>
      <c r="EP13" s="191"/>
      <c r="EQ13" s="191"/>
      <c r="ER13" s="191"/>
      <c r="ES13" s="191"/>
      <c r="ET13" s="191"/>
      <c r="EU13" s="191"/>
      <c r="EV13" s="191">
        <v>800</v>
      </c>
      <c r="EW13" s="191"/>
      <c r="EX13" s="191"/>
      <c r="EY13" s="191"/>
      <c r="EZ13" s="191"/>
      <c r="FA13" s="191"/>
      <c r="FB13" s="191"/>
      <c r="FC13" s="191">
        <v>450</v>
      </c>
      <c r="FD13" s="191"/>
      <c r="FE13" s="191"/>
      <c r="FF13" s="191"/>
      <c r="FG13" s="191"/>
      <c r="FH13" s="191"/>
      <c r="FI13" s="191"/>
      <c r="FJ13" s="191">
        <v>800</v>
      </c>
      <c r="FK13" s="191"/>
      <c r="FL13" s="191"/>
      <c r="FM13" s="191"/>
      <c r="FN13" s="191"/>
      <c r="FO13" s="191"/>
      <c r="FP13" s="191"/>
      <c r="FQ13" s="193">
        <v>400</v>
      </c>
      <c r="FR13" s="194"/>
      <c r="FS13" s="191"/>
      <c r="FT13" s="191"/>
      <c r="FU13" s="191"/>
      <c r="FV13" s="191"/>
      <c r="FW13" s="191"/>
      <c r="FX13" s="191">
        <v>600</v>
      </c>
      <c r="FY13" s="191"/>
      <c r="FZ13" s="191"/>
      <c r="GA13" s="191"/>
      <c r="GB13" s="191"/>
      <c r="GC13" s="191"/>
      <c r="GD13" s="191"/>
      <c r="GE13" s="191">
        <v>510</v>
      </c>
      <c r="GF13" s="191"/>
      <c r="GG13" s="191"/>
      <c r="GH13" s="191"/>
      <c r="GI13" s="191"/>
      <c r="GJ13" s="191"/>
      <c r="GK13" s="191"/>
      <c r="GL13" s="191">
        <v>310</v>
      </c>
      <c r="GM13" s="191"/>
      <c r="GN13" s="191"/>
      <c r="GO13" s="191"/>
      <c r="GP13" s="191"/>
      <c r="GQ13" s="191"/>
      <c r="GR13" s="191"/>
      <c r="GS13" s="191">
        <v>460</v>
      </c>
      <c r="GT13" s="191"/>
      <c r="GU13" s="191"/>
      <c r="GV13" s="192"/>
      <c r="GW13" s="190"/>
      <c r="GX13" s="191"/>
      <c r="GY13" s="191"/>
      <c r="GZ13" s="191">
        <v>310</v>
      </c>
      <c r="HA13" s="191"/>
      <c r="HB13" s="191"/>
      <c r="HC13" s="191"/>
      <c r="HD13" s="191"/>
      <c r="HE13" s="191"/>
      <c r="HF13" s="191"/>
      <c r="HG13" s="191"/>
      <c r="HH13" s="191"/>
      <c r="HI13" s="191"/>
      <c r="HJ13" s="191"/>
      <c r="HK13" s="191"/>
      <c r="HL13" s="191"/>
      <c r="HM13" s="191"/>
      <c r="HN13" s="191">
        <v>400</v>
      </c>
      <c r="HO13" s="191"/>
      <c r="HP13" s="191"/>
      <c r="HQ13" s="191"/>
      <c r="HR13" s="191"/>
      <c r="HS13" s="191"/>
      <c r="HT13" s="191"/>
      <c r="HU13" s="191">
        <v>700</v>
      </c>
      <c r="HV13" s="191"/>
      <c r="HW13" s="191"/>
      <c r="HX13" s="191"/>
      <c r="HY13" s="191"/>
      <c r="HZ13" s="193"/>
      <c r="IA13" s="194"/>
      <c r="IB13" s="191">
        <v>500</v>
      </c>
      <c r="IC13" s="191"/>
      <c r="ID13" s="191"/>
      <c r="IE13" s="191"/>
      <c r="IF13" s="191"/>
      <c r="IG13" s="191"/>
      <c r="IH13" s="191"/>
      <c r="II13" s="191">
        <v>600</v>
      </c>
      <c r="IJ13" s="191"/>
      <c r="IK13" s="191"/>
      <c r="IL13" s="191"/>
      <c r="IM13" s="191"/>
      <c r="IN13" s="191"/>
      <c r="IO13" s="191"/>
      <c r="IP13" s="191"/>
      <c r="IQ13" s="191">
        <v>700</v>
      </c>
      <c r="IR13" s="191"/>
      <c r="IS13" s="191"/>
      <c r="IT13" s="191"/>
      <c r="IU13" s="191"/>
      <c r="IV13" s="191"/>
      <c r="IW13" s="191"/>
      <c r="IX13" s="191">
        <v>650</v>
      </c>
      <c r="IY13" s="191"/>
      <c r="IZ13" s="191"/>
      <c r="JA13" s="191"/>
      <c r="JB13" s="191"/>
      <c r="JC13" s="191"/>
      <c r="JD13" s="191">
        <v>750</v>
      </c>
      <c r="JE13" s="192"/>
      <c r="JF13" s="190"/>
      <c r="JG13" s="191"/>
      <c r="JH13" s="191"/>
      <c r="JI13" s="191"/>
      <c r="JJ13" s="191"/>
      <c r="JK13" s="191">
        <v>550</v>
      </c>
      <c r="JL13" s="191"/>
      <c r="JM13" s="191"/>
      <c r="JN13" s="191"/>
      <c r="JO13" s="191"/>
      <c r="JP13" s="191"/>
      <c r="JQ13" s="191"/>
      <c r="JR13" s="191"/>
      <c r="JS13" s="191">
        <v>800</v>
      </c>
      <c r="JT13" s="191"/>
      <c r="JU13" s="191"/>
      <c r="JV13" s="191"/>
      <c r="JW13" s="191"/>
      <c r="JX13" s="191"/>
      <c r="JY13" s="191">
        <v>600</v>
      </c>
      <c r="JZ13" s="191"/>
      <c r="KA13" s="191"/>
      <c r="KB13" s="191"/>
      <c r="KC13" s="191"/>
      <c r="KD13" s="191"/>
      <c r="KE13" s="191"/>
      <c r="KF13" s="191"/>
      <c r="KG13" s="191">
        <v>800</v>
      </c>
      <c r="KH13" s="191"/>
      <c r="KI13" s="191"/>
      <c r="KJ13" s="193"/>
      <c r="KK13" s="194"/>
      <c r="KL13" s="191"/>
      <c r="KM13" s="191">
        <v>400</v>
      </c>
      <c r="KN13" s="191"/>
      <c r="KO13" s="191"/>
      <c r="KP13" s="191"/>
      <c r="KQ13" s="191"/>
      <c r="KR13" s="191"/>
      <c r="KS13" s="191"/>
      <c r="KT13" s="191"/>
      <c r="KU13" s="191">
        <v>750</v>
      </c>
      <c r="KV13" s="191"/>
      <c r="KW13" s="191"/>
      <c r="KX13" s="191"/>
      <c r="KY13" s="191"/>
      <c r="KZ13" s="191"/>
      <c r="LA13" s="191">
        <v>460</v>
      </c>
      <c r="LB13" s="191"/>
      <c r="LC13" s="191"/>
      <c r="LD13" s="191"/>
      <c r="LE13" s="191"/>
      <c r="LF13" s="191"/>
      <c r="LG13" s="191"/>
      <c r="LH13" s="191">
        <v>550</v>
      </c>
      <c r="LI13" s="191"/>
      <c r="LJ13" s="191"/>
      <c r="LK13" s="191"/>
      <c r="LL13" s="191"/>
      <c r="LM13" s="191"/>
      <c r="LN13" s="192"/>
      <c r="LO13" s="190">
        <v>700</v>
      </c>
      <c r="LP13" s="191"/>
      <c r="LQ13" s="191"/>
      <c r="LR13" s="191"/>
      <c r="LS13" s="191"/>
      <c r="LT13" s="191"/>
      <c r="LU13" s="191"/>
      <c r="LV13" s="191">
        <v>700</v>
      </c>
      <c r="LW13" s="191"/>
      <c r="LX13" s="191"/>
      <c r="LY13" s="191"/>
      <c r="LZ13" s="191"/>
      <c r="MA13" s="191"/>
      <c r="MB13" s="191"/>
      <c r="MC13" s="191">
        <v>600</v>
      </c>
      <c r="MD13" s="191"/>
      <c r="ME13" s="191"/>
      <c r="MF13" s="191"/>
      <c r="MG13" s="191"/>
      <c r="MH13" s="191"/>
      <c r="MI13" s="191"/>
      <c r="MJ13" s="191">
        <v>500</v>
      </c>
      <c r="MK13" s="191"/>
      <c r="ML13" s="191"/>
      <c r="MM13" s="191"/>
      <c r="MN13" s="191"/>
      <c r="MO13" s="191"/>
      <c r="MP13" s="191"/>
      <c r="MQ13" s="191">
        <v>550</v>
      </c>
      <c r="MR13" s="191"/>
      <c r="MS13" s="193"/>
      <c r="MT13" s="194"/>
      <c r="MU13" s="191"/>
      <c r="MV13" s="191"/>
      <c r="MW13" s="191"/>
      <c r="MX13" s="191">
        <v>500</v>
      </c>
      <c r="MY13" s="191"/>
      <c r="MZ13" s="191"/>
      <c r="NA13" s="191"/>
      <c r="NB13" s="191"/>
      <c r="NC13" s="191"/>
      <c r="ND13" s="191"/>
      <c r="NE13" s="191"/>
      <c r="NF13" s="191"/>
      <c r="NG13" s="191"/>
      <c r="NH13" s="191"/>
      <c r="NI13" s="191"/>
      <c r="NJ13" s="191"/>
      <c r="NK13" s="191"/>
      <c r="NL13" s="191"/>
      <c r="NM13" s="191">
        <v>800</v>
      </c>
      <c r="NN13" s="191"/>
      <c r="NO13" s="191"/>
      <c r="NP13" s="191"/>
      <c r="NQ13" s="191"/>
      <c r="NR13" s="191"/>
      <c r="NS13" s="191">
        <v>350</v>
      </c>
      <c r="NT13" s="191"/>
      <c r="NU13" s="191"/>
      <c r="NV13" s="191"/>
      <c r="NW13" s="192"/>
      <c r="NX13" s="190"/>
      <c r="NY13" s="191"/>
      <c r="NZ13" s="191">
        <v>130</v>
      </c>
      <c r="OA13" s="191"/>
      <c r="OB13" s="191"/>
      <c r="OC13" s="191"/>
      <c r="OD13" s="191"/>
      <c r="OE13" s="191"/>
      <c r="OF13" s="191"/>
      <c r="OG13" s="191">
        <v>200</v>
      </c>
      <c r="OH13" s="191"/>
      <c r="OI13" s="191"/>
      <c r="OJ13" s="191"/>
      <c r="OK13" s="191"/>
      <c r="OL13" s="191"/>
      <c r="OM13" s="191"/>
      <c r="ON13" s="191">
        <v>700</v>
      </c>
      <c r="OO13" s="191"/>
      <c r="OP13" s="191"/>
      <c r="OQ13" s="191"/>
      <c r="OR13" s="191"/>
      <c r="OS13" s="191"/>
      <c r="OT13" s="191"/>
      <c r="OU13" s="191"/>
      <c r="OV13" s="191"/>
      <c r="OW13" s="191"/>
      <c r="OX13" s="191"/>
      <c r="OY13" s="191"/>
      <c r="OZ13" s="191"/>
      <c r="PA13" s="191"/>
      <c r="PB13" s="193"/>
      <c r="PC13" s="47"/>
      <c r="PD13" s="154" t="s">
        <v>97</v>
      </c>
      <c r="PE13" s="155" t="s">
        <v>98</v>
      </c>
      <c r="PF13" s="155" t="s">
        <v>98</v>
      </c>
      <c r="PG13" s="155" t="s">
        <v>98</v>
      </c>
      <c r="PH13" s="155" t="s">
        <v>98</v>
      </c>
      <c r="PI13" s="155" t="s">
        <v>98</v>
      </c>
      <c r="PJ13" s="155" t="s">
        <v>98</v>
      </c>
      <c r="PK13" s="155" t="s">
        <v>98</v>
      </c>
      <c r="PL13" s="155" t="s">
        <v>98</v>
      </c>
      <c r="PM13" s="155" t="s">
        <v>98</v>
      </c>
      <c r="PN13" s="155" t="s">
        <v>98</v>
      </c>
      <c r="PO13" s="156"/>
      <c r="PP13" s="156"/>
      <c r="PQ13" s="156"/>
      <c r="PR13" s="156"/>
      <c r="PS13" s="156"/>
      <c r="PT13" s="156"/>
      <c r="PU13" s="156"/>
      <c r="PV13" s="156"/>
      <c r="PW13" s="156"/>
      <c r="PX13" s="195"/>
      <c r="PY13" s="1"/>
      <c r="PZ13" s="196">
        <f t="shared" si="20"/>
        <v>2120</v>
      </c>
      <c r="QA13" s="176">
        <f t="shared" si="21"/>
        <v>1.7685826311837825E-2</v>
      </c>
      <c r="QB13" s="177" t="str">
        <f t="shared" ca="1" si="22"/>
        <v>Attente…</v>
      </c>
      <c r="QC13" s="197">
        <f t="shared" si="23"/>
        <v>1650</v>
      </c>
      <c r="QD13" s="179">
        <f t="shared" si="24"/>
        <v>1.5449438202247191E-2</v>
      </c>
      <c r="QE13" s="180" t="str">
        <f t="shared" ca="1" si="25"/>
        <v>Attente…</v>
      </c>
      <c r="QF13" s="196">
        <f t="shared" si="26"/>
        <v>2050</v>
      </c>
      <c r="QG13" s="176">
        <f t="shared" si="27"/>
        <v>1.6324255454690236E-2</v>
      </c>
      <c r="QH13" s="177" t="str">
        <f t="shared" ca="1" si="28"/>
        <v>Attente…</v>
      </c>
      <c r="QI13" s="197">
        <f t="shared" si="29"/>
        <v>3200</v>
      </c>
      <c r="QJ13" s="179">
        <f t="shared" si="30"/>
        <v>2.2443540468508907E-2</v>
      </c>
      <c r="QK13" s="180" t="str">
        <f t="shared" ca="1" si="31"/>
        <v>Attente…</v>
      </c>
      <c r="QL13" s="196">
        <f t="shared" si="32"/>
        <v>1880</v>
      </c>
      <c r="QM13" s="176">
        <f t="shared" si="33"/>
        <v>1.3754755633596722E-2</v>
      </c>
      <c r="QN13" s="177" t="str">
        <f t="shared" ca="1" si="34"/>
        <v>Attente…</v>
      </c>
      <c r="QO13" s="197">
        <f t="shared" si="35"/>
        <v>1410</v>
      </c>
      <c r="QP13" s="179">
        <f t="shared" si="36"/>
        <v>1.1038910201205667E-2</v>
      </c>
      <c r="QQ13" s="180" t="str">
        <f t="shared" ca="1" si="37"/>
        <v>Attente…</v>
      </c>
      <c r="QR13" s="196">
        <f t="shared" si="38"/>
        <v>3200</v>
      </c>
      <c r="QS13" s="176">
        <f t="shared" si="39"/>
        <v>2.3037327669990282E-2</v>
      </c>
      <c r="QT13" s="177" t="str">
        <f t="shared" ca="1" si="40"/>
        <v>Attente…</v>
      </c>
      <c r="QU13" s="197">
        <f t="shared" si="41"/>
        <v>2750</v>
      </c>
      <c r="QV13" s="179">
        <f t="shared" si="42"/>
        <v>1.8960286817429676E-2</v>
      </c>
      <c r="QW13" s="180" t="str">
        <f t="shared" ca="1" si="43"/>
        <v>Attente…</v>
      </c>
      <c r="QX13" s="196">
        <f t="shared" si="44"/>
        <v>2160</v>
      </c>
      <c r="QY13" s="176">
        <f t="shared" si="45"/>
        <v>1.5762281444292012E-2</v>
      </c>
      <c r="QZ13" s="177" t="str">
        <f t="shared" ca="1" si="46"/>
        <v>Attente…</v>
      </c>
      <c r="RA13" s="197">
        <f t="shared" si="47"/>
        <v>3050</v>
      </c>
      <c r="RB13" s="179">
        <f t="shared" si="48"/>
        <v>2.3863547453250918E-2</v>
      </c>
      <c r="RC13" s="180" t="str">
        <f t="shared" ca="1" si="49"/>
        <v>Attente…</v>
      </c>
      <c r="RD13" s="196">
        <f t="shared" si="50"/>
        <v>1650</v>
      </c>
      <c r="RE13" s="176">
        <f t="shared" si="51"/>
        <v>1.6440813072937425E-2</v>
      </c>
      <c r="RF13" s="177" t="str">
        <f t="shared" ca="1" si="52"/>
        <v>Attente…</v>
      </c>
      <c r="RG13" s="197">
        <f t="shared" si="53"/>
        <v>1030</v>
      </c>
      <c r="RH13" s="179">
        <f t="shared" si="54"/>
        <v>1.8944270737539085E-2</v>
      </c>
      <c r="RI13" s="198" t="str">
        <f t="shared" ca="1" si="55"/>
        <v>Attente…</v>
      </c>
      <c r="RJ13" s="199">
        <f t="shared" si="56"/>
        <v>5820</v>
      </c>
      <c r="RK13" s="200" t="str">
        <f t="shared" ca="1" si="13"/>
        <v>Attente…</v>
      </c>
      <c r="RL13" s="199">
        <f t="shared" si="57"/>
        <v>6490</v>
      </c>
      <c r="RM13" s="200" t="str">
        <f t="shared" ca="1" si="58"/>
        <v>Atttente…</v>
      </c>
      <c r="RN13" s="199">
        <f t="shared" si="59"/>
        <v>8110</v>
      </c>
      <c r="RO13" s="200" t="str">
        <f t="shared" ca="1" si="14"/>
        <v>Attente…</v>
      </c>
      <c r="RP13" s="199">
        <f t="shared" si="60"/>
        <v>5730</v>
      </c>
      <c r="RQ13" s="200" t="str">
        <f t="shared" ca="1" si="15"/>
        <v>Attente…</v>
      </c>
      <c r="RR13" s="201">
        <f t="shared" si="61"/>
        <v>26150</v>
      </c>
      <c r="RS13" s="202" t="str">
        <f t="shared" ca="1" si="16"/>
        <v>Attente…</v>
      </c>
      <c r="RT13" s="103"/>
      <c r="RU13" s="203">
        <f t="shared" si="62"/>
        <v>0.66709183673469385</v>
      </c>
      <c r="RV13" s="204">
        <f t="shared" si="6"/>
        <v>4</v>
      </c>
      <c r="RW13" s="204">
        <f t="shared" si="6"/>
        <v>1</v>
      </c>
      <c r="RX13" s="204">
        <f t="shared" si="63"/>
        <v>49</v>
      </c>
      <c r="RY13" s="205" t="str">
        <f t="shared" si="64"/>
        <v>TOURVILLE-LA-RIVIÈRE - Avenue Gustave Picard (Parking Carrefour)</v>
      </c>
      <c r="RZ13" s="189" t="str">
        <f>IF(OR(RZ12="",RZ12="  &lt;/Document&gt;
&lt;/kml&gt;"),"",
IF(B13="","  &lt;/Document&gt;
&lt;/kml&gt;",
IF(TournéesCAV!Q13=""," ",
"    &lt;Placemark&gt;
      &lt;description&gt;&lt;![CDATA["&amp;B13&amp;"&lt;br&gt;&lt;br&gt;"&amp;RV13&amp;" CAV&lt;br&gt;&lt;br&gt;Présent sur "&amp;RW13&amp;" tournée(s)&lt;br&gt;&lt;br&gt;Taux de remplissage moyen "&amp;TEXT(RU13*1000,"0 %")&amp;"]]&gt;&lt;/description&gt;
      &lt;Style&gt;
        &lt;IconStyle&gt;
          &lt;color&gt;ff"&amp;
          DEC2HEX(0,2)&amp;
          DEC2HEX(
            IF(RU13&lt;=0.5,
               INT(255*(RU13*2)),
               255
            ),2)&amp;
          DEC2HEX(
            IF(RU13&lt;=0.5,
               255,
               INT(255*(1-(RU13-0.5)*2))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&lt;Point&gt;&lt;coordinates&gt;"&amp;R13&amp;","&amp;Q13&amp;",0&lt;/coordinates&gt;&lt;/Point&gt;
    &lt;/Placemark&gt;"
)))</f>
        <v xml:space="preserve">    &lt;Placemark&gt;
      &lt;description&gt;&lt;![CDATA[TOURVILLE-LA-RIVIÈRE - Avenue Gustave Picard (Parking Carrefour)&lt;br&gt;&lt;br&gt;4 CAV&lt;br&gt;&lt;br&gt;Présent sur 1 tournée(s)&lt;br&gt;&lt;br&gt;Taux de remplissage moyen 67%]]&gt;&lt;/description&gt;
      &lt;Style&gt;
        &lt;IconStyle&gt;
          &lt;color&gt;ff00FFA9&lt;/color&gt;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&lt;Point&gt;&lt;coordinates&gt;1.0973494076568802,49.32821531917378,0&lt;/coordinates&gt;&lt;/Point&gt;
    &lt;/Placemark&gt;</v>
      </c>
    </row>
    <row r="14" spans="1:494" ht="15" hidden="1" customHeight="1" x14ac:dyDescent="0.35">
      <c r="B14" s="153" t="str">
        <f t="shared" si="17"/>
        <v>DUCLAIR - 28 rue de Ronnenberg (Face au Relais Dellard - Parking de droite)</v>
      </c>
      <c r="C14" s="154">
        <v>166</v>
      </c>
      <c r="D14" s="155">
        <v>167</v>
      </c>
      <c r="E14" s="155"/>
      <c r="F14" s="155"/>
      <c r="G14" s="155"/>
      <c r="H14" s="155"/>
      <c r="I14" s="155"/>
      <c r="J14" s="156"/>
      <c r="K14" s="157">
        <f t="shared" si="18"/>
        <v>2</v>
      </c>
      <c r="L14" s="157">
        <f t="shared" si="19"/>
        <v>1</v>
      </c>
      <c r="M14" s="158" t="s">
        <v>139</v>
      </c>
      <c r="N14" s="159" t="s">
        <v>140</v>
      </c>
      <c r="O14" s="159">
        <v>76480</v>
      </c>
      <c r="P14" s="159" t="s">
        <v>141</v>
      </c>
      <c r="Q14" s="159" t="s">
        <v>142</v>
      </c>
      <c r="R14" s="159" t="s">
        <v>143</v>
      </c>
      <c r="S14" s="159" t="s">
        <v>93</v>
      </c>
      <c r="T14" s="159" t="s">
        <v>94</v>
      </c>
      <c r="U14" s="159" t="s">
        <v>144</v>
      </c>
      <c r="V14" s="160" t="s">
        <v>96</v>
      </c>
      <c r="W14" s="161"/>
      <c r="X14" s="162"/>
      <c r="Y14" s="163"/>
      <c r="Z14" s="162"/>
      <c r="AA14" s="163"/>
      <c r="AB14" s="162"/>
      <c r="AC14" s="163"/>
      <c r="AD14" s="162"/>
      <c r="AE14" s="163"/>
      <c r="AF14" s="162"/>
      <c r="AG14" s="207">
        <v>1</v>
      </c>
      <c r="AH14" s="163"/>
      <c r="AI14" s="162"/>
      <c r="AJ14" s="163"/>
      <c r="AK14" s="162"/>
      <c r="AL14" s="163"/>
      <c r="AM14" s="162"/>
      <c r="AN14" s="163"/>
      <c r="AO14" s="162"/>
      <c r="AP14" s="164"/>
      <c r="AQ14" s="164"/>
      <c r="AR14" s="164"/>
      <c r="AS14" s="164"/>
      <c r="AT14" s="164"/>
      <c r="AU14" s="164"/>
      <c r="AV14" s="164"/>
      <c r="AW14" s="164"/>
      <c r="AX14" s="164"/>
      <c r="AY14" s="165"/>
      <c r="AZ14" s="41"/>
      <c r="BA14" s="190"/>
      <c r="BB14" s="191">
        <v>300</v>
      </c>
      <c r="BC14" s="191"/>
      <c r="BD14" s="191"/>
      <c r="BE14" s="191"/>
      <c r="BF14" s="191"/>
      <c r="BG14" s="191"/>
      <c r="BH14" s="191">
        <v>110</v>
      </c>
      <c r="BI14" s="191"/>
      <c r="BJ14" s="191"/>
      <c r="BK14" s="191"/>
      <c r="BL14" s="191"/>
      <c r="BM14" s="191"/>
      <c r="BN14" s="191"/>
      <c r="BO14" s="191">
        <v>160</v>
      </c>
      <c r="BP14" s="191"/>
      <c r="BQ14" s="191"/>
      <c r="BR14" s="191"/>
      <c r="BS14" s="191"/>
      <c r="BT14" s="191"/>
      <c r="BU14" s="191"/>
      <c r="BV14" s="191">
        <v>20</v>
      </c>
      <c r="BW14" s="191"/>
      <c r="BX14" s="191"/>
      <c r="BY14" s="191"/>
      <c r="BZ14" s="191"/>
      <c r="CA14" s="191"/>
      <c r="CB14" s="191"/>
      <c r="CC14" s="191">
        <v>200</v>
      </c>
      <c r="CD14" s="191"/>
      <c r="CE14" s="192"/>
      <c r="CF14" s="190"/>
      <c r="CG14" s="191"/>
      <c r="CH14" s="191"/>
      <c r="CI14" s="191"/>
      <c r="CJ14" s="191"/>
      <c r="CK14" s="191"/>
      <c r="CL14" s="191"/>
      <c r="CM14" s="191"/>
      <c r="CN14" s="191"/>
      <c r="CO14" s="191"/>
      <c r="CP14" s="191"/>
      <c r="CQ14" s="191">
        <v>400</v>
      </c>
      <c r="CR14" s="191"/>
      <c r="CS14" s="191"/>
      <c r="CT14" s="191"/>
      <c r="CU14" s="191"/>
      <c r="CV14" s="191"/>
      <c r="CW14" s="191"/>
      <c r="CX14" s="191">
        <v>200</v>
      </c>
      <c r="CY14" s="191"/>
      <c r="CZ14" s="191"/>
      <c r="DA14" s="191"/>
      <c r="DB14" s="191"/>
      <c r="DC14" s="191"/>
      <c r="DD14" s="191"/>
      <c r="DE14" s="191">
        <v>200</v>
      </c>
      <c r="DF14" s="191"/>
      <c r="DG14" s="191"/>
      <c r="DH14" s="193"/>
      <c r="DI14" s="194"/>
      <c r="DJ14" s="191"/>
      <c r="DK14" s="191"/>
      <c r="DL14" s="191"/>
      <c r="DM14" s="191"/>
      <c r="DN14" s="191">
        <v>160</v>
      </c>
      <c r="DO14" s="191"/>
      <c r="DP14" s="191"/>
      <c r="DQ14" s="191"/>
      <c r="DR14" s="191"/>
      <c r="DS14" s="191"/>
      <c r="DT14" s="191">
        <v>250</v>
      </c>
      <c r="DU14" s="191"/>
      <c r="DV14" s="191"/>
      <c r="DW14" s="191"/>
      <c r="DX14" s="191"/>
      <c r="DY14" s="191"/>
      <c r="DZ14" s="191"/>
      <c r="EA14" s="191">
        <v>250</v>
      </c>
      <c r="EB14" s="191"/>
      <c r="EC14" s="191"/>
      <c r="ED14" s="191"/>
      <c r="EE14" s="191"/>
      <c r="EF14" s="191"/>
      <c r="EG14" s="191"/>
      <c r="EH14" s="191">
        <v>160</v>
      </c>
      <c r="EI14" s="191"/>
      <c r="EJ14" s="191"/>
      <c r="EK14" s="191"/>
      <c r="EL14" s="191"/>
      <c r="EM14" s="192"/>
      <c r="EN14" s="190"/>
      <c r="EO14" s="191">
        <v>250</v>
      </c>
      <c r="EP14" s="191"/>
      <c r="EQ14" s="191"/>
      <c r="ER14" s="191"/>
      <c r="ES14" s="191"/>
      <c r="ET14" s="191"/>
      <c r="EU14" s="191"/>
      <c r="EV14" s="191">
        <v>160</v>
      </c>
      <c r="EW14" s="191"/>
      <c r="EX14" s="191"/>
      <c r="EY14" s="191"/>
      <c r="EZ14" s="191"/>
      <c r="FA14" s="191"/>
      <c r="FB14" s="191"/>
      <c r="FC14" s="191">
        <v>200</v>
      </c>
      <c r="FD14" s="191"/>
      <c r="FE14" s="191"/>
      <c r="FF14" s="191"/>
      <c r="FG14" s="191"/>
      <c r="FH14" s="191"/>
      <c r="FI14" s="191"/>
      <c r="FJ14" s="191">
        <v>200</v>
      </c>
      <c r="FK14" s="191"/>
      <c r="FL14" s="191"/>
      <c r="FM14" s="191"/>
      <c r="FN14" s="191"/>
      <c r="FO14" s="191"/>
      <c r="FP14" s="191"/>
      <c r="FQ14" s="193">
        <v>110</v>
      </c>
      <c r="FR14" s="194"/>
      <c r="FS14" s="191"/>
      <c r="FT14" s="191"/>
      <c r="FU14" s="191"/>
      <c r="FV14" s="191"/>
      <c r="FW14" s="191"/>
      <c r="FX14" s="191">
        <v>300</v>
      </c>
      <c r="FY14" s="191"/>
      <c r="FZ14" s="191"/>
      <c r="GA14" s="191"/>
      <c r="GB14" s="191"/>
      <c r="GC14" s="191"/>
      <c r="GD14" s="191"/>
      <c r="GE14" s="191">
        <v>150</v>
      </c>
      <c r="GF14" s="191"/>
      <c r="GG14" s="191"/>
      <c r="GH14" s="191"/>
      <c r="GI14" s="191"/>
      <c r="GJ14" s="191"/>
      <c r="GK14" s="191"/>
      <c r="GL14" s="191">
        <v>300</v>
      </c>
      <c r="GM14" s="191"/>
      <c r="GN14" s="191"/>
      <c r="GO14" s="191"/>
      <c r="GP14" s="191"/>
      <c r="GQ14" s="191"/>
      <c r="GR14" s="191"/>
      <c r="GS14" s="191">
        <v>160</v>
      </c>
      <c r="GT14" s="191"/>
      <c r="GU14" s="191"/>
      <c r="GV14" s="192"/>
      <c r="GW14" s="190"/>
      <c r="GX14" s="191"/>
      <c r="GY14" s="191"/>
      <c r="GZ14" s="191">
        <v>200</v>
      </c>
      <c r="HA14" s="191"/>
      <c r="HB14" s="191"/>
      <c r="HC14" s="191"/>
      <c r="HD14" s="191"/>
      <c r="HE14" s="191"/>
      <c r="HF14" s="191"/>
      <c r="HG14" s="191">
        <v>200</v>
      </c>
      <c r="HH14" s="191"/>
      <c r="HI14" s="191"/>
      <c r="HJ14" s="191"/>
      <c r="HK14" s="191"/>
      <c r="HL14" s="191"/>
      <c r="HM14" s="191"/>
      <c r="HN14" s="191">
        <v>200</v>
      </c>
      <c r="HO14" s="191"/>
      <c r="HP14" s="191"/>
      <c r="HQ14" s="191"/>
      <c r="HR14" s="191"/>
      <c r="HS14" s="191"/>
      <c r="HT14" s="191"/>
      <c r="HU14" s="191">
        <v>150</v>
      </c>
      <c r="HV14" s="191"/>
      <c r="HW14" s="191"/>
      <c r="HX14" s="191"/>
      <c r="HY14" s="191"/>
      <c r="HZ14" s="193"/>
      <c r="IA14" s="194"/>
      <c r="IB14" s="191">
        <v>60</v>
      </c>
      <c r="IC14" s="191"/>
      <c r="ID14" s="191"/>
      <c r="IE14" s="191"/>
      <c r="IF14" s="191"/>
      <c r="IG14" s="191"/>
      <c r="IH14" s="191"/>
      <c r="II14" s="191">
        <v>210</v>
      </c>
      <c r="IJ14" s="191"/>
      <c r="IK14" s="191"/>
      <c r="IL14" s="191"/>
      <c r="IM14" s="191"/>
      <c r="IN14" s="191"/>
      <c r="IO14" s="191"/>
      <c r="IP14" s="191"/>
      <c r="IQ14" s="191"/>
      <c r="IR14" s="191">
        <v>300</v>
      </c>
      <c r="IS14" s="191"/>
      <c r="IT14" s="191"/>
      <c r="IU14" s="191"/>
      <c r="IV14" s="191"/>
      <c r="IW14" s="191">
        <v>110</v>
      </c>
      <c r="IX14" s="191"/>
      <c r="IY14" s="191"/>
      <c r="IZ14" s="191"/>
      <c r="JA14" s="191"/>
      <c r="JB14" s="191"/>
      <c r="JC14" s="191"/>
      <c r="JD14" s="191">
        <v>200</v>
      </c>
      <c r="JE14" s="192"/>
      <c r="JF14" s="190"/>
      <c r="JG14" s="191"/>
      <c r="JH14" s="191"/>
      <c r="JI14" s="191"/>
      <c r="JJ14" s="191"/>
      <c r="JK14" s="191">
        <v>100</v>
      </c>
      <c r="JL14" s="191"/>
      <c r="JM14" s="191"/>
      <c r="JN14" s="191"/>
      <c r="JO14" s="191"/>
      <c r="JP14" s="191"/>
      <c r="JQ14" s="191"/>
      <c r="JR14" s="191">
        <v>150</v>
      </c>
      <c r="JS14" s="191"/>
      <c r="JT14" s="191"/>
      <c r="JU14" s="191"/>
      <c r="JV14" s="191"/>
      <c r="JW14" s="191"/>
      <c r="JX14" s="191"/>
      <c r="JY14" s="191"/>
      <c r="JZ14" s="191">
        <v>200</v>
      </c>
      <c r="KA14" s="191"/>
      <c r="KB14" s="191"/>
      <c r="KC14" s="191"/>
      <c r="KD14" s="191"/>
      <c r="KE14" s="191"/>
      <c r="KF14" s="191">
        <v>200</v>
      </c>
      <c r="KG14" s="191"/>
      <c r="KH14" s="191"/>
      <c r="KI14" s="191"/>
      <c r="KJ14" s="193"/>
      <c r="KK14" s="194"/>
      <c r="KL14" s="191"/>
      <c r="KM14" s="191">
        <v>250</v>
      </c>
      <c r="KN14" s="191"/>
      <c r="KO14" s="191"/>
      <c r="KP14" s="191"/>
      <c r="KQ14" s="191"/>
      <c r="KR14" s="191"/>
      <c r="KS14" s="191"/>
      <c r="KT14" s="191"/>
      <c r="KU14" s="191">
        <v>250</v>
      </c>
      <c r="KV14" s="191"/>
      <c r="KW14" s="191"/>
      <c r="KX14" s="191"/>
      <c r="KY14" s="191"/>
      <c r="KZ14" s="191"/>
      <c r="LA14" s="191">
        <v>110</v>
      </c>
      <c r="LB14" s="191"/>
      <c r="LC14" s="191"/>
      <c r="LD14" s="191"/>
      <c r="LE14" s="191"/>
      <c r="LF14" s="191"/>
      <c r="LG14" s="191"/>
      <c r="LH14" s="191">
        <v>200</v>
      </c>
      <c r="LI14" s="191"/>
      <c r="LJ14" s="191"/>
      <c r="LK14" s="191"/>
      <c r="LL14" s="191"/>
      <c r="LM14" s="191"/>
      <c r="LN14" s="192"/>
      <c r="LO14" s="190">
        <v>110</v>
      </c>
      <c r="LP14" s="191"/>
      <c r="LQ14" s="191"/>
      <c r="LR14" s="191"/>
      <c r="LS14" s="191"/>
      <c r="LT14" s="191"/>
      <c r="LU14" s="191"/>
      <c r="LV14" s="191">
        <v>100</v>
      </c>
      <c r="LW14" s="191"/>
      <c r="LX14" s="191"/>
      <c r="LY14" s="191"/>
      <c r="LZ14" s="191"/>
      <c r="MA14" s="191"/>
      <c r="MB14" s="191"/>
      <c r="MC14" s="191">
        <v>110</v>
      </c>
      <c r="MD14" s="191"/>
      <c r="ME14" s="191"/>
      <c r="MF14" s="191"/>
      <c r="MG14" s="191"/>
      <c r="MH14" s="191"/>
      <c r="MI14" s="191"/>
      <c r="MJ14" s="191">
        <v>150</v>
      </c>
      <c r="MK14" s="191"/>
      <c r="ML14" s="191"/>
      <c r="MM14" s="191"/>
      <c r="MN14" s="191"/>
      <c r="MO14" s="191"/>
      <c r="MP14" s="191"/>
      <c r="MQ14" s="191">
        <v>250</v>
      </c>
      <c r="MR14" s="191"/>
      <c r="MS14" s="193"/>
      <c r="MT14" s="194"/>
      <c r="MU14" s="191"/>
      <c r="MV14" s="191"/>
      <c r="MW14" s="191"/>
      <c r="MX14" s="191">
        <v>110</v>
      </c>
      <c r="MY14" s="191"/>
      <c r="MZ14" s="191"/>
      <c r="NA14" s="191"/>
      <c r="NB14" s="191"/>
      <c r="NC14" s="191"/>
      <c r="ND14" s="191"/>
      <c r="NE14" s="191"/>
      <c r="NF14" s="191">
        <v>250</v>
      </c>
      <c r="NG14" s="191"/>
      <c r="NH14" s="191"/>
      <c r="NI14" s="191"/>
      <c r="NJ14" s="191"/>
      <c r="NK14" s="191"/>
      <c r="NL14" s="191">
        <v>20</v>
      </c>
      <c r="NM14" s="191"/>
      <c r="NN14" s="191"/>
      <c r="NO14" s="191"/>
      <c r="NP14" s="191"/>
      <c r="NQ14" s="191"/>
      <c r="NR14" s="191"/>
      <c r="NS14" s="191">
        <v>300</v>
      </c>
      <c r="NT14" s="191"/>
      <c r="NU14" s="191"/>
      <c r="NV14" s="191"/>
      <c r="NW14" s="192"/>
      <c r="NX14" s="190"/>
      <c r="NY14" s="191"/>
      <c r="NZ14" s="191">
        <v>20</v>
      </c>
      <c r="OA14" s="191"/>
      <c r="OB14" s="191"/>
      <c r="OC14" s="191"/>
      <c r="OD14" s="191"/>
      <c r="OE14" s="191"/>
      <c r="OF14" s="191"/>
      <c r="OG14" s="191">
        <v>60</v>
      </c>
      <c r="OH14" s="191"/>
      <c r="OI14" s="191"/>
      <c r="OJ14" s="191"/>
      <c r="OK14" s="191"/>
      <c r="OL14" s="191"/>
      <c r="OM14" s="191"/>
      <c r="ON14" s="191">
        <v>150</v>
      </c>
      <c r="OO14" s="191"/>
      <c r="OP14" s="191"/>
      <c r="OQ14" s="191"/>
      <c r="OR14" s="191"/>
      <c r="OS14" s="191"/>
      <c r="OT14" s="191"/>
      <c r="OU14" s="191"/>
      <c r="OV14" s="191"/>
      <c r="OW14" s="191"/>
      <c r="OX14" s="191"/>
      <c r="OY14" s="191"/>
      <c r="OZ14" s="191"/>
      <c r="PA14" s="191"/>
      <c r="PB14" s="193"/>
      <c r="PC14" s="47"/>
      <c r="PD14" s="154" t="s">
        <v>97</v>
      </c>
      <c r="PE14" s="155" t="s">
        <v>98</v>
      </c>
      <c r="PF14" s="155" t="s">
        <v>98</v>
      </c>
      <c r="PG14" s="155" t="s">
        <v>98</v>
      </c>
      <c r="PH14" s="155" t="s">
        <v>98</v>
      </c>
      <c r="PI14" s="155" t="s">
        <v>98</v>
      </c>
      <c r="PJ14" s="155" t="s">
        <v>98</v>
      </c>
      <c r="PK14" s="155" t="s">
        <v>98</v>
      </c>
      <c r="PL14" s="155" t="s">
        <v>98</v>
      </c>
      <c r="PM14" s="155" t="s">
        <v>98</v>
      </c>
      <c r="PN14" s="155" t="s">
        <v>98</v>
      </c>
      <c r="PO14" s="156"/>
      <c r="PP14" s="156"/>
      <c r="PQ14" s="156"/>
      <c r="PR14" s="156"/>
      <c r="PS14" s="156"/>
      <c r="PT14" s="156"/>
      <c r="PU14" s="156"/>
      <c r="PV14" s="156"/>
      <c r="PW14" s="156"/>
      <c r="PX14" s="195"/>
      <c r="PY14" s="1"/>
      <c r="PZ14" s="196">
        <f t="shared" si="20"/>
        <v>790</v>
      </c>
      <c r="QA14" s="176">
        <f t="shared" si="21"/>
        <v>6.5904730124301328E-3</v>
      </c>
      <c r="QB14" s="177" t="str">
        <f t="shared" ca="1" si="22"/>
        <v>Attente…</v>
      </c>
      <c r="QC14" s="197">
        <f t="shared" si="23"/>
        <v>800</v>
      </c>
      <c r="QD14" s="179">
        <f t="shared" si="24"/>
        <v>7.4906367041198503E-3</v>
      </c>
      <c r="QE14" s="180" t="str">
        <f t="shared" ca="1" si="25"/>
        <v>Attente…</v>
      </c>
      <c r="QF14" s="196">
        <f t="shared" si="26"/>
        <v>820</v>
      </c>
      <c r="QG14" s="176">
        <f t="shared" si="27"/>
        <v>6.529702181876095E-3</v>
      </c>
      <c r="QH14" s="177" t="str">
        <f t="shared" ca="1" si="28"/>
        <v>Attente…</v>
      </c>
      <c r="QI14" s="197">
        <f t="shared" si="29"/>
        <v>920</v>
      </c>
      <c r="QJ14" s="179">
        <f t="shared" si="30"/>
        <v>6.4525178846963106E-3</v>
      </c>
      <c r="QK14" s="180" t="str">
        <f t="shared" ca="1" si="31"/>
        <v>Attente…</v>
      </c>
      <c r="QL14" s="196">
        <f t="shared" si="32"/>
        <v>910</v>
      </c>
      <c r="QM14" s="176">
        <f t="shared" si="33"/>
        <v>6.6578870354111796E-3</v>
      </c>
      <c r="QN14" s="177" t="str">
        <f t="shared" ca="1" si="34"/>
        <v>Attente…</v>
      </c>
      <c r="QO14" s="197">
        <f t="shared" si="35"/>
        <v>750</v>
      </c>
      <c r="QP14" s="179">
        <f t="shared" si="36"/>
        <v>5.8717607453221635E-3</v>
      </c>
      <c r="QQ14" s="180" t="str">
        <f t="shared" ca="1" si="37"/>
        <v>Attente…</v>
      </c>
      <c r="QR14" s="196">
        <f t="shared" si="38"/>
        <v>880</v>
      </c>
      <c r="QS14" s="176">
        <f t="shared" si="39"/>
        <v>6.335265109247327E-3</v>
      </c>
      <c r="QT14" s="177" t="str">
        <f t="shared" ca="1" si="40"/>
        <v>Attente…</v>
      </c>
      <c r="QU14" s="197">
        <f t="shared" si="41"/>
        <v>650</v>
      </c>
      <c r="QV14" s="179">
        <f t="shared" si="42"/>
        <v>4.4815223386651956E-3</v>
      </c>
      <c r="QW14" s="180" t="str">
        <f t="shared" ca="1" si="43"/>
        <v>Attente…</v>
      </c>
      <c r="QX14" s="196">
        <f t="shared" si="44"/>
        <v>810</v>
      </c>
      <c r="QY14" s="176">
        <f t="shared" si="45"/>
        <v>5.9108555416095042E-3</v>
      </c>
      <c r="QZ14" s="177" t="str">
        <f t="shared" ca="1" si="46"/>
        <v>Attente…</v>
      </c>
      <c r="RA14" s="197">
        <f t="shared" si="47"/>
        <v>720</v>
      </c>
      <c r="RB14" s="179">
        <f t="shared" si="48"/>
        <v>5.633362021751037E-3</v>
      </c>
      <c r="RC14" s="180" t="str">
        <f t="shared" ca="1" si="49"/>
        <v>Attente…</v>
      </c>
      <c r="RD14" s="196">
        <f t="shared" si="50"/>
        <v>680</v>
      </c>
      <c r="RE14" s="176">
        <f t="shared" si="51"/>
        <v>6.775607811877242E-3</v>
      </c>
      <c r="RF14" s="177" t="str">
        <f t="shared" ca="1" si="52"/>
        <v>Attente…</v>
      </c>
      <c r="RG14" s="197">
        <f t="shared" si="53"/>
        <v>230</v>
      </c>
      <c r="RH14" s="179">
        <f t="shared" si="54"/>
        <v>4.2302740481883387E-3</v>
      </c>
      <c r="RI14" s="198" t="str">
        <f t="shared" ca="1" si="55"/>
        <v>Attente…</v>
      </c>
      <c r="RJ14" s="199">
        <f t="shared" si="56"/>
        <v>2410</v>
      </c>
      <c r="RK14" s="200" t="str">
        <f t="shared" ca="1" si="13"/>
        <v>Attente…</v>
      </c>
      <c r="RL14" s="199">
        <f t="shared" si="57"/>
        <v>2580</v>
      </c>
      <c r="RM14" s="200" t="str">
        <f t="shared" ca="1" si="58"/>
        <v>Atttente…</v>
      </c>
      <c r="RN14" s="199">
        <f t="shared" si="59"/>
        <v>2340</v>
      </c>
      <c r="RO14" s="200" t="str">
        <f t="shared" ca="1" si="14"/>
        <v>Attente…</v>
      </c>
      <c r="RP14" s="199">
        <f t="shared" si="60"/>
        <v>1630</v>
      </c>
      <c r="RQ14" s="200" t="str">
        <f t="shared" ca="1" si="15"/>
        <v>Attente…</v>
      </c>
      <c r="RR14" s="201">
        <f t="shared" si="61"/>
        <v>8960</v>
      </c>
      <c r="RS14" s="202" t="str">
        <f t="shared" ca="1" si="16"/>
        <v>Attente…</v>
      </c>
      <c r="RT14" s="103"/>
      <c r="RU14" s="203">
        <f t="shared" si="62"/>
        <v>0.44799999999999995</v>
      </c>
      <c r="RV14" s="204">
        <f t="shared" si="6"/>
        <v>2</v>
      </c>
      <c r="RW14" s="204">
        <f t="shared" si="6"/>
        <v>1</v>
      </c>
      <c r="RX14" s="204">
        <f t="shared" si="63"/>
        <v>50</v>
      </c>
      <c r="RY14" s="205" t="str">
        <f t="shared" si="64"/>
        <v>DUCLAIR - 28 rue de Ronnenberg (Face au Relais Dellard - Parking de droite)</v>
      </c>
      <c r="RZ14" s="189" t="str">
        <f>IF(OR(RZ13="",RZ13="  &lt;/Document&gt;
&lt;/kml&gt;"),"",
IF(B14="","  &lt;/Document&gt;
&lt;/kml&gt;",
IF(TournéesCAV!Q14=""," ",
"    &lt;Placemark&gt;
      &lt;description&gt;&lt;![CDATA["&amp;B14&amp;"&lt;br&gt;&lt;br&gt;"&amp;RV14&amp;" CAV&lt;br&gt;&lt;br&gt;Présent sur "&amp;RW14&amp;" tournée(s)&lt;br&gt;&lt;br&gt;Taux de remplissage moyen "&amp;TEXT(RU14*1000,"0 %")&amp;"]]&gt;&lt;/description&gt;
      &lt;Style&gt;
        &lt;IconStyle&gt;
          &lt;color&gt;ff"&amp;
          DEC2HEX(0,2)&amp;
          DEC2HEX(
            IF(RU14&lt;=0.5,
               INT(255*(RU14*2)),
               255
            ),2)&amp;
          DEC2HEX(
            IF(RU14&lt;=0.5,
               255,
               INT(255*(1-(RU14-0.5)*2))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&lt;Point&gt;&lt;coordinates&gt;"&amp;R14&amp;","&amp;Q14&amp;",0&lt;/coordinates&gt;&lt;/Point&gt;
    &lt;/Placemark&gt;"
)))</f>
        <v xml:space="preserve">    &lt;Placemark&gt;
      &lt;description&gt;&lt;![CDATA[DUCLAIR - 28 rue de Ronnenberg (Face au Relais Dellard - Parking de droite)&lt;br&gt;&lt;br&gt;2 CAV&lt;br&gt;&lt;br&gt;Présent sur 1 tournée(s)&lt;br&gt;&lt;br&gt;Taux de remplissage moyen 45%]]&gt;&lt;/description&gt;
      &lt;Style&gt;
        &lt;IconStyle&gt;
          &lt;color&gt;ff00E4FF&lt;/color&gt;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&lt;Point&gt;&lt;coordinates&gt;0.875153,49.480997,0&lt;/coordinates&gt;&lt;/Point&gt;
    &lt;/Placemark&gt;</v>
      </c>
    </row>
    <row r="15" spans="1:494" ht="15" hidden="1" customHeight="1" x14ac:dyDescent="0.35">
      <c r="A15"/>
      <c r="B15" s="153" t="str">
        <f t="shared" si="17"/>
        <v>ROUEN - 53 rue Desseaux (Resto du Cœur)</v>
      </c>
      <c r="C15" s="154">
        <v>122</v>
      </c>
      <c r="D15" s="155"/>
      <c r="E15" s="155"/>
      <c r="F15" s="155"/>
      <c r="G15" s="155"/>
      <c r="H15" s="155"/>
      <c r="I15" s="155"/>
      <c r="J15" s="156"/>
      <c r="K15" s="157">
        <f t="shared" si="18"/>
        <v>1</v>
      </c>
      <c r="L15" s="157">
        <f t="shared" si="19"/>
        <v>2</v>
      </c>
      <c r="M15" s="158" t="s">
        <v>145</v>
      </c>
      <c r="N15" s="159" t="s">
        <v>146</v>
      </c>
      <c r="O15" s="159">
        <v>76100</v>
      </c>
      <c r="P15" s="159" t="s">
        <v>90</v>
      </c>
      <c r="Q15" s="159" t="s">
        <v>147</v>
      </c>
      <c r="R15" s="159" t="s">
        <v>148</v>
      </c>
      <c r="S15" s="159" t="s">
        <v>93</v>
      </c>
      <c r="T15" s="159" t="s">
        <v>94</v>
      </c>
      <c r="U15" s="159" t="s">
        <v>149</v>
      </c>
      <c r="V15" s="160" t="s">
        <v>96</v>
      </c>
      <c r="W15" s="161"/>
      <c r="X15" s="162"/>
      <c r="Y15" s="163"/>
      <c r="Z15" s="162"/>
      <c r="AA15" s="163">
        <v>2</v>
      </c>
      <c r="AB15" s="162">
        <v>3</v>
      </c>
      <c r="AC15" s="163"/>
      <c r="AD15" s="162"/>
      <c r="AE15" s="163"/>
      <c r="AF15" s="162"/>
      <c r="AG15" s="163"/>
      <c r="AH15" s="163"/>
      <c r="AI15" s="162"/>
      <c r="AJ15" s="163"/>
      <c r="AK15" s="162"/>
      <c r="AL15" s="163"/>
      <c r="AM15" s="162"/>
      <c r="AN15" s="163"/>
      <c r="AO15" s="162"/>
      <c r="AP15" s="164"/>
      <c r="AQ15" s="164"/>
      <c r="AR15" s="164"/>
      <c r="AS15" s="164"/>
      <c r="AT15" s="164"/>
      <c r="AU15" s="164"/>
      <c r="AV15" s="164"/>
      <c r="AW15" s="164"/>
      <c r="AX15" s="164"/>
      <c r="AY15" s="165"/>
      <c r="AZ15" s="41"/>
      <c r="BA15" s="190"/>
      <c r="BB15" s="191"/>
      <c r="BC15" s="191">
        <v>200</v>
      </c>
      <c r="BD15" s="191"/>
      <c r="BE15" s="191"/>
      <c r="BF15" s="191"/>
      <c r="BG15" s="191">
        <v>100</v>
      </c>
      <c r="BH15" s="191"/>
      <c r="BI15" s="191"/>
      <c r="BJ15" s="191">
        <v>100</v>
      </c>
      <c r="BK15" s="191"/>
      <c r="BL15" s="191"/>
      <c r="BM15" s="191"/>
      <c r="BN15" s="191">
        <v>100</v>
      </c>
      <c r="BO15" s="191"/>
      <c r="BP15" s="191"/>
      <c r="BQ15" s="191">
        <v>50</v>
      </c>
      <c r="BR15" s="191"/>
      <c r="BS15" s="191"/>
      <c r="BT15" s="191"/>
      <c r="BU15" s="191">
        <v>50</v>
      </c>
      <c r="BV15" s="191"/>
      <c r="BW15" s="191"/>
      <c r="BX15" s="191">
        <v>10</v>
      </c>
      <c r="BY15" s="191"/>
      <c r="BZ15" s="191"/>
      <c r="CA15" s="191"/>
      <c r="CB15" s="191">
        <v>150</v>
      </c>
      <c r="CC15" s="191"/>
      <c r="CD15" s="191"/>
      <c r="CE15" s="192">
        <v>50</v>
      </c>
      <c r="CF15" s="190"/>
      <c r="CG15" s="191"/>
      <c r="CH15" s="191"/>
      <c r="CI15" s="191">
        <v>100</v>
      </c>
      <c r="CJ15" s="191"/>
      <c r="CK15" s="191"/>
      <c r="CL15" s="191">
        <v>50</v>
      </c>
      <c r="CM15" s="191"/>
      <c r="CN15" s="191"/>
      <c r="CO15" s="191"/>
      <c r="CP15" s="191">
        <v>100</v>
      </c>
      <c r="CQ15" s="191"/>
      <c r="CR15" s="191"/>
      <c r="CS15" s="191">
        <v>100</v>
      </c>
      <c r="CT15" s="191"/>
      <c r="CU15" s="191"/>
      <c r="CV15" s="191"/>
      <c r="CW15" s="191">
        <v>10</v>
      </c>
      <c r="CX15" s="191"/>
      <c r="CY15" s="191"/>
      <c r="CZ15" s="191">
        <v>150</v>
      </c>
      <c r="DA15" s="191"/>
      <c r="DB15" s="191"/>
      <c r="DC15" s="191"/>
      <c r="DD15" s="191">
        <v>50</v>
      </c>
      <c r="DE15" s="191"/>
      <c r="DF15" s="191"/>
      <c r="DG15" s="191">
        <v>100</v>
      </c>
      <c r="DH15" s="193"/>
      <c r="DI15" s="194"/>
      <c r="DJ15" s="191"/>
      <c r="DK15" s="191"/>
      <c r="DL15" s="191">
        <v>100</v>
      </c>
      <c r="DM15" s="191"/>
      <c r="DN15" s="191"/>
      <c r="DO15" s="191">
        <v>50</v>
      </c>
      <c r="DP15" s="191"/>
      <c r="DQ15" s="191"/>
      <c r="DR15" s="191"/>
      <c r="DS15" s="191">
        <v>10</v>
      </c>
      <c r="DT15" s="191"/>
      <c r="DU15" s="191"/>
      <c r="DV15" s="191">
        <v>50</v>
      </c>
      <c r="DW15" s="191"/>
      <c r="DX15" s="191"/>
      <c r="DY15" s="191"/>
      <c r="DZ15" s="191">
        <v>50</v>
      </c>
      <c r="EA15" s="191"/>
      <c r="EB15" s="191"/>
      <c r="EC15" s="191">
        <v>50</v>
      </c>
      <c r="ED15" s="191"/>
      <c r="EE15" s="191"/>
      <c r="EF15" s="191"/>
      <c r="EG15" s="191">
        <v>100</v>
      </c>
      <c r="EH15" s="191"/>
      <c r="EI15" s="191"/>
      <c r="EJ15" s="191">
        <v>100</v>
      </c>
      <c r="EK15" s="191"/>
      <c r="EL15" s="191"/>
      <c r="EM15" s="192"/>
      <c r="EN15" s="190">
        <v>50</v>
      </c>
      <c r="EO15" s="191"/>
      <c r="EP15" s="191"/>
      <c r="EQ15" s="191">
        <v>150</v>
      </c>
      <c r="ER15" s="191"/>
      <c r="ES15" s="191"/>
      <c r="ET15" s="191"/>
      <c r="EU15" s="191">
        <v>150</v>
      </c>
      <c r="EV15" s="191"/>
      <c r="EW15" s="191"/>
      <c r="EX15" s="191">
        <v>100</v>
      </c>
      <c r="EY15" s="191"/>
      <c r="EZ15" s="191"/>
      <c r="FA15" s="191"/>
      <c r="FB15" s="191">
        <v>150</v>
      </c>
      <c r="FC15" s="191"/>
      <c r="FD15" s="191"/>
      <c r="FE15" s="191"/>
      <c r="FF15" s="191"/>
      <c r="FG15" s="191"/>
      <c r="FH15" s="191"/>
      <c r="FI15" s="191">
        <v>100</v>
      </c>
      <c r="FJ15" s="191"/>
      <c r="FK15" s="191"/>
      <c r="FL15" s="191"/>
      <c r="FM15" s="191"/>
      <c r="FN15" s="191"/>
      <c r="FO15" s="191"/>
      <c r="FP15" s="191">
        <v>150</v>
      </c>
      <c r="FQ15" s="193"/>
      <c r="FR15" s="194"/>
      <c r="FS15" s="191">
        <v>100</v>
      </c>
      <c r="FT15" s="191"/>
      <c r="FU15" s="191"/>
      <c r="FV15" s="191"/>
      <c r="FW15" s="191">
        <v>50</v>
      </c>
      <c r="FX15" s="191"/>
      <c r="FY15" s="191"/>
      <c r="FZ15" s="191">
        <v>10</v>
      </c>
      <c r="GA15" s="191"/>
      <c r="GB15" s="191"/>
      <c r="GC15" s="191"/>
      <c r="GD15" s="191">
        <v>10</v>
      </c>
      <c r="GE15" s="191"/>
      <c r="GF15" s="191"/>
      <c r="GG15" s="191">
        <v>100</v>
      </c>
      <c r="GH15" s="191"/>
      <c r="GI15" s="191"/>
      <c r="GJ15" s="191"/>
      <c r="GK15" s="191">
        <v>100</v>
      </c>
      <c r="GL15" s="191"/>
      <c r="GM15" s="191"/>
      <c r="GN15" s="191">
        <v>150</v>
      </c>
      <c r="GO15" s="191"/>
      <c r="GP15" s="191"/>
      <c r="GQ15" s="191"/>
      <c r="GR15" s="191">
        <v>50</v>
      </c>
      <c r="GS15" s="191"/>
      <c r="GT15" s="191"/>
      <c r="GU15" s="191">
        <v>50</v>
      </c>
      <c r="GV15" s="192"/>
      <c r="GW15" s="190"/>
      <c r="GX15" s="191"/>
      <c r="GY15" s="191">
        <v>200</v>
      </c>
      <c r="GZ15" s="191"/>
      <c r="HA15" s="191"/>
      <c r="HB15" s="191">
        <v>50</v>
      </c>
      <c r="HC15" s="191"/>
      <c r="HD15" s="191"/>
      <c r="HE15" s="191"/>
      <c r="HF15" s="191">
        <v>150</v>
      </c>
      <c r="HG15" s="191"/>
      <c r="HH15" s="191"/>
      <c r="HI15" s="191">
        <v>100</v>
      </c>
      <c r="HJ15" s="191"/>
      <c r="HK15" s="191"/>
      <c r="HL15" s="191"/>
      <c r="HM15" s="191"/>
      <c r="HN15" s="191"/>
      <c r="HO15" s="191"/>
      <c r="HP15" s="191">
        <v>100</v>
      </c>
      <c r="HQ15" s="191"/>
      <c r="HR15" s="191"/>
      <c r="HS15" s="191"/>
      <c r="HT15" s="191">
        <v>150</v>
      </c>
      <c r="HU15" s="191"/>
      <c r="HV15" s="191"/>
      <c r="HW15" s="191">
        <v>200</v>
      </c>
      <c r="HX15" s="191"/>
      <c r="HY15" s="191"/>
      <c r="HZ15" s="193"/>
      <c r="IA15" s="194">
        <v>100</v>
      </c>
      <c r="IB15" s="191"/>
      <c r="IC15" s="191"/>
      <c r="ID15" s="191">
        <v>100</v>
      </c>
      <c r="IE15" s="191"/>
      <c r="IF15" s="191"/>
      <c r="IG15" s="191"/>
      <c r="IH15" s="191"/>
      <c r="II15" s="191"/>
      <c r="IJ15" s="191"/>
      <c r="IK15" s="191">
        <v>200</v>
      </c>
      <c r="IL15" s="191"/>
      <c r="IM15" s="191"/>
      <c r="IN15" s="191"/>
      <c r="IO15" s="191"/>
      <c r="IP15" s="191">
        <v>100</v>
      </c>
      <c r="IQ15" s="191"/>
      <c r="IR15" s="191"/>
      <c r="IS15" s="191"/>
      <c r="IT15" s="191"/>
      <c r="IU15" s="191"/>
      <c r="IV15" s="191">
        <v>150</v>
      </c>
      <c r="IW15" s="191"/>
      <c r="IX15" s="191"/>
      <c r="IY15" s="191"/>
      <c r="IZ15" s="191"/>
      <c r="JA15" s="191"/>
      <c r="JB15" s="191"/>
      <c r="JC15" s="191">
        <v>150</v>
      </c>
      <c r="JD15" s="191"/>
      <c r="JE15" s="192"/>
      <c r="JF15" s="190">
        <v>50</v>
      </c>
      <c r="JG15" s="191"/>
      <c r="JH15" s="191"/>
      <c r="JI15" s="191"/>
      <c r="JJ15" s="191">
        <v>100</v>
      </c>
      <c r="JK15" s="191"/>
      <c r="JL15" s="191"/>
      <c r="JM15" s="191">
        <v>100</v>
      </c>
      <c r="JN15" s="191"/>
      <c r="JO15" s="191"/>
      <c r="JP15" s="191"/>
      <c r="JQ15" s="191">
        <v>150</v>
      </c>
      <c r="JR15" s="191"/>
      <c r="JS15" s="191"/>
      <c r="JT15" s="191"/>
      <c r="JU15" s="191"/>
      <c r="JV15" s="191"/>
      <c r="JW15" s="191"/>
      <c r="JX15" s="191">
        <v>150</v>
      </c>
      <c r="JY15" s="191"/>
      <c r="JZ15" s="191"/>
      <c r="KA15" s="191"/>
      <c r="KB15" s="191"/>
      <c r="KC15" s="191"/>
      <c r="KD15" s="191"/>
      <c r="KE15" s="191">
        <v>100</v>
      </c>
      <c r="KF15" s="191"/>
      <c r="KG15" s="191"/>
      <c r="KH15" s="191">
        <v>100</v>
      </c>
      <c r="KI15" s="191"/>
      <c r="KJ15" s="193"/>
      <c r="KK15" s="194"/>
      <c r="KL15" s="191">
        <v>100</v>
      </c>
      <c r="KM15" s="191"/>
      <c r="KN15" s="191"/>
      <c r="KO15" s="191">
        <v>100</v>
      </c>
      <c r="KP15" s="191"/>
      <c r="KQ15" s="191"/>
      <c r="KR15" s="191"/>
      <c r="KS15" s="191">
        <v>100</v>
      </c>
      <c r="KT15" s="191"/>
      <c r="KU15" s="191"/>
      <c r="KV15" s="191">
        <v>100</v>
      </c>
      <c r="KW15" s="191"/>
      <c r="KX15" s="191"/>
      <c r="KY15" s="191"/>
      <c r="KZ15" s="191">
        <v>50</v>
      </c>
      <c r="LA15" s="191"/>
      <c r="LB15" s="191"/>
      <c r="LC15" s="191"/>
      <c r="LD15" s="191"/>
      <c r="LE15" s="191"/>
      <c r="LF15" s="191"/>
      <c r="LG15" s="191">
        <v>100</v>
      </c>
      <c r="LH15" s="191"/>
      <c r="LI15" s="191"/>
      <c r="LJ15" s="191">
        <v>200</v>
      </c>
      <c r="LK15" s="191"/>
      <c r="LL15" s="191"/>
      <c r="LM15" s="191"/>
      <c r="LN15" s="192">
        <v>100</v>
      </c>
      <c r="LO15" s="190"/>
      <c r="LP15" s="191"/>
      <c r="LQ15" s="191"/>
      <c r="LR15" s="191"/>
      <c r="LS15" s="191"/>
      <c r="LT15" s="191"/>
      <c r="LU15" s="191">
        <v>200</v>
      </c>
      <c r="LV15" s="191"/>
      <c r="LW15" s="191"/>
      <c r="LX15" s="191">
        <v>50</v>
      </c>
      <c r="LY15" s="191"/>
      <c r="LZ15" s="191"/>
      <c r="MA15" s="191"/>
      <c r="MB15" s="191">
        <v>100</v>
      </c>
      <c r="MC15" s="191"/>
      <c r="MD15" s="191"/>
      <c r="ME15" s="191">
        <v>50</v>
      </c>
      <c r="MF15" s="191"/>
      <c r="MG15" s="191"/>
      <c r="MH15" s="191"/>
      <c r="MI15" s="191">
        <v>50</v>
      </c>
      <c r="MJ15" s="191"/>
      <c r="MK15" s="191"/>
      <c r="ML15" s="191">
        <v>200</v>
      </c>
      <c r="MM15" s="191"/>
      <c r="MN15" s="191"/>
      <c r="MO15" s="191"/>
      <c r="MP15" s="191">
        <v>50</v>
      </c>
      <c r="MQ15" s="191"/>
      <c r="MR15" s="191"/>
      <c r="MS15" s="193"/>
      <c r="MT15" s="194"/>
      <c r="MU15" s="191"/>
      <c r="MV15" s="191"/>
      <c r="MW15" s="191">
        <v>200</v>
      </c>
      <c r="MX15" s="191"/>
      <c r="MY15" s="191"/>
      <c r="MZ15" s="191">
        <v>150</v>
      </c>
      <c r="NA15" s="191"/>
      <c r="NB15" s="191"/>
      <c r="NC15" s="191"/>
      <c r="ND15" s="191"/>
      <c r="NE15" s="191">
        <v>150</v>
      </c>
      <c r="NF15" s="191"/>
      <c r="NG15" s="191">
        <v>10</v>
      </c>
      <c r="NH15" s="191"/>
      <c r="NI15" s="191"/>
      <c r="NJ15" s="191"/>
      <c r="NK15" s="191">
        <v>100</v>
      </c>
      <c r="NL15" s="191"/>
      <c r="NM15" s="191"/>
      <c r="NN15" s="191">
        <v>100</v>
      </c>
      <c r="NO15" s="191"/>
      <c r="NP15" s="191"/>
      <c r="NQ15" s="191"/>
      <c r="NR15" s="191">
        <v>10</v>
      </c>
      <c r="NS15" s="191"/>
      <c r="NT15" s="191"/>
      <c r="NU15" s="191">
        <v>150</v>
      </c>
      <c r="NV15" s="191"/>
      <c r="NW15" s="192"/>
      <c r="NX15" s="190"/>
      <c r="NY15" s="191">
        <v>100</v>
      </c>
      <c r="NZ15" s="191"/>
      <c r="OA15" s="191"/>
      <c r="OB15" s="191"/>
      <c r="OC15" s="191"/>
      <c r="OD15" s="191"/>
      <c r="OE15" s="191"/>
      <c r="OF15" s="191">
        <v>100</v>
      </c>
      <c r="OG15" s="191"/>
      <c r="OH15" s="191"/>
      <c r="OI15" s="191">
        <v>50</v>
      </c>
      <c r="OJ15" s="191"/>
      <c r="OK15" s="191"/>
      <c r="OL15" s="191"/>
      <c r="OM15" s="191">
        <v>150</v>
      </c>
      <c r="ON15" s="191"/>
      <c r="OO15" s="191"/>
      <c r="OP15" s="191"/>
      <c r="OQ15" s="191"/>
      <c r="OR15" s="191"/>
      <c r="OS15" s="191"/>
      <c r="OT15" s="191"/>
      <c r="OU15" s="191"/>
      <c r="OV15" s="191"/>
      <c r="OW15" s="191"/>
      <c r="OX15" s="191"/>
      <c r="OY15" s="191"/>
      <c r="OZ15" s="191"/>
      <c r="PA15" s="191"/>
      <c r="PB15" s="193"/>
      <c r="PC15" s="47"/>
      <c r="PD15" s="154" t="s">
        <v>97</v>
      </c>
      <c r="PE15" s="155" t="s">
        <v>98</v>
      </c>
      <c r="PF15" s="155" t="s">
        <v>98</v>
      </c>
      <c r="PG15" s="155" t="s">
        <v>98</v>
      </c>
      <c r="PH15" s="155" t="s">
        <v>98</v>
      </c>
      <c r="PI15" s="155" t="s">
        <v>98</v>
      </c>
      <c r="PJ15" s="155" t="s">
        <v>98</v>
      </c>
      <c r="PK15" s="155" t="s">
        <v>98</v>
      </c>
      <c r="PL15" s="155" t="s">
        <v>98</v>
      </c>
      <c r="PM15" s="155" t="s">
        <v>98</v>
      </c>
      <c r="PN15" s="155" t="s">
        <v>98</v>
      </c>
      <c r="PO15" s="156"/>
      <c r="PP15" s="156"/>
      <c r="PQ15" s="156"/>
      <c r="PR15" s="156"/>
      <c r="PS15" s="156"/>
      <c r="PT15" s="156"/>
      <c r="PU15" s="156"/>
      <c r="PV15" s="156"/>
      <c r="PW15" s="156"/>
      <c r="PX15" s="195"/>
      <c r="PY15" s="1"/>
      <c r="PZ15" s="196">
        <f t="shared" si="20"/>
        <v>810</v>
      </c>
      <c r="QA15" s="176">
        <f t="shared" si="21"/>
        <v>6.7573204304663386E-3</v>
      </c>
      <c r="QB15" s="177" t="str">
        <f t="shared" ca="1" si="22"/>
        <v>Attente…</v>
      </c>
      <c r="QC15" s="197">
        <f t="shared" si="23"/>
        <v>660</v>
      </c>
      <c r="QD15" s="179">
        <f t="shared" si="24"/>
        <v>6.1797752808988764E-3</v>
      </c>
      <c r="QE15" s="180" t="str">
        <f t="shared" ca="1" si="25"/>
        <v>Attente…</v>
      </c>
      <c r="QF15" s="196">
        <f t="shared" si="26"/>
        <v>510</v>
      </c>
      <c r="QG15" s="176">
        <f t="shared" si="27"/>
        <v>4.0611562350692789E-3</v>
      </c>
      <c r="QH15" s="177" t="str">
        <f t="shared" ca="1" si="28"/>
        <v>Attente…</v>
      </c>
      <c r="QI15" s="197">
        <f t="shared" si="29"/>
        <v>850</v>
      </c>
      <c r="QJ15" s="179">
        <f t="shared" si="30"/>
        <v>5.9615654369476788E-3</v>
      </c>
      <c r="QK15" s="180" t="str">
        <f t="shared" ca="1" si="31"/>
        <v>Attente…</v>
      </c>
      <c r="QL15" s="196">
        <f t="shared" si="32"/>
        <v>620</v>
      </c>
      <c r="QM15" s="176">
        <f t="shared" si="33"/>
        <v>4.5361428153350893E-3</v>
      </c>
      <c r="QN15" s="177" t="str">
        <f t="shared" ca="1" si="34"/>
        <v>Attente…</v>
      </c>
      <c r="QO15" s="197">
        <f t="shared" si="35"/>
        <v>950</v>
      </c>
      <c r="QP15" s="179">
        <f t="shared" si="36"/>
        <v>7.4375636107414074E-3</v>
      </c>
      <c r="QQ15" s="180" t="str">
        <f t="shared" ca="1" si="37"/>
        <v>Attente…</v>
      </c>
      <c r="QR15" s="196">
        <f t="shared" si="38"/>
        <v>800</v>
      </c>
      <c r="QS15" s="176">
        <f t="shared" si="39"/>
        <v>5.7593319174975705E-3</v>
      </c>
      <c r="QT15" s="177" t="str">
        <f t="shared" ca="1" si="40"/>
        <v>Attente…</v>
      </c>
      <c r="QU15" s="197">
        <f t="shared" si="41"/>
        <v>750</v>
      </c>
      <c r="QV15" s="179">
        <f t="shared" si="42"/>
        <v>5.1709873138444567E-3</v>
      </c>
      <c r="QW15" s="180" t="str">
        <f t="shared" ca="1" si="43"/>
        <v>Attente…</v>
      </c>
      <c r="QX15" s="196">
        <f t="shared" si="44"/>
        <v>850</v>
      </c>
      <c r="QY15" s="176">
        <f t="shared" si="45"/>
        <v>6.2027496424297262E-3</v>
      </c>
      <c r="QZ15" s="177" t="str">
        <f t="shared" ca="1" si="46"/>
        <v>Attente…</v>
      </c>
      <c r="RA15" s="197">
        <f t="shared" si="47"/>
        <v>700</v>
      </c>
      <c r="RB15" s="179">
        <f t="shared" si="48"/>
        <v>5.4768797433690638E-3</v>
      </c>
      <c r="RC15" s="180" t="str">
        <f t="shared" ca="1" si="49"/>
        <v>Attente…</v>
      </c>
      <c r="RD15" s="196">
        <f t="shared" si="50"/>
        <v>870</v>
      </c>
      <c r="RE15" s="176">
        <f t="shared" si="51"/>
        <v>8.6687923475488246E-3</v>
      </c>
      <c r="RF15" s="177" t="str">
        <f t="shared" ca="1" si="52"/>
        <v>Attente…</v>
      </c>
      <c r="RG15" s="197">
        <f t="shared" si="53"/>
        <v>400</v>
      </c>
      <c r="RH15" s="179">
        <f t="shared" si="54"/>
        <v>7.3569983446753725E-3</v>
      </c>
      <c r="RI15" s="198" t="str">
        <f t="shared" ca="1" si="55"/>
        <v>Attente…</v>
      </c>
      <c r="RJ15" s="199">
        <f t="shared" si="56"/>
        <v>1980</v>
      </c>
      <c r="RK15" s="200" t="str">
        <f t="shared" ca="1" si="13"/>
        <v>Attente…</v>
      </c>
      <c r="RL15" s="199">
        <f t="shared" si="57"/>
        <v>2420</v>
      </c>
      <c r="RM15" s="200" t="str">
        <f t="shared" ca="1" si="58"/>
        <v>Atttente…</v>
      </c>
      <c r="RN15" s="199">
        <f t="shared" si="59"/>
        <v>2400</v>
      </c>
      <c r="RO15" s="200" t="str">
        <f t="shared" ca="1" si="14"/>
        <v>Attente…</v>
      </c>
      <c r="RP15" s="199">
        <f t="shared" si="60"/>
        <v>1970</v>
      </c>
      <c r="RQ15" s="200" t="str">
        <f t="shared" ca="1" si="15"/>
        <v>Attente…</v>
      </c>
      <c r="RR15" s="201">
        <f t="shared" si="61"/>
        <v>8770</v>
      </c>
      <c r="RS15" s="202" t="str">
        <f t="shared" ca="1" si="16"/>
        <v>Attente…</v>
      </c>
      <c r="RT15" s="103"/>
      <c r="RU15" s="203">
        <f t="shared" si="62"/>
        <v>0.49829545454545454</v>
      </c>
      <c r="RV15" s="204">
        <f t="shared" si="6"/>
        <v>1</v>
      </c>
      <c r="RW15" s="204">
        <f t="shared" si="6"/>
        <v>2</v>
      </c>
      <c r="RX15" s="204">
        <f t="shared" si="63"/>
        <v>88</v>
      </c>
      <c r="RY15" s="205" t="str">
        <f t="shared" si="64"/>
        <v>ROUEN - 53 rue Desseaux (Resto du Cœur)</v>
      </c>
      <c r="RZ15" s="189" t="str">
        <f>IF(OR(RZ14="",RZ14="  &lt;/Document&gt;
&lt;/kml&gt;"),"",
IF(B15="","  &lt;/Document&gt;
&lt;/kml&gt;",
IF(TournéesCAV!Q23=""," ",
"    &lt;Placemark&gt;
      &lt;description&gt;&lt;![CDATA["&amp;B15&amp;"&lt;br&gt;&lt;br&gt;"&amp;RV15&amp;" CAV&lt;br&gt;&lt;br&gt;Présent sur "&amp;RW15&amp;" tournée(s)&lt;br&gt;&lt;br&gt;Taux de remplissage moyen "&amp;TEXT(RU15*1000,"0 %")&amp;"]]&gt;&lt;/description&gt;
      &lt;Style&gt;
        &lt;IconStyle&gt;
          &lt;color&gt;ff"&amp;
          DEC2HEX(0,2)&amp;
          DEC2HEX(
            IF(RU15&lt;=0.5,
               INT(255*(RU15*2)),
               255
            ),2)&amp;
          DEC2HEX(
            IF(RU15&lt;=0.5,
               255,
               INT(255*(1-(RU15-0.5)*2))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&lt;Point&gt;&lt;coordinates&gt;"&amp;R15&amp;","&amp;Q15&amp;",0&lt;/coordinates&gt;&lt;/Point&gt;
    &lt;/Placemark&gt;"
)))</f>
        <v xml:space="preserve">    &lt;Placemark&gt;
      &lt;description&gt;&lt;![CDATA[ROUEN - 53 rue Desseaux (Resto du Cœur)&lt;br&gt;&lt;br&gt;1 CAV&lt;br&gt;&lt;br&gt;Présent sur 2 tournée(s)&lt;br&gt;&lt;br&gt;Taux de remplissage moyen 50%]]&gt;&lt;/description&gt;
      &lt;Style&gt;
        &lt;IconStyle&gt;
          &lt;color&gt;ff00FEFF&lt;/color&gt;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&lt;Point&gt;&lt;coordinates&gt;1.0917689,49.4318405,0&lt;/coordinates&gt;&lt;/Point&gt;
    &lt;/Placemark&gt;</v>
      </c>
    </row>
    <row r="16" spans="1:494" ht="15" hidden="1" customHeight="1" x14ac:dyDescent="0.35">
      <c r="B16" s="153" t="str">
        <f t="shared" si="17"/>
        <v>ROUEN - 2 Rue du Mail (Angle Boulevard de l'Europe)</v>
      </c>
      <c r="C16" s="154">
        <v>113</v>
      </c>
      <c r="D16" s="155"/>
      <c r="E16" s="155"/>
      <c r="F16" s="155"/>
      <c r="G16" s="155"/>
      <c r="H16" s="155"/>
      <c r="I16" s="155"/>
      <c r="J16" s="156"/>
      <c r="K16" s="157">
        <f t="shared" si="18"/>
        <v>1</v>
      </c>
      <c r="L16" s="157">
        <f t="shared" si="19"/>
        <v>2</v>
      </c>
      <c r="M16" s="158" t="s">
        <v>150</v>
      </c>
      <c r="N16" s="159" t="s">
        <v>151</v>
      </c>
      <c r="O16" s="159">
        <v>76000</v>
      </c>
      <c r="P16" s="159" t="s">
        <v>90</v>
      </c>
      <c r="Q16" s="159" t="s">
        <v>152</v>
      </c>
      <c r="R16" s="159" t="s">
        <v>153</v>
      </c>
      <c r="S16" s="159" t="s">
        <v>93</v>
      </c>
      <c r="T16" s="159" t="s">
        <v>94</v>
      </c>
      <c r="U16" s="159" t="s">
        <v>154</v>
      </c>
      <c r="V16" s="160" t="s">
        <v>96</v>
      </c>
      <c r="W16" s="161"/>
      <c r="X16" s="162"/>
      <c r="Y16" s="163"/>
      <c r="Z16" s="162"/>
      <c r="AA16" s="163">
        <v>3</v>
      </c>
      <c r="AB16" s="162">
        <v>4</v>
      </c>
      <c r="AC16" s="163"/>
      <c r="AD16" s="162"/>
      <c r="AE16" s="163"/>
      <c r="AF16" s="162"/>
      <c r="AG16" s="163"/>
      <c r="AH16" s="163"/>
      <c r="AI16" s="162"/>
      <c r="AJ16" s="163"/>
      <c r="AK16" s="162"/>
      <c r="AL16" s="163"/>
      <c r="AM16" s="162"/>
      <c r="AN16" s="163"/>
      <c r="AO16" s="162"/>
      <c r="AP16" s="164"/>
      <c r="AQ16" s="164"/>
      <c r="AR16" s="164"/>
      <c r="AS16" s="164"/>
      <c r="AT16" s="164"/>
      <c r="AU16" s="164"/>
      <c r="AV16" s="164"/>
      <c r="AW16" s="164"/>
      <c r="AX16" s="164"/>
      <c r="AY16" s="165"/>
      <c r="AZ16" s="41"/>
      <c r="BA16" s="190"/>
      <c r="BB16" s="191"/>
      <c r="BC16" s="191">
        <v>200</v>
      </c>
      <c r="BD16" s="191"/>
      <c r="BE16" s="191"/>
      <c r="BF16" s="191"/>
      <c r="BG16" s="191">
        <v>100</v>
      </c>
      <c r="BH16" s="191"/>
      <c r="BI16" s="191"/>
      <c r="BJ16" s="191">
        <v>10</v>
      </c>
      <c r="BK16" s="191"/>
      <c r="BL16" s="191"/>
      <c r="BM16" s="191"/>
      <c r="BN16" s="191">
        <v>50</v>
      </c>
      <c r="BO16" s="191"/>
      <c r="BP16" s="191"/>
      <c r="BQ16" s="191">
        <v>50</v>
      </c>
      <c r="BR16" s="191"/>
      <c r="BS16" s="191"/>
      <c r="BT16" s="191"/>
      <c r="BU16" s="191">
        <v>50</v>
      </c>
      <c r="BV16" s="191"/>
      <c r="BW16" s="191"/>
      <c r="BX16" s="191">
        <v>10</v>
      </c>
      <c r="BY16" s="191"/>
      <c r="BZ16" s="191"/>
      <c r="CA16" s="191"/>
      <c r="CB16" s="191">
        <v>200</v>
      </c>
      <c r="CC16" s="191"/>
      <c r="CD16" s="191"/>
      <c r="CE16" s="192">
        <v>10</v>
      </c>
      <c r="CF16" s="190"/>
      <c r="CG16" s="191"/>
      <c r="CH16" s="191"/>
      <c r="CI16" s="191">
        <v>150</v>
      </c>
      <c r="CJ16" s="191"/>
      <c r="CK16" s="191"/>
      <c r="CL16" s="191">
        <v>200</v>
      </c>
      <c r="CM16" s="191"/>
      <c r="CN16" s="191"/>
      <c r="CO16" s="191"/>
      <c r="CP16" s="191">
        <v>100</v>
      </c>
      <c r="CQ16" s="191"/>
      <c r="CR16" s="191"/>
      <c r="CS16" s="191">
        <v>50</v>
      </c>
      <c r="CT16" s="191"/>
      <c r="CU16" s="191"/>
      <c r="CV16" s="191"/>
      <c r="CW16" s="191">
        <v>10</v>
      </c>
      <c r="CX16" s="191"/>
      <c r="CY16" s="191"/>
      <c r="CZ16" s="191">
        <v>50</v>
      </c>
      <c r="DA16" s="191"/>
      <c r="DB16" s="191"/>
      <c r="DC16" s="191"/>
      <c r="DD16" s="191">
        <v>100</v>
      </c>
      <c r="DE16" s="191"/>
      <c r="DF16" s="191"/>
      <c r="DG16" s="191">
        <v>100</v>
      </c>
      <c r="DH16" s="193"/>
      <c r="DI16" s="194"/>
      <c r="DJ16" s="191"/>
      <c r="DK16" s="191"/>
      <c r="DL16" s="191">
        <v>100</v>
      </c>
      <c r="DM16" s="191"/>
      <c r="DN16" s="191"/>
      <c r="DO16" s="191">
        <v>10</v>
      </c>
      <c r="DP16" s="191"/>
      <c r="DQ16" s="191"/>
      <c r="DR16" s="191"/>
      <c r="DS16" s="191">
        <v>50</v>
      </c>
      <c r="DT16" s="191"/>
      <c r="DU16" s="191"/>
      <c r="DV16" s="191">
        <v>100</v>
      </c>
      <c r="DW16" s="191"/>
      <c r="DX16" s="191"/>
      <c r="DY16" s="191"/>
      <c r="DZ16" s="191">
        <v>50</v>
      </c>
      <c r="EA16" s="191"/>
      <c r="EB16" s="191"/>
      <c r="EC16" s="191">
        <v>50</v>
      </c>
      <c r="ED16" s="191"/>
      <c r="EE16" s="191"/>
      <c r="EF16" s="191"/>
      <c r="EG16" s="191">
        <v>100</v>
      </c>
      <c r="EH16" s="191"/>
      <c r="EI16" s="191"/>
      <c r="EJ16" s="191">
        <v>50</v>
      </c>
      <c r="EK16" s="191"/>
      <c r="EL16" s="191"/>
      <c r="EM16" s="192"/>
      <c r="EN16" s="190">
        <v>50</v>
      </c>
      <c r="EO16" s="191"/>
      <c r="EP16" s="191"/>
      <c r="EQ16" s="191">
        <v>50</v>
      </c>
      <c r="ER16" s="191"/>
      <c r="ES16" s="191"/>
      <c r="ET16" s="191"/>
      <c r="EU16" s="191">
        <v>100</v>
      </c>
      <c r="EV16" s="191"/>
      <c r="EW16" s="191"/>
      <c r="EX16" s="191">
        <v>100</v>
      </c>
      <c r="EY16" s="191"/>
      <c r="EZ16" s="191"/>
      <c r="FA16" s="191"/>
      <c r="FB16" s="191">
        <v>150</v>
      </c>
      <c r="FC16" s="191"/>
      <c r="FD16" s="191"/>
      <c r="FE16" s="191"/>
      <c r="FF16" s="191"/>
      <c r="FG16" s="191"/>
      <c r="FH16" s="191"/>
      <c r="FI16" s="191">
        <v>200</v>
      </c>
      <c r="FJ16" s="191"/>
      <c r="FK16" s="191"/>
      <c r="FL16" s="191"/>
      <c r="FM16" s="191"/>
      <c r="FN16" s="191"/>
      <c r="FO16" s="191"/>
      <c r="FP16" s="191">
        <v>200</v>
      </c>
      <c r="FQ16" s="193"/>
      <c r="FR16" s="194"/>
      <c r="FS16" s="191">
        <v>100</v>
      </c>
      <c r="FT16" s="191"/>
      <c r="FU16" s="191"/>
      <c r="FV16" s="191"/>
      <c r="FW16" s="191">
        <v>100</v>
      </c>
      <c r="FX16" s="191"/>
      <c r="FY16" s="191"/>
      <c r="FZ16" s="191">
        <v>100</v>
      </c>
      <c r="GA16" s="191"/>
      <c r="GB16" s="191"/>
      <c r="GC16" s="191"/>
      <c r="GD16" s="191">
        <v>150</v>
      </c>
      <c r="GE16" s="191"/>
      <c r="GF16" s="191"/>
      <c r="GG16" s="191">
        <v>100</v>
      </c>
      <c r="GH16" s="191"/>
      <c r="GI16" s="191"/>
      <c r="GJ16" s="191"/>
      <c r="GK16" s="191">
        <v>100</v>
      </c>
      <c r="GL16" s="191"/>
      <c r="GM16" s="191"/>
      <c r="GN16" s="191">
        <v>100</v>
      </c>
      <c r="GO16" s="191"/>
      <c r="GP16" s="191"/>
      <c r="GQ16" s="191"/>
      <c r="GR16" s="191">
        <v>200</v>
      </c>
      <c r="GS16" s="191"/>
      <c r="GT16" s="191"/>
      <c r="GU16" s="191">
        <v>50</v>
      </c>
      <c r="GV16" s="192"/>
      <c r="GW16" s="190"/>
      <c r="GX16" s="191"/>
      <c r="GY16" s="191">
        <v>50</v>
      </c>
      <c r="GZ16" s="191"/>
      <c r="HA16" s="191"/>
      <c r="HB16" s="191">
        <v>100</v>
      </c>
      <c r="HC16" s="191"/>
      <c r="HD16" s="191"/>
      <c r="HE16" s="191"/>
      <c r="HF16" s="191">
        <v>100</v>
      </c>
      <c r="HG16" s="191"/>
      <c r="HH16" s="191"/>
      <c r="HI16" s="191">
        <v>10</v>
      </c>
      <c r="HJ16" s="191"/>
      <c r="HK16" s="191"/>
      <c r="HL16" s="191"/>
      <c r="HM16" s="191"/>
      <c r="HN16" s="191"/>
      <c r="HO16" s="191"/>
      <c r="HP16" s="191">
        <v>200</v>
      </c>
      <c r="HQ16" s="191"/>
      <c r="HR16" s="191"/>
      <c r="HS16" s="191"/>
      <c r="HT16" s="191">
        <v>10</v>
      </c>
      <c r="HU16" s="191"/>
      <c r="HV16" s="191"/>
      <c r="HW16" s="191">
        <v>100</v>
      </c>
      <c r="HX16" s="191"/>
      <c r="HY16" s="191"/>
      <c r="HZ16" s="193"/>
      <c r="IA16" s="194">
        <v>100</v>
      </c>
      <c r="IB16" s="191"/>
      <c r="IC16" s="191"/>
      <c r="ID16" s="191">
        <v>100</v>
      </c>
      <c r="IE16" s="191"/>
      <c r="IF16" s="191"/>
      <c r="IG16" s="191"/>
      <c r="IH16" s="191"/>
      <c r="II16" s="191"/>
      <c r="IJ16" s="191"/>
      <c r="IK16" s="191">
        <v>200</v>
      </c>
      <c r="IL16" s="191"/>
      <c r="IM16" s="191"/>
      <c r="IN16" s="191"/>
      <c r="IO16" s="191"/>
      <c r="IP16" s="191">
        <v>150</v>
      </c>
      <c r="IQ16" s="191"/>
      <c r="IR16" s="191"/>
      <c r="IS16" s="191"/>
      <c r="IT16" s="191"/>
      <c r="IU16" s="191"/>
      <c r="IV16" s="191">
        <v>100</v>
      </c>
      <c r="IW16" s="191"/>
      <c r="IX16" s="191"/>
      <c r="IY16" s="191"/>
      <c r="IZ16" s="191"/>
      <c r="JA16" s="191"/>
      <c r="JB16" s="191"/>
      <c r="JC16" s="191">
        <v>100</v>
      </c>
      <c r="JD16" s="191"/>
      <c r="JE16" s="192"/>
      <c r="JF16" s="190">
        <v>100</v>
      </c>
      <c r="JG16" s="191"/>
      <c r="JH16" s="191"/>
      <c r="JI16" s="191"/>
      <c r="JJ16" s="191">
        <v>100</v>
      </c>
      <c r="JK16" s="191"/>
      <c r="JL16" s="191"/>
      <c r="JM16" s="191">
        <v>100</v>
      </c>
      <c r="JN16" s="191"/>
      <c r="JO16" s="191"/>
      <c r="JP16" s="191"/>
      <c r="JQ16" s="191">
        <v>150</v>
      </c>
      <c r="JR16" s="191"/>
      <c r="JS16" s="191"/>
      <c r="JT16" s="191"/>
      <c r="JU16" s="191"/>
      <c r="JV16" s="191"/>
      <c r="JW16" s="191"/>
      <c r="JX16" s="191">
        <v>200</v>
      </c>
      <c r="JY16" s="191"/>
      <c r="JZ16" s="191"/>
      <c r="KA16" s="191"/>
      <c r="KB16" s="191"/>
      <c r="KC16" s="191"/>
      <c r="KD16" s="191"/>
      <c r="KE16" s="191">
        <v>150</v>
      </c>
      <c r="KF16" s="191"/>
      <c r="KG16" s="191"/>
      <c r="KH16" s="191">
        <v>150</v>
      </c>
      <c r="KI16" s="191"/>
      <c r="KJ16" s="193"/>
      <c r="KK16" s="194"/>
      <c r="KL16" s="191">
        <v>150</v>
      </c>
      <c r="KM16" s="191"/>
      <c r="KN16" s="191"/>
      <c r="KO16" s="191">
        <v>100</v>
      </c>
      <c r="KP16" s="191"/>
      <c r="KQ16" s="191"/>
      <c r="KR16" s="191"/>
      <c r="KS16" s="191">
        <v>150</v>
      </c>
      <c r="KT16" s="191"/>
      <c r="KU16" s="191"/>
      <c r="KV16" s="191">
        <v>50</v>
      </c>
      <c r="KW16" s="191"/>
      <c r="KX16" s="191"/>
      <c r="KY16" s="191"/>
      <c r="KZ16" s="191">
        <v>200</v>
      </c>
      <c r="LA16" s="191"/>
      <c r="LB16" s="191"/>
      <c r="LC16" s="191"/>
      <c r="LD16" s="191"/>
      <c r="LE16" s="191"/>
      <c r="LF16" s="191"/>
      <c r="LG16" s="191">
        <v>150</v>
      </c>
      <c r="LH16" s="191"/>
      <c r="LI16" s="191"/>
      <c r="LJ16" s="191">
        <v>200</v>
      </c>
      <c r="LK16" s="191"/>
      <c r="LL16" s="191"/>
      <c r="LM16" s="191"/>
      <c r="LN16" s="192">
        <v>200</v>
      </c>
      <c r="LO16" s="190"/>
      <c r="LP16" s="191"/>
      <c r="LQ16" s="191"/>
      <c r="LR16" s="191"/>
      <c r="LS16" s="191"/>
      <c r="LT16" s="191"/>
      <c r="LU16" s="191">
        <v>150</v>
      </c>
      <c r="LV16" s="191"/>
      <c r="LW16" s="191"/>
      <c r="LX16" s="191">
        <v>50</v>
      </c>
      <c r="LY16" s="191"/>
      <c r="LZ16" s="191"/>
      <c r="MA16" s="191"/>
      <c r="MB16" s="191">
        <v>200</v>
      </c>
      <c r="MC16" s="191"/>
      <c r="MD16" s="191"/>
      <c r="ME16" s="191">
        <v>50</v>
      </c>
      <c r="MF16" s="191"/>
      <c r="MG16" s="191"/>
      <c r="MH16" s="191"/>
      <c r="MI16" s="191">
        <v>150</v>
      </c>
      <c r="MJ16" s="191"/>
      <c r="MK16" s="191"/>
      <c r="ML16" s="191">
        <v>50</v>
      </c>
      <c r="MM16" s="191"/>
      <c r="MN16" s="191"/>
      <c r="MO16" s="191"/>
      <c r="MP16" s="191">
        <v>150</v>
      </c>
      <c r="MQ16" s="191"/>
      <c r="MR16" s="191"/>
      <c r="MS16" s="193"/>
      <c r="MT16" s="194"/>
      <c r="MU16" s="191"/>
      <c r="MV16" s="191"/>
      <c r="MW16" s="191">
        <v>100</v>
      </c>
      <c r="MX16" s="191"/>
      <c r="MY16" s="191"/>
      <c r="MZ16" s="191">
        <v>50</v>
      </c>
      <c r="NA16" s="191"/>
      <c r="NB16" s="191"/>
      <c r="NC16" s="191"/>
      <c r="ND16" s="191"/>
      <c r="NE16" s="191">
        <v>150</v>
      </c>
      <c r="NF16" s="191"/>
      <c r="NG16" s="191">
        <v>50</v>
      </c>
      <c r="NH16" s="191"/>
      <c r="NI16" s="191"/>
      <c r="NJ16" s="191"/>
      <c r="NK16" s="191">
        <v>50</v>
      </c>
      <c r="NL16" s="191"/>
      <c r="NM16" s="191"/>
      <c r="NN16" s="191">
        <v>50</v>
      </c>
      <c r="NO16" s="191"/>
      <c r="NP16" s="191"/>
      <c r="NQ16" s="191"/>
      <c r="NR16" s="191">
        <v>100</v>
      </c>
      <c r="NS16" s="191"/>
      <c r="NT16" s="191"/>
      <c r="NU16" s="191">
        <v>10</v>
      </c>
      <c r="NV16" s="191"/>
      <c r="NW16" s="192"/>
      <c r="NX16" s="190"/>
      <c r="NY16" s="191"/>
      <c r="NZ16" s="191"/>
      <c r="OA16" s="191"/>
      <c r="OB16" s="191"/>
      <c r="OC16" s="191"/>
      <c r="OD16" s="191"/>
      <c r="OE16" s="191"/>
      <c r="OF16" s="191">
        <v>100</v>
      </c>
      <c r="OG16" s="191"/>
      <c r="OH16" s="191"/>
      <c r="OI16" s="191">
        <v>50</v>
      </c>
      <c r="OJ16" s="191"/>
      <c r="OK16" s="191"/>
      <c r="OL16" s="191"/>
      <c r="OM16" s="191">
        <v>100</v>
      </c>
      <c r="ON16" s="191"/>
      <c r="OO16" s="191"/>
      <c r="OP16" s="191"/>
      <c r="OQ16" s="191"/>
      <c r="OR16" s="191"/>
      <c r="OS16" s="191"/>
      <c r="OT16" s="191"/>
      <c r="OU16" s="191"/>
      <c r="OV16" s="191"/>
      <c r="OW16" s="191"/>
      <c r="OX16" s="191"/>
      <c r="OY16" s="191"/>
      <c r="OZ16" s="191"/>
      <c r="PA16" s="191"/>
      <c r="PB16" s="193"/>
      <c r="PC16" s="47"/>
      <c r="PD16" s="154" t="s">
        <v>97</v>
      </c>
      <c r="PE16" s="155" t="s">
        <v>98</v>
      </c>
      <c r="PF16" s="155" t="s">
        <v>98</v>
      </c>
      <c r="PG16" s="155" t="s">
        <v>98</v>
      </c>
      <c r="PH16" s="155" t="s">
        <v>98</v>
      </c>
      <c r="PI16" s="155" t="s">
        <v>98</v>
      </c>
      <c r="PJ16" s="155" t="s">
        <v>98</v>
      </c>
      <c r="PK16" s="155" t="s">
        <v>98</v>
      </c>
      <c r="PL16" s="155" t="s">
        <v>98</v>
      </c>
      <c r="PM16" s="155" t="s">
        <v>98</v>
      </c>
      <c r="PN16" s="155" t="s">
        <v>98</v>
      </c>
      <c r="PO16" s="156"/>
      <c r="PP16" s="156"/>
      <c r="PQ16" s="156"/>
      <c r="PR16" s="156"/>
      <c r="PS16" s="156"/>
      <c r="PT16" s="156"/>
      <c r="PU16" s="156"/>
      <c r="PV16" s="156"/>
      <c r="PW16" s="156"/>
      <c r="PX16" s="195"/>
      <c r="PY16" s="1"/>
      <c r="PZ16" s="196">
        <f t="shared" si="20"/>
        <v>680</v>
      </c>
      <c r="QA16" s="176">
        <f t="shared" si="21"/>
        <v>5.6728122132309999E-3</v>
      </c>
      <c r="QB16" s="177" t="str">
        <f t="shared" ca="1" si="22"/>
        <v>Attente…</v>
      </c>
      <c r="QC16" s="197">
        <f t="shared" si="23"/>
        <v>760</v>
      </c>
      <c r="QD16" s="179">
        <f t="shared" si="24"/>
        <v>7.1161048689138574E-3</v>
      </c>
      <c r="QE16" s="180" t="str">
        <f t="shared" ca="1" si="25"/>
        <v>Attente…</v>
      </c>
      <c r="QF16" s="196">
        <f t="shared" si="26"/>
        <v>510</v>
      </c>
      <c r="QG16" s="176">
        <f t="shared" si="27"/>
        <v>4.0611562350692789E-3</v>
      </c>
      <c r="QH16" s="177" t="str">
        <f t="shared" ca="1" si="28"/>
        <v>Attente…</v>
      </c>
      <c r="QI16" s="197">
        <f t="shared" si="29"/>
        <v>850</v>
      </c>
      <c r="QJ16" s="179">
        <f t="shared" si="30"/>
        <v>5.9615654369476788E-3</v>
      </c>
      <c r="QK16" s="180" t="str">
        <f t="shared" ca="1" si="31"/>
        <v>Attente…</v>
      </c>
      <c r="QL16" s="196">
        <f t="shared" si="32"/>
        <v>1000</v>
      </c>
      <c r="QM16" s="176">
        <f t="shared" si="33"/>
        <v>7.3163593795727245E-3</v>
      </c>
      <c r="QN16" s="177" t="str">
        <f t="shared" ca="1" si="34"/>
        <v>Attente…</v>
      </c>
      <c r="QO16" s="197">
        <f t="shared" si="35"/>
        <v>570</v>
      </c>
      <c r="QP16" s="179">
        <f t="shared" si="36"/>
        <v>4.4625381664448443E-3</v>
      </c>
      <c r="QQ16" s="180" t="str">
        <f t="shared" ca="1" si="37"/>
        <v>Attente…</v>
      </c>
      <c r="QR16" s="196">
        <f t="shared" si="38"/>
        <v>750</v>
      </c>
      <c r="QS16" s="176">
        <f t="shared" si="39"/>
        <v>5.3993736726539723E-3</v>
      </c>
      <c r="QT16" s="177" t="str">
        <f t="shared" ca="1" si="40"/>
        <v>Attente…</v>
      </c>
      <c r="QU16" s="197">
        <f t="shared" si="41"/>
        <v>950</v>
      </c>
      <c r="QV16" s="179">
        <f t="shared" si="42"/>
        <v>6.5499172642029787E-3</v>
      </c>
      <c r="QW16" s="180" t="str">
        <f t="shared" ca="1" si="43"/>
        <v>Attente…</v>
      </c>
      <c r="QX16" s="196">
        <f t="shared" si="44"/>
        <v>1200</v>
      </c>
      <c r="QY16" s="176">
        <f t="shared" si="45"/>
        <v>8.756823024606673E-3</v>
      </c>
      <c r="QZ16" s="177" t="str">
        <f t="shared" ca="1" si="46"/>
        <v>Attente…</v>
      </c>
      <c r="RA16" s="197">
        <f t="shared" si="47"/>
        <v>800</v>
      </c>
      <c r="RB16" s="179">
        <f t="shared" si="48"/>
        <v>6.2592911352789297E-3</v>
      </c>
      <c r="RC16" s="180" t="str">
        <f t="shared" ca="1" si="49"/>
        <v>Attente…</v>
      </c>
      <c r="RD16" s="196">
        <f t="shared" si="50"/>
        <v>560</v>
      </c>
      <c r="RE16" s="176">
        <f t="shared" si="51"/>
        <v>5.5799123156636109E-3</v>
      </c>
      <c r="RF16" s="177" t="str">
        <f t="shared" ca="1" si="52"/>
        <v>Attente…</v>
      </c>
      <c r="RG16" s="197">
        <f t="shared" si="53"/>
        <v>250</v>
      </c>
      <c r="RH16" s="179">
        <f t="shared" si="54"/>
        <v>4.5981239654221077E-3</v>
      </c>
      <c r="RI16" s="198" t="str">
        <f t="shared" ca="1" si="55"/>
        <v>Attente…</v>
      </c>
      <c r="RJ16" s="199">
        <f t="shared" si="56"/>
        <v>1950</v>
      </c>
      <c r="RK16" s="200" t="str">
        <f t="shared" ca="1" si="13"/>
        <v>Attente…</v>
      </c>
      <c r="RL16" s="199">
        <f t="shared" si="57"/>
        <v>2420</v>
      </c>
      <c r="RM16" s="200" t="str">
        <f t="shared" ca="1" si="58"/>
        <v>Atttente…</v>
      </c>
      <c r="RN16" s="199">
        <f t="shared" si="59"/>
        <v>2900</v>
      </c>
      <c r="RO16" s="200" t="str">
        <f t="shared" ca="1" si="14"/>
        <v>Attente…</v>
      </c>
      <c r="RP16" s="199">
        <f t="shared" si="60"/>
        <v>1610</v>
      </c>
      <c r="RQ16" s="200" t="str">
        <f t="shared" ca="1" si="15"/>
        <v>Attente…</v>
      </c>
      <c r="RR16" s="201">
        <f t="shared" si="61"/>
        <v>8880</v>
      </c>
      <c r="RS16" s="202" t="str">
        <f t="shared" ca="1" si="16"/>
        <v>Attente…</v>
      </c>
      <c r="RT16" s="103"/>
      <c r="RU16" s="203">
        <f t="shared" si="62"/>
        <v>0.51034482758620692</v>
      </c>
      <c r="RV16" s="204">
        <f t="shared" si="6"/>
        <v>1</v>
      </c>
      <c r="RW16" s="204">
        <f t="shared" si="6"/>
        <v>2</v>
      </c>
      <c r="RX16" s="204">
        <f t="shared" si="63"/>
        <v>87</v>
      </c>
      <c r="RY16" s="205" t="str">
        <f t="shared" si="64"/>
        <v>ROUEN - 2 Rue du Mail (Angle Boulevard de l'Europe)</v>
      </c>
      <c r="RZ16" s="189" t="str">
        <f>IF(OR(RZ15="",RZ15="  &lt;/Document&gt;
&lt;/kml&gt;"),"",
IF(B16="","  &lt;/Document&gt;
&lt;/kml&gt;",
IF(TournéesCAV!Q39=""," ",
"    &lt;Placemark&gt;
      &lt;description&gt;&lt;![CDATA["&amp;B16&amp;"&lt;br&gt;&lt;br&gt;"&amp;RV16&amp;" CAV&lt;br&gt;&lt;br&gt;Présent sur "&amp;RW16&amp;" tournée(s)&lt;br&gt;&lt;br&gt;Taux de remplissage moyen "&amp;TEXT(RU16*1000,"0 %")&amp;"]]&gt;&lt;/description&gt;
      &lt;Style&gt;
        &lt;IconStyle&gt;
          &lt;color&gt;ff"&amp;
          DEC2HEX(0,2)&amp;
          DEC2HEX(
            IF(RU16&lt;=0.5,
               INT(255*(RU16*2)),
               255
            ),2)&amp;
          DEC2HEX(
            IF(RU16&lt;=0.5,
               255,
               INT(255*(1-(RU16-0.5)*2))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&lt;Point&gt;&lt;coordinates&gt;"&amp;R16&amp;","&amp;Q16&amp;",0&lt;/coordinates&gt;&lt;/Point&gt;
    &lt;/Placemark&gt;"
)))</f>
        <v xml:space="preserve">    &lt;Placemark&gt;
      &lt;description&gt;&lt;![CDATA[ROUEN - 2 Rue du Mail (Angle Boulevard de l'Europe)&lt;br&gt;&lt;br&gt;1 CAV&lt;br&gt;&lt;br&gt;Présent sur 2 tournée(s)&lt;br&gt;&lt;br&gt;Taux de remplissage moyen 51%]]&gt;&lt;/description&gt;
      &lt;Style&gt;
        &lt;IconStyle&gt;
          &lt;color&gt;ff00FFF9&lt;/color&gt;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&lt;Point&gt;&lt;coordinates&gt;1.0930389,49.4287093,0&lt;/coordinates&gt;&lt;/Point&gt;
    &lt;/Placemark&gt;</v>
      </c>
    </row>
    <row r="17" spans="2:494" ht="15" hidden="1" customHeight="1" x14ac:dyDescent="0.35">
      <c r="B17" s="153" t="str">
        <f t="shared" si="17"/>
        <v>DUCLAIR - 5 impasse du Maupas (Déchetterie Hameau les Monts 9h-12h / 13h30-17h30)</v>
      </c>
      <c r="C17" s="154">
        <v>55</v>
      </c>
      <c r="D17" s="155">
        <v>10</v>
      </c>
      <c r="E17" s="155"/>
      <c r="F17" s="155"/>
      <c r="G17" s="155"/>
      <c r="H17" s="155"/>
      <c r="I17" s="155"/>
      <c r="J17" s="156"/>
      <c r="K17" s="157">
        <f t="shared" si="18"/>
        <v>2</v>
      </c>
      <c r="L17" s="157">
        <f t="shared" si="19"/>
        <v>1</v>
      </c>
      <c r="M17" s="158" t="s">
        <v>155</v>
      </c>
      <c r="N17" s="159" t="s">
        <v>156</v>
      </c>
      <c r="O17" s="159">
        <v>76480</v>
      </c>
      <c r="P17" s="159" t="s">
        <v>141</v>
      </c>
      <c r="Q17" s="159" t="s">
        <v>157</v>
      </c>
      <c r="R17" s="159" t="s">
        <v>158</v>
      </c>
      <c r="S17" s="159" t="s">
        <v>93</v>
      </c>
      <c r="T17" s="159" t="s">
        <v>159</v>
      </c>
      <c r="U17" s="159" t="s">
        <v>160</v>
      </c>
      <c r="V17" s="160" t="s">
        <v>96</v>
      </c>
      <c r="W17" s="161"/>
      <c r="X17" s="162"/>
      <c r="Y17" s="163"/>
      <c r="Z17" s="162"/>
      <c r="AA17" s="163"/>
      <c r="AB17" s="162"/>
      <c r="AC17" s="163"/>
      <c r="AD17" s="162"/>
      <c r="AE17" s="163"/>
      <c r="AF17" s="162"/>
      <c r="AG17" s="207">
        <v>2</v>
      </c>
      <c r="AH17" s="163"/>
      <c r="AI17" s="162"/>
      <c r="AJ17" s="163"/>
      <c r="AK17" s="162"/>
      <c r="AL17" s="163"/>
      <c r="AM17" s="162"/>
      <c r="AN17" s="163"/>
      <c r="AO17" s="162"/>
      <c r="AP17" s="164"/>
      <c r="AQ17" s="164"/>
      <c r="AR17" s="164"/>
      <c r="AS17" s="164"/>
      <c r="AT17" s="164"/>
      <c r="AU17" s="164"/>
      <c r="AV17" s="164"/>
      <c r="AW17" s="164"/>
      <c r="AX17" s="164"/>
      <c r="AY17" s="165"/>
      <c r="AZ17" s="41"/>
      <c r="BA17" s="190"/>
      <c r="BB17" s="191">
        <v>250</v>
      </c>
      <c r="BC17" s="191"/>
      <c r="BD17" s="191"/>
      <c r="BE17" s="191"/>
      <c r="BF17" s="191"/>
      <c r="BG17" s="191"/>
      <c r="BH17" s="191">
        <v>250</v>
      </c>
      <c r="BI17" s="191"/>
      <c r="BJ17" s="191"/>
      <c r="BK17" s="191"/>
      <c r="BL17" s="191"/>
      <c r="BM17" s="191"/>
      <c r="BN17" s="191"/>
      <c r="BO17" s="191">
        <v>20</v>
      </c>
      <c r="BP17" s="191"/>
      <c r="BQ17" s="191"/>
      <c r="BR17" s="191"/>
      <c r="BS17" s="191"/>
      <c r="BT17" s="191"/>
      <c r="BU17" s="191"/>
      <c r="BV17" s="191">
        <v>20</v>
      </c>
      <c r="BW17" s="191"/>
      <c r="BX17" s="191"/>
      <c r="BY17" s="191"/>
      <c r="BZ17" s="191"/>
      <c r="CA17" s="191"/>
      <c r="CB17" s="191"/>
      <c r="CC17" s="191">
        <v>150</v>
      </c>
      <c r="CD17" s="191"/>
      <c r="CE17" s="192"/>
      <c r="CF17" s="190"/>
      <c r="CG17" s="191"/>
      <c r="CH17" s="191"/>
      <c r="CI17" s="191"/>
      <c r="CJ17" s="191"/>
      <c r="CK17" s="191"/>
      <c r="CL17" s="191"/>
      <c r="CM17" s="191"/>
      <c r="CN17" s="191"/>
      <c r="CO17" s="191"/>
      <c r="CP17" s="191"/>
      <c r="CQ17" s="191">
        <v>200</v>
      </c>
      <c r="CR17" s="191"/>
      <c r="CS17" s="191"/>
      <c r="CT17" s="191"/>
      <c r="CU17" s="191"/>
      <c r="CV17" s="191"/>
      <c r="CW17" s="191"/>
      <c r="CX17" s="191">
        <v>200</v>
      </c>
      <c r="CY17" s="191"/>
      <c r="CZ17" s="191"/>
      <c r="DA17" s="191"/>
      <c r="DB17" s="191"/>
      <c r="DC17" s="191"/>
      <c r="DD17" s="191"/>
      <c r="DE17" s="191">
        <v>60</v>
      </c>
      <c r="DF17" s="191"/>
      <c r="DG17" s="191"/>
      <c r="DH17" s="193"/>
      <c r="DI17" s="194"/>
      <c r="DJ17" s="191"/>
      <c r="DK17" s="191"/>
      <c r="DL17" s="191"/>
      <c r="DM17" s="191"/>
      <c r="DN17" s="191">
        <v>60</v>
      </c>
      <c r="DO17" s="191"/>
      <c r="DP17" s="191"/>
      <c r="DQ17" s="191"/>
      <c r="DR17" s="191"/>
      <c r="DS17" s="191"/>
      <c r="DT17" s="191">
        <v>150</v>
      </c>
      <c r="DU17" s="191"/>
      <c r="DV17" s="191"/>
      <c r="DW17" s="191"/>
      <c r="DX17" s="191"/>
      <c r="DY17" s="191"/>
      <c r="DZ17" s="191"/>
      <c r="EA17" s="191">
        <v>150</v>
      </c>
      <c r="EB17" s="191"/>
      <c r="EC17" s="191"/>
      <c r="ED17" s="191"/>
      <c r="EE17" s="191"/>
      <c r="EF17" s="191"/>
      <c r="EG17" s="191"/>
      <c r="EH17" s="191">
        <v>100</v>
      </c>
      <c r="EI17" s="191"/>
      <c r="EJ17" s="191"/>
      <c r="EK17" s="191"/>
      <c r="EL17" s="191"/>
      <c r="EM17" s="192"/>
      <c r="EN17" s="190"/>
      <c r="EO17" s="191">
        <v>150</v>
      </c>
      <c r="EP17" s="191"/>
      <c r="EQ17" s="191"/>
      <c r="ER17" s="191"/>
      <c r="ES17" s="191"/>
      <c r="ET17" s="191"/>
      <c r="EU17" s="191"/>
      <c r="EV17" s="191">
        <v>200</v>
      </c>
      <c r="EW17" s="191"/>
      <c r="EX17" s="191"/>
      <c r="EY17" s="191"/>
      <c r="EZ17" s="191"/>
      <c r="FA17" s="191"/>
      <c r="FB17" s="191"/>
      <c r="FC17" s="191">
        <v>100</v>
      </c>
      <c r="FD17" s="191"/>
      <c r="FE17" s="191"/>
      <c r="FF17" s="191"/>
      <c r="FG17" s="191"/>
      <c r="FH17" s="191"/>
      <c r="FI17" s="191"/>
      <c r="FJ17" s="191">
        <v>200</v>
      </c>
      <c r="FK17" s="191"/>
      <c r="FL17" s="191"/>
      <c r="FM17" s="191"/>
      <c r="FN17" s="191"/>
      <c r="FO17" s="191"/>
      <c r="FP17" s="191"/>
      <c r="FQ17" s="193"/>
      <c r="FR17" s="194"/>
      <c r="FS17" s="191"/>
      <c r="FT17" s="191"/>
      <c r="FU17" s="191"/>
      <c r="FV17" s="191"/>
      <c r="FW17" s="191"/>
      <c r="FX17" s="191">
        <v>200</v>
      </c>
      <c r="FY17" s="191"/>
      <c r="FZ17" s="191"/>
      <c r="GA17" s="191"/>
      <c r="GB17" s="191"/>
      <c r="GC17" s="191"/>
      <c r="GD17" s="191"/>
      <c r="GE17" s="191">
        <v>150</v>
      </c>
      <c r="GF17" s="191"/>
      <c r="GG17" s="191"/>
      <c r="GH17" s="191"/>
      <c r="GI17" s="191"/>
      <c r="GJ17" s="191"/>
      <c r="GK17" s="191"/>
      <c r="GL17" s="191">
        <v>100</v>
      </c>
      <c r="GM17" s="191"/>
      <c r="GN17" s="191"/>
      <c r="GO17" s="191"/>
      <c r="GP17" s="191"/>
      <c r="GQ17" s="191"/>
      <c r="GR17" s="191"/>
      <c r="GS17" s="191">
        <v>60</v>
      </c>
      <c r="GT17" s="191"/>
      <c r="GU17" s="191"/>
      <c r="GV17" s="192"/>
      <c r="GW17" s="190"/>
      <c r="GX17" s="191"/>
      <c r="GY17" s="191"/>
      <c r="GZ17" s="191">
        <v>150</v>
      </c>
      <c r="HA17" s="191"/>
      <c r="HB17" s="191"/>
      <c r="HC17" s="191"/>
      <c r="HD17" s="191"/>
      <c r="HE17" s="191"/>
      <c r="HF17" s="191"/>
      <c r="HG17" s="191">
        <v>60</v>
      </c>
      <c r="HH17" s="191"/>
      <c r="HI17" s="191"/>
      <c r="HJ17" s="191"/>
      <c r="HK17" s="191"/>
      <c r="HL17" s="191"/>
      <c r="HM17" s="191"/>
      <c r="HN17" s="191">
        <v>20</v>
      </c>
      <c r="HO17" s="191"/>
      <c r="HP17" s="191"/>
      <c r="HQ17" s="191"/>
      <c r="HR17" s="191"/>
      <c r="HS17" s="191"/>
      <c r="HT17" s="191"/>
      <c r="HU17" s="191">
        <v>200</v>
      </c>
      <c r="HV17" s="191"/>
      <c r="HW17" s="191"/>
      <c r="HX17" s="191"/>
      <c r="HY17" s="191"/>
      <c r="HZ17" s="193"/>
      <c r="IA17" s="194"/>
      <c r="IB17" s="191">
        <v>100</v>
      </c>
      <c r="IC17" s="191"/>
      <c r="ID17" s="191"/>
      <c r="IE17" s="191"/>
      <c r="IF17" s="191"/>
      <c r="IG17" s="191"/>
      <c r="IH17" s="191"/>
      <c r="II17" s="191">
        <v>100</v>
      </c>
      <c r="IJ17" s="191"/>
      <c r="IK17" s="191"/>
      <c r="IL17" s="191"/>
      <c r="IM17" s="191"/>
      <c r="IN17" s="191"/>
      <c r="IO17" s="191"/>
      <c r="IP17" s="191"/>
      <c r="IQ17" s="191"/>
      <c r="IR17" s="191">
        <v>60</v>
      </c>
      <c r="IS17" s="191"/>
      <c r="IT17" s="191"/>
      <c r="IU17" s="191"/>
      <c r="IV17" s="191"/>
      <c r="IW17" s="191">
        <v>110</v>
      </c>
      <c r="IX17" s="191"/>
      <c r="IY17" s="191"/>
      <c r="IZ17" s="191"/>
      <c r="JA17" s="191"/>
      <c r="JB17" s="191"/>
      <c r="JC17" s="191"/>
      <c r="JD17" s="191">
        <v>100</v>
      </c>
      <c r="JE17" s="192"/>
      <c r="JF17" s="190"/>
      <c r="JG17" s="191"/>
      <c r="JH17" s="191"/>
      <c r="JI17" s="191"/>
      <c r="JJ17" s="191"/>
      <c r="JK17" s="191">
        <v>150</v>
      </c>
      <c r="JL17" s="191"/>
      <c r="JM17" s="191"/>
      <c r="JN17" s="191"/>
      <c r="JO17" s="191"/>
      <c r="JP17" s="191"/>
      <c r="JQ17" s="191"/>
      <c r="JR17" s="191">
        <v>250</v>
      </c>
      <c r="JS17" s="191"/>
      <c r="JT17" s="191"/>
      <c r="JU17" s="191"/>
      <c r="JV17" s="191"/>
      <c r="JW17" s="191"/>
      <c r="JX17" s="191"/>
      <c r="JY17" s="191"/>
      <c r="JZ17" s="191">
        <v>200</v>
      </c>
      <c r="KA17" s="191"/>
      <c r="KB17" s="191"/>
      <c r="KC17" s="191"/>
      <c r="KD17" s="191"/>
      <c r="KE17" s="191"/>
      <c r="KF17" s="191">
        <v>200</v>
      </c>
      <c r="KG17" s="191"/>
      <c r="KH17" s="191"/>
      <c r="KI17" s="191"/>
      <c r="KJ17" s="193"/>
      <c r="KK17" s="194"/>
      <c r="KL17" s="191"/>
      <c r="KM17" s="191">
        <v>300</v>
      </c>
      <c r="KN17" s="191"/>
      <c r="KO17" s="191"/>
      <c r="KP17" s="191"/>
      <c r="KQ17" s="191"/>
      <c r="KR17" s="191"/>
      <c r="KS17" s="191"/>
      <c r="KT17" s="191"/>
      <c r="KU17" s="191">
        <v>150</v>
      </c>
      <c r="KV17" s="191"/>
      <c r="KW17" s="191"/>
      <c r="KX17" s="191"/>
      <c r="KY17" s="191"/>
      <c r="KZ17" s="191"/>
      <c r="LA17" s="191">
        <v>60</v>
      </c>
      <c r="LB17" s="191"/>
      <c r="LC17" s="191"/>
      <c r="LD17" s="191"/>
      <c r="LE17" s="191"/>
      <c r="LF17" s="191"/>
      <c r="LG17" s="191"/>
      <c r="LH17" s="191">
        <v>60</v>
      </c>
      <c r="LI17" s="191"/>
      <c r="LJ17" s="191"/>
      <c r="LK17" s="191"/>
      <c r="LL17" s="191"/>
      <c r="LM17" s="191"/>
      <c r="LN17" s="192"/>
      <c r="LO17" s="190">
        <v>100</v>
      </c>
      <c r="LP17" s="191"/>
      <c r="LQ17" s="191"/>
      <c r="LR17" s="191"/>
      <c r="LS17" s="191"/>
      <c r="LT17" s="191"/>
      <c r="LU17" s="191"/>
      <c r="LV17" s="191">
        <v>100</v>
      </c>
      <c r="LW17" s="191"/>
      <c r="LX17" s="191"/>
      <c r="LY17" s="191"/>
      <c r="LZ17" s="191"/>
      <c r="MA17" s="191"/>
      <c r="MB17" s="191"/>
      <c r="MC17" s="191">
        <v>100</v>
      </c>
      <c r="MD17" s="191"/>
      <c r="ME17" s="191"/>
      <c r="MF17" s="191"/>
      <c r="MG17" s="191"/>
      <c r="MH17" s="191"/>
      <c r="MI17" s="191"/>
      <c r="MJ17" s="191">
        <v>60</v>
      </c>
      <c r="MK17" s="191"/>
      <c r="ML17" s="191"/>
      <c r="MM17" s="191"/>
      <c r="MN17" s="191"/>
      <c r="MO17" s="191"/>
      <c r="MP17" s="191"/>
      <c r="MQ17" s="191">
        <v>200</v>
      </c>
      <c r="MR17" s="191"/>
      <c r="MS17" s="193"/>
      <c r="MT17" s="194"/>
      <c r="MU17" s="191"/>
      <c r="MV17" s="191"/>
      <c r="MW17" s="191"/>
      <c r="MX17" s="191">
        <v>300</v>
      </c>
      <c r="MY17" s="191"/>
      <c r="MZ17" s="191"/>
      <c r="NA17" s="191"/>
      <c r="NB17" s="191"/>
      <c r="NC17" s="191"/>
      <c r="ND17" s="191"/>
      <c r="NE17" s="191"/>
      <c r="NF17" s="191"/>
      <c r="NG17" s="191"/>
      <c r="NH17" s="191"/>
      <c r="NI17" s="191"/>
      <c r="NJ17" s="191"/>
      <c r="NK17" s="191"/>
      <c r="NL17" s="191">
        <v>250</v>
      </c>
      <c r="NM17" s="191"/>
      <c r="NN17" s="191"/>
      <c r="NO17" s="191"/>
      <c r="NP17" s="191"/>
      <c r="NQ17" s="191"/>
      <c r="NR17" s="191"/>
      <c r="NS17" s="191">
        <v>300</v>
      </c>
      <c r="NT17" s="191"/>
      <c r="NU17" s="191"/>
      <c r="NV17" s="191"/>
      <c r="NW17" s="192"/>
      <c r="NX17" s="190"/>
      <c r="NY17" s="191"/>
      <c r="NZ17" s="191">
        <v>50</v>
      </c>
      <c r="OA17" s="191"/>
      <c r="OB17" s="191"/>
      <c r="OC17" s="191"/>
      <c r="OD17" s="191"/>
      <c r="OE17" s="191"/>
      <c r="OF17" s="191"/>
      <c r="OG17" s="191">
        <v>60</v>
      </c>
      <c r="OH17" s="191"/>
      <c r="OI17" s="191"/>
      <c r="OJ17" s="191"/>
      <c r="OK17" s="191"/>
      <c r="OL17" s="191"/>
      <c r="OM17" s="191"/>
      <c r="ON17" s="191">
        <v>100</v>
      </c>
      <c r="OO17" s="191"/>
      <c r="OP17" s="191"/>
      <c r="OQ17" s="191"/>
      <c r="OR17" s="191"/>
      <c r="OS17" s="191"/>
      <c r="OT17" s="191"/>
      <c r="OU17" s="191"/>
      <c r="OV17" s="191"/>
      <c r="OW17" s="191"/>
      <c r="OX17" s="191"/>
      <c r="OY17" s="191"/>
      <c r="OZ17" s="191"/>
      <c r="PA17" s="191"/>
      <c r="PB17" s="193"/>
      <c r="PC17" s="47"/>
      <c r="PD17" s="154" t="s">
        <v>97</v>
      </c>
      <c r="PE17" s="155" t="s">
        <v>97</v>
      </c>
      <c r="PF17" s="155" t="s">
        <v>98</v>
      </c>
      <c r="PG17" s="155" t="s">
        <v>98</v>
      </c>
      <c r="PH17" s="155" t="s">
        <v>98</v>
      </c>
      <c r="PI17" s="155" t="s">
        <v>98</v>
      </c>
      <c r="PJ17" s="155" t="s">
        <v>98</v>
      </c>
      <c r="PK17" s="155" t="s">
        <v>98</v>
      </c>
      <c r="PL17" s="155" t="s">
        <v>98</v>
      </c>
      <c r="PM17" s="155" t="s">
        <v>98</v>
      </c>
      <c r="PN17" s="155" t="s">
        <v>98</v>
      </c>
      <c r="PO17" s="156"/>
      <c r="PP17" s="156"/>
      <c r="PQ17" s="156"/>
      <c r="PR17" s="156"/>
      <c r="PS17" s="156"/>
      <c r="PT17" s="156"/>
      <c r="PU17" s="156"/>
      <c r="PV17" s="156"/>
      <c r="PW17" s="156"/>
      <c r="PX17" s="195"/>
      <c r="PY17" s="1"/>
      <c r="PZ17" s="196">
        <f t="shared" si="20"/>
        <v>690</v>
      </c>
      <c r="QA17" s="176">
        <f t="shared" si="21"/>
        <v>5.7562359222491028E-3</v>
      </c>
      <c r="QB17" s="177" t="str">
        <f t="shared" ca="1" si="22"/>
        <v>Attente…</v>
      </c>
      <c r="QC17" s="197">
        <f t="shared" si="23"/>
        <v>460</v>
      </c>
      <c r="QD17" s="179">
        <f t="shared" si="24"/>
        <v>4.3071161048689136E-3</v>
      </c>
      <c r="QE17" s="180" t="str">
        <f t="shared" ca="1" si="25"/>
        <v>Attente…</v>
      </c>
      <c r="QF17" s="196">
        <f t="shared" si="26"/>
        <v>460</v>
      </c>
      <c r="QG17" s="176">
        <f t="shared" si="27"/>
        <v>3.663003663003663E-3</v>
      </c>
      <c r="QH17" s="177" t="str">
        <f t="shared" ca="1" si="28"/>
        <v>Attente…</v>
      </c>
      <c r="QI17" s="197">
        <f t="shared" si="29"/>
        <v>650</v>
      </c>
      <c r="QJ17" s="179">
        <f t="shared" si="30"/>
        <v>4.5588441576658719E-3</v>
      </c>
      <c r="QK17" s="180" t="str">
        <f t="shared" ca="1" si="31"/>
        <v>Attente…</v>
      </c>
      <c r="QL17" s="196">
        <f t="shared" si="32"/>
        <v>510</v>
      </c>
      <c r="QM17" s="176">
        <f t="shared" si="33"/>
        <v>3.7313432835820895E-3</v>
      </c>
      <c r="QN17" s="177" t="str">
        <f t="shared" ca="1" si="34"/>
        <v>Attente…</v>
      </c>
      <c r="QO17" s="197">
        <f t="shared" si="35"/>
        <v>430</v>
      </c>
      <c r="QP17" s="179">
        <f t="shared" si="36"/>
        <v>3.3664761606513739E-3</v>
      </c>
      <c r="QQ17" s="180" t="str">
        <f t="shared" ca="1" si="37"/>
        <v>Attente…</v>
      </c>
      <c r="QR17" s="196">
        <f t="shared" si="38"/>
        <v>470</v>
      </c>
      <c r="QS17" s="176">
        <f t="shared" si="39"/>
        <v>3.3836075015298227E-3</v>
      </c>
      <c r="QT17" s="177" t="str">
        <f t="shared" ca="1" si="40"/>
        <v>Attente…</v>
      </c>
      <c r="QU17" s="197">
        <f t="shared" si="41"/>
        <v>800</v>
      </c>
      <c r="QV17" s="179">
        <f t="shared" si="42"/>
        <v>5.5157198014340872E-3</v>
      </c>
      <c r="QW17" s="180" t="str">
        <f t="shared" ca="1" si="43"/>
        <v>Attente…</v>
      </c>
      <c r="QX17" s="196">
        <f t="shared" si="44"/>
        <v>570</v>
      </c>
      <c r="QY17" s="176">
        <f t="shared" si="45"/>
        <v>4.1594909366881698E-3</v>
      </c>
      <c r="QZ17" s="177" t="str">
        <f t="shared" ca="1" si="46"/>
        <v>Attente…</v>
      </c>
      <c r="RA17" s="197">
        <f t="shared" si="47"/>
        <v>560</v>
      </c>
      <c r="RB17" s="179">
        <f t="shared" si="48"/>
        <v>4.3815037946952507E-3</v>
      </c>
      <c r="RC17" s="180" t="str">
        <f t="shared" ca="1" si="49"/>
        <v>Attente…</v>
      </c>
      <c r="RD17" s="196">
        <f t="shared" si="50"/>
        <v>850</v>
      </c>
      <c r="RE17" s="176">
        <f t="shared" si="51"/>
        <v>8.4695097648465525E-3</v>
      </c>
      <c r="RF17" s="177" t="str">
        <f t="shared" ca="1" si="52"/>
        <v>Attente…</v>
      </c>
      <c r="RG17" s="197">
        <f t="shared" si="53"/>
        <v>210</v>
      </c>
      <c r="RH17" s="179">
        <f t="shared" si="54"/>
        <v>3.8624241309545707E-3</v>
      </c>
      <c r="RI17" s="198" t="str">
        <f t="shared" ca="1" si="55"/>
        <v>Attente…</v>
      </c>
      <c r="RJ17" s="199">
        <f t="shared" si="56"/>
        <v>1610</v>
      </c>
      <c r="RK17" s="200" t="str">
        <f t="shared" ca="1" si="13"/>
        <v>Attente…</v>
      </c>
      <c r="RL17" s="199">
        <f t="shared" si="57"/>
        <v>1590</v>
      </c>
      <c r="RM17" s="200" t="str">
        <f t="shared" ca="1" si="58"/>
        <v>Atttente…</v>
      </c>
      <c r="RN17" s="199">
        <f t="shared" si="59"/>
        <v>1840</v>
      </c>
      <c r="RO17" s="200" t="str">
        <f t="shared" ca="1" si="14"/>
        <v>Attente…</v>
      </c>
      <c r="RP17" s="199">
        <f t="shared" si="60"/>
        <v>1620</v>
      </c>
      <c r="RQ17" s="200" t="str">
        <f t="shared" ca="1" si="15"/>
        <v>Attente…</v>
      </c>
      <c r="RR17" s="201">
        <f t="shared" si="61"/>
        <v>6660</v>
      </c>
      <c r="RS17" s="202" t="str">
        <f t="shared" ca="1" si="16"/>
        <v>Attente…</v>
      </c>
      <c r="RT17" s="103"/>
      <c r="RU17" s="203">
        <f t="shared" si="62"/>
        <v>0.34687499999999999</v>
      </c>
      <c r="RV17" s="204">
        <f t="shared" si="6"/>
        <v>2</v>
      </c>
      <c r="RW17" s="204">
        <f t="shared" si="6"/>
        <v>1</v>
      </c>
      <c r="RX17" s="204">
        <f t="shared" si="63"/>
        <v>48</v>
      </c>
      <c r="RY17" s="205" t="str">
        <f t="shared" si="64"/>
        <v>DUCLAIR - 5 impasse du Maupas (Déchetterie Hameau les Monts 9h-12h / 13h30-17h30)</v>
      </c>
      <c r="RZ17" s="189" t="str">
        <f>IF(OR(RZ16="",RZ16="  &lt;/Document&gt;
&lt;/kml&gt;"),"",
IF(B17="","  &lt;/Document&gt;
&lt;/kml&gt;",
IF(TournéesCAV!Q17=""," ",
"    &lt;Placemark&gt;
      &lt;description&gt;&lt;![CDATA["&amp;B17&amp;"&lt;br&gt;&lt;br&gt;"&amp;RV17&amp;" CAV&lt;br&gt;&lt;br&gt;Présent sur "&amp;RW17&amp;" tournée(s)&lt;br&gt;&lt;br&gt;Taux de remplissage moyen "&amp;TEXT(RU17*1000,"0 %")&amp;"]]&gt;&lt;/description&gt;
      &lt;Style&gt;
        &lt;IconStyle&gt;
          &lt;color&gt;ff"&amp;
          DEC2HEX(0,2)&amp;
          DEC2HEX(
            IF(RU17&lt;=0.5,
               INT(255*(RU17*2)),
               255
            ),2)&amp;
          DEC2HEX(
            IF(RU17&lt;=0.5,
               255,
               INT(255*(1-(RU17-0.5)*2))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&lt;Point&gt;&lt;coordinates&gt;"&amp;R17&amp;","&amp;Q17&amp;",0&lt;/coordinates&gt;&lt;/Point&gt;
    &lt;/Placemark&gt;"
)))</f>
        <v xml:space="preserve">    &lt;Placemark&gt;
      &lt;description&gt;&lt;![CDATA[DUCLAIR - 5 impasse du Maupas (Déchetterie Hameau les Monts 9h-12h / 13h30-17h30)&lt;br&gt;&lt;br&gt;2 CAV&lt;br&gt;&lt;br&gt;Présent sur 1 tournée(s)&lt;br&gt;&lt;br&gt;Taux de remplissage moyen 35%]]&gt;&lt;/description&gt;
      &lt;Style&gt;
        &lt;IconStyle&gt;
          &lt;color&gt;ff00B0FF&lt;/color&gt;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&lt;Point&gt;&lt;coordinates&gt;0.8668575,49.4908143,0&lt;/coordinates&gt;&lt;/Point&gt;
    &lt;/Placemark&gt;</v>
      </c>
    </row>
    <row r="18" spans="2:494" ht="15" hidden="1" customHeight="1" x14ac:dyDescent="0.35">
      <c r="B18" s="153" t="str">
        <f t="shared" si="17"/>
        <v>BERVILLE-SUR-SEINE - 1061 rue du Village (Près de l'église)</v>
      </c>
      <c r="C18" s="154">
        <v>144</v>
      </c>
      <c r="D18" s="155"/>
      <c r="E18" s="155"/>
      <c r="F18" s="155"/>
      <c r="G18" s="155"/>
      <c r="H18" s="155"/>
      <c r="I18" s="155"/>
      <c r="J18" s="156"/>
      <c r="K18" s="157">
        <f t="shared" si="18"/>
        <v>1</v>
      </c>
      <c r="L18" s="157">
        <f t="shared" si="19"/>
        <v>1</v>
      </c>
      <c r="M18" s="158" t="s">
        <v>161</v>
      </c>
      <c r="N18" s="159" t="s">
        <v>162</v>
      </c>
      <c r="O18" s="159">
        <v>76480</v>
      </c>
      <c r="P18" s="159" t="s">
        <v>163</v>
      </c>
      <c r="Q18" s="159" t="s">
        <v>164</v>
      </c>
      <c r="R18" s="159" t="s">
        <v>165</v>
      </c>
      <c r="S18" s="159" t="s">
        <v>93</v>
      </c>
      <c r="T18" s="159" t="s">
        <v>94</v>
      </c>
      <c r="U18" s="159" t="s">
        <v>166</v>
      </c>
      <c r="V18" s="160" t="s">
        <v>96</v>
      </c>
      <c r="W18" s="161"/>
      <c r="X18" s="162"/>
      <c r="Y18" s="163"/>
      <c r="Z18" s="162"/>
      <c r="AA18" s="163"/>
      <c r="AB18" s="162"/>
      <c r="AC18" s="163"/>
      <c r="AD18" s="162"/>
      <c r="AE18" s="163"/>
      <c r="AF18" s="162"/>
      <c r="AG18" s="207">
        <v>3</v>
      </c>
      <c r="AH18" s="163"/>
      <c r="AI18" s="162"/>
      <c r="AJ18" s="163"/>
      <c r="AK18" s="162"/>
      <c r="AL18" s="163"/>
      <c r="AM18" s="162"/>
      <c r="AN18" s="163"/>
      <c r="AO18" s="162"/>
      <c r="AP18" s="164"/>
      <c r="AQ18" s="164"/>
      <c r="AR18" s="164"/>
      <c r="AS18" s="164"/>
      <c r="AT18" s="164"/>
      <c r="AU18" s="164"/>
      <c r="AV18" s="164"/>
      <c r="AW18" s="164"/>
      <c r="AX18" s="164"/>
      <c r="AY18" s="165"/>
      <c r="AZ18" s="41"/>
      <c r="BA18" s="190"/>
      <c r="BB18" s="191">
        <v>150</v>
      </c>
      <c r="BC18" s="191"/>
      <c r="BD18" s="191"/>
      <c r="BE18" s="191"/>
      <c r="BF18" s="191"/>
      <c r="BG18" s="191"/>
      <c r="BH18" s="191">
        <v>10</v>
      </c>
      <c r="BI18" s="191"/>
      <c r="BJ18" s="191"/>
      <c r="BK18" s="191"/>
      <c r="BL18" s="191"/>
      <c r="BM18" s="191"/>
      <c r="BN18" s="191"/>
      <c r="BO18" s="191">
        <v>10</v>
      </c>
      <c r="BP18" s="191"/>
      <c r="BQ18" s="191"/>
      <c r="BR18" s="191"/>
      <c r="BS18" s="191"/>
      <c r="BT18" s="191"/>
      <c r="BU18" s="191"/>
      <c r="BV18" s="191">
        <v>10</v>
      </c>
      <c r="BW18" s="191"/>
      <c r="BX18" s="191"/>
      <c r="BY18" s="191"/>
      <c r="BZ18" s="191"/>
      <c r="CA18" s="191"/>
      <c r="CB18" s="191"/>
      <c r="CC18" s="191">
        <v>10</v>
      </c>
      <c r="CD18" s="191"/>
      <c r="CE18" s="192"/>
      <c r="CF18" s="190"/>
      <c r="CG18" s="191"/>
      <c r="CH18" s="191"/>
      <c r="CI18" s="191"/>
      <c r="CJ18" s="191"/>
      <c r="CK18" s="191"/>
      <c r="CL18" s="191"/>
      <c r="CM18" s="191"/>
      <c r="CN18" s="191"/>
      <c r="CO18" s="191"/>
      <c r="CP18" s="191"/>
      <c r="CQ18" s="191">
        <v>50</v>
      </c>
      <c r="CR18" s="191"/>
      <c r="CS18" s="191"/>
      <c r="CT18" s="191"/>
      <c r="CU18" s="191"/>
      <c r="CV18" s="191"/>
      <c r="CW18" s="191"/>
      <c r="CX18" s="191">
        <v>100</v>
      </c>
      <c r="CY18" s="191"/>
      <c r="CZ18" s="191"/>
      <c r="DA18" s="191"/>
      <c r="DB18" s="191"/>
      <c r="DC18" s="191"/>
      <c r="DD18" s="191"/>
      <c r="DE18" s="191">
        <v>150</v>
      </c>
      <c r="DF18" s="191"/>
      <c r="DG18" s="191"/>
      <c r="DH18" s="193"/>
      <c r="DI18" s="194"/>
      <c r="DJ18" s="191"/>
      <c r="DK18" s="191"/>
      <c r="DL18" s="191"/>
      <c r="DM18" s="191">
        <v>100</v>
      </c>
      <c r="DN18" s="191"/>
      <c r="DO18" s="191"/>
      <c r="DP18" s="191"/>
      <c r="DQ18" s="191"/>
      <c r="DR18" s="191"/>
      <c r="DS18" s="191"/>
      <c r="DT18" s="191">
        <v>10</v>
      </c>
      <c r="DU18" s="191"/>
      <c r="DV18" s="191"/>
      <c r="DW18" s="191"/>
      <c r="DX18" s="191"/>
      <c r="DY18" s="191"/>
      <c r="DZ18" s="191"/>
      <c r="EA18" s="191">
        <v>100</v>
      </c>
      <c r="EB18" s="191"/>
      <c r="EC18" s="191"/>
      <c r="ED18" s="191"/>
      <c r="EE18" s="191"/>
      <c r="EF18" s="191"/>
      <c r="EG18" s="191"/>
      <c r="EH18" s="191">
        <v>10</v>
      </c>
      <c r="EI18" s="191"/>
      <c r="EJ18" s="191"/>
      <c r="EK18" s="191"/>
      <c r="EL18" s="191"/>
      <c r="EM18" s="192"/>
      <c r="EN18" s="190"/>
      <c r="EO18" s="191">
        <v>50</v>
      </c>
      <c r="EP18" s="191"/>
      <c r="EQ18" s="191"/>
      <c r="ER18" s="191"/>
      <c r="ES18" s="191"/>
      <c r="ET18" s="191"/>
      <c r="EU18" s="191"/>
      <c r="EV18" s="191">
        <v>100</v>
      </c>
      <c r="EW18" s="191"/>
      <c r="EX18" s="191"/>
      <c r="EY18" s="191"/>
      <c r="EZ18" s="191"/>
      <c r="FA18" s="191"/>
      <c r="FB18" s="191"/>
      <c r="FC18" s="191">
        <v>10</v>
      </c>
      <c r="FD18" s="191"/>
      <c r="FE18" s="191"/>
      <c r="FF18" s="191"/>
      <c r="FG18" s="191"/>
      <c r="FH18" s="191"/>
      <c r="FI18" s="191"/>
      <c r="FJ18" s="191">
        <v>50</v>
      </c>
      <c r="FK18" s="191"/>
      <c r="FL18" s="191"/>
      <c r="FM18" s="191"/>
      <c r="FN18" s="191"/>
      <c r="FO18" s="191"/>
      <c r="FP18" s="191"/>
      <c r="FQ18" s="193">
        <v>10</v>
      </c>
      <c r="FR18" s="194"/>
      <c r="FS18" s="191"/>
      <c r="FT18" s="191"/>
      <c r="FU18" s="191"/>
      <c r="FV18" s="191"/>
      <c r="FW18" s="191"/>
      <c r="FX18" s="191">
        <v>100</v>
      </c>
      <c r="FY18" s="191"/>
      <c r="FZ18" s="191"/>
      <c r="GA18" s="191"/>
      <c r="GB18" s="191"/>
      <c r="GC18" s="191"/>
      <c r="GD18" s="191"/>
      <c r="GE18" s="191">
        <v>10</v>
      </c>
      <c r="GF18" s="191"/>
      <c r="GG18" s="191"/>
      <c r="GH18" s="191"/>
      <c r="GI18" s="191"/>
      <c r="GJ18" s="191"/>
      <c r="GK18" s="191"/>
      <c r="GL18" s="191">
        <v>10</v>
      </c>
      <c r="GM18" s="191"/>
      <c r="GN18" s="191"/>
      <c r="GO18" s="191"/>
      <c r="GP18" s="191"/>
      <c r="GQ18" s="191"/>
      <c r="GR18" s="191"/>
      <c r="GS18" s="191">
        <v>50</v>
      </c>
      <c r="GT18" s="191"/>
      <c r="GU18" s="191"/>
      <c r="GV18" s="192"/>
      <c r="GW18" s="190"/>
      <c r="GX18" s="191"/>
      <c r="GY18" s="191"/>
      <c r="GZ18" s="191">
        <v>10</v>
      </c>
      <c r="HA18" s="191"/>
      <c r="HB18" s="191"/>
      <c r="HC18" s="191"/>
      <c r="HD18" s="191"/>
      <c r="HE18" s="191"/>
      <c r="HF18" s="191"/>
      <c r="HG18" s="191">
        <v>100</v>
      </c>
      <c r="HH18" s="191"/>
      <c r="HI18" s="191"/>
      <c r="HJ18" s="191"/>
      <c r="HK18" s="191"/>
      <c r="HL18" s="191"/>
      <c r="HM18" s="191"/>
      <c r="HN18" s="191">
        <v>50</v>
      </c>
      <c r="HO18" s="191"/>
      <c r="HP18" s="191"/>
      <c r="HQ18" s="191"/>
      <c r="HR18" s="191"/>
      <c r="HS18" s="191"/>
      <c r="HT18" s="191"/>
      <c r="HU18" s="191">
        <v>200</v>
      </c>
      <c r="HV18" s="191"/>
      <c r="HW18" s="191"/>
      <c r="HX18" s="191"/>
      <c r="HY18" s="191"/>
      <c r="HZ18" s="193"/>
      <c r="IA18" s="194"/>
      <c r="IB18" s="191">
        <v>100</v>
      </c>
      <c r="IC18" s="191"/>
      <c r="ID18" s="191"/>
      <c r="IE18" s="191"/>
      <c r="IF18" s="191"/>
      <c r="IG18" s="191"/>
      <c r="IH18" s="191"/>
      <c r="II18" s="191">
        <v>10</v>
      </c>
      <c r="IJ18" s="191"/>
      <c r="IK18" s="191"/>
      <c r="IL18" s="191"/>
      <c r="IM18" s="191"/>
      <c r="IN18" s="191"/>
      <c r="IO18" s="191"/>
      <c r="IP18" s="191"/>
      <c r="IQ18" s="191"/>
      <c r="IR18" s="191">
        <v>100</v>
      </c>
      <c r="IS18" s="191"/>
      <c r="IT18" s="191"/>
      <c r="IU18" s="191"/>
      <c r="IV18" s="191"/>
      <c r="IW18" s="191">
        <v>10</v>
      </c>
      <c r="IX18" s="191"/>
      <c r="IY18" s="191"/>
      <c r="IZ18" s="191"/>
      <c r="JA18" s="191"/>
      <c r="JB18" s="191"/>
      <c r="JC18" s="191"/>
      <c r="JD18" s="191">
        <v>50</v>
      </c>
      <c r="JE18" s="192"/>
      <c r="JF18" s="190"/>
      <c r="JG18" s="191"/>
      <c r="JH18" s="191"/>
      <c r="JI18" s="191"/>
      <c r="JJ18" s="191"/>
      <c r="JK18" s="191">
        <v>100</v>
      </c>
      <c r="JL18" s="191"/>
      <c r="JM18" s="191"/>
      <c r="JN18" s="191"/>
      <c r="JO18" s="191"/>
      <c r="JP18" s="191"/>
      <c r="JQ18" s="191"/>
      <c r="JR18" s="191">
        <v>50</v>
      </c>
      <c r="JS18" s="191"/>
      <c r="JT18" s="191"/>
      <c r="JU18" s="191"/>
      <c r="JV18" s="191"/>
      <c r="JW18" s="191"/>
      <c r="JX18" s="191"/>
      <c r="JY18" s="191"/>
      <c r="JZ18" s="191">
        <v>200</v>
      </c>
      <c r="KA18" s="191"/>
      <c r="KB18" s="191"/>
      <c r="KC18" s="191"/>
      <c r="KD18" s="191"/>
      <c r="KE18" s="191"/>
      <c r="KF18" s="191">
        <v>100</v>
      </c>
      <c r="KG18" s="191"/>
      <c r="KH18" s="191"/>
      <c r="KI18" s="191"/>
      <c r="KJ18" s="193"/>
      <c r="KK18" s="194"/>
      <c r="KL18" s="191"/>
      <c r="KM18" s="191">
        <v>100</v>
      </c>
      <c r="KN18" s="191"/>
      <c r="KO18" s="191"/>
      <c r="KP18" s="191"/>
      <c r="KQ18" s="191"/>
      <c r="KR18" s="191"/>
      <c r="KS18" s="191"/>
      <c r="KT18" s="191"/>
      <c r="KU18" s="191">
        <v>50</v>
      </c>
      <c r="KV18" s="191"/>
      <c r="KW18" s="191"/>
      <c r="KX18" s="191"/>
      <c r="KY18" s="191"/>
      <c r="KZ18" s="191"/>
      <c r="LA18" s="191">
        <v>50</v>
      </c>
      <c r="LB18" s="191"/>
      <c r="LC18" s="191"/>
      <c r="LD18" s="191"/>
      <c r="LE18" s="191"/>
      <c r="LF18" s="191"/>
      <c r="LG18" s="191"/>
      <c r="LH18" s="191">
        <v>50</v>
      </c>
      <c r="LI18" s="191"/>
      <c r="LJ18" s="191"/>
      <c r="LK18" s="191"/>
      <c r="LL18" s="191"/>
      <c r="LM18" s="191"/>
      <c r="LN18" s="192"/>
      <c r="LO18" s="190">
        <v>10</v>
      </c>
      <c r="LP18" s="191"/>
      <c r="LQ18" s="191"/>
      <c r="LR18" s="191"/>
      <c r="LS18" s="191"/>
      <c r="LT18" s="191"/>
      <c r="LU18" s="191"/>
      <c r="LV18" s="191">
        <v>50</v>
      </c>
      <c r="LW18" s="191"/>
      <c r="LX18" s="191"/>
      <c r="LY18" s="191"/>
      <c r="LZ18" s="191"/>
      <c r="MA18" s="191"/>
      <c r="MB18" s="191"/>
      <c r="MC18" s="191">
        <v>50</v>
      </c>
      <c r="MD18" s="191"/>
      <c r="ME18" s="191"/>
      <c r="MF18" s="191"/>
      <c r="MG18" s="191"/>
      <c r="MH18" s="191"/>
      <c r="MI18" s="191"/>
      <c r="MJ18" s="191">
        <v>10</v>
      </c>
      <c r="MK18" s="191"/>
      <c r="ML18" s="191"/>
      <c r="MM18" s="191"/>
      <c r="MN18" s="191"/>
      <c r="MO18" s="191"/>
      <c r="MP18" s="191"/>
      <c r="MQ18" s="191">
        <v>50</v>
      </c>
      <c r="MR18" s="191"/>
      <c r="MS18" s="193"/>
      <c r="MT18" s="194"/>
      <c r="MU18" s="191"/>
      <c r="MV18" s="191"/>
      <c r="MW18" s="191"/>
      <c r="MX18" s="191">
        <v>10</v>
      </c>
      <c r="MY18" s="191"/>
      <c r="MZ18" s="191"/>
      <c r="NA18" s="191"/>
      <c r="NB18" s="191"/>
      <c r="NC18" s="191"/>
      <c r="ND18" s="191"/>
      <c r="NE18" s="191"/>
      <c r="NF18" s="191">
        <v>10</v>
      </c>
      <c r="NG18" s="191"/>
      <c r="NH18" s="191"/>
      <c r="NI18" s="191"/>
      <c r="NJ18" s="191"/>
      <c r="NK18" s="191"/>
      <c r="NL18" s="191">
        <v>50</v>
      </c>
      <c r="NM18" s="191"/>
      <c r="NN18" s="191"/>
      <c r="NO18" s="191"/>
      <c r="NP18" s="191"/>
      <c r="NQ18" s="191"/>
      <c r="NR18" s="191"/>
      <c r="NS18" s="191">
        <v>10</v>
      </c>
      <c r="NT18" s="191"/>
      <c r="NU18" s="191"/>
      <c r="NV18" s="191"/>
      <c r="NW18" s="192"/>
      <c r="NX18" s="190"/>
      <c r="NY18" s="191"/>
      <c r="NZ18" s="191">
        <v>10</v>
      </c>
      <c r="OA18" s="191"/>
      <c r="OB18" s="191"/>
      <c r="OC18" s="191"/>
      <c r="OD18" s="191"/>
      <c r="OE18" s="191"/>
      <c r="OF18" s="191"/>
      <c r="OG18" s="191">
        <v>10</v>
      </c>
      <c r="OH18" s="191"/>
      <c r="OI18" s="191"/>
      <c r="OJ18" s="191"/>
      <c r="OK18" s="191"/>
      <c r="OL18" s="191"/>
      <c r="OM18" s="191"/>
      <c r="ON18" s="191">
        <v>50</v>
      </c>
      <c r="OO18" s="191"/>
      <c r="OP18" s="191"/>
      <c r="OQ18" s="191"/>
      <c r="OR18" s="191"/>
      <c r="OS18" s="191"/>
      <c r="OT18" s="191"/>
      <c r="OU18" s="191"/>
      <c r="OV18" s="191"/>
      <c r="OW18" s="191"/>
      <c r="OX18" s="191"/>
      <c r="OY18" s="191"/>
      <c r="OZ18" s="191"/>
      <c r="PA18" s="191"/>
      <c r="PB18" s="193"/>
      <c r="PC18" s="47"/>
      <c r="PD18" s="154" t="s">
        <v>97</v>
      </c>
      <c r="PE18" s="155" t="s">
        <v>98</v>
      </c>
      <c r="PF18" s="155" t="s">
        <v>98</v>
      </c>
      <c r="PG18" s="155" t="s">
        <v>98</v>
      </c>
      <c r="PH18" s="155" t="s">
        <v>98</v>
      </c>
      <c r="PI18" s="155" t="s">
        <v>98</v>
      </c>
      <c r="PJ18" s="155" t="s">
        <v>98</v>
      </c>
      <c r="PK18" s="155" t="s">
        <v>98</v>
      </c>
      <c r="PL18" s="155" t="s">
        <v>98</v>
      </c>
      <c r="PM18" s="155" t="s">
        <v>98</v>
      </c>
      <c r="PN18" s="155" t="s">
        <v>98</v>
      </c>
      <c r="PO18" s="156"/>
      <c r="PP18" s="156"/>
      <c r="PQ18" s="156"/>
      <c r="PR18" s="156"/>
      <c r="PS18" s="156"/>
      <c r="PT18" s="156"/>
      <c r="PU18" s="156"/>
      <c r="PV18" s="156"/>
      <c r="PW18" s="156"/>
      <c r="PX18" s="195"/>
      <c r="PY18" s="1"/>
      <c r="PZ18" s="196">
        <f t="shared" si="20"/>
        <v>190</v>
      </c>
      <c r="QA18" s="176">
        <f t="shared" si="21"/>
        <v>1.585050471343956E-3</v>
      </c>
      <c r="QB18" s="177" t="str">
        <f t="shared" ca="1" si="22"/>
        <v>Attente…</v>
      </c>
      <c r="QC18" s="197">
        <f t="shared" si="23"/>
        <v>300</v>
      </c>
      <c r="QD18" s="179">
        <f t="shared" si="24"/>
        <v>2.8089887640449437E-3</v>
      </c>
      <c r="QE18" s="180" t="str">
        <f t="shared" ca="1" si="25"/>
        <v>Attente…</v>
      </c>
      <c r="QF18" s="196">
        <f t="shared" si="26"/>
        <v>220</v>
      </c>
      <c r="QG18" s="176">
        <f t="shared" si="27"/>
        <v>1.7518713170887085E-3</v>
      </c>
      <c r="QH18" s="177" t="str">
        <f t="shared" ca="1" si="28"/>
        <v>Attente…</v>
      </c>
      <c r="QI18" s="197">
        <f t="shared" si="29"/>
        <v>220</v>
      </c>
      <c r="QJ18" s="179">
        <f t="shared" si="30"/>
        <v>1.5429934072099874E-3</v>
      </c>
      <c r="QK18" s="180" t="str">
        <f t="shared" ca="1" si="31"/>
        <v>Attente…</v>
      </c>
      <c r="QL18" s="196">
        <f t="shared" si="32"/>
        <v>170</v>
      </c>
      <c r="QM18" s="176">
        <f t="shared" si="33"/>
        <v>1.2437810945273632E-3</v>
      </c>
      <c r="QN18" s="177" t="str">
        <f t="shared" ca="1" si="34"/>
        <v>Attente…</v>
      </c>
      <c r="QO18" s="197">
        <f t="shared" si="35"/>
        <v>360</v>
      </c>
      <c r="QP18" s="179">
        <f t="shared" si="36"/>
        <v>2.8184451577546385E-3</v>
      </c>
      <c r="QQ18" s="180" t="str">
        <f t="shared" ca="1" si="37"/>
        <v>Attente…</v>
      </c>
      <c r="QR18" s="196">
        <f t="shared" si="38"/>
        <v>270</v>
      </c>
      <c r="QS18" s="176">
        <f t="shared" si="39"/>
        <v>1.9437745221554299E-3</v>
      </c>
      <c r="QT18" s="177" t="str">
        <f t="shared" ca="1" si="40"/>
        <v>Attente…</v>
      </c>
      <c r="QU18" s="197">
        <f t="shared" si="41"/>
        <v>450</v>
      </c>
      <c r="QV18" s="179">
        <f t="shared" si="42"/>
        <v>3.1025923883066741E-3</v>
      </c>
      <c r="QW18" s="180" t="str">
        <f t="shared" ca="1" si="43"/>
        <v>Attente…</v>
      </c>
      <c r="QX18" s="196">
        <f t="shared" si="44"/>
        <v>250</v>
      </c>
      <c r="QY18" s="176">
        <f t="shared" si="45"/>
        <v>1.8243381301263901E-3</v>
      </c>
      <c r="QZ18" s="177" t="str">
        <f t="shared" ca="1" si="46"/>
        <v>Attente…</v>
      </c>
      <c r="RA18" s="197">
        <f t="shared" si="47"/>
        <v>170</v>
      </c>
      <c r="RB18" s="179">
        <f t="shared" si="48"/>
        <v>1.3300993662467727E-3</v>
      </c>
      <c r="RC18" s="180" t="str">
        <f t="shared" ca="1" si="49"/>
        <v>Attente…</v>
      </c>
      <c r="RD18" s="196">
        <f t="shared" si="50"/>
        <v>80</v>
      </c>
      <c r="RE18" s="176">
        <f t="shared" si="51"/>
        <v>7.9713033080908732E-4</v>
      </c>
      <c r="RF18" s="177" t="str">
        <f t="shared" ca="1" si="52"/>
        <v>Attente…</v>
      </c>
      <c r="RG18" s="197">
        <f t="shared" si="53"/>
        <v>70</v>
      </c>
      <c r="RH18" s="179">
        <f t="shared" si="54"/>
        <v>1.2874747103181902E-3</v>
      </c>
      <c r="RI18" s="198" t="str">
        <f t="shared" ca="1" si="55"/>
        <v>Attente…</v>
      </c>
      <c r="RJ18" s="199">
        <f t="shared" si="56"/>
        <v>710</v>
      </c>
      <c r="RK18" s="200" t="str">
        <f t="shared" ca="1" si="13"/>
        <v>Attente…</v>
      </c>
      <c r="RL18" s="199">
        <f t="shared" si="57"/>
        <v>750</v>
      </c>
      <c r="RM18" s="200" t="str">
        <f t="shared" ca="1" si="58"/>
        <v>Atttente…</v>
      </c>
      <c r="RN18" s="199">
        <f t="shared" si="59"/>
        <v>970</v>
      </c>
      <c r="RO18" s="200" t="str">
        <f t="shared" ca="1" si="14"/>
        <v>Attente…</v>
      </c>
      <c r="RP18" s="199">
        <f t="shared" si="60"/>
        <v>320</v>
      </c>
      <c r="RQ18" s="200" t="str">
        <f t="shared" ca="1" si="15"/>
        <v>Attente…</v>
      </c>
      <c r="RR18" s="201">
        <f t="shared" si="61"/>
        <v>2750</v>
      </c>
      <c r="RS18" s="202" t="str">
        <f t="shared" ca="1" si="16"/>
        <v>Attente…</v>
      </c>
      <c r="RT18" s="103"/>
      <c r="RU18" s="203">
        <f t="shared" si="62"/>
        <v>0.27500000000000002</v>
      </c>
      <c r="RV18" s="204">
        <f t="shared" si="6"/>
        <v>1</v>
      </c>
      <c r="RW18" s="204">
        <f t="shared" si="6"/>
        <v>1</v>
      </c>
      <c r="RX18" s="204">
        <f t="shared" si="63"/>
        <v>50</v>
      </c>
      <c r="RY18" s="205" t="str">
        <f t="shared" si="64"/>
        <v>BERVILLE-SUR-SEINE - 1061 rue du Village (Près de l'église)</v>
      </c>
      <c r="RZ18" s="189" t="str">
        <f>IF(OR(RZ17="",RZ17="  &lt;/Document&gt;
&lt;/kml&gt;"),"",
IF(B18="","  &lt;/Document&gt;
&lt;/kml&gt;",
IF(TournéesCAV!Q18=""," ",
"    &lt;Placemark&gt;
      &lt;description&gt;&lt;![CDATA["&amp;B18&amp;"&lt;br&gt;&lt;br&gt;"&amp;RV18&amp;" CAV&lt;br&gt;&lt;br&gt;Présent sur "&amp;RW18&amp;" tournée(s)&lt;br&gt;&lt;br&gt;Taux de remplissage moyen "&amp;TEXT(RU18*1000,"0 %")&amp;"]]&gt;&lt;/description&gt;
      &lt;Style&gt;
        &lt;IconStyle&gt;
          &lt;color&gt;ff"&amp;
          DEC2HEX(0,2)&amp;
          DEC2HEX(
            IF(RU18&lt;=0.5,
               INT(255*(RU18*2)),
               255
            ),2)&amp;
          DEC2HEX(
            IF(RU18&lt;=0.5,
               255,
               INT(255*(1-(RU18-0.5)*2))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&lt;Point&gt;&lt;coordinates&gt;"&amp;R18&amp;","&amp;Q18&amp;",0&lt;/coordinates&gt;&lt;/Point&gt;
    &lt;/Placemark&gt;"
)))</f>
        <v xml:space="preserve">    &lt;Placemark&gt;
      &lt;description&gt;&lt;![CDATA[BERVILLE-SUR-SEINE - 1061 rue du Village (Près de l'église)&lt;br&gt;&lt;br&gt;1 CAV&lt;br&gt;&lt;br&gt;Présent sur 1 tournée(s)&lt;br&gt;&lt;br&gt;Taux de remplissage moyen 28%]]&gt;&lt;/description&gt;
      &lt;Style&gt;
        &lt;IconStyle&gt;
          &lt;color&gt;ff008CFF&lt;/color&gt;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&lt;Point&gt;&lt;coordinates&gt;0.903698,49.473411,0&lt;/coordinates&gt;&lt;/Point&gt;
    &lt;/Placemark&gt;</v>
      </c>
    </row>
    <row r="19" spans="2:494" ht="15" hidden="1" customHeight="1" x14ac:dyDescent="0.35">
      <c r="B19" s="208" t="str">
        <f t="shared" si="17"/>
        <v>LE PETIT-QUEVILLY - 57 avenue des Canadiens (Angle rue L. Antier)</v>
      </c>
      <c r="C19" s="154"/>
      <c r="D19" s="155"/>
      <c r="E19" s="155"/>
      <c r="F19" s="155"/>
      <c r="G19" s="155"/>
      <c r="H19" s="155"/>
      <c r="I19" s="155"/>
      <c r="J19" s="156"/>
      <c r="K19" s="157">
        <f t="shared" si="18"/>
        <v>0</v>
      </c>
      <c r="L19" s="157">
        <f t="shared" si="19"/>
        <v>0</v>
      </c>
      <c r="M19" s="209" t="s">
        <v>167</v>
      </c>
      <c r="N19" s="159" t="s">
        <v>168</v>
      </c>
      <c r="O19" s="159">
        <v>76140</v>
      </c>
      <c r="P19" s="159" t="s">
        <v>169</v>
      </c>
      <c r="Q19" s="159"/>
      <c r="R19" s="159"/>
      <c r="S19" s="159" t="s">
        <v>93</v>
      </c>
      <c r="T19" s="159" t="s">
        <v>94</v>
      </c>
      <c r="U19" s="159" t="s">
        <v>170</v>
      </c>
      <c r="V19" s="160" t="s">
        <v>96</v>
      </c>
      <c r="W19" s="161"/>
      <c r="X19" s="162"/>
      <c r="Y19" s="163"/>
      <c r="Z19" s="162"/>
      <c r="AA19" s="163"/>
      <c r="AB19" s="162"/>
      <c r="AC19" s="163"/>
      <c r="AD19" s="162"/>
      <c r="AE19" s="163"/>
      <c r="AF19" s="162"/>
      <c r="AG19" s="163"/>
      <c r="AH19" s="163"/>
      <c r="AI19" s="162"/>
      <c r="AJ19" s="163"/>
      <c r="AK19" s="162"/>
      <c r="AL19" s="163"/>
      <c r="AM19" s="162"/>
      <c r="AN19" s="163"/>
      <c r="AO19" s="162"/>
      <c r="AP19" s="164"/>
      <c r="AQ19" s="164"/>
      <c r="AR19" s="164"/>
      <c r="AS19" s="164"/>
      <c r="AT19" s="164"/>
      <c r="AU19" s="164"/>
      <c r="AV19" s="164"/>
      <c r="AW19" s="164"/>
      <c r="AX19" s="164"/>
      <c r="AY19" s="165"/>
      <c r="AZ19" s="41"/>
      <c r="BA19" s="190"/>
      <c r="BB19" s="191"/>
      <c r="BC19" s="191"/>
      <c r="BD19" s="191"/>
      <c r="BE19" s="191"/>
      <c r="BF19" s="191"/>
      <c r="BG19" s="191"/>
      <c r="BH19" s="191"/>
      <c r="BI19" s="191"/>
      <c r="BJ19" s="191"/>
      <c r="BK19" s="191"/>
      <c r="BL19" s="191"/>
      <c r="BM19" s="191"/>
      <c r="BN19" s="191"/>
      <c r="BO19" s="191"/>
      <c r="BP19" s="191"/>
      <c r="BQ19" s="191"/>
      <c r="BR19" s="191"/>
      <c r="BS19" s="191"/>
      <c r="BT19" s="191"/>
      <c r="BU19" s="191"/>
      <c r="BV19" s="191"/>
      <c r="BW19" s="191"/>
      <c r="BX19" s="191"/>
      <c r="BY19" s="191"/>
      <c r="BZ19" s="191"/>
      <c r="CA19" s="191"/>
      <c r="CB19" s="191"/>
      <c r="CC19" s="191"/>
      <c r="CD19" s="191"/>
      <c r="CE19" s="192"/>
      <c r="CF19" s="190"/>
      <c r="CG19" s="191"/>
      <c r="CH19" s="191"/>
      <c r="CI19" s="191"/>
      <c r="CJ19" s="191"/>
      <c r="CK19" s="191"/>
      <c r="CL19" s="191"/>
      <c r="CM19" s="191"/>
      <c r="CN19" s="191"/>
      <c r="CO19" s="191"/>
      <c r="CP19" s="191"/>
      <c r="CQ19" s="191"/>
      <c r="CR19" s="191"/>
      <c r="CS19" s="191"/>
      <c r="CT19" s="191"/>
      <c r="CU19" s="191"/>
      <c r="CV19" s="191"/>
      <c r="CW19" s="191"/>
      <c r="CX19" s="191"/>
      <c r="CY19" s="191"/>
      <c r="CZ19" s="191"/>
      <c r="DA19" s="191"/>
      <c r="DB19" s="191"/>
      <c r="DC19" s="191"/>
      <c r="DD19" s="191"/>
      <c r="DE19" s="191"/>
      <c r="DF19" s="191"/>
      <c r="DG19" s="191"/>
      <c r="DH19" s="193"/>
      <c r="DI19" s="194"/>
      <c r="DJ19" s="191"/>
      <c r="DK19" s="191"/>
      <c r="DL19" s="191"/>
      <c r="DM19" s="191"/>
      <c r="DN19" s="191"/>
      <c r="DO19" s="191"/>
      <c r="DP19" s="191"/>
      <c r="DQ19" s="191"/>
      <c r="DR19" s="191"/>
      <c r="DS19" s="191"/>
      <c r="DT19" s="191"/>
      <c r="DU19" s="191"/>
      <c r="DV19" s="191"/>
      <c r="DW19" s="191"/>
      <c r="DX19" s="191"/>
      <c r="DY19" s="191"/>
      <c r="DZ19" s="191"/>
      <c r="EA19" s="191"/>
      <c r="EB19" s="191"/>
      <c r="EC19" s="191"/>
      <c r="ED19" s="191"/>
      <c r="EE19" s="191"/>
      <c r="EF19" s="191"/>
      <c r="EG19" s="191"/>
      <c r="EH19" s="191"/>
      <c r="EI19" s="191"/>
      <c r="EJ19" s="191"/>
      <c r="EK19" s="191"/>
      <c r="EL19" s="191"/>
      <c r="EM19" s="192"/>
      <c r="EN19" s="190"/>
      <c r="EO19" s="191"/>
      <c r="EP19" s="191"/>
      <c r="EQ19" s="191"/>
      <c r="ER19" s="191"/>
      <c r="ES19" s="191"/>
      <c r="ET19" s="191"/>
      <c r="EU19" s="191"/>
      <c r="EV19" s="191"/>
      <c r="EW19" s="191"/>
      <c r="EX19" s="191"/>
      <c r="EY19" s="191"/>
      <c r="EZ19" s="191"/>
      <c r="FA19" s="191"/>
      <c r="FB19" s="191"/>
      <c r="FC19" s="191"/>
      <c r="FD19" s="191"/>
      <c r="FE19" s="191"/>
      <c r="FF19" s="191"/>
      <c r="FG19" s="191"/>
      <c r="FH19" s="191"/>
      <c r="FI19" s="191"/>
      <c r="FJ19" s="191"/>
      <c r="FK19" s="191"/>
      <c r="FL19" s="191"/>
      <c r="FM19" s="191"/>
      <c r="FN19" s="191"/>
      <c r="FO19" s="191"/>
      <c r="FP19" s="191"/>
      <c r="FQ19" s="193"/>
      <c r="FR19" s="194"/>
      <c r="FS19" s="191"/>
      <c r="FT19" s="191"/>
      <c r="FU19" s="191"/>
      <c r="FV19" s="191"/>
      <c r="FW19" s="191"/>
      <c r="FX19" s="191"/>
      <c r="FY19" s="191"/>
      <c r="FZ19" s="191"/>
      <c r="GA19" s="191"/>
      <c r="GB19" s="191"/>
      <c r="GC19" s="191"/>
      <c r="GD19" s="191"/>
      <c r="GE19" s="191"/>
      <c r="GF19" s="191"/>
      <c r="GG19" s="191"/>
      <c r="GH19" s="191"/>
      <c r="GI19" s="191"/>
      <c r="GJ19" s="191"/>
      <c r="GK19" s="191"/>
      <c r="GL19" s="191"/>
      <c r="GM19" s="191"/>
      <c r="GN19" s="191"/>
      <c r="GO19" s="191"/>
      <c r="GP19" s="191"/>
      <c r="GQ19" s="191"/>
      <c r="GR19" s="191"/>
      <c r="GS19" s="191"/>
      <c r="GT19" s="191"/>
      <c r="GU19" s="191"/>
      <c r="GV19" s="192"/>
      <c r="GW19" s="190"/>
      <c r="GX19" s="191"/>
      <c r="GY19" s="191"/>
      <c r="GZ19" s="191"/>
      <c r="HA19" s="191"/>
      <c r="HB19" s="191"/>
      <c r="HC19" s="191"/>
      <c r="HD19" s="191"/>
      <c r="HE19" s="191"/>
      <c r="HF19" s="191"/>
      <c r="HG19" s="191"/>
      <c r="HH19" s="191"/>
      <c r="HI19" s="191"/>
      <c r="HJ19" s="191"/>
      <c r="HK19" s="191"/>
      <c r="HL19" s="191"/>
      <c r="HM19" s="191"/>
      <c r="HN19" s="191"/>
      <c r="HO19" s="191"/>
      <c r="HP19" s="191"/>
      <c r="HQ19" s="191"/>
      <c r="HR19" s="191"/>
      <c r="HS19" s="191"/>
      <c r="HT19" s="191"/>
      <c r="HU19" s="191"/>
      <c r="HV19" s="191"/>
      <c r="HW19" s="191"/>
      <c r="HX19" s="191"/>
      <c r="HY19" s="191"/>
      <c r="HZ19" s="193"/>
      <c r="IA19" s="194"/>
      <c r="IB19" s="191"/>
      <c r="IC19" s="191"/>
      <c r="ID19" s="191"/>
      <c r="IE19" s="191"/>
      <c r="IF19" s="191"/>
      <c r="IG19" s="191"/>
      <c r="IH19" s="191"/>
      <c r="II19" s="191"/>
      <c r="IJ19" s="191"/>
      <c r="IK19" s="191"/>
      <c r="IL19" s="191"/>
      <c r="IM19" s="191"/>
      <c r="IN19" s="191"/>
      <c r="IO19" s="191"/>
      <c r="IP19" s="191"/>
      <c r="IQ19" s="191"/>
      <c r="IR19" s="191"/>
      <c r="IS19" s="191"/>
      <c r="IT19" s="191"/>
      <c r="IU19" s="191"/>
      <c r="IV19" s="191"/>
      <c r="IW19" s="191"/>
      <c r="IX19" s="191"/>
      <c r="IY19" s="191"/>
      <c r="IZ19" s="191"/>
      <c r="JA19" s="191"/>
      <c r="JB19" s="191"/>
      <c r="JC19" s="191"/>
      <c r="JD19" s="191"/>
      <c r="JE19" s="192"/>
      <c r="JF19" s="190"/>
      <c r="JG19" s="191"/>
      <c r="JH19" s="191"/>
      <c r="JI19" s="191"/>
      <c r="JJ19" s="191"/>
      <c r="JK19" s="191"/>
      <c r="JL19" s="191"/>
      <c r="JM19" s="191"/>
      <c r="JN19" s="191"/>
      <c r="JO19" s="191"/>
      <c r="JP19" s="191"/>
      <c r="JQ19" s="191"/>
      <c r="JR19" s="191"/>
      <c r="JS19" s="191"/>
      <c r="JT19" s="191"/>
      <c r="JU19" s="191"/>
      <c r="JV19" s="191"/>
      <c r="JW19" s="191"/>
      <c r="JX19" s="191"/>
      <c r="JY19" s="191"/>
      <c r="JZ19" s="191"/>
      <c r="KA19" s="191"/>
      <c r="KB19" s="191"/>
      <c r="KC19" s="191"/>
      <c r="KD19" s="191"/>
      <c r="KE19" s="191"/>
      <c r="KF19" s="191"/>
      <c r="KG19" s="191"/>
      <c r="KH19" s="191"/>
      <c r="KI19" s="191"/>
      <c r="KJ19" s="193"/>
      <c r="KK19" s="194"/>
      <c r="KL19" s="191"/>
      <c r="KM19" s="191"/>
      <c r="KN19" s="191"/>
      <c r="KO19" s="191"/>
      <c r="KP19" s="191"/>
      <c r="KQ19" s="191"/>
      <c r="KR19" s="191"/>
      <c r="KS19" s="191"/>
      <c r="KT19" s="191"/>
      <c r="KU19" s="191"/>
      <c r="KV19" s="191"/>
      <c r="KW19" s="191"/>
      <c r="KX19" s="191"/>
      <c r="KY19" s="191"/>
      <c r="KZ19" s="191"/>
      <c r="LA19" s="191"/>
      <c r="LB19" s="191"/>
      <c r="LC19" s="191"/>
      <c r="LD19" s="191"/>
      <c r="LE19" s="191"/>
      <c r="LF19" s="191"/>
      <c r="LG19" s="191"/>
      <c r="LH19" s="191"/>
      <c r="LI19" s="191"/>
      <c r="LJ19" s="191"/>
      <c r="LK19" s="191"/>
      <c r="LL19" s="191"/>
      <c r="LM19" s="191"/>
      <c r="LN19" s="192"/>
      <c r="LO19" s="190"/>
      <c r="LP19" s="191"/>
      <c r="LQ19" s="191"/>
      <c r="LR19" s="191"/>
      <c r="LS19" s="191"/>
      <c r="LT19" s="191"/>
      <c r="LU19" s="191"/>
      <c r="LV19" s="191"/>
      <c r="LW19" s="191"/>
      <c r="LX19" s="191"/>
      <c r="LY19" s="191"/>
      <c r="LZ19" s="191"/>
      <c r="MA19" s="191"/>
      <c r="MB19" s="191"/>
      <c r="MC19" s="191"/>
      <c r="MD19" s="191"/>
      <c r="ME19" s="191"/>
      <c r="MF19" s="191"/>
      <c r="MG19" s="191"/>
      <c r="MH19" s="191"/>
      <c r="MI19" s="191"/>
      <c r="MJ19" s="191"/>
      <c r="MK19" s="191"/>
      <c r="ML19" s="191"/>
      <c r="MM19" s="191"/>
      <c r="MN19" s="191"/>
      <c r="MO19" s="191"/>
      <c r="MP19" s="191"/>
      <c r="MQ19" s="191"/>
      <c r="MR19" s="191"/>
      <c r="MS19" s="193"/>
      <c r="MT19" s="194"/>
      <c r="MU19" s="191"/>
      <c r="MV19" s="191"/>
      <c r="MW19" s="191"/>
      <c r="MX19" s="191"/>
      <c r="MY19" s="191"/>
      <c r="MZ19" s="191"/>
      <c r="NA19" s="191"/>
      <c r="NB19" s="191"/>
      <c r="NC19" s="191"/>
      <c r="ND19" s="191"/>
      <c r="NE19" s="191"/>
      <c r="NF19" s="191"/>
      <c r="NG19" s="191"/>
      <c r="NH19" s="191"/>
      <c r="NI19" s="191"/>
      <c r="NJ19" s="191"/>
      <c r="NK19" s="191"/>
      <c r="NL19" s="191"/>
      <c r="NM19" s="191"/>
      <c r="NN19" s="191"/>
      <c r="NO19" s="191"/>
      <c r="NP19" s="191"/>
      <c r="NQ19" s="191"/>
      <c r="NR19" s="191"/>
      <c r="NS19" s="191"/>
      <c r="NT19" s="191"/>
      <c r="NU19" s="191"/>
      <c r="NV19" s="191"/>
      <c r="NW19" s="192"/>
      <c r="NX19" s="190"/>
      <c r="NY19" s="191"/>
      <c r="NZ19" s="191"/>
      <c r="OA19" s="191"/>
      <c r="OB19" s="191"/>
      <c r="OC19" s="191"/>
      <c r="OD19" s="191"/>
      <c r="OE19" s="191"/>
      <c r="OF19" s="191"/>
      <c r="OG19" s="191"/>
      <c r="OH19" s="191"/>
      <c r="OI19" s="191"/>
      <c r="OJ19" s="191"/>
      <c r="OK19" s="191"/>
      <c r="OL19" s="191"/>
      <c r="OM19" s="191"/>
      <c r="ON19" s="191"/>
      <c r="OO19" s="191"/>
      <c r="OP19" s="191"/>
      <c r="OQ19" s="191"/>
      <c r="OR19" s="191"/>
      <c r="OS19" s="191"/>
      <c r="OT19" s="191"/>
      <c r="OU19" s="191"/>
      <c r="OV19" s="191"/>
      <c r="OW19" s="191"/>
      <c r="OX19" s="191"/>
      <c r="OY19" s="191"/>
      <c r="OZ19" s="191"/>
      <c r="PA19" s="191"/>
      <c r="PB19" s="193"/>
      <c r="PC19" s="47"/>
      <c r="PD19" s="154" t="s">
        <v>97</v>
      </c>
      <c r="PE19" s="155" t="s">
        <v>98</v>
      </c>
      <c r="PF19" s="155" t="s">
        <v>98</v>
      </c>
      <c r="PG19" s="155" t="s">
        <v>98</v>
      </c>
      <c r="PH19" s="155" t="s">
        <v>98</v>
      </c>
      <c r="PI19" s="155" t="s">
        <v>98</v>
      </c>
      <c r="PJ19" s="155" t="s">
        <v>98</v>
      </c>
      <c r="PK19" s="155" t="s">
        <v>98</v>
      </c>
      <c r="PL19" s="155" t="s">
        <v>98</v>
      </c>
      <c r="PM19" s="155" t="s">
        <v>98</v>
      </c>
      <c r="PN19" s="155" t="s">
        <v>98</v>
      </c>
      <c r="PO19" s="156"/>
      <c r="PP19" s="156"/>
      <c r="PQ19" s="156"/>
      <c r="PR19" s="156"/>
      <c r="PS19" s="156"/>
      <c r="PT19" s="156"/>
      <c r="PU19" s="156"/>
      <c r="PV19" s="156"/>
      <c r="PW19" s="156"/>
      <c r="PX19" s="195"/>
      <c r="PY19" s="1"/>
      <c r="PZ19" s="196">
        <f t="shared" si="20"/>
        <v>0</v>
      </c>
      <c r="QA19" s="176">
        <f t="shared" si="21"/>
        <v>0</v>
      </c>
      <c r="QB19" s="177" t="str">
        <f t="shared" ca="1" si="22"/>
        <v>Attente…</v>
      </c>
      <c r="QC19" s="197">
        <f t="shared" si="23"/>
        <v>0</v>
      </c>
      <c r="QD19" s="179">
        <f t="shared" si="24"/>
        <v>0</v>
      </c>
      <c r="QE19" s="180" t="str">
        <f t="shared" ca="1" si="25"/>
        <v>Attente…</v>
      </c>
      <c r="QF19" s="196">
        <f t="shared" si="26"/>
        <v>0</v>
      </c>
      <c r="QG19" s="176">
        <f t="shared" si="27"/>
        <v>0</v>
      </c>
      <c r="QH19" s="177" t="str">
        <f t="shared" ca="1" si="28"/>
        <v>Attente…</v>
      </c>
      <c r="QI19" s="197">
        <f t="shared" si="29"/>
        <v>0</v>
      </c>
      <c r="QJ19" s="179">
        <f t="shared" si="30"/>
        <v>0</v>
      </c>
      <c r="QK19" s="180" t="str">
        <f t="shared" ca="1" si="31"/>
        <v>Attente…</v>
      </c>
      <c r="QL19" s="196">
        <f t="shared" si="32"/>
        <v>0</v>
      </c>
      <c r="QM19" s="176">
        <f t="shared" si="33"/>
        <v>0</v>
      </c>
      <c r="QN19" s="177" t="str">
        <f t="shared" ca="1" si="34"/>
        <v>Attente…</v>
      </c>
      <c r="QO19" s="197">
        <f t="shared" si="35"/>
        <v>0</v>
      </c>
      <c r="QP19" s="179">
        <f t="shared" si="36"/>
        <v>0</v>
      </c>
      <c r="QQ19" s="180" t="str">
        <f t="shared" ca="1" si="37"/>
        <v>Attente…</v>
      </c>
      <c r="QR19" s="196">
        <f t="shared" si="38"/>
        <v>0</v>
      </c>
      <c r="QS19" s="176">
        <f t="shared" si="39"/>
        <v>0</v>
      </c>
      <c r="QT19" s="177" t="str">
        <f t="shared" ca="1" si="40"/>
        <v>Attente…</v>
      </c>
      <c r="QU19" s="197">
        <f t="shared" si="41"/>
        <v>0</v>
      </c>
      <c r="QV19" s="179">
        <f t="shared" si="42"/>
        <v>0</v>
      </c>
      <c r="QW19" s="180" t="str">
        <f t="shared" ca="1" si="43"/>
        <v>Attente…</v>
      </c>
      <c r="QX19" s="196">
        <f t="shared" si="44"/>
        <v>0</v>
      </c>
      <c r="QY19" s="176">
        <f t="shared" si="45"/>
        <v>0</v>
      </c>
      <c r="QZ19" s="177" t="str">
        <f t="shared" ca="1" si="46"/>
        <v>Attente…</v>
      </c>
      <c r="RA19" s="197">
        <f t="shared" si="47"/>
        <v>0</v>
      </c>
      <c r="RB19" s="179">
        <f t="shared" si="48"/>
        <v>0</v>
      </c>
      <c r="RC19" s="180" t="str">
        <f t="shared" ca="1" si="49"/>
        <v>Attente…</v>
      </c>
      <c r="RD19" s="196">
        <f t="shared" si="50"/>
        <v>0</v>
      </c>
      <c r="RE19" s="176">
        <f t="shared" si="51"/>
        <v>0</v>
      </c>
      <c r="RF19" s="177" t="str">
        <f t="shared" ca="1" si="52"/>
        <v>Attente…</v>
      </c>
      <c r="RG19" s="197">
        <f t="shared" si="53"/>
        <v>0</v>
      </c>
      <c r="RH19" s="179">
        <f t="shared" si="54"/>
        <v>0</v>
      </c>
      <c r="RI19" s="198" t="str">
        <f t="shared" ca="1" si="55"/>
        <v>Attente…</v>
      </c>
      <c r="RJ19" s="199">
        <f t="shared" si="56"/>
        <v>0</v>
      </c>
      <c r="RK19" s="200" t="str">
        <f t="shared" ca="1" si="13"/>
        <v>Attente…</v>
      </c>
      <c r="RL19" s="199">
        <f t="shared" si="57"/>
        <v>0</v>
      </c>
      <c r="RM19" s="200" t="str">
        <f t="shared" ca="1" si="58"/>
        <v>Atttente…</v>
      </c>
      <c r="RN19" s="199">
        <f t="shared" si="59"/>
        <v>0</v>
      </c>
      <c r="RO19" s="200" t="str">
        <f t="shared" ca="1" si="14"/>
        <v>Attente…</v>
      </c>
      <c r="RP19" s="199">
        <f t="shared" si="60"/>
        <v>0</v>
      </c>
      <c r="RQ19" s="200" t="str">
        <f t="shared" ca="1" si="15"/>
        <v>Attente…</v>
      </c>
      <c r="RR19" s="201">
        <f t="shared" si="61"/>
        <v>0</v>
      </c>
      <c r="RS19" s="202" t="str">
        <f t="shared" ca="1" si="16"/>
        <v>Attente…</v>
      </c>
      <c r="RT19" s="103"/>
      <c r="RU19" s="203" t="str">
        <f t="shared" si="62"/>
        <v/>
      </c>
      <c r="RV19" s="204">
        <f t="shared" si="6"/>
        <v>0</v>
      </c>
      <c r="RW19" s="204">
        <f t="shared" si="6"/>
        <v>0</v>
      </c>
      <c r="RX19" s="204">
        <f t="shared" si="63"/>
        <v>0</v>
      </c>
      <c r="RY19" s="205" t="str">
        <f t="shared" si="64"/>
        <v>LE PETIT-QUEVILLY - 57 avenue des Canadiens (Angle rue L. Antier)</v>
      </c>
      <c r="RZ19" s="189" t="str">
        <f>IF(OR(RZ18="",RZ18="  &lt;/Document&gt;
&lt;/kml&gt;"),"",
IF(B19="","  &lt;/Document&gt;
&lt;/kml&gt;",
IF(TournéesCAV!Q19=""," ",
"    &lt;Placemark&gt;
      &lt;description&gt;&lt;![CDATA["&amp;B19&amp;"&lt;br&gt;&lt;br&gt;"&amp;RV19&amp;" CAV&lt;br&gt;&lt;br&gt;Présent sur "&amp;RW19&amp;" tournée(s)&lt;br&gt;&lt;br&gt;Taux de remplissage moyen "&amp;TEXT(RU19*1000,"0 %")&amp;"]]&gt;&lt;/description&gt;
      &lt;Style&gt;
        &lt;IconStyle&gt;
          &lt;color&gt;ff"&amp;
          DEC2HEX(0,2)&amp;
          DEC2HEX(
            IF(RU19&lt;=0.5,
               INT(255*(RU19*2)),
               255
            ),2)&amp;
          DEC2HEX(
            IF(RU19&lt;=0.5,
               255,
               INT(255*(1-(RU19-0.5)*2))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&lt;Point&gt;&lt;coordinates&gt;"&amp;R19&amp;","&amp;Q19&amp;",0&lt;/coordinates&gt;&lt;/Point&gt;
    &lt;/Placemark&gt;"
)))</f>
        <v xml:space="preserve"> </v>
      </c>
    </row>
    <row r="20" spans="2:494" ht="15" hidden="1" customHeight="1" x14ac:dyDescent="0.35">
      <c r="B20" s="208" t="str">
        <f t="shared" si="17"/>
        <v>LE PETIT-QUEVILLY - 136 avenue des Martyrs de la Résistance (Angle rue du Maréchal Galliéni)</v>
      </c>
      <c r="C20" s="154"/>
      <c r="D20" s="155"/>
      <c r="E20" s="155"/>
      <c r="F20" s="155"/>
      <c r="G20" s="155"/>
      <c r="H20" s="155"/>
      <c r="I20" s="155"/>
      <c r="J20" s="156"/>
      <c r="K20" s="157">
        <f t="shared" si="18"/>
        <v>0</v>
      </c>
      <c r="L20" s="157">
        <f t="shared" si="19"/>
        <v>0</v>
      </c>
      <c r="M20" s="209" t="s">
        <v>171</v>
      </c>
      <c r="N20" s="159" t="s">
        <v>172</v>
      </c>
      <c r="O20" s="159">
        <v>76140</v>
      </c>
      <c r="P20" s="159" t="s">
        <v>169</v>
      </c>
      <c r="Q20" s="159"/>
      <c r="R20" s="159"/>
      <c r="S20" s="159" t="s">
        <v>93</v>
      </c>
      <c r="T20" s="159" t="s">
        <v>94</v>
      </c>
      <c r="U20" s="159" t="s">
        <v>173</v>
      </c>
      <c r="V20" s="160" t="s">
        <v>96</v>
      </c>
      <c r="W20" s="161"/>
      <c r="X20" s="162"/>
      <c r="Y20" s="163"/>
      <c r="Z20" s="162"/>
      <c r="AA20" s="163"/>
      <c r="AB20" s="162"/>
      <c r="AC20" s="163"/>
      <c r="AD20" s="162"/>
      <c r="AE20" s="163"/>
      <c r="AF20" s="162"/>
      <c r="AG20" s="163"/>
      <c r="AH20" s="163"/>
      <c r="AI20" s="162"/>
      <c r="AJ20" s="163"/>
      <c r="AK20" s="162"/>
      <c r="AL20" s="163"/>
      <c r="AM20" s="162"/>
      <c r="AN20" s="163"/>
      <c r="AO20" s="162"/>
      <c r="AP20" s="164"/>
      <c r="AQ20" s="164"/>
      <c r="AR20" s="164"/>
      <c r="AS20" s="164"/>
      <c r="AT20" s="164"/>
      <c r="AU20" s="164"/>
      <c r="AV20" s="164"/>
      <c r="AW20" s="164"/>
      <c r="AX20" s="164"/>
      <c r="AY20" s="165"/>
      <c r="AZ20" s="41"/>
      <c r="BA20" s="190"/>
      <c r="BB20" s="191"/>
      <c r="BC20" s="191"/>
      <c r="BD20" s="191"/>
      <c r="BE20" s="191"/>
      <c r="BF20" s="191"/>
      <c r="BG20" s="191"/>
      <c r="BH20" s="191"/>
      <c r="BI20" s="191"/>
      <c r="BJ20" s="191"/>
      <c r="BK20" s="191"/>
      <c r="BL20" s="191"/>
      <c r="BM20" s="191"/>
      <c r="BN20" s="191"/>
      <c r="BO20" s="191"/>
      <c r="BP20" s="191"/>
      <c r="BQ20" s="191"/>
      <c r="BR20" s="191"/>
      <c r="BS20" s="191"/>
      <c r="BT20" s="191"/>
      <c r="BU20" s="191"/>
      <c r="BV20" s="191"/>
      <c r="BW20" s="191"/>
      <c r="BX20" s="191"/>
      <c r="BY20" s="191"/>
      <c r="BZ20" s="191"/>
      <c r="CA20" s="191"/>
      <c r="CB20" s="191"/>
      <c r="CC20" s="191"/>
      <c r="CD20" s="191"/>
      <c r="CE20" s="192"/>
      <c r="CF20" s="190"/>
      <c r="CG20" s="191"/>
      <c r="CH20" s="191"/>
      <c r="CI20" s="191"/>
      <c r="CJ20" s="191"/>
      <c r="CK20" s="191"/>
      <c r="CL20" s="191"/>
      <c r="CM20" s="191"/>
      <c r="CN20" s="191"/>
      <c r="CO20" s="191"/>
      <c r="CP20" s="191"/>
      <c r="CQ20" s="191"/>
      <c r="CR20" s="191"/>
      <c r="CS20" s="191"/>
      <c r="CT20" s="191"/>
      <c r="CU20" s="191"/>
      <c r="CV20" s="191"/>
      <c r="CW20" s="191"/>
      <c r="CX20" s="191"/>
      <c r="CY20" s="191"/>
      <c r="CZ20" s="191"/>
      <c r="DA20" s="191"/>
      <c r="DB20" s="191"/>
      <c r="DC20" s="191"/>
      <c r="DD20" s="191"/>
      <c r="DE20" s="191"/>
      <c r="DF20" s="191"/>
      <c r="DG20" s="191"/>
      <c r="DH20" s="193"/>
      <c r="DI20" s="194"/>
      <c r="DJ20" s="191"/>
      <c r="DK20" s="191"/>
      <c r="DL20" s="191"/>
      <c r="DM20" s="191"/>
      <c r="DN20" s="191"/>
      <c r="DO20" s="191"/>
      <c r="DP20" s="191"/>
      <c r="DQ20" s="191"/>
      <c r="DR20" s="191"/>
      <c r="DS20" s="191"/>
      <c r="DT20" s="191"/>
      <c r="DU20" s="191"/>
      <c r="DV20" s="191"/>
      <c r="DW20" s="191"/>
      <c r="DX20" s="191"/>
      <c r="DY20" s="191"/>
      <c r="DZ20" s="191"/>
      <c r="EA20" s="191"/>
      <c r="EB20" s="191"/>
      <c r="EC20" s="191"/>
      <c r="ED20" s="191"/>
      <c r="EE20" s="191"/>
      <c r="EF20" s="191"/>
      <c r="EG20" s="191"/>
      <c r="EH20" s="191"/>
      <c r="EI20" s="191"/>
      <c r="EJ20" s="191"/>
      <c r="EK20" s="191"/>
      <c r="EL20" s="191"/>
      <c r="EM20" s="192"/>
      <c r="EN20" s="190"/>
      <c r="EO20" s="191"/>
      <c r="EP20" s="191"/>
      <c r="EQ20" s="191"/>
      <c r="ER20" s="191"/>
      <c r="ES20" s="191"/>
      <c r="ET20" s="191"/>
      <c r="EU20" s="191"/>
      <c r="EV20" s="191"/>
      <c r="EW20" s="191"/>
      <c r="EX20" s="191"/>
      <c r="EY20" s="191"/>
      <c r="EZ20" s="191"/>
      <c r="FA20" s="191"/>
      <c r="FB20" s="191"/>
      <c r="FC20" s="191"/>
      <c r="FD20" s="191"/>
      <c r="FE20" s="191"/>
      <c r="FF20" s="191"/>
      <c r="FG20" s="191"/>
      <c r="FH20" s="191"/>
      <c r="FI20" s="191"/>
      <c r="FJ20" s="191"/>
      <c r="FK20" s="191"/>
      <c r="FL20" s="191"/>
      <c r="FM20" s="191"/>
      <c r="FN20" s="191"/>
      <c r="FO20" s="191"/>
      <c r="FP20" s="191"/>
      <c r="FQ20" s="193"/>
      <c r="FR20" s="194"/>
      <c r="FS20" s="191"/>
      <c r="FT20" s="191"/>
      <c r="FU20" s="191"/>
      <c r="FV20" s="191"/>
      <c r="FW20" s="191"/>
      <c r="FX20" s="191"/>
      <c r="FY20" s="191"/>
      <c r="FZ20" s="191"/>
      <c r="GA20" s="191"/>
      <c r="GB20" s="191"/>
      <c r="GC20" s="191"/>
      <c r="GD20" s="191"/>
      <c r="GE20" s="191"/>
      <c r="GF20" s="191"/>
      <c r="GG20" s="191"/>
      <c r="GH20" s="191"/>
      <c r="GI20" s="191"/>
      <c r="GJ20" s="191"/>
      <c r="GK20" s="191"/>
      <c r="GL20" s="191"/>
      <c r="GM20" s="191"/>
      <c r="GN20" s="191"/>
      <c r="GO20" s="191"/>
      <c r="GP20" s="191"/>
      <c r="GQ20" s="191"/>
      <c r="GR20" s="191"/>
      <c r="GS20" s="191"/>
      <c r="GT20" s="191"/>
      <c r="GU20" s="191"/>
      <c r="GV20" s="192"/>
      <c r="GW20" s="190"/>
      <c r="GX20" s="191"/>
      <c r="GY20" s="191"/>
      <c r="GZ20" s="191"/>
      <c r="HA20" s="191"/>
      <c r="HB20" s="191"/>
      <c r="HC20" s="191"/>
      <c r="HD20" s="191"/>
      <c r="HE20" s="191"/>
      <c r="HF20" s="191"/>
      <c r="HG20" s="191"/>
      <c r="HH20" s="191"/>
      <c r="HI20" s="191"/>
      <c r="HJ20" s="191"/>
      <c r="HK20" s="191"/>
      <c r="HL20" s="191"/>
      <c r="HM20" s="191"/>
      <c r="HN20" s="191"/>
      <c r="HO20" s="191"/>
      <c r="HP20" s="191"/>
      <c r="HQ20" s="191"/>
      <c r="HR20" s="191"/>
      <c r="HS20" s="191"/>
      <c r="HT20" s="191"/>
      <c r="HU20" s="191"/>
      <c r="HV20" s="191"/>
      <c r="HW20" s="191"/>
      <c r="HX20" s="191"/>
      <c r="HY20" s="191"/>
      <c r="HZ20" s="193"/>
      <c r="IA20" s="194"/>
      <c r="IB20" s="191"/>
      <c r="IC20" s="191"/>
      <c r="ID20" s="191"/>
      <c r="IE20" s="191"/>
      <c r="IF20" s="191"/>
      <c r="IG20" s="191"/>
      <c r="IH20" s="191"/>
      <c r="II20" s="191"/>
      <c r="IJ20" s="191"/>
      <c r="IK20" s="191"/>
      <c r="IL20" s="191"/>
      <c r="IM20" s="191"/>
      <c r="IN20" s="191"/>
      <c r="IO20" s="191"/>
      <c r="IP20" s="191"/>
      <c r="IQ20" s="191"/>
      <c r="IR20" s="191"/>
      <c r="IS20" s="191"/>
      <c r="IT20" s="191"/>
      <c r="IU20" s="191"/>
      <c r="IV20" s="191"/>
      <c r="IW20" s="191"/>
      <c r="IX20" s="191"/>
      <c r="IY20" s="191"/>
      <c r="IZ20" s="191"/>
      <c r="JA20" s="191"/>
      <c r="JB20" s="191"/>
      <c r="JC20" s="191"/>
      <c r="JD20" s="191"/>
      <c r="JE20" s="192"/>
      <c r="JF20" s="190"/>
      <c r="JG20" s="191"/>
      <c r="JH20" s="191"/>
      <c r="JI20" s="191"/>
      <c r="JJ20" s="191"/>
      <c r="JK20" s="191"/>
      <c r="JL20" s="191"/>
      <c r="JM20" s="191"/>
      <c r="JN20" s="191"/>
      <c r="JO20" s="191"/>
      <c r="JP20" s="191"/>
      <c r="JQ20" s="191"/>
      <c r="JR20" s="191"/>
      <c r="JS20" s="191"/>
      <c r="JT20" s="191"/>
      <c r="JU20" s="191"/>
      <c r="JV20" s="191"/>
      <c r="JW20" s="191"/>
      <c r="JX20" s="191"/>
      <c r="JY20" s="191"/>
      <c r="JZ20" s="191"/>
      <c r="KA20" s="191"/>
      <c r="KB20" s="191"/>
      <c r="KC20" s="191"/>
      <c r="KD20" s="191"/>
      <c r="KE20" s="191"/>
      <c r="KF20" s="191">
        <v>200</v>
      </c>
      <c r="KG20" s="191"/>
      <c r="KH20" s="191"/>
      <c r="KI20" s="191"/>
      <c r="KJ20" s="193"/>
      <c r="KK20" s="194"/>
      <c r="KL20" s="191"/>
      <c r="KM20" s="191"/>
      <c r="KN20" s="191"/>
      <c r="KO20" s="191"/>
      <c r="KP20" s="191"/>
      <c r="KQ20" s="191"/>
      <c r="KR20" s="191"/>
      <c r="KS20" s="191"/>
      <c r="KT20" s="191"/>
      <c r="KU20" s="191"/>
      <c r="KV20" s="191"/>
      <c r="KW20" s="191"/>
      <c r="KX20" s="191"/>
      <c r="KY20" s="191"/>
      <c r="KZ20" s="191"/>
      <c r="LA20" s="191"/>
      <c r="LB20" s="191"/>
      <c r="LC20" s="191"/>
      <c r="LD20" s="191"/>
      <c r="LE20" s="191"/>
      <c r="LF20" s="191"/>
      <c r="LG20" s="191"/>
      <c r="LH20" s="191"/>
      <c r="LI20" s="191"/>
      <c r="LJ20" s="191"/>
      <c r="LK20" s="191"/>
      <c r="LL20" s="191"/>
      <c r="LM20" s="191"/>
      <c r="LN20" s="192"/>
      <c r="LO20" s="190"/>
      <c r="LP20" s="191"/>
      <c r="LQ20" s="191"/>
      <c r="LR20" s="191"/>
      <c r="LS20" s="191"/>
      <c r="LT20" s="191"/>
      <c r="LU20" s="191"/>
      <c r="LV20" s="191"/>
      <c r="LW20" s="191"/>
      <c r="LX20" s="191"/>
      <c r="LY20" s="191"/>
      <c r="LZ20" s="191"/>
      <c r="MA20" s="191"/>
      <c r="MB20" s="191"/>
      <c r="MC20" s="191"/>
      <c r="MD20" s="191"/>
      <c r="ME20" s="191"/>
      <c r="MF20" s="191"/>
      <c r="MG20" s="191"/>
      <c r="MH20" s="191"/>
      <c r="MI20" s="191"/>
      <c r="MJ20" s="191"/>
      <c r="MK20" s="191"/>
      <c r="ML20" s="191"/>
      <c r="MM20" s="191"/>
      <c r="MN20" s="191"/>
      <c r="MO20" s="191"/>
      <c r="MP20" s="191"/>
      <c r="MQ20" s="191"/>
      <c r="MR20" s="191"/>
      <c r="MS20" s="193"/>
      <c r="MT20" s="194"/>
      <c r="MU20" s="191"/>
      <c r="MV20" s="191"/>
      <c r="MW20" s="191"/>
      <c r="MX20" s="191"/>
      <c r="MY20" s="191"/>
      <c r="MZ20" s="191"/>
      <c r="NA20" s="191"/>
      <c r="NB20" s="191"/>
      <c r="NC20" s="191"/>
      <c r="ND20" s="191"/>
      <c r="NE20" s="191"/>
      <c r="NF20" s="191"/>
      <c r="NG20" s="191"/>
      <c r="NH20" s="191"/>
      <c r="NI20" s="191"/>
      <c r="NJ20" s="191"/>
      <c r="NK20" s="191"/>
      <c r="NL20" s="191"/>
      <c r="NM20" s="191"/>
      <c r="NN20" s="191"/>
      <c r="NO20" s="191"/>
      <c r="NP20" s="191"/>
      <c r="NQ20" s="191"/>
      <c r="NR20" s="191"/>
      <c r="NS20" s="191"/>
      <c r="NT20" s="191"/>
      <c r="NU20" s="191"/>
      <c r="NV20" s="191"/>
      <c r="NW20" s="192"/>
      <c r="NX20" s="190"/>
      <c r="NY20" s="191"/>
      <c r="NZ20" s="191"/>
      <c r="OA20" s="191"/>
      <c r="OB20" s="191"/>
      <c r="OC20" s="191"/>
      <c r="OD20" s="191"/>
      <c r="OE20" s="191"/>
      <c r="OF20" s="191"/>
      <c r="OG20" s="191"/>
      <c r="OH20" s="191"/>
      <c r="OI20" s="191"/>
      <c r="OJ20" s="191"/>
      <c r="OK20" s="191"/>
      <c r="OL20" s="191"/>
      <c r="OM20" s="191"/>
      <c r="ON20" s="191"/>
      <c r="OO20" s="191"/>
      <c r="OP20" s="191"/>
      <c r="OQ20" s="191"/>
      <c r="OR20" s="191"/>
      <c r="OS20" s="191"/>
      <c r="OT20" s="191"/>
      <c r="OU20" s="191"/>
      <c r="OV20" s="191"/>
      <c r="OW20" s="191"/>
      <c r="OX20" s="191"/>
      <c r="OY20" s="191"/>
      <c r="OZ20" s="191"/>
      <c r="PA20" s="191"/>
      <c r="PB20" s="193"/>
      <c r="PC20" s="47"/>
      <c r="PD20" s="154" t="s">
        <v>97</v>
      </c>
      <c r="PE20" s="155" t="s">
        <v>98</v>
      </c>
      <c r="PF20" s="155" t="s">
        <v>98</v>
      </c>
      <c r="PG20" s="155" t="s">
        <v>98</v>
      </c>
      <c r="PH20" s="155" t="s">
        <v>98</v>
      </c>
      <c r="PI20" s="155" t="s">
        <v>98</v>
      </c>
      <c r="PJ20" s="155" t="s">
        <v>98</v>
      </c>
      <c r="PK20" s="155" t="s">
        <v>98</v>
      </c>
      <c r="PL20" s="155" t="s">
        <v>98</v>
      </c>
      <c r="PM20" s="155" t="s">
        <v>98</v>
      </c>
      <c r="PN20" s="155" t="s">
        <v>98</v>
      </c>
      <c r="PO20" s="156"/>
      <c r="PP20" s="156"/>
      <c r="PQ20" s="156"/>
      <c r="PR20" s="156"/>
      <c r="PS20" s="156"/>
      <c r="PT20" s="156"/>
      <c r="PU20" s="156"/>
      <c r="PV20" s="156"/>
      <c r="PW20" s="156"/>
      <c r="PX20" s="195"/>
      <c r="PY20" s="1"/>
      <c r="PZ20" s="196">
        <f t="shared" si="20"/>
        <v>0</v>
      </c>
      <c r="QA20" s="176">
        <f t="shared" si="21"/>
        <v>0</v>
      </c>
      <c r="QB20" s="177" t="str">
        <f t="shared" ca="1" si="22"/>
        <v>Attente…</v>
      </c>
      <c r="QC20" s="197">
        <f t="shared" si="23"/>
        <v>0</v>
      </c>
      <c r="QD20" s="179">
        <f t="shared" si="24"/>
        <v>0</v>
      </c>
      <c r="QE20" s="180" t="str">
        <f t="shared" ca="1" si="25"/>
        <v>Attente…</v>
      </c>
      <c r="QF20" s="196">
        <f t="shared" si="26"/>
        <v>0</v>
      </c>
      <c r="QG20" s="176">
        <f t="shared" si="27"/>
        <v>0</v>
      </c>
      <c r="QH20" s="177" t="str">
        <f t="shared" ca="1" si="28"/>
        <v>Attente…</v>
      </c>
      <c r="QI20" s="197">
        <f t="shared" si="29"/>
        <v>0</v>
      </c>
      <c r="QJ20" s="179">
        <f t="shared" si="30"/>
        <v>0</v>
      </c>
      <c r="QK20" s="180" t="str">
        <f t="shared" ca="1" si="31"/>
        <v>Attente…</v>
      </c>
      <c r="QL20" s="196">
        <f t="shared" si="32"/>
        <v>0</v>
      </c>
      <c r="QM20" s="176">
        <f t="shared" si="33"/>
        <v>0</v>
      </c>
      <c r="QN20" s="177" t="str">
        <f t="shared" ca="1" si="34"/>
        <v>Attente…</v>
      </c>
      <c r="QO20" s="197">
        <f t="shared" si="35"/>
        <v>0</v>
      </c>
      <c r="QP20" s="179">
        <f t="shared" si="36"/>
        <v>0</v>
      </c>
      <c r="QQ20" s="180" t="str">
        <f t="shared" ca="1" si="37"/>
        <v>Attente…</v>
      </c>
      <c r="QR20" s="196">
        <f t="shared" si="38"/>
        <v>0</v>
      </c>
      <c r="QS20" s="176">
        <f t="shared" si="39"/>
        <v>0</v>
      </c>
      <c r="QT20" s="177" t="str">
        <f t="shared" ca="1" si="40"/>
        <v>Attente…</v>
      </c>
      <c r="QU20" s="197">
        <f t="shared" si="41"/>
        <v>200</v>
      </c>
      <c r="QV20" s="179">
        <f t="shared" si="42"/>
        <v>1.3789299503585218E-3</v>
      </c>
      <c r="QW20" s="180" t="str">
        <f t="shared" ca="1" si="43"/>
        <v>Attente…</v>
      </c>
      <c r="QX20" s="196">
        <f t="shared" si="44"/>
        <v>0</v>
      </c>
      <c r="QY20" s="176">
        <f t="shared" si="45"/>
        <v>0</v>
      </c>
      <c r="QZ20" s="177" t="str">
        <f t="shared" ca="1" si="46"/>
        <v>Attente…</v>
      </c>
      <c r="RA20" s="197">
        <f t="shared" si="47"/>
        <v>0</v>
      </c>
      <c r="RB20" s="179">
        <f t="shared" si="48"/>
        <v>0</v>
      </c>
      <c r="RC20" s="180" t="str">
        <f t="shared" ca="1" si="49"/>
        <v>Attente…</v>
      </c>
      <c r="RD20" s="196">
        <f t="shared" si="50"/>
        <v>0</v>
      </c>
      <c r="RE20" s="176">
        <f t="shared" si="51"/>
        <v>0</v>
      </c>
      <c r="RF20" s="177" t="str">
        <f t="shared" ca="1" si="52"/>
        <v>Attente…</v>
      </c>
      <c r="RG20" s="197">
        <f t="shared" si="53"/>
        <v>0</v>
      </c>
      <c r="RH20" s="179">
        <f t="shared" si="54"/>
        <v>0</v>
      </c>
      <c r="RI20" s="198" t="str">
        <f t="shared" ca="1" si="55"/>
        <v>Attente…</v>
      </c>
      <c r="RJ20" s="199">
        <f t="shared" si="56"/>
        <v>0</v>
      </c>
      <c r="RK20" s="200" t="str">
        <f t="shared" ca="1" si="13"/>
        <v>Attente…</v>
      </c>
      <c r="RL20" s="199">
        <f t="shared" si="57"/>
        <v>0</v>
      </c>
      <c r="RM20" s="200" t="str">
        <f t="shared" ca="1" si="58"/>
        <v>Atttente…</v>
      </c>
      <c r="RN20" s="199">
        <f t="shared" si="59"/>
        <v>200</v>
      </c>
      <c r="RO20" s="200" t="str">
        <f t="shared" ca="1" si="14"/>
        <v>Attente…</v>
      </c>
      <c r="RP20" s="199">
        <f t="shared" si="60"/>
        <v>0</v>
      </c>
      <c r="RQ20" s="200" t="str">
        <f t="shared" ca="1" si="15"/>
        <v>Attente…</v>
      </c>
      <c r="RR20" s="201">
        <f t="shared" si="61"/>
        <v>200</v>
      </c>
      <c r="RS20" s="202" t="str">
        <f t="shared" ca="1" si="16"/>
        <v>Attente…</v>
      </c>
      <c r="RT20" s="103"/>
      <c r="RU20" s="203" t="str">
        <f t="shared" si="62"/>
        <v/>
      </c>
      <c r="RV20" s="204">
        <f t="shared" ref="RV20:RW83" si="65">K20</f>
        <v>0</v>
      </c>
      <c r="RW20" s="204">
        <f t="shared" si="65"/>
        <v>0</v>
      </c>
      <c r="RX20" s="204">
        <f t="shared" si="63"/>
        <v>1</v>
      </c>
      <c r="RY20" s="205" t="str">
        <f t="shared" si="64"/>
        <v>LE PETIT-QUEVILLY - 136 avenue des Martyrs de la Résistance (Angle rue du Maréchal Galliéni)</v>
      </c>
      <c r="RZ20" s="189" t="str">
        <f>IF(OR(RZ19="",RZ19="  &lt;/Document&gt;
&lt;/kml&gt;"),"",
IF(B20="","  &lt;/Document&gt;
&lt;/kml&gt;",
IF(TournéesCAV!Q20=""," ",
"    &lt;Placemark&gt;
      &lt;description&gt;&lt;![CDATA["&amp;B20&amp;"&lt;br&gt;&lt;br&gt;"&amp;RV20&amp;" CAV&lt;br&gt;&lt;br&gt;Présent sur "&amp;RW20&amp;" tournée(s)&lt;br&gt;&lt;br&gt;Taux de remplissage moyen "&amp;TEXT(RU20*1000,"0 %")&amp;"]]&gt;&lt;/description&gt;
      &lt;Style&gt;
        &lt;IconStyle&gt;
          &lt;color&gt;ff"&amp;
          DEC2HEX(0,2)&amp;
          DEC2HEX(
            IF(RU20&lt;=0.5,
               INT(255*(RU20*2)),
               255
            ),2)&amp;
          DEC2HEX(
            IF(RU20&lt;=0.5,
               255,
               INT(255*(1-(RU20-0.5)*2))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&lt;Point&gt;&lt;coordinates&gt;"&amp;R20&amp;","&amp;Q20&amp;",0&lt;/coordinates&gt;&lt;/Point&gt;
    &lt;/Placemark&gt;"
)))</f>
        <v xml:space="preserve"> </v>
      </c>
    </row>
    <row r="21" spans="2:494" ht="15" hidden="1" customHeight="1" x14ac:dyDescent="0.35">
      <c r="B21" s="153" t="str">
        <f t="shared" si="17"/>
        <v>ROUEN - 9 rue Pierre Forfait (Angle Place de Lattre de Tassigny)</v>
      </c>
      <c r="C21" s="154">
        <v>191</v>
      </c>
      <c r="D21" s="155"/>
      <c r="E21" s="155"/>
      <c r="F21" s="155"/>
      <c r="G21" s="155"/>
      <c r="H21" s="155"/>
      <c r="I21" s="155"/>
      <c r="J21" s="156"/>
      <c r="K21" s="157">
        <f t="shared" si="18"/>
        <v>1</v>
      </c>
      <c r="L21" s="157">
        <f t="shared" si="19"/>
        <v>2</v>
      </c>
      <c r="M21" s="158" t="s">
        <v>174</v>
      </c>
      <c r="N21" s="159" t="s">
        <v>175</v>
      </c>
      <c r="O21" s="159">
        <v>76000</v>
      </c>
      <c r="P21" s="159" t="s">
        <v>90</v>
      </c>
      <c r="Q21" s="159" t="s">
        <v>176</v>
      </c>
      <c r="R21" s="159" t="s">
        <v>177</v>
      </c>
      <c r="S21" s="159" t="s">
        <v>93</v>
      </c>
      <c r="T21" s="159" t="s">
        <v>94</v>
      </c>
      <c r="U21" s="159" t="s">
        <v>178</v>
      </c>
      <c r="V21" s="160" t="s">
        <v>96</v>
      </c>
      <c r="W21" s="161"/>
      <c r="X21" s="162"/>
      <c r="Y21" s="163">
        <v>1</v>
      </c>
      <c r="Z21" s="162">
        <v>1</v>
      </c>
      <c r="AA21" s="163"/>
      <c r="AB21" s="162"/>
      <c r="AC21" s="163"/>
      <c r="AD21" s="162"/>
      <c r="AE21" s="163"/>
      <c r="AF21" s="162"/>
      <c r="AG21" s="163"/>
      <c r="AH21" s="163"/>
      <c r="AI21" s="162"/>
      <c r="AJ21" s="163"/>
      <c r="AK21" s="162"/>
      <c r="AL21" s="163"/>
      <c r="AM21" s="162"/>
      <c r="AN21" s="163"/>
      <c r="AO21" s="162"/>
      <c r="AP21" s="164"/>
      <c r="AQ21" s="164"/>
      <c r="AR21" s="164"/>
      <c r="AS21" s="164"/>
      <c r="AT21" s="164"/>
      <c r="AU21" s="164"/>
      <c r="AV21" s="164"/>
      <c r="AW21" s="164"/>
      <c r="AX21" s="164"/>
      <c r="AY21" s="165"/>
      <c r="AZ21" s="41"/>
      <c r="BA21" s="190"/>
      <c r="BB21" s="191">
        <v>150</v>
      </c>
      <c r="BC21" s="191"/>
      <c r="BD21" s="191"/>
      <c r="BE21" s="191"/>
      <c r="BF21" s="191">
        <v>50</v>
      </c>
      <c r="BG21" s="191"/>
      <c r="BH21" s="191"/>
      <c r="BI21" s="191">
        <v>10</v>
      </c>
      <c r="BJ21" s="191"/>
      <c r="BK21" s="191"/>
      <c r="BL21" s="191"/>
      <c r="BM21" s="191"/>
      <c r="BN21" s="191"/>
      <c r="BO21" s="191"/>
      <c r="BP21" s="191">
        <v>10</v>
      </c>
      <c r="BQ21" s="191"/>
      <c r="BR21" s="191"/>
      <c r="BS21" s="191"/>
      <c r="BT21" s="191">
        <v>10</v>
      </c>
      <c r="BU21" s="191"/>
      <c r="BV21" s="191"/>
      <c r="BW21" s="191">
        <v>100</v>
      </c>
      <c r="BX21" s="191"/>
      <c r="BY21" s="191"/>
      <c r="BZ21" s="191"/>
      <c r="CA21" s="191"/>
      <c r="CB21" s="191"/>
      <c r="CC21" s="191"/>
      <c r="CD21" s="191">
        <v>10</v>
      </c>
      <c r="CE21" s="192"/>
      <c r="CF21" s="190"/>
      <c r="CG21" s="191"/>
      <c r="CH21" s="191">
        <v>50</v>
      </c>
      <c r="CI21" s="191"/>
      <c r="CJ21" s="191"/>
      <c r="CK21" s="191">
        <v>10</v>
      </c>
      <c r="CL21" s="191"/>
      <c r="CM21" s="191"/>
      <c r="CN21" s="191"/>
      <c r="CO21" s="191">
        <v>10</v>
      </c>
      <c r="CP21" s="191"/>
      <c r="CQ21" s="191"/>
      <c r="CR21" s="191">
        <v>10</v>
      </c>
      <c r="CS21" s="191"/>
      <c r="CT21" s="191"/>
      <c r="CU21" s="191"/>
      <c r="CV21" s="191">
        <v>200</v>
      </c>
      <c r="CW21" s="191"/>
      <c r="CX21" s="191"/>
      <c r="CY21" s="191">
        <v>10</v>
      </c>
      <c r="CZ21" s="191"/>
      <c r="DA21" s="191"/>
      <c r="DB21" s="191"/>
      <c r="DC21" s="191">
        <v>10</v>
      </c>
      <c r="DD21" s="191"/>
      <c r="DE21" s="191"/>
      <c r="DF21" s="191">
        <v>50</v>
      </c>
      <c r="DG21" s="191"/>
      <c r="DH21" s="193"/>
      <c r="DI21" s="194"/>
      <c r="DJ21" s="191"/>
      <c r="DK21" s="191"/>
      <c r="DL21" s="191"/>
      <c r="DM21" s="191"/>
      <c r="DN21" s="191">
        <v>10</v>
      </c>
      <c r="DO21" s="191"/>
      <c r="DP21" s="191"/>
      <c r="DQ21" s="191"/>
      <c r="DR21" s="191">
        <v>50</v>
      </c>
      <c r="DS21" s="191"/>
      <c r="DT21" s="191"/>
      <c r="DU21" s="191">
        <v>50</v>
      </c>
      <c r="DV21" s="191"/>
      <c r="DW21" s="191"/>
      <c r="DX21" s="191"/>
      <c r="DY21" s="191"/>
      <c r="DZ21" s="191"/>
      <c r="EA21" s="191"/>
      <c r="EB21" s="191">
        <v>10</v>
      </c>
      <c r="EC21" s="191"/>
      <c r="ED21" s="191"/>
      <c r="EE21" s="191"/>
      <c r="EF21" s="191">
        <v>10</v>
      </c>
      <c r="EG21" s="191"/>
      <c r="EH21" s="191"/>
      <c r="EI21" s="191">
        <v>10</v>
      </c>
      <c r="EJ21" s="191"/>
      <c r="EK21" s="191"/>
      <c r="EL21" s="191"/>
      <c r="EM21" s="192">
        <v>10</v>
      </c>
      <c r="EN21" s="190"/>
      <c r="EO21" s="191"/>
      <c r="EP21" s="191">
        <v>10</v>
      </c>
      <c r="EQ21" s="191"/>
      <c r="ER21" s="191"/>
      <c r="ES21" s="191"/>
      <c r="ET21" s="191">
        <v>50</v>
      </c>
      <c r="EU21" s="191"/>
      <c r="EV21" s="191"/>
      <c r="EW21" s="191">
        <v>10</v>
      </c>
      <c r="EX21" s="191"/>
      <c r="EY21" s="191"/>
      <c r="EZ21" s="191"/>
      <c r="FA21" s="191">
        <v>50</v>
      </c>
      <c r="FB21" s="191"/>
      <c r="FC21" s="191"/>
      <c r="FD21" s="191">
        <v>10</v>
      </c>
      <c r="FE21" s="191"/>
      <c r="FF21" s="191"/>
      <c r="FG21" s="191"/>
      <c r="FH21" s="191"/>
      <c r="FI21" s="191">
        <v>50</v>
      </c>
      <c r="FJ21" s="191"/>
      <c r="FK21" s="191"/>
      <c r="FL21" s="191"/>
      <c r="FM21" s="191"/>
      <c r="FN21" s="191"/>
      <c r="FO21" s="191">
        <v>10</v>
      </c>
      <c r="FP21" s="191"/>
      <c r="FQ21" s="193"/>
      <c r="FR21" s="194"/>
      <c r="FS21" s="191"/>
      <c r="FT21" s="191"/>
      <c r="FU21" s="191"/>
      <c r="FV21" s="191"/>
      <c r="FW21" s="191"/>
      <c r="FX21" s="191"/>
      <c r="FY21" s="191"/>
      <c r="FZ21" s="191"/>
      <c r="GA21" s="191"/>
      <c r="GB21" s="191"/>
      <c r="GC21" s="191">
        <v>150</v>
      </c>
      <c r="GD21" s="191"/>
      <c r="GE21" s="191"/>
      <c r="GF21" s="191">
        <v>10</v>
      </c>
      <c r="GG21" s="191"/>
      <c r="GH21" s="191"/>
      <c r="GI21" s="191"/>
      <c r="GJ21" s="191">
        <v>50</v>
      </c>
      <c r="GK21" s="191"/>
      <c r="GL21" s="191"/>
      <c r="GM21" s="191">
        <v>10</v>
      </c>
      <c r="GN21" s="191"/>
      <c r="GO21" s="191"/>
      <c r="GP21" s="191"/>
      <c r="GQ21" s="191"/>
      <c r="GR21" s="191"/>
      <c r="GS21" s="191"/>
      <c r="GT21" s="191"/>
      <c r="GU21" s="191"/>
      <c r="GV21" s="192"/>
      <c r="GW21" s="190"/>
      <c r="GX21" s="191">
        <v>100</v>
      </c>
      <c r="GY21" s="191"/>
      <c r="GZ21" s="191"/>
      <c r="HA21" s="191">
        <v>50</v>
      </c>
      <c r="HB21" s="191"/>
      <c r="HC21" s="191"/>
      <c r="HD21" s="191"/>
      <c r="HE21" s="191"/>
      <c r="HF21" s="191"/>
      <c r="HG21" s="191">
        <v>100</v>
      </c>
      <c r="HH21" s="191"/>
      <c r="HI21" s="191"/>
      <c r="HJ21" s="191"/>
      <c r="HK21" s="191"/>
      <c r="HL21" s="191">
        <v>50</v>
      </c>
      <c r="HM21" s="191"/>
      <c r="HN21" s="191"/>
      <c r="HO21" s="191"/>
      <c r="HP21" s="191"/>
      <c r="HQ21" s="191"/>
      <c r="HR21" s="191"/>
      <c r="HS21" s="191"/>
      <c r="HT21" s="191"/>
      <c r="HU21" s="191"/>
      <c r="HV21" s="191">
        <v>150</v>
      </c>
      <c r="HW21" s="191"/>
      <c r="HX21" s="191"/>
      <c r="HY21" s="191"/>
      <c r="HZ21" s="193"/>
      <c r="IA21" s="194"/>
      <c r="IB21" s="191"/>
      <c r="IC21" s="191">
        <v>10</v>
      </c>
      <c r="ID21" s="191"/>
      <c r="IE21" s="191"/>
      <c r="IF21" s="191"/>
      <c r="IG21" s="191">
        <v>10</v>
      </c>
      <c r="IH21" s="191"/>
      <c r="II21" s="191"/>
      <c r="IJ21" s="191">
        <v>50</v>
      </c>
      <c r="IK21" s="191"/>
      <c r="IL21" s="191"/>
      <c r="IM21" s="191"/>
      <c r="IN21" s="191"/>
      <c r="IO21" s="191"/>
      <c r="IP21" s="191"/>
      <c r="IQ21" s="191"/>
      <c r="IR21" s="191"/>
      <c r="IS21" s="191"/>
      <c r="IT21" s="191"/>
      <c r="IU21" s="191">
        <v>100</v>
      </c>
      <c r="IV21" s="191"/>
      <c r="IW21" s="191"/>
      <c r="IX21" s="191">
        <v>100</v>
      </c>
      <c r="IY21" s="191"/>
      <c r="IZ21" s="191"/>
      <c r="JA21" s="191"/>
      <c r="JB21" s="191"/>
      <c r="JC21" s="191"/>
      <c r="JD21" s="191"/>
      <c r="JE21" s="192">
        <v>10</v>
      </c>
      <c r="JF21" s="190"/>
      <c r="JG21" s="191"/>
      <c r="JH21" s="191"/>
      <c r="JI21" s="191">
        <v>50</v>
      </c>
      <c r="JJ21" s="191"/>
      <c r="JK21" s="191"/>
      <c r="JL21" s="191">
        <v>10</v>
      </c>
      <c r="JM21" s="191"/>
      <c r="JN21" s="191"/>
      <c r="JO21" s="191"/>
      <c r="JP21" s="191"/>
      <c r="JQ21" s="191"/>
      <c r="JR21" s="191">
        <v>100</v>
      </c>
      <c r="JS21" s="191"/>
      <c r="JT21" s="191"/>
      <c r="JU21" s="191"/>
      <c r="JV21" s="191"/>
      <c r="JW21" s="191">
        <v>100</v>
      </c>
      <c r="JX21" s="191"/>
      <c r="JY21" s="191"/>
      <c r="JZ21" s="191">
        <v>50</v>
      </c>
      <c r="KA21" s="191"/>
      <c r="KB21" s="191"/>
      <c r="KC21" s="191"/>
      <c r="KD21" s="191"/>
      <c r="KE21" s="191"/>
      <c r="KF21" s="191">
        <v>200</v>
      </c>
      <c r="KG21" s="191">
        <v>50</v>
      </c>
      <c r="KH21" s="191"/>
      <c r="KI21" s="191"/>
      <c r="KJ21" s="193"/>
      <c r="KK21" s="194">
        <v>50</v>
      </c>
      <c r="KL21" s="191"/>
      <c r="KM21" s="191"/>
      <c r="KN21" s="191">
        <v>10</v>
      </c>
      <c r="KO21" s="191"/>
      <c r="KP21" s="191"/>
      <c r="KQ21" s="191"/>
      <c r="KR21" s="191"/>
      <c r="KS21" s="191"/>
      <c r="KT21" s="191"/>
      <c r="KU21" s="191"/>
      <c r="KV21" s="191"/>
      <c r="KW21" s="191"/>
      <c r="KX21" s="191"/>
      <c r="KY21" s="191">
        <v>200</v>
      </c>
      <c r="KZ21" s="191"/>
      <c r="LA21" s="191"/>
      <c r="LB21" s="191">
        <v>50</v>
      </c>
      <c r="LC21" s="191"/>
      <c r="LD21" s="191"/>
      <c r="LE21" s="191"/>
      <c r="LF21" s="191">
        <v>10</v>
      </c>
      <c r="LG21" s="191"/>
      <c r="LH21" s="191"/>
      <c r="LI21" s="191">
        <v>10</v>
      </c>
      <c r="LJ21" s="191"/>
      <c r="LK21" s="191"/>
      <c r="LL21" s="191"/>
      <c r="LM21" s="191"/>
      <c r="LN21" s="192"/>
      <c r="LO21" s="190"/>
      <c r="LP21" s="191">
        <v>50</v>
      </c>
      <c r="LQ21" s="191"/>
      <c r="LR21" s="191"/>
      <c r="LS21" s="191"/>
      <c r="LT21" s="191">
        <v>100</v>
      </c>
      <c r="LU21" s="191"/>
      <c r="LV21" s="191"/>
      <c r="LW21" s="191">
        <v>50</v>
      </c>
      <c r="LX21" s="191"/>
      <c r="LY21" s="191"/>
      <c r="LZ21" s="191"/>
      <c r="MA21" s="191">
        <v>50</v>
      </c>
      <c r="MB21" s="191"/>
      <c r="MC21" s="191"/>
      <c r="MD21" s="191">
        <v>10</v>
      </c>
      <c r="ME21" s="191"/>
      <c r="MF21" s="191"/>
      <c r="MG21" s="191"/>
      <c r="MH21" s="191"/>
      <c r="MI21" s="191"/>
      <c r="MJ21" s="191"/>
      <c r="MK21" s="191">
        <v>150</v>
      </c>
      <c r="ML21" s="191"/>
      <c r="MM21" s="191"/>
      <c r="MN21" s="191"/>
      <c r="MO21" s="191">
        <v>150</v>
      </c>
      <c r="MP21" s="191"/>
      <c r="MQ21" s="191"/>
      <c r="MR21" s="191">
        <v>50</v>
      </c>
      <c r="MS21" s="193"/>
      <c r="MT21" s="194"/>
      <c r="MU21" s="191"/>
      <c r="MV21" s="191">
        <v>50</v>
      </c>
      <c r="MW21" s="191"/>
      <c r="MX21" s="191"/>
      <c r="MY21" s="191">
        <v>10</v>
      </c>
      <c r="MZ21" s="191"/>
      <c r="NA21" s="191"/>
      <c r="NB21" s="191"/>
      <c r="NC21" s="191">
        <v>10</v>
      </c>
      <c r="ND21" s="191"/>
      <c r="NE21" s="191"/>
      <c r="NF21" s="191"/>
      <c r="NG21" s="191"/>
      <c r="NH21" s="191"/>
      <c r="NI21" s="191"/>
      <c r="NJ21" s="191">
        <v>100</v>
      </c>
      <c r="NK21" s="191"/>
      <c r="NL21" s="191"/>
      <c r="NM21" s="191"/>
      <c r="NN21" s="191"/>
      <c r="NO21" s="191"/>
      <c r="NP21" s="191"/>
      <c r="NQ21" s="191">
        <v>100</v>
      </c>
      <c r="NR21" s="191"/>
      <c r="NS21" s="191"/>
      <c r="NT21" s="191">
        <v>10</v>
      </c>
      <c r="NU21" s="191"/>
      <c r="NV21" s="191"/>
      <c r="NW21" s="192"/>
      <c r="NX21" s="190">
        <v>10</v>
      </c>
      <c r="NY21" s="191"/>
      <c r="NZ21" s="191"/>
      <c r="OA21" s="191">
        <v>50</v>
      </c>
      <c r="OB21" s="191"/>
      <c r="OC21" s="191"/>
      <c r="OD21" s="191"/>
      <c r="OE21" s="191">
        <v>50</v>
      </c>
      <c r="OF21" s="191"/>
      <c r="OG21" s="191"/>
      <c r="OH21" s="191">
        <v>10</v>
      </c>
      <c r="OI21" s="191"/>
      <c r="OJ21" s="191"/>
      <c r="OK21" s="191"/>
      <c r="OL21" s="191">
        <v>50</v>
      </c>
      <c r="OM21" s="191"/>
      <c r="ON21" s="191"/>
      <c r="OO21" s="191">
        <v>10</v>
      </c>
      <c r="OP21" s="191"/>
      <c r="OQ21" s="191"/>
      <c r="OR21" s="191"/>
      <c r="OS21" s="191"/>
      <c r="OT21" s="191"/>
      <c r="OU21" s="191"/>
      <c r="OV21" s="191"/>
      <c r="OW21" s="191"/>
      <c r="OX21" s="191"/>
      <c r="OY21" s="191"/>
      <c r="OZ21" s="191"/>
      <c r="PA21" s="191"/>
      <c r="PB21" s="193"/>
      <c r="PC21" s="47"/>
      <c r="PD21" s="154" t="s">
        <v>97</v>
      </c>
      <c r="PE21" s="155" t="s">
        <v>98</v>
      </c>
      <c r="PF21" s="155" t="s">
        <v>98</v>
      </c>
      <c r="PG21" s="155" t="s">
        <v>98</v>
      </c>
      <c r="PH21" s="155" t="s">
        <v>98</v>
      </c>
      <c r="PI21" s="155" t="s">
        <v>98</v>
      </c>
      <c r="PJ21" s="155" t="s">
        <v>98</v>
      </c>
      <c r="PK21" s="155" t="s">
        <v>98</v>
      </c>
      <c r="PL21" s="155" t="s">
        <v>98</v>
      </c>
      <c r="PM21" s="155" t="s">
        <v>98</v>
      </c>
      <c r="PN21" s="155" t="s">
        <v>98</v>
      </c>
      <c r="PO21" s="156"/>
      <c r="PP21" s="156"/>
      <c r="PQ21" s="156"/>
      <c r="PR21" s="156"/>
      <c r="PS21" s="156"/>
      <c r="PT21" s="156"/>
      <c r="PU21" s="156"/>
      <c r="PV21" s="156"/>
      <c r="PW21" s="156"/>
      <c r="PX21" s="195"/>
      <c r="PY21" s="1"/>
      <c r="PZ21" s="196">
        <f t="shared" si="20"/>
        <v>340</v>
      </c>
      <c r="QA21" s="176">
        <f t="shared" si="21"/>
        <v>2.8364061066154999E-3</v>
      </c>
      <c r="QB21" s="177" t="str">
        <f t="shared" ca="1" si="22"/>
        <v>Attente…</v>
      </c>
      <c r="QC21" s="197">
        <f t="shared" si="23"/>
        <v>350</v>
      </c>
      <c r="QD21" s="179">
        <f t="shared" si="24"/>
        <v>3.2771535580524347E-3</v>
      </c>
      <c r="QE21" s="180" t="str">
        <f t="shared" ca="1" si="25"/>
        <v>Attente…</v>
      </c>
      <c r="QF21" s="196">
        <f t="shared" si="26"/>
        <v>150</v>
      </c>
      <c r="QG21" s="176">
        <f t="shared" si="27"/>
        <v>1.1944577161968467E-3</v>
      </c>
      <c r="QH21" s="177" t="str">
        <f t="shared" ca="1" si="28"/>
        <v>Attente…</v>
      </c>
      <c r="QI21" s="197">
        <f t="shared" si="29"/>
        <v>190</v>
      </c>
      <c r="QJ21" s="179">
        <f t="shared" si="30"/>
        <v>1.3325852153177164E-3</v>
      </c>
      <c r="QK21" s="180" t="str">
        <f t="shared" ca="1" si="31"/>
        <v>Attente…</v>
      </c>
      <c r="QL21" s="196">
        <f t="shared" si="32"/>
        <v>220</v>
      </c>
      <c r="QM21" s="176">
        <f t="shared" si="33"/>
        <v>1.6095990635059995E-3</v>
      </c>
      <c r="QN21" s="177" t="str">
        <f t="shared" ca="1" si="34"/>
        <v>Attente…</v>
      </c>
      <c r="QO21" s="197">
        <f t="shared" si="35"/>
        <v>450</v>
      </c>
      <c r="QP21" s="179">
        <f t="shared" si="36"/>
        <v>3.5230564471932986E-3</v>
      </c>
      <c r="QQ21" s="180" t="str">
        <f t="shared" ca="1" si="37"/>
        <v>Attente…</v>
      </c>
      <c r="QR21" s="196">
        <f t="shared" si="38"/>
        <v>280</v>
      </c>
      <c r="QS21" s="176">
        <f t="shared" si="39"/>
        <v>2.0157661711241496E-3</v>
      </c>
      <c r="QT21" s="177" t="str">
        <f t="shared" ca="1" si="40"/>
        <v>Attente…</v>
      </c>
      <c r="QU21" s="197">
        <f t="shared" si="41"/>
        <v>560</v>
      </c>
      <c r="QV21" s="179">
        <f t="shared" si="42"/>
        <v>3.8610038610038611E-3</v>
      </c>
      <c r="QW21" s="180" t="str">
        <f t="shared" ca="1" si="43"/>
        <v>Attente…</v>
      </c>
      <c r="QX21" s="196">
        <f t="shared" si="44"/>
        <v>330</v>
      </c>
      <c r="QY21" s="176">
        <f t="shared" si="45"/>
        <v>2.4081263317668349E-3</v>
      </c>
      <c r="QZ21" s="177" t="str">
        <f t="shared" ca="1" si="46"/>
        <v>Attente…</v>
      </c>
      <c r="RA21" s="197">
        <f t="shared" si="47"/>
        <v>610</v>
      </c>
      <c r="RB21" s="179">
        <f t="shared" si="48"/>
        <v>4.7727094906501837E-3</v>
      </c>
      <c r="RC21" s="180" t="str">
        <f t="shared" ca="1" si="49"/>
        <v>Attente…</v>
      </c>
      <c r="RD21" s="196">
        <f t="shared" si="50"/>
        <v>280</v>
      </c>
      <c r="RE21" s="176">
        <f t="shared" si="51"/>
        <v>2.7899561578318055E-3</v>
      </c>
      <c r="RF21" s="177" t="str">
        <f t="shared" ca="1" si="52"/>
        <v>Attente…</v>
      </c>
      <c r="RG21" s="197">
        <f t="shared" si="53"/>
        <v>180</v>
      </c>
      <c r="RH21" s="179">
        <f t="shared" si="54"/>
        <v>3.3106492551039177E-3</v>
      </c>
      <c r="RI21" s="198" t="str">
        <f t="shared" ca="1" si="55"/>
        <v>Attente…</v>
      </c>
      <c r="RJ21" s="199">
        <f t="shared" si="56"/>
        <v>840</v>
      </c>
      <c r="RK21" s="200" t="str">
        <f t="shared" ca="1" si="13"/>
        <v>Attente…</v>
      </c>
      <c r="RL21" s="199">
        <f t="shared" si="57"/>
        <v>860</v>
      </c>
      <c r="RM21" s="200" t="str">
        <f t="shared" ca="1" si="58"/>
        <v>Atttente…</v>
      </c>
      <c r="RN21" s="199">
        <f t="shared" si="59"/>
        <v>1170</v>
      </c>
      <c r="RO21" s="200" t="str">
        <f t="shared" ca="1" si="14"/>
        <v>Attente…</v>
      </c>
      <c r="RP21" s="199">
        <f t="shared" si="60"/>
        <v>1070</v>
      </c>
      <c r="RQ21" s="200" t="str">
        <f t="shared" ca="1" si="15"/>
        <v>Attente…</v>
      </c>
      <c r="RR21" s="201">
        <f t="shared" si="61"/>
        <v>3940</v>
      </c>
      <c r="RS21" s="202" t="str">
        <f t="shared" ca="1" si="16"/>
        <v>Attente…</v>
      </c>
      <c r="RT21" s="103"/>
      <c r="RU21" s="203">
        <f t="shared" si="62"/>
        <v>0.25584415584415582</v>
      </c>
      <c r="RV21" s="204">
        <f t="shared" si="65"/>
        <v>1</v>
      </c>
      <c r="RW21" s="204">
        <f t="shared" si="65"/>
        <v>2</v>
      </c>
      <c r="RX21" s="204">
        <f t="shared" si="63"/>
        <v>77</v>
      </c>
      <c r="RY21" s="205" t="str">
        <f t="shared" si="64"/>
        <v>ROUEN - 9 rue Pierre Forfait (Angle Place de Lattre de Tassigny)</v>
      </c>
      <c r="RZ21" s="189" t="str">
        <f>IF(OR(RZ20="",RZ20="  &lt;/Document&gt;
&lt;/kml&gt;"),"",
IF(B21="","  &lt;/Document&gt;
&lt;/kml&gt;",
IF(TournéesCAV!Q21=""," ",
"    &lt;Placemark&gt;
      &lt;description&gt;&lt;![CDATA["&amp;B21&amp;"&lt;br&gt;&lt;br&gt;"&amp;RV21&amp;" CAV&lt;br&gt;&lt;br&gt;Présent sur "&amp;RW21&amp;" tournée(s)&lt;br&gt;&lt;br&gt;Taux de remplissage moyen "&amp;TEXT(RU21*1000,"0 %")&amp;"]]&gt;&lt;/description&gt;
      &lt;Style&gt;
        &lt;IconStyle&gt;
          &lt;color&gt;ff"&amp;
          DEC2HEX(0,2)&amp;
          DEC2HEX(
            IF(RU21&lt;=0.5,
               INT(255*(RU21*2)),
               255
            ),2)&amp;
          DEC2HEX(
            IF(RU21&lt;=0.5,
               255,
               INT(255*(1-(RU21-0.5)*2))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&lt;Point&gt;&lt;coordinates&gt;"&amp;R21&amp;","&amp;Q21&amp;",0&lt;/coordinates&gt;&lt;/Point&gt;
    &lt;/Placemark&gt;"
)))</f>
        <v xml:space="preserve">    &lt;Placemark&gt;
      &lt;description&gt;&lt;![CDATA[ROUEN - 9 rue Pierre Forfait (Angle Place de Lattre de Tassigny)&lt;br&gt;&lt;br&gt;1 CAV&lt;br&gt;&lt;br&gt;Présent sur 2 tournée(s)&lt;br&gt;&lt;br&gt;Taux de remplissage moyen 26%]]&gt;&lt;/description&gt;
      &lt;Style&gt;
        &lt;IconStyle&gt;
          &lt;color&gt;ff0082FF&lt;/color&gt;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&lt;Point&gt;&lt;coordinates&gt;1.0807013,49.43754,0&lt;/coordinates&gt;&lt;/Point&gt;
    &lt;/Placemark&gt;</v>
      </c>
    </row>
    <row r="22" spans="2:494" ht="15" hidden="1" customHeight="1" x14ac:dyDescent="0.35">
      <c r="B22" s="153" t="str">
        <f t="shared" si="17"/>
        <v>ROUEN - 2 rue Blaise Pascal (Angle rue d'Elbeuf)</v>
      </c>
      <c r="C22" s="154">
        <v>188</v>
      </c>
      <c r="D22" s="155"/>
      <c r="E22" s="155"/>
      <c r="F22" s="155"/>
      <c r="G22" s="155"/>
      <c r="H22" s="155"/>
      <c r="I22" s="155"/>
      <c r="J22" s="156"/>
      <c r="K22" s="157">
        <f t="shared" si="18"/>
        <v>1</v>
      </c>
      <c r="L22" s="157">
        <f t="shared" si="19"/>
        <v>2</v>
      </c>
      <c r="M22" s="158" t="s">
        <v>179</v>
      </c>
      <c r="N22" s="159" t="s">
        <v>180</v>
      </c>
      <c r="O22" s="159">
        <v>76000</v>
      </c>
      <c r="P22" s="159" t="s">
        <v>90</v>
      </c>
      <c r="Q22" s="159" t="s">
        <v>181</v>
      </c>
      <c r="R22" s="159" t="s">
        <v>182</v>
      </c>
      <c r="S22" s="159" t="s">
        <v>93</v>
      </c>
      <c r="T22" s="159" t="s">
        <v>94</v>
      </c>
      <c r="U22" s="159" t="s">
        <v>183</v>
      </c>
      <c r="V22" s="160" t="s">
        <v>96</v>
      </c>
      <c r="W22" s="161"/>
      <c r="X22" s="162"/>
      <c r="Y22" s="163">
        <v>2</v>
      </c>
      <c r="Z22" s="162">
        <v>2</v>
      </c>
      <c r="AA22" s="163"/>
      <c r="AB22" s="162"/>
      <c r="AC22" s="163"/>
      <c r="AD22" s="162"/>
      <c r="AE22" s="163"/>
      <c r="AF22" s="162"/>
      <c r="AG22" s="163"/>
      <c r="AH22" s="163"/>
      <c r="AI22" s="162"/>
      <c r="AJ22" s="163"/>
      <c r="AK22" s="162"/>
      <c r="AL22" s="163"/>
      <c r="AM22" s="162"/>
      <c r="AN22" s="163"/>
      <c r="AO22" s="162"/>
      <c r="AP22" s="164"/>
      <c r="AQ22" s="164"/>
      <c r="AR22" s="164"/>
      <c r="AS22" s="164"/>
      <c r="AT22" s="164"/>
      <c r="AU22" s="164"/>
      <c r="AV22" s="164"/>
      <c r="AW22" s="164"/>
      <c r="AX22" s="164"/>
      <c r="AY22" s="165"/>
      <c r="AZ22" s="41"/>
      <c r="BA22" s="190"/>
      <c r="BB22" s="191">
        <v>100</v>
      </c>
      <c r="BC22" s="191"/>
      <c r="BD22" s="191"/>
      <c r="BE22" s="191"/>
      <c r="BF22" s="191">
        <v>10</v>
      </c>
      <c r="BG22" s="191"/>
      <c r="BH22" s="191"/>
      <c r="BI22" s="191">
        <v>10</v>
      </c>
      <c r="BJ22" s="191"/>
      <c r="BK22" s="191"/>
      <c r="BL22" s="191"/>
      <c r="BM22" s="191"/>
      <c r="BN22" s="191"/>
      <c r="BO22" s="191"/>
      <c r="BP22" s="191">
        <v>50</v>
      </c>
      <c r="BQ22" s="191"/>
      <c r="BR22" s="191"/>
      <c r="BS22" s="191"/>
      <c r="BT22" s="191">
        <v>100</v>
      </c>
      <c r="BU22" s="191"/>
      <c r="BV22" s="191"/>
      <c r="BW22" s="191">
        <v>50</v>
      </c>
      <c r="BX22" s="191"/>
      <c r="BY22" s="191"/>
      <c r="BZ22" s="191"/>
      <c r="CA22" s="191"/>
      <c r="CB22" s="191"/>
      <c r="CC22" s="191"/>
      <c r="CD22" s="191">
        <v>10</v>
      </c>
      <c r="CE22" s="192"/>
      <c r="CF22" s="190"/>
      <c r="CG22" s="191"/>
      <c r="CH22" s="191">
        <v>50</v>
      </c>
      <c r="CI22" s="191"/>
      <c r="CJ22" s="191"/>
      <c r="CK22" s="191">
        <v>100</v>
      </c>
      <c r="CL22" s="191"/>
      <c r="CM22" s="191"/>
      <c r="CN22" s="191"/>
      <c r="CO22" s="191">
        <v>50</v>
      </c>
      <c r="CP22" s="191"/>
      <c r="CQ22" s="191"/>
      <c r="CR22" s="191">
        <v>50</v>
      </c>
      <c r="CS22" s="191"/>
      <c r="CT22" s="191"/>
      <c r="CU22" s="191"/>
      <c r="CV22" s="191">
        <v>50</v>
      </c>
      <c r="CW22" s="191"/>
      <c r="CX22" s="191"/>
      <c r="CY22" s="191">
        <v>50</v>
      </c>
      <c r="CZ22" s="191"/>
      <c r="DA22" s="191"/>
      <c r="DB22" s="191"/>
      <c r="DC22" s="191">
        <v>50</v>
      </c>
      <c r="DD22" s="191"/>
      <c r="DE22" s="191"/>
      <c r="DF22" s="191">
        <v>50</v>
      </c>
      <c r="DG22" s="191"/>
      <c r="DH22" s="193"/>
      <c r="DI22" s="194"/>
      <c r="DJ22" s="191"/>
      <c r="DK22" s="191"/>
      <c r="DL22" s="191"/>
      <c r="DM22" s="191"/>
      <c r="DN22" s="191">
        <v>150</v>
      </c>
      <c r="DO22" s="191"/>
      <c r="DP22" s="191"/>
      <c r="DQ22" s="191"/>
      <c r="DR22" s="191">
        <v>50</v>
      </c>
      <c r="DS22" s="191"/>
      <c r="DT22" s="191"/>
      <c r="DU22" s="191">
        <v>50</v>
      </c>
      <c r="DV22" s="191"/>
      <c r="DW22" s="191"/>
      <c r="DX22" s="191"/>
      <c r="DY22" s="191">
        <v>50</v>
      </c>
      <c r="DZ22" s="191"/>
      <c r="EA22" s="191"/>
      <c r="EB22" s="191">
        <v>50</v>
      </c>
      <c r="EC22" s="191"/>
      <c r="ED22" s="191"/>
      <c r="EE22" s="191"/>
      <c r="EF22" s="191">
        <v>50</v>
      </c>
      <c r="EG22" s="191"/>
      <c r="EH22" s="191"/>
      <c r="EI22" s="191">
        <v>50</v>
      </c>
      <c r="EJ22" s="191"/>
      <c r="EK22" s="191"/>
      <c r="EL22" s="191"/>
      <c r="EM22" s="192">
        <v>100</v>
      </c>
      <c r="EN22" s="190"/>
      <c r="EO22" s="191"/>
      <c r="EP22" s="191">
        <v>10</v>
      </c>
      <c r="EQ22" s="191"/>
      <c r="ER22" s="191"/>
      <c r="ES22" s="191"/>
      <c r="ET22" s="191">
        <v>150</v>
      </c>
      <c r="EU22" s="191"/>
      <c r="EV22" s="191"/>
      <c r="EW22" s="191">
        <v>50</v>
      </c>
      <c r="EX22" s="191"/>
      <c r="EY22" s="191"/>
      <c r="EZ22" s="191"/>
      <c r="FA22" s="191">
        <v>150</v>
      </c>
      <c r="FB22" s="191"/>
      <c r="FC22" s="191"/>
      <c r="FD22" s="191">
        <v>50</v>
      </c>
      <c r="FE22" s="191"/>
      <c r="FF22" s="191"/>
      <c r="FG22" s="191"/>
      <c r="FH22" s="191"/>
      <c r="FI22" s="191">
        <v>100</v>
      </c>
      <c r="FJ22" s="191"/>
      <c r="FK22" s="191"/>
      <c r="FL22" s="191"/>
      <c r="FM22" s="191"/>
      <c r="FN22" s="191"/>
      <c r="FO22" s="191">
        <v>100</v>
      </c>
      <c r="FP22" s="191"/>
      <c r="FQ22" s="193"/>
      <c r="FR22" s="194"/>
      <c r="FS22" s="191"/>
      <c r="FT22" s="191"/>
      <c r="FU22" s="191"/>
      <c r="FV22" s="191"/>
      <c r="FW22" s="191"/>
      <c r="FX22" s="191"/>
      <c r="FY22" s="191"/>
      <c r="FZ22" s="191"/>
      <c r="GA22" s="191"/>
      <c r="GB22" s="191"/>
      <c r="GC22" s="191">
        <v>200</v>
      </c>
      <c r="GD22" s="191"/>
      <c r="GE22" s="191"/>
      <c r="GF22" s="191"/>
      <c r="GG22" s="191"/>
      <c r="GH22" s="191"/>
      <c r="GI22" s="191"/>
      <c r="GJ22" s="191">
        <v>50</v>
      </c>
      <c r="GK22" s="191"/>
      <c r="GL22" s="191"/>
      <c r="GM22" s="191">
        <v>50</v>
      </c>
      <c r="GN22" s="191"/>
      <c r="GO22" s="191"/>
      <c r="GP22" s="191"/>
      <c r="GQ22" s="191"/>
      <c r="GR22" s="191">
        <v>100</v>
      </c>
      <c r="GS22" s="191"/>
      <c r="GT22" s="191"/>
      <c r="GU22" s="191"/>
      <c r="GV22" s="192"/>
      <c r="GW22" s="190"/>
      <c r="GX22" s="191">
        <v>100</v>
      </c>
      <c r="GY22" s="191"/>
      <c r="GZ22" s="191"/>
      <c r="HA22" s="191">
        <v>50</v>
      </c>
      <c r="HB22" s="191"/>
      <c r="HC22" s="191"/>
      <c r="HD22" s="191"/>
      <c r="HE22" s="191"/>
      <c r="HF22" s="191"/>
      <c r="HG22" s="191">
        <v>100</v>
      </c>
      <c r="HH22" s="191"/>
      <c r="HI22" s="191"/>
      <c r="HJ22" s="191"/>
      <c r="HK22" s="191"/>
      <c r="HL22" s="191">
        <v>100</v>
      </c>
      <c r="HM22" s="191"/>
      <c r="HN22" s="191"/>
      <c r="HO22" s="191"/>
      <c r="HP22" s="191"/>
      <c r="HQ22" s="191"/>
      <c r="HR22" s="191"/>
      <c r="HS22" s="191"/>
      <c r="HT22" s="191"/>
      <c r="HU22" s="191"/>
      <c r="HV22" s="191">
        <v>150</v>
      </c>
      <c r="HW22" s="191"/>
      <c r="HX22" s="191"/>
      <c r="HY22" s="191"/>
      <c r="HZ22" s="193">
        <v>50</v>
      </c>
      <c r="IA22" s="194"/>
      <c r="IB22" s="191"/>
      <c r="IC22" s="191">
        <v>50</v>
      </c>
      <c r="ID22" s="191"/>
      <c r="IE22" s="191"/>
      <c r="IF22" s="191"/>
      <c r="IG22" s="191">
        <v>50</v>
      </c>
      <c r="IH22" s="191"/>
      <c r="II22" s="191"/>
      <c r="IJ22" s="191">
        <v>10</v>
      </c>
      <c r="IK22" s="191"/>
      <c r="IL22" s="191"/>
      <c r="IM22" s="191"/>
      <c r="IN22" s="191"/>
      <c r="IO22" s="191"/>
      <c r="IP22" s="191"/>
      <c r="IQ22" s="191"/>
      <c r="IR22" s="191"/>
      <c r="IS22" s="191"/>
      <c r="IT22" s="191"/>
      <c r="IU22" s="191">
        <v>100</v>
      </c>
      <c r="IV22" s="191"/>
      <c r="IW22" s="191"/>
      <c r="IX22" s="191">
        <v>100</v>
      </c>
      <c r="IY22" s="191"/>
      <c r="IZ22" s="191"/>
      <c r="JA22" s="191"/>
      <c r="JB22" s="191"/>
      <c r="JC22" s="191"/>
      <c r="JD22" s="191"/>
      <c r="JE22" s="192">
        <v>50</v>
      </c>
      <c r="JF22" s="190"/>
      <c r="JG22" s="191"/>
      <c r="JH22" s="191"/>
      <c r="JI22" s="191">
        <v>150</v>
      </c>
      <c r="JJ22" s="191"/>
      <c r="JK22" s="191"/>
      <c r="JL22" s="191">
        <v>50</v>
      </c>
      <c r="JM22" s="191"/>
      <c r="JN22" s="191"/>
      <c r="JO22" s="191"/>
      <c r="JP22" s="191"/>
      <c r="JQ22" s="191"/>
      <c r="JR22" s="191">
        <v>100</v>
      </c>
      <c r="JS22" s="191"/>
      <c r="JT22" s="191"/>
      <c r="JU22" s="191"/>
      <c r="JV22" s="191"/>
      <c r="JW22" s="191">
        <v>100</v>
      </c>
      <c r="JX22" s="191"/>
      <c r="JY22" s="191"/>
      <c r="JZ22" s="191">
        <v>50</v>
      </c>
      <c r="KA22" s="191"/>
      <c r="KB22" s="191"/>
      <c r="KC22" s="191"/>
      <c r="KD22" s="191"/>
      <c r="KE22" s="191"/>
      <c r="KF22" s="191">
        <v>200</v>
      </c>
      <c r="KG22" s="191">
        <v>50</v>
      </c>
      <c r="KH22" s="191"/>
      <c r="KI22" s="191"/>
      <c r="KJ22" s="193"/>
      <c r="KK22" s="194">
        <v>100</v>
      </c>
      <c r="KL22" s="191"/>
      <c r="KM22" s="191"/>
      <c r="KN22" s="191">
        <v>10</v>
      </c>
      <c r="KO22" s="191"/>
      <c r="KP22" s="191"/>
      <c r="KQ22" s="191"/>
      <c r="KR22" s="191"/>
      <c r="KS22" s="191"/>
      <c r="KT22" s="191"/>
      <c r="KU22" s="191"/>
      <c r="KV22" s="191"/>
      <c r="KW22" s="191"/>
      <c r="KX22" s="191"/>
      <c r="KY22" s="191">
        <v>200</v>
      </c>
      <c r="KZ22" s="191"/>
      <c r="LA22" s="191"/>
      <c r="LB22" s="191">
        <v>10</v>
      </c>
      <c r="LC22" s="191"/>
      <c r="LD22" s="191"/>
      <c r="LE22" s="191"/>
      <c r="LF22" s="191">
        <v>10</v>
      </c>
      <c r="LG22" s="191"/>
      <c r="LH22" s="191"/>
      <c r="LI22" s="191">
        <v>50</v>
      </c>
      <c r="LJ22" s="191"/>
      <c r="LK22" s="191"/>
      <c r="LL22" s="191"/>
      <c r="LM22" s="191"/>
      <c r="LN22" s="192"/>
      <c r="LO22" s="190"/>
      <c r="LP22" s="191">
        <v>100</v>
      </c>
      <c r="LQ22" s="191"/>
      <c r="LR22" s="191"/>
      <c r="LS22" s="191"/>
      <c r="LT22" s="191">
        <v>150</v>
      </c>
      <c r="LU22" s="191"/>
      <c r="LV22" s="191"/>
      <c r="LW22" s="191">
        <v>10</v>
      </c>
      <c r="LX22" s="191"/>
      <c r="LY22" s="191"/>
      <c r="LZ22" s="191"/>
      <c r="MA22" s="191">
        <v>10</v>
      </c>
      <c r="MB22" s="191"/>
      <c r="MC22" s="191"/>
      <c r="MD22" s="191">
        <v>10</v>
      </c>
      <c r="ME22" s="191"/>
      <c r="MF22" s="191"/>
      <c r="MG22" s="191"/>
      <c r="MH22" s="191">
        <v>100</v>
      </c>
      <c r="MI22" s="191"/>
      <c r="MJ22" s="191"/>
      <c r="MK22" s="191">
        <v>50</v>
      </c>
      <c r="ML22" s="191"/>
      <c r="MM22" s="191"/>
      <c r="MN22" s="191"/>
      <c r="MO22" s="191">
        <v>100</v>
      </c>
      <c r="MP22" s="191"/>
      <c r="MQ22" s="191"/>
      <c r="MR22" s="191">
        <v>50</v>
      </c>
      <c r="MS22" s="193"/>
      <c r="MT22" s="194"/>
      <c r="MU22" s="191"/>
      <c r="MV22" s="191">
        <v>100</v>
      </c>
      <c r="MW22" s="191"/>
      <c r="MX22" s="191"/>
      <c r="MY22" s="191">
        <v>50</v>
      </c>
      <c r="MZ22" s="191"/>
      <c r="NA22" s="191"/>
      <c r="NB22" s="191"/>
      <c r="NC22" s="191">
        <v>100</v>
      </c>
      <c r="ND22" s="191"/>
      <c r="NE22" s="191"/>
      <c r="NF22" s="191"/>
      <c r="NG22" s="191"/>
      <c r="NH22" s="191"/>
      <c r="NI22" s="191"/>
      <c r="NJ22" s="191">
        <v>200</v>
      </c>
      <c r="NK22" s="191"/>
      <c r="NL22" s="191"/>
      <c r="NM22" s="191"/>
      <c r="NN22" s="191"/>
      <c r="NO22" s="191"/>
      <c r="NP22" s="191"/>
      <c r="NQ22" s="191">
        <v>100</v>
      </c>
      <c r="NR22" s="191"/>
      <c r="NS22" s="191"/>
      <c r="NT22" s="191">
        <v>200</v>
      </c>
      <c r="NU22" s="191"/>
      <c r="NV22" s="191"/>
      <c r="NW22" s="192"/>
      <c r="NX22" s="190">
        <v>50</v>
      </c>
      <c r="NY22" s="191"/>
      <c r="NZ22" s="191"/>
      <c r="OA22" s="191">
        <v>10</v>
      </c>
      <c r="OB22" s="191"/>
      <c r="OC22" s="191"/>
      <c r="OD22" s="191"/>
      <c r="OE22" s="191">
        <v>150</v>
      </c>
      <c r="OF22" s="191"/>
      <c r="OG22" s="191"/>
      <c r="OH22" s="191">
        <v>10</v>
      </c>
      <c r="OI22" s="191"/>
      <c r="OJ22" s="191"/>
      <c r="OK22" s="191"/>
      <c r="OL22" s="191">
        <v>50</v>
      </c>
      <c r="OM22" s="191"/>
      <c r="ON22" s="191"/>
      <c r="OO22" s="191">
        <v>50</v>
      </c>
      <c r="OP22" s="191"/>
      <c r="OQ22" s="191"/>
      <c r="OR22" s="191"/>
      <c r="OS22" s="191"/>
      <c r="OT22" s="191"/>
      <c r="OU22" s="191"/>
      <c r="OV22" s="191"/>
      <c r="OW22" s="191"/>
      <c r="OX22" s="191"/>
      <c r="OY22" s="191"/>
      <c r="OZ22" s="191"/>
      <c r="PA22" s="191"/>
      <c r="PB22" s="193"/>
      <c r="PC22" s="47"/>
      <c r="PD22" s="154" t="s">
        <v>97</v>
      </c>
      <c r="PE22" s="155" t="s">
        <v>98</v>
      </c>
      <c r="PF22" s="155" t="s">
        <v>98</v>
      </c>
      <c r="PG22" s="155" t="s">
        <v>98</v>
      </c>
      <c r="PH22" s="155" t="s">
        <v>98</v>
      </c>
      <c r="PI22" s="155" t="s">
        <v>98</v>
      </c>
      <c r="PJ22" s="155" t="s">
        <v>98</v>
      </c>
      <c r="PK22" s="155" t="s">
        <v>98</v>
      </c>
      <c r="PL22" s="155" t="s">
        <v>98</v>
      </c>
      <c r="PM22" s="155" t="s">
        <v>98</v>
      </c>
      <c r="PN22" s="155" t="s">
        <v>98</v>
      </c>
      <c r="PO22" s="156"/>
      <c r="PP22" s="156"/>
      <c r="PQ22" s="156"/>
      <c r="PR22" s="156"/>
      <c r="PS22" s="156"/>
      <c r="PT22" s="156"/>
      <c r="PU22" s="156"/>
      <c r="PV22" s="156"/>
      <c r="PW22" s="156"/>
      <c r="PX22" s="195"/>
      <c r="PY22" s="1"/>
      <c r="PZ22" s="196">
        <f t="shared" si="20"/>
        <v>330</v>
      </c>
      <c r="QA22" s="176">
        <f t="shared" si="21"/>
        <v>2.752982397597397E-3</v>
      </c>
      <c r="QB22" s="177" t="str">
        <f t="shared" ca="1" si="22"/>
        <v>Attente…</v>
      </c>
      <c r="QC22" s="197">
        <f t="shared" si="23"/>
        <v>450</v>
      </c>
      <c r="QD22" s="179">
        <f t="shared" si="24"/>
        <v>4.2134831460674156E-3</v>
      </c>
      <c r="QE22" s="180" t="str">
        <f t="shared" ca="1" si="25"/>
        <v>Attente…</v>
      </c>
      <c r="QF22" s="196">
        <f t="shared" si="26"/>
        <v>550</v>
      </c>
      <c r="QG22" s="176">
        <f t="shared" si="27"/>
        <v>4.379678292721771E-3</v>
      </c>
      <c r="QH22" s="177" t="str">
        <f t="shared" ca="1" si="28"/>
        <v>Attente…</v>
      </c>
      <c r="QI22" s="197">
        <f t="shared" si="29"/>
        <v>610</v>
      </c>
      <c r="QJ22" s="179">
        <f t="shared" si="30"/>
        <v>4.27829990180951E-3</v>
      </c>
      <c r="QK22" s="180" t="str">
        <f t="shared" ca="1" si="31"/>
        <v>Attente…</v>
      </c>
      <c r="QL22" s="196">
        <f t="shared" si="32"/>
        <v>400</v>
      </c>
      <c r="QM22" s="176">
        <f t="shared" si="33"/>
        <v>2.9265437518290896E-3</v>
      </c>
      <c r="QN22" s="177" t="str">
        <f t="shared" ca="1" si="34"/>
        <v>Attente…</v>
      </c>
      <c r="QO22" s="197">
        <f t="shared" si="35"/>
        <v>550</v>
      </c>
      <c r="QP22" s="179">
        <f t="shared" si="36"/>
        <v>4.3059578799029205E-3</v>
      </c>
      <c r="QQ22" s="180" t="str">
        <f t="shared" ca="1" si="37"/>
        <v>Attente…</v>
      </c>
      <c r="QR22" s="196">
        <f t="shared" si="38"/>
        <v>360</v>
      </c>
      <c r="QS22" s="176">
        <f t="shared" si="39"/>
        <v>2.5916993628739065E-3</v>
      </c>
      <c r="QT22" s="177" t="str">
        <f t="shared" ca="1" si="40"/>
        <v>Attente…</v>
      </c>
      <c r="QU22" s="197">
        <f t="shared" si="41"/>
        <v>700</v>
      </c>
      <c r="QV22" s="179">
        <f t="shared" si="42"/>
        <v>4.8262548262548262E-3</v>
      </c>
      <c r="QW22" s="180" t="str">
        <f t="shared" ca="1" si="43"/>
        <v>Attente…</v>
      </c>
      <c r="QX22" s="196">
        <f t="shared" si="44"/>
        <v>380</v>
      </c>
      <c r="QY22" s="176">
        <f t="shared" si="45"/>
        <v>2.7729939577921131E-3</v>
      </c>
      <c r="QZ22" s="177" t="str">
        <f t="shared" ca="1" si="46"/>
        <v>Attente…</v>
      </c>
      <c r="RA22" s="197">
        <f t="shared" si="47"/>
        <v>580</v>
      </c>
      <c r="RB22" s="179">
        <f t="shared" si="48"/>
        <v>4.5379860730772239E-3</v>
      </c>
      <c r="RC22" s="180" t="str">
        <f t="shared" ca="1" si="49"/>
        <v>Attente…</v>
      </c>
      <c r="RD22" s="196">
        <f t="shared" si="50"/>
        <v>750</v>
      </c>
      <c r="RE22" s="176">
        <f t="shared" si="51"/>
        <v>7.4730968513351936E-3</v>
      </c>
      <c r="RF22" s="177" t="str">
        <f t="shared" ca="1" si="52"/>
        <v>Attente…</v>
      </c>
      <c r="RG22" s="197">
        <f t="shared" si="53"/>
        <v>320</v>
      </c>
      <c r="RH22" s="179">
        <f t="shared" si="54"/>
        <v>5.8855986757402976E-3</v>
      </c>
      <c r="RI22" s="198" t="str">
        <f t="shared" ca="1" si="55"/>
        <v>Attente…</v>
      </c>
      <c r="RJ22" s="199">
        <f t="shared" si="56"/>
        <v>1330</v>
      </c>
      <c r="RK22" s="200" t="str">
        <f t="shared" ca="1" si="13"/>
        <v>Attente…</v>
      </c>
      <c r="RL22" s="199">
        <f t="shared" si="57"/>
        <v>1560</v>
      </c>
      <c r="RM22" s="200" t="str">
        <f t="shared" ca="1" si="58"/>
        <v>Atttente…</v>
      </c>
      <c r="RN22" s="199">
        <f t="shared" si="59"/>
        <v>1440</v>
      </c>
      <c r="RO22" s="200" t="str">
        <f t="shared" ca="1" si="14"/>
        <v>Attente…</v>
      </c>
      <c r="RP22" s="199">
        <f t="shared" si="60"/>
        <v>1650</v>
      </c>
      <c r="RQ22" s="200" t="str">
        <f t="shared" ca="1" si="15"/>
        <v>Attente…</v>
      </c>
      <c r="RR22" s="201">
        <f t="shared" si="61"/>
        <v>5980</v>
      </c>
      <c r="RS22" s="202" t="str">
        <f t="shared" ca="1" si="16"/>
        <v>Attente…</v>
      </c>
      <c r="RT22" s="103"/>
      <c r="RU22" s="203">
        <f t="shared" si="62"/>
        <v>0.37375000000000003</v>
      </c>
      <c r="RV22" s="204">
        <f t="shared" si="65"/>
        <v>1</v>
      </c>
      <c r="RW22" s="204">
        <f t="shared" si="65"/>
        <v>2</v>
      </c>
      <c r="RX22" s="204">
        <f t="shared" si="63"/>
        <v>80</v>
      </c>
      <c r="RY22" s="205" t="str">
        <f t="shared" si="64"/>
        <v>ROUEN - 2 rue Blaise Pascal (Angle rue d'Elbeuf)</v>
      </c>
      <c r="RZ22" s="189" t="str">
        <f>IF(OR(RZ21="",RZ21="  &lt;/Document&gt;
&lt;/kml&gt;"),"",
IF(B22="","  &lt;/Document&gt;
&lt;/kml&gt;",
IF(TournéesCAV!Q22=""," ",
"    &lt;Placemark&gt;
      &lt;description&gt;&lt;![CDATA["&amp;B22&amp;"&lt;br&gt;&lt;br&gt;"&amp;RV22&amp;" CAV&lt;br&gt;&lt;br&gt;Présent sur "&amp;RW22&amp;" tournée(s)&lt;br&gt;&lt;br&gt;Taux de remplissage moyen "&amp;TEXT(RU22*1000,"0 %")&amp;"]]&gt;&lt;/description&gt;
      &lt;Style&gt;
        &lt;IconStyle&gt;
          &lt;color&gt;ff"&amp;
          DEC2HEX(0,2)&amp;
          DEC2HEX(
            IF(RU22&lt;=0.5,
               INT(255*(RU22*2)),
               255
            ),2)&amp;
          DEC2HEX(
            IF(RU22&lt;=0.5,
               255,
               INT(255*(1-(RU22-0.5)*2))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&lt;Point&gt;&lt;coordinates&gt;"&amp;R22&amp;","&amp;Q22&amp;",0&lt;/coordinates&gt;&lt;/Point&gt;
    &lt;/Placemark&gt;"
)))</f>
        <v xml:space="preserve">    &lt;Placemark&gt;
      &lt;description&gt;&lt;![CDATA[ROUEN - 2 rue Blaise Pascal (Angle rue d'Elbeuf)&lt;br&gt;&lt;br&gt;1 CAV&lt;br&gt;&lt;br&gt;Présent sur 2 tournée(s)&lt;br&gt;&lt;br&gt;Taux de remplissage moyen 37%]]&gt;&lt;/description&gt;
      &lt;Style&gt;
        &lt;IconStyle&gt;
          &lt;color&gt;ff00BEFF&lt;/color&gt;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&lt;Point&gt;&lt;coordinates&gt;1.084405,49.428497,0&lt;/coordinates&gt;&lt;/Point&gt;
    &lt;/Placemark&gt;</v>
      </c>
    </row>
    <row r="23" spans="2:494" ht="15" hidden="1" customHeight="1" x14ac:dyDescent="0.35">
      <c r="B23" s="153" t="str">
        <f t="shared" si="17"/>
        <v>ROUEN - 77 rue Méridienne (Angle Rue Octave Crutel)</v>
      </c>
      <c r="C23" s="154">
        <v>189</v>
      </c>
      <c r="D23" s="155"/>
      <c r="E23" s="155"/>
      <c r="F23" s="155"/>
      <c r="G23" s="155"/>
      <c r="H23" s="155"/>
      <c r="I23" s="155"/>
      <c r="J23" s="156"/>
      <c r="K23" s="157">
        <f t="shared" si="18"/>
        <v>1</v>
      </c>
      <c r="L23" s="157">
        <f t="shared" si="19"/>
        <v>2</v>
      </c>
      <c r="M23" s="158" t="s">
        <v>184</v>
      </c>
      <c r="N23" s="159" t="s">
        <v>185</v>
      </c>
      <c r="O23" s="159">
        <v>76000</v>
      </c>
      <c r="P23" s="159" t="s">
        <v>90</v>
      </c>
      <c r="Q23" s="159" t="s">
        <v>186</v>
      </c>
      <c r="R23" s="159" t="s">
        <v>187</v>
      </c>
      <c r="S23" s="159" t="s">
        <v>93</v>
      </c>
      <c r="T23" s="159" t="s">
        <v>94</v>
      </c>
      <c r="U23" s="159" t="s">
        <v>188</v>
      </c>
      <c r="V23" s="160" t="s">
        <v>96</v>
      </c>
      <c r="W23" s="161"/>
      <c r="X23" s="162"/>
      <c r="Y23" s="163"/>
      <c r="Z23" s="162"/>
      <c r="AA23" s="163">
        <v>4</v>
      </c>
      <c r="AB23" s="162">
        <v>5</v>
      </c>
      <c r="AC23" s="163"/>
      <c r="AD23" s="162"/>
      <c r="AE23" s="163"/>
      <c r="AF23" s="162"/>
      <c r="AG23" s="163"/>
      <c r="AH23" s="163"/>
      <c r="AI23" s="162"/>
      <c r="AJ23" s="163"/>
      <c r="AK23" s="162"/>
      <c r="AL23" s="163"/>
      <c r="AM23" s="162"/>
      <c r="AN23" s="163"/>
      <c r="AO23" s="162"/>
      <c r="AP23" s="164"/>
      <c r="AQ23" s="164"/>
      <c r="AR23" s="164"/>
      <c r="AS23" s="164"/>
      <c r="AT23" s="164"/>
      <c r="AU23" s="164"/>
      <c r="AV23" s="164"/>
      <c r="AW23" s="164"/>
      <c r="AX23" s="164"/>
      <c r="AY23" s="165"/>
      <c r="AZ23" s="41"/>
      <c r="BA23" s="190"/>
      <c r="BB23" s="191"/>
      <c r="BC23" s="191">
        <v>200</v>
      </c>
      <c r="BD23" s="191"/>
      <c r="BE23" s="191"/>
      <c r="BF23" s="191"/>
      <c r="BG23" s="191">
        <v>150</v>
      </c>
      <c r="BH23" s="191"/>
      <c r="BI23" s="191"/>
      <c r="BJ23" s="191">
        <v>100</v>
      </c>
      <c r="BK23" s="191"/>
      <c r="BL23" s="191"/>
      <c r="BM23" s="191"/>
      <c r="BN23" s="191">
        <v>100</v>
      </c>
      <c r="BO23" s="191"/>
      <c r="BP23" s="191"/>
      <c r="BQ23" s="191">
        <v>50</v>
      </c>
      <c r="BR23" s="191"/>
      <c r="BS23" s="191"/>
      <c r="BT23" s="191"/>
      <c r="BU23" s="191">
        <v>100</v>
      </c>
      <c r="BV23" s="191"/>
      <c r="BW23" s="191"/>
      <c r="BX23" s="191">
        <v>10</v>
      </c>
      <c r="BY23" s="191"/>
      <c r="BZ23" s="191"/>
      <c r="CA23" s="191"/>
      <c r="CB23" s="191">
        <v>50</v>
      </c>
      <c r="CC23" s="191"/>
      <c r="CD23" s="191"/>
      <c r="CE23" s="192">
        <v>50</v>
      </c>
      <c r="CF23" s="190"/>
      <c r="CG23" s="191"/>
      <c r="CH23" s="191"/>
      <c r="CI23" s="191">
        <v>50</v>
      </c>
      <c r="CJ23" s="191"/>
      <c r="CK23" s="191"/>
      <c r="CL23" s="191">
        <v>150</v>
      </c>
      <c r="CM23" s="191"/>
      <c r="CN23" s="191"/>
      <c r="CO23" s="191"/>
      <c r="CP23" s="191">
        <v>150</v>
      </c>
      <c r="CQ23" s="191"/>
      <c r="CR23" s="191"/>
      <c r="CS23" s="191">
        <v>50</v>
      </c>
      <c r="CT23" s="191"/>
      <c r="CU23" s="191"/>
      <c r="CV23" s="191"/>
      <c r="CW23" s="191">
        <v>50</v>
      </c>
      <c r="CX23" s="191"/>
      <c r="CY23" s="191"/>
      <c r="CZ23" s="191">
        <v>50</v>
      </c>
      <c r="DA23" s="191"/>
      <c r="DB23" s="191"/>
      <c r="DC23" s="191"/>
      <c r="DD23" s="191">
        <v>100</v>
      </c>
      <c r="DE23" s="191"/>
      <c r="DF23" s="191"/>
      <c r="DG23" s="191">
        <v>100</v>
      </c>
      <c r="DH23" s="193"/>
      <c r="DI23" s="194"/>
      <c r="DJ23" s="191"/>
      <c r="DK23" s="191"/>
      <c r="DL23" s="191">
        <v>100</v>
      </c>
      <c r="DM23" s="191"/>
      <c r="DN23" s="191"/>
      <c r="DO23" s="191">
        <v>10</v>
      </c>
      <c r="DP23" s="191"/>
      <c r="DQ23" s="191"/>
      <c r="DR23" s="191"/>
      <c r="DS23" s="191">
        <v>10</v>
      </c>
      <c r="DT23" s="191"/>
      <c r="DU23" s="191"/>
      <c r="DV23" s="191">
        <v>50</v>
      </c>
      <c r="DW23" s="191"/>
      <c r="DX23" s="191"/>
      <c r="DY23" s="191"/>
      <c r="DZ23" s="191">
        <v>10</v>
      </c>
      <c r="EA23" s="191"/>
      <c r="EB23" s="191"/>
      <c r="EC23" s="191">
        <v>50</v>
      </c>
      <c r="ED23" s="191"/>
      <c r="EE23" s="191"/>
      <c r="EF23" s="191"/>
      <c r="EG23" s="191">
        <v>100</v>
      </c>
      <c r="EH23" s="191"/>
      <c r="EI23" s="191"/>
      <c r="EJ23" s="191">
        <v>50</v>
      </c>
      <c r="EK23" s="191"/>
      <c r="EL23" s="191"/>
      <c r="EM23" s="192"/>
      <c r="EN23" s="190">
        <v>50</v>
      </c>
      <c r="EO23" s="191"/>
      <c r="EP23" s="191"/>
      <c r="EQ23" s="191">
        <v>50</v>
      </c>
      <c r="ER23" s="191"/>
      <c r="ES23" s="191"/>
      <c r="ET23" s="191"/>
      <c r="EU23" s="191">
        <v>100</v>
      </c>
      <c r="EV23" s="191"/>
      <c r="EW23" s="191"/>
      <c r="EX23" s="191">
        <v>100</v>
      </c>
      <c r="EY23" s="191"/>
      <c r="EZ23" s="191"/>
      <c r="FA23" s="191"/>
      <c r="FB23" s="191">
        <v>150</v>
      </c>
      <c r="FC23" s="191"/>
      <c r="FD23" s="191"/>
      <c r="FE23" s="191"/>
      <c r="FF23" s="191"/>
      <c r="FG23" s="191"/>
      <c r="FH23" s="191"/>
      <c r="FI23" s="191">
        <v>200</v>
      </c>
      <c r="FJ23" s="191"/>
      <c r="FK23" s="191"/>
      <c r="FL23" s="191"/>
      <c r="FM23" s="191"/>
      <c r="FN23" s="191"/>
      <c r="FO23" s="191"/>
      <c r="FP23" s="191">
        <v>100</v>
      </c>
      <c r="FQ23" s="193"/>
      <c r="FR23" s="194"/>
      <c r="FS23" s="191">
        <v>100</v>
      </c>
      <c r="FT23" s="191"/>
      <c r="FU23" s="191"/>
      <c r="FV23" s="191"/>
      <c r="FW23" s="191">
        <v>50</v>
      </c>
      <c r="FX23" s="191"/>
      <c r="FY23" s="191"/>
      <c r="FZ23" s="191">
        <v>100</v>
      </c>
      <c r="GA23" s="191"/>
      <c r="GB23" s="191"/>
      <c r="GC23" s="191"/>
      <c r="GD23" s="191">
        <v>150</v>
      </c>
      <c r="GE23" s="191"/>
      <c r="GF23" s="191"/>
      <c r="GG23" s="191">
        <v>50</v>
      </c>
      <c r="GH23" s="191"/>
      <c r="GI23" s="191"/>
      <c r="GJ23" s="191"/>
      <c r="GK23" s="191">
        <v>150</v>
      </c>
      <c r="GL23" s="191"/>
      <c r="GM23" s="191"/>
      <c r="GN23" s="191">
        <v>10</v>
      </c>
      <c r="GO23" s="191"/>
      <c r="GP23" s="191"/>
      <c r="GQ23" s="191"/>
      <c r="GR23" s="191">
        <v>50</v>
      </c>
      <c r="GS23" s="191"/>
      <c r="GT23" s="191"/>
      <c r="GU23" s="191">
        <v>100</v>
      </c>
      <c r="GV23" s="192"/>
      <c r="GW23" s="190"/>
      <c r="GX23" s="191"/>
      <c r="GY23" s="191">
        <v>200</v>
      </c>
      <c r="GZ23" s="191"/>
      <c r="HA23" s="191"/>
      <c r="HB23" s="191">
        <v>50</v>
      </c>
      <c r="HC23" s="191"/>
      <c r="HD23" s="191"/>
      <c r="HE23" s="191"/>
      <c r="HF23" s="191">
        <v>200</v>
      </c>
      <c r="HG23" s="191"/>
      <c r="HH23" s="191"/>
      <c r="HI23" s="191">
        <v>100</v>
      </c>
      <c r="HJ23" s="191"/>
      <c r="HK23" s="191"/>
      <c r="HL23" s="191"/>
      <c r="HM23" s="191">
        <v>150</v>
      </c>
      <c r="HN23" s="191"/>
      <c r="HO23" s="191"/>
      <c r="HP23" s="191">
        <v>50</v>
      </c>
      <c r="HQ23" s="191"/>
      <c r="HR23" s="191"/>
      <c r="HS23" s="191"/>
      <c r="HT23" s="191">
        <v>50</v>
      </c>
      <c r="HU23" s="191"/>
      <c r="HV23" s="191"/>
      <c r="HW23" s="191">
        <v>100</v>
      </c>
      <c r="HX23" s="191"/>
      <c r="HY23" s="191"/>
      <c r="HZ23" s="193"/>
      <c r="IA23" s="194">
        <v>50</v>
      </c>
      <c r="IB23" s="191"/>
      <c r="IC23" s="191"/>
      <c r="ID23" s="191">
        <v>50</v>
      </c>
      <c r="IE23" s="191"/>
      <c r="IF23" s="191"/>
      <c r="IG23" s="191"/>
      <c r="IH23" s="191"/>
      <c r="II23" s="191"/>
      <c r="IJ23" s="191"/>
      <c r="IK23" s="191">
        <v>200</v>
      </c>
      <c r="IL23" s="191"/>
      <c r="IM23" s="191"/>
      <c r="IN23" s="191"/>
      <c r="IO23" s="191"/>
      <c r="IP23" s="191">
        <v>100</v>
      </c>
      <c r="IQ23" s="191"/>
      <c r="IR23" s="191"/>
      <c r="IS23" s="191"/>
      <c r="IT23" s="191"/>
      <c r="IU23" s="191"/>
      <c r="IV23" s="191">
        <v>200</v>
      </c>
      <c r="IW23" s="191"/>
      <c r="IX23" s="191"/>
      <c r="IY23" s="191"/>
      <c r="IZ23" s="191"/>
      <c r="JA23" s="191"/>
      <c r="JB23" s="191"/>
      <c r="JC23" s="191">
        <v>200</v>
      </c>
      <c r="JD23" s="191"/>
      <c r="JE23" s="192"/>
      <c r="JF23" s="190">
        <v>100</v>
      </c>
      <c r="JG23" s="191"/>
      <c r="JH23" s="191"/>
      <c r="JI23" s="191"/>
      <c r="JJ23" s="191">
        <v>100</v>
      </c>
      <c r="JK23" s="191"/>
      <c r="JL23" s="191"/>
      <c r="JM23" s="191">
        <v>100</v>
      </c>
      <c r="JN23" s="191"/>
      <c r="JO23" s="191"/>
      <c r="JP23" s="191"/>
      <c r="JQ23" s="191">
        <v>200</v>
      </c>
      <c r="JR23" s="191"/>
      <c r="JS23" s="191"/>
      <c r="JT23" s="191"/>
      <c r="JU23" s="191"/>
      <c r="JV23" s="191"/>
      <c r="JW23" s="191"/>
      <c r="JX23" s="191">
        <v>200</v>
      </c>
      <c r="JY23" s="191"/>
      <c r="JZ23" s="191"/>
      <c r="KA23" s="191"/>
      <c r="KB23" s="191"/>
      <c r="KC23" s="191"/>
      <c r="KD23" s="191"/>
      <c r="KE23" s="191">
        <v>150</v>
      </c>
      <c r="KF23" s="191"/>
      <c r="KG23" s="191"/>
      <c r="KH23" s="191">
        <v>150</v>
      </c>
      <c r="KI23" s="191"/>
      <c r="KJ23" s="193"/>
      <c r="KK23" s="194"/>
      <c r="KL23" s="191">
        <v>150</v>
      </c>
      <c r="KM23" s="191"/>
      <c r="KN23" s="191"/>
      <c r="KO23" s="191">
        <v>100</v>
      </c>
      <c r="KP23" s="191"/>
      <c r="KQ23" s="191"/>
      <c r="KR23" s="191"/>
      <c r="KS23" s="191">
        <v>50</v>
      </c>
      <c r="KT23" s="191"/>
      <c r="KU23" s="191"/>
      <c r="KV23" s="191">
        <v>50</v>
      </c>
      <c r="KW23" s="191"/>
      <c r="KX23" s="191"/>
      <c r="KY23" s="191"/>
      <c r="KZ23" s="191">
        <v>200</v>
      </c>
      <c r="LA23" s="191"/>
      <c r="LB23" s="191"/>
      <c r="LC23" s="191"/>
      <c r="LD23" s="191"/>
      <c r="LE23" s="191"/>
      <c r="LF23" s="191"/>
      <c r="LG23" s="191">
        <v>200</v>
      </c>
      <c r="LH23" s="191"/>
      <c r="LI23" s="191"/>
      <c r="LJ23" s="191">
        <v>50</v>
      </c>
      <c r="LK23" s="191"/>
      <c r="LL23" s="191"/>
      <c r="LM23" s="191"/>
      <c r="LN23" s="192">
        <v>50</v>
      </c>
      <c r="LO23" s="190"/>
      <c r="LP23" s="191"/>
      <c r="LQ23" s="191"/>
      <c r="LR23" s="191"/>
      <c r="LS23" s="191"/>
      <c r="LT23" s="191"/>
      <c r="LU23" s="191">
        <v>150</v>
      </c>
      <c r="LV23" s="191"/>
      <c r="LW23" s="191"/>
      <c r="LX23" s="191">
        <v>50</v>
      </c>
      <c r="LY23" s="191"/>
      <c r="LZ23" s="191"/>
      <c r="MA23" s="191"/>
      <c r="MB23" s="191">
        <v>100</v>
      </c>
      <c r="MC23" s="191"/>
      <c r="MD23" s="191"/>
      <c r="ME23" s="191">
        <v>50</v>
      </c>
      <c r="MF23" s="191"/>
      <c r="MG23" s="191"/>
      <c r="MH23" s="191"/>
      <c r="MI23" s="191">
        <v>150</v>
      </c>
      <c r="MJ23" s="191"/>
      <c r="MK23" s="191"/>
      <c r="ML23" s="191">
        <v>100</v>
      </c>
      <c r="MM23" s="191"/>
      <c r="MN23" s="191"/>
      <c r="MO23" s="191"/>
      <c r="MP23" s="191">
        <v>100</v>
      </c>
      <c r="MQ23" s="191"/>
      <c r="MR23" s="191"/>
      <c r="MS23" s="193"/>
      <c r="MT23" s="194"/>
      <c r="MU23" s="191"/>
      <c r="MV23" s="191"/>
      <c r="MW23" s="191">
        <v>100</v>
      </c>
      <c r="MX23" s="191"/>
      <c r="MY23" s="191"/>
      <c r="MZ23" s="191">
        <v>10</v>
      </c>
      <c r="NA23" s="191"/>
      <c r="NB23" s="191"/>
      <c r="NC23" s="191"/>
      <c r="ND23" s="191"/>
      <c r="NE23" s="191">
        <v>150</v>
      </c>
      <c r="NF23" s="191"/>
      <c r="NG23" s="191">
        <v>10</v>
      </c>
      <c r="NH23" s="191"/>
      <c r="NI23" s="191"/>
      <c r="NJ23" s="191"/>
      <c r="NK23" s="191">
        <v>50</v>
      </c>
      <c r="NL23" s="191"/>
      <c r="NM23" s="191"/>
      <c r="NN23" s="191">
        <v>50</v>
      </c>
      <c r="NO23" s="191"/>
      <c r="NP23" s="191"/>
      <c r="NQ23" s="191"/>
      <c r="NR23" s="191">
        <v>50</v>
      </c>
      <c r="NS23" s="191"/>
      <c r="NT23" s="191"/>
      <c r="NU23" s="191">
        <v>50</v>
      </c>
      <c r="NV23" s="191"/>
      <c r="NW23" s="192"/>
      <c r="NX23" s="190"/>
      <c r="NY23" s="191">
        <v>100</v>
      </c>
      <c r="NZ23" s="191"/>
      <c r="OA23" s="191"/>
      <c r="OB23" s="191"/>
      <c r="OC23" s="191"/>
      <c r="OD23" s="191"/>
      <c r="OE23" s="191"/>
      <c r="OF23" s="191">
        <v>100</v>
      </c>
      <c r="OG23" s="191"/>
      <c r="OH23" s="191"/>
      <c r="OI23" s="191">
        <v>10</v>
      </c>
      <c r="OJ23" s="191"/>
      <c r="OK23" s="191"/>
      <c r="OL23" s="191"/>
      <c r="OM23" s="191">
        <v>100</v>
      </c>
      <c r="ON23" s="191"/>
      <c r="OO23" s="191"/>
      <c r="OP23" s="191"/>
      <c r="OQ23" s="191"/>
      <c r="OR23" s="191"/>
      <c r="OS23" s="191"/>
      <c r="OT23" s="191"/>
      <c r="OU23" s="191"/>
      <c r="OV23" s="191"/>
      <c r="OW23" s="191"/>
      <c r="OX23" s="191"/>
      <c r="OY23" s="191"/>
      <c r="OZ23" s="191"/>
      <c r="PA23" s="191"/>
      <c r="PB23" s="193"/>
      <c r="PC23" s="47"/>
      <c r="PD23" s="154" t="s">
        <v>97</v>
      </c>
      <c r="PE23" s="155" t="s">
        <v>98</v>
      </c>
      <c r="PF23" s="155" t="s">
        <v>98</v>
      </c>
      <c r="PG23" s="155" t="s">
        <v>98</v>
      </c>
      <c r="PH23" s="155" t="s">
        <v>98</v>
      </c>
      <c r="PI23" s="155" t="s">
        <v>98</v>
      </c>
      <c r="PJ23" s="155" t="s">
        <v>98</v>
      </c>
      <c r="PK23" s="155" t="s">
        <v>98</v>
      </c>
      <c r="PL23" s="155" t="s">
        <v>98</v>
      </c>
      <c r="PM23" s="155" t="s">
        <v>98</v>
      </c>
      <c r="PN23" s="155" t="s">
        <v>98</v>
      </c>
      <c r="PO23" s="156"/>
      <c r="PP23" s="156"/>
      <c r="PQ23" s="156"/>
      <c r="PR23" s="156"/>
      <c r="PS23" s="156"/>
      <c r="PT23" s="156"/>
      <c r="PU23" s="156"/>
      <c r="PV23" s="156"/>
      <c r="PW23" s="156"/>
      <c r="PX23" s="195"/>
      <c r="PY23" s="1"/>
      <c r="PZ23" s="196">
        <f t="shared" si="20"/>
        <v>810</v>
      </c>
      <c r="QA23" s="176">
        <f t="shared" si="21"/>
        <v>6.7573204304663386E-3</v>
      </c>
      <c r="QB23" s="177" t="str">
        <f t="shared" ca="1" si="22"/>
        <v>Attente…</v>
      </c>
      <c r="QC23" s="197">
        <f t="shared" si="23"/>
        <v>700</v>
      </c>
      <c r="QD23" s="179">
        <f t="shared" si="24"/>
        <v>6.5543071161048693E-3</v>
      </c>
      <c r="QE23" s="180" t="str">
        <f t="shared" ca="1" si="25"/>
        <v>Attente…</v>
      </c>
      <c r="QF23" s="196">
        <f t="shared" si="26"/>
        <v>380</v>
      </c>
      <c r="QG23" s="176">
        <f t="shared" si="27"/>
        <v>3.025959547698678E-3</v>
      </c>
      <c r="QH23" s="177" t="str">
        <f t="shared" ca="1" si="28"/>
        <v>Attente…</v>
      </c>
      <c r="QI23" s="197">
        <f t="shared" si="29"/>
        <v>750</v>
      </c>
      <c r="QJ23" s="179">
        <f t="shared" si="30"/>
        <v>5.2602047973067754E-3</v>
      </c>
      <c r="QK23" s="180" t="str">
        <f t="shared" ca="1" si="31"/>
        <v>Attente…</v>
      </c>
      <c r="QL23" s="196">
        <f t="shared" si="32"/>
        <v>760</v>
      </c>
      <c r="QM23" s="176">
        <f t="shared" si="33"/>
        <v>5.5604331284752704E-3</v>
      </c>
      <c r="QN23" s="177" t="str">
        <f t="shared" ca="1" si="34"/>
        <v>Attente…</v>
      </c>
      <c r="QO23" s="197">
        <f t="shared" si="35"/>
        <v>900</v>
      </c>
      <c r="QP23" s="179">
        <f t="shared" si="36"/>
        <v>7.0461128943865971E-3</v>
      </c>
      <c r="QQ23" s="180" t="str">
        <f t="shared" ca="1" si="37"/>
        <v>Attente…</v>
      </c>
      <c r="QR23" s="196">
        <f t="shared" si="38"/>
        <v>800</v>
      </c>
      <c r="QS23" s="176">
        <f t="shared" si="39"/>
        <v>5.7593319174975705E-3</v>
      </c>
      <c r="QT23" s="177" t="str">
        <f t="shared" ca="1" si="40"/>
        <v>Attente…</v>
      </c>
      <c r="QU23" s="197">
        <f t="shared" si="41"/>
        <v>1000</v>
      </c>
      <c r="QV23" s="179">
        <f t="shared" si="42"/>
        <v>6.8946497517926092E-3</v>
      </c>
      <c r="QW23" s="180" t="str">
        <f t="shared" ca="1" si="43"/>
        <v>Attente…</v>
      </c>
      <c r="QX23" s="196">
        <f t="shared" si="44"/>
        <v>850</v>
      </c>
      <c r="QY23" s="176">
        <f t="shared" si="45"/>
        <v>6.2027496424297262E-3</v>
      </c>
      <c r="QZ23" s="177" t="str">
        <f t="shared" ca="1" si="46"/>
        <v>Attente…</v>
      </c>
      <c r="RA23" s="197">
        <f t="shared" si="47"/>
        <v>700</v>
      </c>
      <c r="RB23" s="179">
        <f t="shared" si="48"/>
        <v>5.4768797433690638E-3</v>
      </c>
      <c r="RC23" s="180" t="str">
        <f t="shared" ca="1" si="49"/>
        <v>Attente…</v>
      </c>
      <c r="RD23" s="196">
        <f t="shared" si="50"/>
        <v>470</v>
      </c>
      <c r="RE23" s="176">
        <f t="shared" si="51"/>
        <v>4.6831406935033881E-3</v>
      </c>
      <c r="RF23" s="177" t="str">
        <f t="shared" ca="1" si="52"/>
        <v>Attente…</v>
      </c>
      <c r="RG23" s="197">
        <f t="shared" si="53"/>
        <v>310</v>
      </c>
      <c r="RH23" s="179">
        <f t="shared" si="54"/>
        <v>5.7016737171234136E-3</v>
      </c>
      <c r="RI23" s="198" t="str">
        <f t="shared" ca="1" si="55"/>
        <v>Attente…</v>
      </c>
      <c r="RJ23" s="199">
        <f t="shared" si="56"/>
        <v>1890</v>
      </c>
      <c r="RK23" s="200" t="str">
        <f t="shared" ca="1" si="13"/>
        <v>Attente…</v>
      </c>
      <c r="RL23" s="199">
        <f t="shared" si="57"/>
        <v>2410</v>
      </c>
      <c r="RM23" s="200" t="str">
        <f t="shared" ca="1" si="58"/>
        <v>Atttente…</v>
      </c>
      <c r="RN23" s="199">
        <f t="shared" si="59"/>
        <v>2650</v>
      </c>
      <c r="RO23" s="200" t="str">
        <f t="shared" ca="1" si="14"/>
        <v>Attente…</v>
      </c>
      <c r="RP23" s="199">
        <f t="shared" si="60"/>
        <v>1480</v>
      </c>
      <c r="RQ23" s="200" t="str">
        <f t="shared" ca="1" si="15"/>
        <v>Attente…</v>
      </c>
      <c r="RR23" s="201">
        <f t="shared" si="61"/>
        <v>8430</v>
      </c>
      <c r="RS23" s="202" t="str">
        <f t="shared" ca="1" si="16"/>
        <v>Attente…</v>
      </c>
      <c r="RT23" s="103"/>
      <c r="RU23" s="203">
        <f t="shared" si="62"/>
        <v>0.47359550561797753</v>
      </c>
      <c r="RV23" s="204">
        <f t="shared" si="65"/>
        <v>1</v>
      </c>
      <c r="RW23" s="204">
        <f t="shared" si="65"/>
        <v>2</v>
      </c>
      <c r="RX23" s="204">
        <f t="shared" si="63"/>
        <v>89</v>
      </c>
      <c r="RY23" s="205" t="str">
        <f t="shared" si="64"/>
        <v>ROUEN - 77 rue Méridienne (Angle Rue Octave Crutel)</v>
      </c>
      <c r="RZ23" s="189" t="str">
        <f>IF(OR(RZ22="",RZ22="  &lt;/Document&gt;
&lt;/kml&gt;"),"",
IF(B23="","  &lt;/Document&gt;
&lt;/kml&gt;",
IF(TournéesCAV!Q76=""," ",
"    &lt;Placemark&gt;
      &lt;description&gt;&lt;![CDATA["&amp;B23&amp;"&lt;br&gt;&lt;br&gt;"&amp;RV23&amp;" CAV&lt;br&gt;&lt;br&gt;Présent sur "&amp;RW23&amp;" tournée(s)&lt;br&gt;&lt;br&gt;Taux de remplissage moyen "&amp;TEXT(RU23*1000,"0 %")&amp;"]]&gt;&lt;/description&gt;
      &lt;Style&gt;
        &lt;IconStyle&gt;
          &lt;color&gt;ff"&amp;
          DEC2HEX(0,2)&amp;
          DEC2HEX(
            IF(RU23&lt;=0.5,
               INT(255*(RU23*2)),
               255
            ),2)&amp;
          DEC2HEX(
            IF(RU23&lt;=0.5,
               255,
               INT(255*(1-(RU23-0.5)*2))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&lt;Point&gt;&lt;coordinates&gt;"&amp;R23&amp;","&amp;Q23&amp;",0&lt;/coordinates&gt;&lt;/Point&gt;
    &lt;/Placemark&gt;"
)))</f>
        <v xml:space="preserve">    &lt;Placemark&gt;
      &lt;description&gt;&lt;![CDATA[ROUEN - 77 rue Méridienne (Angle Rue Octave Crutel)&lt;br&gt;&lt;br&gt;1 CAV&lt;br&gt;&lt;br&gt;Présent sur 2 tournée(s)&lt;br&gt;&lt;br&gt;Taux de remplissage moyen 47%]]&gt;&lt;/description&gt;
      &lt;Style&gt;
        &lt;IconStyle&gt;
          &lt;color&gt;ff00F1FF&lt;/color&gt;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&lt;Point&gt;&lt;coordinates&gt;1.0843887,49.4250071,0&lt;/coordinates&gt;&lt;/Point&gt;
    &lt;/Placemark&gt;</v>
      </c>
    </row>
    <row r="24" spans="2:494" ht="15" hidden="1" customHeight="1" x14ac:dyDescent="0.35">
      <c r="B24" s="153" t="str">
        <f t="shared" si="17"/>
        <v>FONTAINE-SOUS-PRÉAUX - 81 Route de la Fontaine (Parking Salle des fêtes)</v>
      </c>
      <c r="C24" s="154">
        <v>2</v>
      </c>
      <c r="D24" s="155"/>
      <c r="E24" s="155"/>
      <c r="F24" s="155"/>
      <c r="G24" s="155"/>
      <c r="H24" s="155"/>
      <c r="I24" s="155"/>
      <c r="J24" s="156"/>
      <c r="K24" s="157">
        <f t="shared" si="18"/>
        <v>1</v>
      </c>
      <c r="L24" s="157">
        <f t="shared" si="19"/>
        <v>1</v>
      </c>
      <c r="M24" s="158" t="s">
        <v>189</v>
      </c>
      <c r="N24" s="159" t="s">
        <v>190</v>
      </c>
      <c r="O24" s="159">
        <v>76160</v>
      </c>
      <c r="P24" s="159" t="s">
        <v>191</v>
      </c>
      <c r="Q24" s="159" t="s">
        <v>192</v>
      </c>
      <c r="R24" s="159" t="s">
        <v>193</v>
      </c>
      <c r="S24" s="159" t="s">
        <v>93</v>
      </c>
      <c r="T24" s="159" t="s">
        <v>94</v>
      </c>
      <c r="U24" s="159" t="s">
        <v>194</v>
      </c>
      <c r="V24" s="160" t="s">
        <v>96</v>
      </c>
      <c r="W24" s="161"/>
      <c r="X24" s="162"/>
      <c r="Y24" s="163"/>
      <c r="Z24" s="162"/>
      <c r="AA24" s="163"/>
      <c r="AB24" s="162"/>
      <c r="AC24" s="163"/>
      <c r="AD24" s="162"/>
      <c r="AE24" s="163"/>
      <c r="AF24" s="162">
        <v>2</v>
      </c>
      <c r="AG24" s="163"/>
      <c r="AH24" s="163"/>
      <c r="AI24" s="162"/>
      <c r="AJ24" s="163"/>
      <c r="AK24" s="162"/>
      <c r="AL24" s="163"/>
      <c r="AM24" s="162"/>
      <c r="AN24" s="163"/>
      <c r="AO24" s="162"/>
      <c r="AP24" s="164"/>
      <c r="AQ24" s="164"/>
      <c r="AR24" s="164"/>
      <c r="AS24" s="164"/>
      <c r="AT24" s="164"/>
      <c r="AU24" s="164"/>
      <c r="AV24" s="164"/>
      <c r="AW24" s="164"/>
      <c r="AX24" s="164"/>
      <c r="AY24" s="165"/>
      <c r="AZ24" s="41"/>
      <c r="BA24" s="190"/>
      <c r="BB24" s="191"/>
      <c r="BC24" s="191"/>
      <c r="BD24" s="191"/>
      <c r="BE24" s="191"/>
      <c r="BF24" s="191"/>
      <c r="BG24" s="191"/>
      <c r="BH24" s="191">
        <v>10</v>
      </c>
      <c r="BI24" s="191"/>
      <c r="BJ24" s="191"/>
      <c r="BK24" s="191"/>
      <c r="BL24" s="191"/>
      <c r="BM24" s="191"/>
      <c r="BN24" s="191"/>
      <c r="BO24" s="191">
        <v>10</v>
      </c>
      <c r="BP24" s="191"/>
      <c r="BQ24" s="191"/>
      <c r="BR24" s="191"/>
      <c r="BS24" s="191"/>
      <c r="BT24" s="191"/>
      <c r="BU24" s="191"/>
      <c r="BV24" s="191">
        <v>50</v>
      </c>
      <c r="BW24" s="191"/>
      <c r="BX24" s="191"/>
      <c r="BY24" s="191"/>
      <c r="BZ24" s="191"/>
      <c r="CA24" s="191"/>
      <c r="CB24" s="191"/>
      <c r="CC24" s="191">
        <v>50</v>
      </c>
      <c r="CD24" s="191"/>
      <c r="CE24" s="192"/>
      <c r="CF24" s="190"/>
      <c r="CG24" s="191"/>
      <c r="CH24" s="191"/>
      <c r="CI24" s="191"/>
      <c r="CJ24" s="191">
        <v>10</v>
      </c>
      <c r="CK24" s="191"/>
      <c r="CL24" s="191"/>
      <c r="CM24" s="191"/>
      <c r="CN24" s="191"/>
      <c r="CO24" s="191"/>
      <c r="CP24" s="191"/>
      <c r="CQ24" s="191">
        <v>10</v>
      </c>
      <c r="CR24" s="191"/>
      <c r="CS24" s="191"/>
      <c r="CT24" s="191"/>
      <c r="CU24" s="191"/>
      <c r="CV24" s="191"/>
      <c r="CW24" s="191"/>
      <c r="CX24" s="191">
        <v>10</v>
      </c>
      <c r="CY24" s="191"/>
      <c r="CZ24" s="191"/>
      <c r="DA24" s="191"/>
      <c r="DB24" s="191"/>
      <c r="DC24" s="191"/>
      <c r="DD24" s="191"/>
      <c r="DE24" s="191">
        <v>10</v>
      </c>
      <c r="DF24" s="191"/>
      <c r="DG24" s="191"/>
      <c r="DH24" s="193"/>
      <c r="DI24" s="194"/>
      <c r="DJ24" s="191"/>
      <c r="DK24" s="191"/>
      <c r="DL24" s="191"/>
      <c r="DM24" s="191">
        <v>10</v>
      </c>
      <c r="DN24" s="191"/>
      <c r="DO24" s="191"/>
      <c r="DP24" s="191"/>
      <c r="DQ24" s="191"/>
      <c r="DR24" s="191"/>
      <c r="DS24" s="191"/>
      <c r="DT24" s="191">
        <v>50</v>
      </c>
      <c r="DU24" s="191"/>
      <c r="DV24" s="191"/>
      <c r="DW24" s="191"/>
      <c r="DX24" s="191"/>
      <c r="DY24" s="191"/>
      <c r="DZ24" s="191"/>
      <c r="EA24" s="191">
        <v>10</v>
      </c>
      <c r="EB24" s="191"/>
      <c r="EC24" s="191"/>
      <c r="ED24" s="191"/>
      <c r="EE24" s="191"/>
      <c r="EF24" s="191"/>
      <c r="EG24" s="191"/>
      <c r="EH24" s="191">
        <v>10</v>
      </c>
      <c r="EI24" s="191"/>
      <c r="EJ24" s="191"/>
      <c r="EK24" s="191"/>
      <c r="EL24" s="191"/>
      <c r="EM24" s="192"/>
      <c r="EN24" s="190"/>
      <c r="EO24" s="191">
        <v>50</v>
      </c>
      <c r="EP24" s="191"/>
      <c r="EQ24" s="191"/>
      <c r="ER24" s="191"/>
      <c r="ES24" s="191"/>
      <c r="ET24" s="191"/>
      <c r="EU24" s="191"/>
      <c r="EV24" s="191">
        <v>10</v>
      </c>
      <c r="EW24" s="191"/>
      <c r="EX24" s="191"/>
      <c r="EY24" s="191"/>
      <c r="EZ24" s="191"/>
      <c r="FA24" s="191"/>
      <c r="FB24" s="191"/>
      <c r="FC24" s="191">
        <v>50</v>
      </c>
      <c r="FD24" s="191"/>
      <c r="FE24" s="191"/>
      <c r="FF24" s="191"/>
      <c r="FG24" s="191"/>
      <c r="FH24" s="191"/>
      <c r="FI24" s="191"/>
      <c r="FJ24" s="191"/>
      <c r="FK24" s="191">
        <v>50</v>
      </c>
      <c r="FL24" s="191"/>
      <c r="FM24" s="191"/>
      <c r="FN24" s="191"/>
      <c r="FO24" s="191"/>
      <c r="FP24" s="191"/>
      <c r="FQ24" s="193">
        <v>50</v>
      </c>
      <c r="FR24" s="194"/>
      <c r="FS24" s="191"/>
      <c r="FT24" s="191"/>
      <c r="FU24" s="191"/>
      <c r="FV24" s="191"/>
      <c r="FW24" s="191"/>
      <c r="FX24" s="191"/>
      <c r="FY24" s="191"/>
      <c r="FZ24" s="191"/>
      <c r="GA24" s="191"/>
      <c r="GB24" s="191"/>
      <c r="GC24" s="191"/>
      <c r="GD24" s="191"/>
      <c r="GE24" s="191">
        <v>100</v>
      </c>
      <c r="GF24" s="191"/>
      <c r="GG24" s="191"/>
      <c r="GH24" s="191"/>
      <c r="GI24" s="191"/>
      <c r="GJ24" s="191"/>
      <c r="GK24" s="191"/>
      <c r="GL24" s="191">
        <v>50</v>
      </c>
      <c r="GM24" s="191"/>
      <c r="GN24" s="191"/>
      <c r="GO24" s="191"/>
      <c r="GP24" s="191"/>
      <c r="GQ24" s="191"/>
      <c r="GR24" s="191"/>
      <c r="GS24" s="191">
        <v>50</v>
      </c>
      <c r="GT24" s="191"/>
      <c r="GU24" s="191"/>
      <c r="GV24" s="192"/>
      <c r="GW24" s="190"/>
      <c r="GX24" s="191"/>
      <c r="GY24" s="191"/>
      <c r="GZ24" s="191"/>
      <c r="HA24" s="191">
        <v>50</v>
      </c>
      <c r="HB24" s="191"/>
      <c r="HC24" s="191"/>
      <c r="HD24" s="191"/>
      <c r="HE24" s="191"/>
      <c r="HF24" s="191"/>
      <c r="HG24" s="191"/>
      <c r="HH24" s="191">
        <v>10</v>
      </c>
      <c r="HI24" s="191"/>
      <c r="HJ24" s="191"/>
      <c r="HK24" s="191"/>
      <c r="HL24" s="191"/>
      <c r="HM24" s="191"/>
      <c r="HN24" s="191">
        <v>10</v>
      </c>
      <c r="HO24" s="191"/>
      <c r="HP24" s="191"/>
      <c r="HQ24" s="191"/>
      <c r="HR24" s="191"/>
      <c r="HS24" s="191"/>
      <c r="HT24" s="191"/>
      <c r="HU24" s="191"/>
      <c r="HV24" s="191"/>
      <c r="HW24" s="191"/>
      <c r="HX24" s="191"/>
      <c r="HY24" s="191"/>
      <c r="HZ24" s="193"/>
      <c r="IA24" s="194"/>
      <c r="IB24" s="191">
        <v>50</v>
      </c>
      <c r="IC24" s="191"/>
      <c r="ID24" s="191"/>
      <c r="IE24" s="191"/>
      <c r="IF24" s="191"/>
      <c r="IG24" s="191"/>
      <c r="IH24" s="191"/>
      <c r="II24" s="191">
        <v>150</v>
      </c>
      <c r="IJ24" s="191"/>
      <c r="IK24" s="191"/>
      <c r="IL24" s="191"/>
      <c r="IM24" s="191"/>
      <c r="IN24" s="191"/>
      <c r="IO24" s="191"/>
      <c r="IP24" s="191"/>
      <c r="IQ24" s="191"/>
      <c r="IR24" s="191"/>
      <c r="IS24" s="191"/>
      <c r="IT24" s="191"/>
      <c r="IU24" s="191"/>
      <c r="IV24" s="191"/>
      <c r="IW24" s="191">
        <v>50</v>
      </c>
      <c r="IX24" s="191"/>
      <c r="IY24" s="191"/>
      <c r="IZ24" s="191"/>
      <c r="JA24" s="191"/>
      <c r="JB24" s="191"/>
      <c r="JC24" s="191"/>
      <c r="JD24" s="191">
        <v>10</v>
      </c>
      <c r="JE24" s="192"/>
      <c r="JF24" s="190"/>
      <c r="JG24" s="191"/>
      <c r="JH24" s="191"/>
      <c r="JI24" s="191"/>
      <c r="JJ24" s="191"/>
      <c r="JK24" s="191">
        <v>100</v>
      </c>
      <c r="JL24" s="191"/>
      <c r="JM24" s="191"/>
      <c r="JN24" s="191"/>
      <c r="JO24" s="191"/>
      <c r="JP24" s="191"/>
      <c r="JQ24" s="191"/>
      <c r="JR24" s="191">
        <v>50</v>
      </c>
      <c r="JS24" s="191"/>
      <c r="JT24" s="191"/>
      <c r="JU24" s="191"/>
      <c r="JV24" s="191"/>
      <c r="JW24" s="191"/>
      <c r="JX24" s="191"/>
      <c r="JY24" s="191">
        <v>10</v>
      </c>
      <c r="JZ24" s="191"/>
      <c r="KA24" s="191"/>
      <c r="KB24" s="191"/>
      <c r="KC24" s="191"/>
      <c r="KD24" s="191"/>
      <c r="KE24" s="191"/>
      <c r="KF24" s="191"/>
      <c r="KG24" s="191">
        <v>10</v>
      </c>
      <c r="KH24" s="191"/>
      <c r="KI24" s="191"/>
      <c r="KJ24" s="193"/>
      <c r="KK24" s="194"/>
      <c r="KL24" s="191"/>
      <c r="KM24" s="191">
        <v>50</v>
      </c>
      <c r="KN24" s="191"/>
      <c r="KO24" s="191"/>
      <c r="KP24" s="191"/>
      <c r="KQ24" s="191"/>
      <c r="KR24" s="191"/>
      <c r="KS24" s="191"/>
      <c r="KT24" s="191"/>
      <c r="KU24" s="191"/>
      <c r="KV24" s="191"/>
      <c r="KW24" s="191"/>
      <c r="KX24" s="191"/>
      <c r="KY24" s="191"/>
      <c r="KZ24" s="191"/>
      <c r="LA24" s="191">
        <v>50</v>
      </c>
      <c r="LB24" s="191"/>
      <c r="LC24" s="191"/>
      <c r="LD24" s="191"/>
      <c r="LE24" s="191"/>
      <c r="LF24" s="191"/>
      <c r="LG24" s="191"/>
      <c r="LH24" s="191">
        <v>10</v>
      </c>
      <c r="LI24" s="191"/>
      <c r="LJ24" s="191"/>
      <c r="LK24" s="191"/>
      <c r="LL24" s="191"/>
      <c r="LM24" s="191"/>
      <c r="LN24" s="192"/>
      <c r="LO24" s="190">
        <v>150</v>
      </c>
      <c r="LP24" s="191"/>
      <c r="LQ24" s="191"/>
      <c r="LR24" s="191"/>
      <c r="LS24" s="191"/>
      <c r="LT24" s="191"/>
      <c r="LU24" s="191"/>
      <c r="LV24" s="191">
        <v>10</v>
      </c>
      <c r="LW24" s="191"/>
      <c r="LX24" s="191"/>
      <c r="LY24" s="191"/>
      <c r="LZ24" s="191"/>
      <c r="MA24" s="191"/>
      <c r="MB24" s="191"/>
      <c r="MC24" s="191">
        <v>10</v>
      </c>
      <c r="MD24" s="191"/>
      <c r="ME24" s="191"/>
      <c r="MF24" s="191"/>
      <c r="MG24" s="191"/>
      <c r="MH24" s="191"/>
      <c r="MI24" s="191"/>
      <c r="MJ24" s="191">
        <v>10</v>
      </c>
      <c r="MK24" s="191"/>
      <c r="ML24" s="191"/>
      <c r="MM24" s="191"/>
      <c r="MN24" s="191"/>
      <c r="MO24" s="191"/>
      <c r="MP24" s="191"/>
      <c r="MQ24" s="191"/>
      <c r="MR24" s="191"/>
      <c r="MS24" s="193"/>
      <c r="MT24" s="194"/>
      <c r="MU24" s="191"/>
      <c r="MV24" s="191"/>
      <c r="MW24" s="191"/>
      <c r="MX24" s="191">
        <v>50</v>
      </c>
      <c r="MY24" s="191"/>
      <c r="MZ24" s="191"/>
      <c r="NA24" s="191"/>
      <c r="NB24" s="191"/>
      <c r="NC24" s="191"/>
      <c r="ND24" s="191"/>
      <c r="NE24" s="191"/>
      <c r="NF24" s="191">
        <v>10</v>
      </c>
      <c r="NG24" s="191"/>
      <c r="NH24" s="191"/>
      <c r="NI24" s="191"/>
      <c r="NJ24" s="191"/>
      <c r="NK24" s="191"/>
      <c r="NL24" s="191">
        <v>50</v>
      </c>
      <c r="NM24" s="191"/>
      <c r="NN24" s="191"/>
      <c r="NO24" s="191"/>
      <c r="NP24" s="191"/>
      <c r="NQ24" s="191"/>
      <c r="NR24" s="191"/>
      <c r="NS24" s="191">
        <v>10</v>
      </c>
      <c r="NT24" s="191"/>
      <c r="NU24" s="191"/>
      <c r="NV24" s="191"/>
      <c r="NW24" s="192"/>
      <c r="NX24" s="190"/>
      <c r="NY24" s="191">
        <v>10</v>
      </c>
      <c r="NZ24" s="191"/>
      <c r="OA24" s="191"/>
      <c r="OB24" s="191"/>
      <c r="OC24" s="191"/>
      <c r="OD24" s="191"/>
      <c r="OE24" s="191"/>
      <c r="OF24" s="191"/>
      <c r="OG24" s="191">
        <v>10</v>
      </c>
      <c r="OH24" s="191"/>
      <c r="OI24" s="191"/>
      <c r="OJ24" s="191"/>
      <c r="OK24" s="191"/>
      <c r="OL24" s="191"/>
      <c r="OM24" s="191"/>
      <c r="ON24" s="191"/>
      <c r="OO24" s="191"/>
      <c r="OP24" s="191"/>
      <c r="OQ24" s="191"/>
      <c r="OR24" s="191"/>
      <c r="OS24" s="191"/>
      <c r="OT24" s="191"/>
      <c r="OU24" s="191"/>
      <c r="OV24" s="191"/>
      <c r="OW24" s="191"/>
      <c r="OX24" s="191"/>
      <c r="OY24" s="191"/>
      <c r="OZ24" s="191"/>
      <c r="PA24" s="191"/>
      <c r="PB24" s="193"/>
      <c r="PC24" s="47"/>
      <c r="PD24" s="154" t="s">
        <v>97</v>
      </c>
      <c r="PE24" s="155" t="s">
        <v>98</v>
      </c>
      <c r="PF24" s="155" t="s">
        <v>98</v>
      </c>
      <c r="PG24" s="155" t="s">
        <v>98</v>
      </c>
      <c r="PH24" s="155" t="s">
        <v>98</v>
      </c>
      <c r="PI24" s="155" t="s">
        <v>98</v>
      </c>
      <c r="PJ24" s="155" t="s">
        <v>98</v>
      </c>
      <c r="PK24" s="155" t="s">
        <v>98</v>
      </c>
      <c r="PL24" s="155" t="s">
        <v>98</v>
      </c>
      <c r="PM24" s="155" t="s">
        <v>98</v>
      </c>
      <c r="PN24" s="155" t="s">
        <v>98</v>
      </c>
      <c r="PO24" s="156"/>
      <c r="PP24" s="156"/>
      <c r="PQ24" s="156"/>
      <c r="PR24" s="156"/>
      <c r="PS24" s="156"/>
      <c r="PT24" s="156"/>
      <c r="PU24" s="156"/>
      <c r="PV24" s="156"/>
      <c r="PW24" s="156"/>
      <c r="PX24" s="195"/>
      <c r="PY24" s="1"/>
      <c r="PZ24" s="196">
        <f t="shared" si="20"/>
        <v>120</v>
      </c>
      <c r="QA24" s="176">
        <f t="shared" si="21"/>
        <v>1.0010845082172354E-3</v>
      </c>
      <c r="QB24" s="177" t="str">
        <f t="shared" ca="1" si="22"/>
        <v>Attente…</v>
      </c>
      <c r="QC24" s="197">
        <f t="shared" si="23"/>
        <v>40</v>
      </c>
      <c r="QD24" s="179">
        <f t="shared" si="24"/>
        <v>3.7453183520599252E-4</v>
      </c>
      <c r="QE24" s="180" t="str">
        <f t="shared" ca="1" si="25"/>
        <v>Attente…</v>
      </c>
      <c r="QF24" s="196">
        <f t="shared" si="26"/>
        <v>80</v>
      </c>
      <c r="QG24" s="176">
        <f t="shared" si="27"/>
        <v>6.3704411530498487E-4</v>
      </c>
      <c r="QH24" s="177" t="str">
        <f t="shared" ca="1" si="28"/>
        <v>Attente…</v>
      </c>
      <c r="QI24" s="197">
        <f t="shared" si="29"/>
        <v>210</v>
      </c>
      <c r="QJ24" s="179">
        <f t="shared" si="30"/>
        <v>1.4728573432458971E-3</v>
      </c>
      <c r="QK24" s="180" t="str">
        <f t="shared" ca="1" si="31"/>
        <v>Attente…</v>
      </c>
      <c r="QL24" s="196">
        <f t="shared" si="32"/>
        <v>200</v>
      </c>
      <c r="QM24" s="176">
        <f t="shared" si="33"/>
        <v>1.4632718759145448E-3</v>
      </c>
      <c r="QN24" s="177" t="str">
        <f t="shared" ca="1" si="34"/>
        <v>Attente…</v>
      </c>
      <c r="QO24" s="197">
        <f t="shared" si="35"/>
        <v>70</v>
      </c>
      <c r="QP24" s="179">
        <f t="shared" si="36"/>
        <v>5.480310028967353E-4</v>
      </c>
      <c r="QQ24" s="180" t="str">
        <f t="shared" ca="1" si="37"/>
        <v>Attente…</v>
      </c>
      <c r="QR24" s="196">
        <f t="shared" si="38"/>
        <v>260</v>
      </c>
      <c r="QS24" s="176">
        <f t="shared" si="39"/>
        <v>1.8717828731867104E-3</v>
      </c>
      <c r="QT24" s="177" t="str">
        <f t="shared" ca="1" si="40"/>
        <v>Attente…</v>
      </c>
      <c r="QU24" s="197">
        <f t="shared" si="41"/>
        <v>170</v>
      </c>
      <c r="QV24" s="179">
        <f t="shared" si="42"/>
        <v>1.1720904578047435E-3</v>
      </c>
      <c r="QW24" s="180" t="str">
        <f t="shared" ca="1" si="43"/>
        <v>Attente…</v>
      </c>
      <c r="QX24" s="196">
        <f t="shared" si="44"/>
        <v>110</v>
      </c>
      <c r="QY24" s="176">
        <f t="shared" si="45"/>
        <v>8.0270877725561161E-4</v>
      </c>
      <c r="QZ24" s="177" t="str">
        <f t="shared" ca="1" si="46"/>
        <v>Attente…</v>
      </c>
      <c r="RA24" s="197">
        <f t="shared" si="47"/>
        <v>180</v>
      </c>
      <c r="RB24" s="179">
        <f t="shared" si="48"/>
        <v>1.4083405054377593E-3</v>
      </c>
      <c r="RC24" s="180" t="str">
        <f t="shared" ca="1" si="49"/>
        <v>Attente…</v>
      </c>
      <c r="RD24" s="196">
        <f t="shared" si="50"/>
        <v>120</v>
      </c>
      <c r="RE24" s="176">
        <f t="shared" si="51"/>
        <v>1.1956954962136308E-3</v>
      </c>
      <c r="RF24" s="177" t="str">
        <f t="shared" ca="1" si="52"/>
        <v>Attente…</v>
      </c>
      <c r="RG24" s="197">
        <f t="shared" si="53"/>
        <v>20</v>
      </c>
      <c r="RH24" s="179">
        <f t="shared" si="54"/>
        <v>3.678499172337686E-4</v>
      </c>
      <c r="RI24" s="198" t="str">
        <f t="shared" ca="1" si="55"/>
        <v>Attente…</v>
      </c>
      <c r="RJ24" s="199">
        <f t="shared" si="56"/>
        <v>240</v>
      </c>
      <c r="RK24" s="200" t="str">
        <f t="shared" ca="1" si="13"/>
        <v>Attente…</v>
      </c>
      <c r="RL24" s="199">
        <f t="shared" si="57"/>
        <v>480</v>
      </c>
      <c r="RM24" s="200" t="str">
        <f t="shared" ca="1" si="58"/>
        <v>Atttente…</v>
      </c>
      <c r="RN24" s="199">
        <f t="shared" si="59"/>
        <v>540</v>
      </c>
      <c r="RO24" s="200" t="str">
        <f t="shared" ca="1" si="14"/>
        <v>Attente…</v>
      </c>
      <c r="RP24" s="199">
        <f t="shared" si="60"/>
        <v>320</v>
      </c>
      <c r="RQ24" s="200" t="str">
        <f t="shared" ca="1" si="15"/>
        <v>Attente…</v>
      </c>
      <c r="RR24" s="201">
        <f t="shared" si="61"/>
        <v>1580</v>
      </c>
      <c r="RS24" s="202" t="str">
        <f t="shared" ca="1" si="16"/>
        <v>Attente…</v>
      </c>
      <c r="RT24" s="103"/>
      <c r="RU24" s="203">
        <f t="shared" si="62"/>
        <v>0.17954545454545454</v>
      </c>
      <c r="RV24" s="204">
        <f t="shared" si="65"/>
        <v>1</v>
      </c>
      <c r="RW24" s="204">
        <f t="shared" si="65"/>
        <v>1</v>
      </c>
      <c r="RX24" s="204">
        <f t="shared" si="63"/>
        <v>44</v>
      </c>
      <c r="RY24" s="205" t="str">
        <f t="shared" si="64"/>
        <v>FONTAINE-SOUS-PRÉAUX - 81 Route de la Fontaine (Parking Salle des fêtes)</v>
      </c>
      <c r="RZ24" s="189" t="str">
        <f>IF(OR(RZ23="",RZ23="  &lt;/Document&gt;
&lt;/kml&gt;"),"",
IF(B24="","  &lt;/Document&gt;
&lt;/kml&gt;",
IF(TournéesCAV!Q24=""," ",
"    &lt;Placemark&gt;
      &lt;description&gt;&lt;![CDATA["&amp;B24&amp;"&lt;br&gt;&lt;br&gt;"&amp;RV24&amp;" CAV&lt;br&gt;&lt;br&gt;Présent sur "&amp;RW24&amp;" tournée(s)&lt;br&gt;&lt;br&gt;Taux de remplissage moyen "&amp;TEXT(RU24*1000,"0 %")&amp;"]]&gt;&lt;/description&gt;
      &lt;Style&gt;
        &lt;IconStyle&gt;
          &lt;color&gt;ff"&amp;
          DEC2HEX(0,2)&amp;
          DEC2HEX(
            IF(RU24&lt;=0.5,
               INT(255*(RU24*2)),
               255
            ),2)&amp;
          DEC2HEX(
            IF(RU24&lt;=0.5,
               255,
               INT(255*(1-(RU24-0.5)*2))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&lt;Point&gt;&lt;coordinates&gt;"&amp;R24&amp;","&amp;Q24&amp;",0&lt;/coordinates&gt;&lt;/Point&gt;
    &lt;/Placemark&gt;"
)))</f>
        <v xml:space="preserve">    &lt;Placemark&gt;
      &lt;description&gt;&lt;![CDATA[FONTAINE-SOUS-PRÉAUX - 81 Route de la Fontaine (Parking Salle des fêtes)&lt;br&gt;&lt;br&gt;1 CAV&lt;br&gt;&lt;br&gt;Présent sur 1 tournée(s)&lt;br&gt;&lt;br&gt;Taux de remplissage moyen 18%]]&gt;&lt;/description&gt;
      &lt;Style&gt;
        &lt;IconStyle&gt;
          &lt;color&gt;ff005BFF&lt;/color&gt;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&lt;Point&gt;&lt;coordinates&gt;1.1655718,49.4845001,0&lt;/coordinates&gt;&lt;/Point&gt;
    &lt;/Placemark&gt;</v>
      </c>
    </row>
    <row r="25" spans="2:494" ht="15" hidden="1" customHeight="1" x14ac:dyDescent="0.35">
      <c r="B25" s="153" t="str">
        <f t="shared" si="17"/>
        <v>MALAUNAY - 10 Rue Louis Lesouef (Parking face à Renault)</v>
      </c>
      <c r="C25" s="154">
        <v>26</v>
      </c>
      <c r="D25" s="155"/>
      <c r="E25" s="155"/>
      <c r="F25" s="155"/>
      <c r="G25" s="155"/>
      <c r="H25" s="155"/>
      <c r="I25" s="155"/>
      <c r="J25" s="156"/>
      <c r="K25" s="157">
        <f t="shared" si="18"/>
        <v>1</v>
      </c>
      <c r="L25" s="157">
        <f t="shared" si="19"/>
        <v>3</v>
      </c>
      <c r="M25" s="158" t="s">
        <v>195</v>
      </c>
      <c r="N25" s="159" t="s">
        <v>196</v>
      </c>
      <c r="O25" s="159">
        <v>76770</v>
      </c>
      <c r="P25" s="159" t="s">
        <v>197</v>
      </c>
      <c r="Q25" s="159" t="s">
        <v>198</v>
      </c>
      <c r="R25" s="159" t="s">
        <v>199</v>
      </c>
      <c r="S25" s="159" t="s">
        <v>93</v>
      </c>
      <c r="T25" s="159" t="s">
        <v>94</v>
      </c>
      <c r="U25" s="159" t="s">
        <v>200</v>
      </c>
      <c r="V25" s="160" t="s">
        <v>96</v>
      </c>
      <c r="W25" s="161"/>
      <c r="X25" s="162"/>
      <c r="Y25" s="163"/>
      <c r="Z25" s="162"/>
      <c r="AA25" s="163"/>
      <c r="AB25" s="162"/>
      <c r="AC25" s="163"/>
      <c r="AD25" s="162"/>
      <c r="AE25" s="163"/>
      <c r="AF25" s="162">
        <v>1</v>
      </c>
      <c r="AG25" s="163"/>
      <c r="AH25" s="163">
        <v>3</v>
      </c>
      <c r="AI25" s="162">
        <v>3</v>
      </c>
      <c r="AJ25" s="163"/>
      <c r="AK25" s="162"/>
      <c r="AL25" s="163"/>
      <c r="AM25" s="162"/>
      <c r="AN25" s="163"/>
      <c r="AO25" s="162"/>
      <c r="AP25" s="164"/>
      <c r="AQ25" s="164"/>
      <c r="AR25" s="164"/>
      <c r="AS25" s="164"/>
      <c r="AT25" s="164"/>
      <c r="AU25" s="164"/>
      <c r="AV25" s="164"/>
      <c r="AW25" s="164"/>
      <c r="AX25" s="164"/>
      <c r="AY25" s="165"/>
      <c r="AZ25" s="41"/>
      <c r="BA25" s="190"/>
      <c r="BB25" s="191"/>
      <c r="BC25" s="191">
        <v>100</v>
      </c>
      <c r="BD25" s="191"/>
      <c r="BE25" s="191"/>
      <c r="BF25" s="191">
        <v>10</v>
      </c>
      <c r="BG25" s="191"/>
      <c r="BH25" s="191">
        <v>10</v>
      </c>
      <c r="BI25" s="191"/>
      <c r="BJ25" s="191">
        <v>10</v>
      </c>
      <c r="BK25" s="191"/>
      <c r="BL25" s="191"/>
      <c r="BM25" s="191">
        <v>10</v>
      </c>
      <c r="BN25" s="191"/>
      <c r="BO25" s="191">
        <v>50</v>
      </c>
      <c r="BP25" s="191"/>
      <c r="BQ25" s="191">
        <v>10</v>
      </c>
      <c r="BR25" s="191"/>
      <c r="BS25" s="191"/>
      <c r="BT25" s="191">
        <v>50</v>
      </c>
      <c r="BU25" s="191"/>
      <c r="BV25" s="191">
        <v>10</v>
      </c>
      <c r="BW25" s="191"/>
      <c r="BX25" s="191">
        <v>10</v>
      </c>
      <c r="BY25" s="191"/>
      <c r="BZ25" s="191"/>
      <c r="CA25" s="191">
        <v>10</v>
      </c>
      <c r="CB25" s="191"/>
      <c r="CC25" s="191">
        <v>100</v>
      </c>
      <c r="CD25" s="191"/>
      <c r="CE25" s="192">
        <v>10</v>
      </c>
      <c r="CF25" s="190"/>
      <c r="CG25" s="191"/>
      <c r="CH25" s="191">
        <v>50</v>
      </c>
      <c r="CI25" s="191"/>
      <c r="CJ25" s="191">
        <v>10</v>
      </c>
      <c r="CK25" s="191"/>
      <c r="CL25" s="191">
        <v>50</v>
      </c>
      <c r="CM25" s="191"/>
      <c r="CN25" s="191"/>
      <c r="CO25" s="191">
        <v>50</v>
      </c>
      <c r="CP25" s="191"/>
      <c r="CQ25" s="191">
        <v>10</v>
      </c>
      <c r="CR25" s="191"/>
      <c r="CS25" s="191">
        <v>50</v>
      </c>
      <c r="CT25" s="191"/>
      <c r="CU25" s="191"/>
      <c r="CV25" s="191">
        <v>10</v>
      </c>
      <c r="CW25" s="191"/>
      <c r="CX25" s="191">
        <v>10</v>
      </c>
      <c r="CY25" s="191"/>
      <c r="CZ25" s="191">
        <v>50</v>
      </c>
      <c r="DA25" s="191"/>
      <c r="DB25" s="191"/>
      <c r="DC25" s="191">
        <v>100</v>
      </c>
      <c r="DD25" s="191"/>
      <c r="DE25" s="191">
        <v>10</v>
      </c>
      <c r="DF25" s="191"/>
      <c r="DG25" s="191">
        <v>10</v>
      </c>
      <c r="DH25" s="193"/>
      <c r="DI25" s="194"/>
      <c r="DJ25" s="191"/>
      <c r="DK25" s="191">
        <v>100</v>
      </c>
      <c r="DL25" s="191"/>
      <c r="DM25" s="191"/>
      <c r="DN25" s="191"/>
      <c r="DO25" s="191">
        <v>10</v>
      </c>
      <c r="DP25" s="191"/>
      <c r="DQ25" s="191"/>
      <c r="DR25" s="191">
        <v>10</v>
      </c>
      <c r="DS25" s="191"/>
      <c r="DT25" s="191">
        <v>50</v>
      </c>
      <c r="DU25" s="191"/>
      <c r="DV25" s="191">
        <v>50</v>
      </c>
      <c r="DW25" s="191"/>
      <c r="DX25" s="191"/>
      <c r="DY25" s="191">
        <v>10</v>
      </c>
      <c r="DZ25" s="191"/>
      <c r="EA25" s="191">
        <v>50</v>
      </c>
      <c r="EB25" s="191"/>
      <c r="EC25" s="191">
        <v>10</v>
      </c>
      <c r="ED25" s="191"/>
      <c r="EE25" s="191"/>
      <c r="EF25" s="191">
        <v>50</v>
      </c>
      <c r="EG25" s="191"/>
      <c r="EH25" s="191">
        <v>10</v>
      </c>
      <c r="EI25" s="191"/>
      <c r="EJ25" s="191">
        <v>50</v>
      </c>
      <c r="EK25" s="191"/>
      <c r="EL25" s="191"/>
      <c r="EM25" s="192">
        <v>50</v>
      </c>
      <c r="EN25" s="190"/>
      <c r="EO25" s="191">
        <v>50</v>
      </c>
      <c r="EP25" s="191"/>
      <c r="EQ25" s="191">
        <v>10</v>
      </c>
      <c r="ER25" s="191"/>
      <c r="ES25" s="191"/>
      <c r="ET25" s="191">
        <v>10</v>
      </c>
      <c r="EU25" s="191"/>
      <c r="EV25" s="191">
        <v>50</v>
      </c>
      <c r="EW25" s="191"/>
      <c r="EX25" s="191">
        <v>50</v>
      </c>
      <c r="EY25" s="191"/>
      <c r="EZ25" s="191"/>
      <c r="FA25" s="191">
        <v>50</v>
      </c>
      <c r="FB25" s="191"/>
      <c r="FC25" s="191">
        <v>50</v>
      </c>
      <c r="FD25" s="191"/>
      <c r="FE25" s="191">
        <v>10</v>
      </c>
      <c r="FF25" s="191"/>
      <c r="FG25" s="191"/>
      <c r="FH25" s="191"/>
      <c r="FI25" s="191">
        <v>150</v>
      </c>
      <c r="FJ25" s="191"/>
      <c r="FK25" s="191"/>
      <c r="FL25" s="191">
        <v>100</v>
      </c>
      <c r="FM25" s="191"/>
      <c r="FN25" s="191"/>
      <c r="FO25" s="191">
        <v>150</v>
      </c>
      <c r="FP25" s="191"/>
      <c r="FQ25" s="193">
        <v>100</v>
      </c>
      <c r="FR25" s="194"/>
      <c r="FS25" s="191">
        <v>10</v>
      </c>
      <c r="FT25" s="191"/>
      <c r="FU25" s="191"/>
      <c r="FV25" s="191">
        <v>100</v>
      </c>
      <c r="FW25" s="191"/>
      <c r="FX25" s="191">
        <v>50</v>
      </c>
      <c r="FY25" s="191"/>
      <c r="FZ25" s="191">
        <v>100</v>
      </c>
      <c r="GA25" s="191"/>
      <c r="GB25" s="191"/>
      <c r="GC25" s="191">
        <v>100</v>
      </c>
      <c r="GD25" s="191"/>
      <c r="GE25" s="191">
        <v>100</v>
      </c>
      <c r="GF25" s="191"/>
      <c r="GG25" s="191">
        <v>100</v>
      </c>
      <c r="GH25" s="191"/>
      <c r="GI25" s="191"/>
      <c r="GJ25" s="191">
        <v>100</v>
      </c>
      <c r="GK25" s="191"/>
      <c r="GL25" s="191">
        <v>100</v>
      </c>
      <c r="GM25" s="191"/>
      <c r="GN25" s="191">
        <v>100</v>
      </c>
      <c r="GO25" s="191"/>
      <c r="GP25" s="191"/>
      <c r="GQ25" s="191">
        <v>150</v>
      </c>
      <c r="GR25" s="191"/>
      <c r="GS25" s="191">
        <v>50</v>
      </c>
      <c r="GT25" s="191"/>
      <c r="GU25" s="191">
        <v>50</v>
      </c>
      <c r="GV25" s="192"/>
      <c r="GW25" s="190"/>
      <c r="GX25" s="191">
        <v>50</v>
      </c>
      <c r="GY25" s="191"/>
      <c r="GZ25" s="191"/>
      <c r="HA25" s="191"/>
      <c r="HB25" s="191">
        <v>200</v>
      </c>
      <c r="HC25" s="191"/>
      <c r="HD25" s="191"/>
      <c r="HE25" s="191"/>
      <c r="HF25" s="191">
        <v>100</v>
      </c>
      <c r="HG25" s="191"/>
      <c r="HH25" s="191">
        <v>100</v>
      </c>
      <c r="HI25" s="191">
        <v>10</v>
      </c>
      <c r="HJ25" s="191"/>
      <c r="HK25" s="191"/>
      <c r="HL25" s="191"/>
      <c r="HM25" s="191"/>
      <c r="HN25" s="191">
        <v>150</v>
      </c>
      <c r="HO25" s="191">
        <v>50</v>
      </c>
      <c r="HP25" s="191"/>
      <c r="HQ25" s="191"/>
      <c r="HR25" s="191"/>
      <c r="HS25" s="191">
        <v>50</v>
      </c>
      <c r="HT25" s="191"/>
      <c r="HU25" s="191"/>
      <c r="HV25" s="191"/>
      <c r="HW25" s="191">
        <v>50</v>
      </c>
      <c r="HX25" s="191"/>
      <c r="HY25" s="191"/>
      <c r="HZ25" s="193">
        <v>100</v>
      </c>
      <c r="IA25" s="194"/>
      <c r="IB25" s="191">
        <v>10</v>
      </c>
      <c r="IC25" s="191"/>
      <c r="ID25" s="191">
        <v>50</v>
      </c>
      <c r="IE25" s="191"/>
      <c r="IF25" s="191"/>
      <c r="IG25" s="191">
        <v>150</v>
      </c>
      <c r="IH25" s="191"/>
      <c r="II25" s="191"/>
      <c r="IJ25" s="191"/>
      <c r="IK25" s="191">
        <v>100</v>
      </c>
      <c r="IL25" s="191"/>
      <c r="IM25" s="191"/>
      <c r="IN25" s="191">
        <v>150</v>
      </c>
      <c r="IO25" s="191"/>
      <c r="IP25" s="191"/>
      <c r="IQ25" s="191"/>
      <c r="IR25" s="191">
        <v>100</v>
      </c>
      <c r="IS25" s="191"/>
      <c r="IT25" s="191"/>
      <c r="IU25" s="191">
        <v>100</v>
      </c>
      <c r="IV25" s="191"/>
      <c r="IW25" s="191">
        <v>50</v>
      </c>
      <c r="IX25" s="191"/>
      <c r="IY25" s="191">
        <v>100</v>
      </c>
      <c r="IZ25" s="191"/>
      <c r="JA25" s="191"/>
      <c r="JB25" s="191">
        <v>100</v>
      </c>
      <c r="JC25" s="191"/>
      <c r="JD25" s="191">
        <v>100</v>
      </c>
      <c r="JE25" s="192"/>
      <c r="JF25" s="190">
        <v>100</v>
      </c>
      <c r="JG25" s="191"/>
      <c r="JH25" s="191"/>
      <c r="JI25" s="191">
        <v>50</v>
      </c>
      <c r="JJ25" s="191"/>
      <c r="JK25" s="191">
        <v>50</v>
      </c>
      <c r="JL25" s="191"/>
      <c r="JM25" s="191">
        <v>150</v>
      </c>
      <c r="JN25" s="191"/>
      <c r="JO25" s="191"/>
      <c r="JP25" s="191">
        <v>50</v>
      </c>
      <c r="JQ25" s="191"/>
      <c r="JR25" s="191">
        <v>50</v>
      </c>
      <c r="JS25" s="191">
        <v>50</v>
      </c>
      <c r="JT25" s="191"/>
      <c r="JU25" s="191"/>
      <c r="JV25" s="191"/>
      <c r="JW25" s="191">
        <v>50</v>
      </c>
      <c r="JX25" s="191"/>
      <c r="JY25" s="191">
        <v>100</v>
      </c>
      <c r="JZ25" s="191"/>
      <c r="KA25" s="191">
        <v>100</v>
      </c>
      <c r="KB25" s="191"/>
      <c r="KC25" s="191"/>
      <c r="KD25" s="191">
        <v>100</v>
      </c>
      <c r="KE25" s="191"/>
      <c r="KF25" s="191"/>
      <c r="KG25" s="191">
        <v>100</v>
      </c>
      <c r="KH25" s="191">
        <v>10</v>
      </c>
      <c r="KI25" s="191"/>
      <c r="KJ25" s="193"/>
      <c r="KK25" s="194">
        <v>100</v>
      </c>
      <c r="KL25" s="191"/>
      <c r="KM25" s="191">
        <v>10</v>
      </c>
      <c r="KN25" s="191">
        <v>100</v>
      </c>
      <c r="KO25" s="191">
        <v>10</v>
      </c>
      <c r="KP25" s="191"/>
      <c r="KQ25" s="191"/>
      <c r="KR25" s="191">
        <v>150</v>
      </c>
      <c r="KS25" s="191"/>
      <c r="KT25" s="191"/>
      <c r="KU25" s="191"/>
      <c r="KV25" s="191">
        <v>50</v>
      </c>
      <c r="KW25" s="191"/>
      <c r="KX25" s="191"/>
      <c r="KY25" s="191">
        <v>100</v>
      </c>
      <c r="KZ25" s="191"/>
      <c r="LA25" s="191"/>
      <c r="LB25" s="191"/>
      <c r="LC25" s="191">
        <v>100</v>
      </c>
      <c r="LD25" s="191"/>
      <c r="LE25" s="191"/>
      <c r="LF25" s="191">
        <v>100</v>
      </c>
      <c r="LG25" s="191"/>
      <c r="LH25" s="191">
        <v>100</v>
      </c>
      <c r="LI25" s="191"/>
      <c r="LJ25" s="191">
        <v>100</v>
      </c>
      <c r="LK25" s="191"/>
      <c r="LL25" s="191"/>
      <c r="LM25" s="191"/>
      <c r="LN25" s="192"/>
      <c r="LO25" s="190">
        <v>200</v>
      </c>
      <c r="LP25" s="191"/>
      <c r="LQ25" s="191">
        <v>100</v>
      </c>
      <c r="LR25" s="191"/>
      <c r="LS25" s="191"/>
      <c r="LT25" s="191">
        <v>150</v>
      </c>
      <c r="LU25" s="191"/>
      <c r="LV25" s="191">
        <v>100</v>
      </c>
      <c r="LW25" s="191"/>
      <c r="LX25" s="191">
        <v>150</v>
      </c>
      <c r="LY25" s="191"/>
      <c r="LZ25" s="191"/>
      <c r="MA25" s="191">
        <v>100</v>
      </c>
      <c r="MB25" s="191"/>
      <c r="MC25" s="191">
        <v>10</v>
      </c>
      <c r="MD25" s="191"/>
      <c r="ME25" s="191">
        <v>100</v>
      </c>
      <c r="MF25" s="191"/>
      <c r="MG25" s="191"/>
      <c r="MH25" s="191">
        <v>50</v>
      </c>
      <c r="MI25" s="191"/>
      <c r="MJ25" s="191">
        <v>50</v>
      </c>
      <c r="MK25" s="191"/>
      <c r="ML25" s="191">
        <v>150</v>
      </c>
      <c r="MM25" s="191"/>
      <c r="MN25" s="191"/>
      <c r="MO25" s="191">
        <v>100</v>
      </c>
      <c r="MP25" s="191"/>
      <c r="MQ25" s="191"/>
      <c r="MR25" s="191"/>
      <c r="MS25" s="193">
        <v>100</v>
      </c>
      <c r="MT25" s="194"/>
      <c r="MU25" s="191"/>
      <c r="MV25" s="191">
        <v>100</v>
      </c>
      <c r="MW25" s="191"/>
      <c r="MX25" s="191">
        <v>100</v>
      </c>
      <c r="MY25" s="191"/>
      <c r="MZ25" s="191">
        <v>50</v>
      </c>
      <c r="NA25" s="191"/>
      <c r="NB25" s="191"/>
      <c r="NC25" s="191">
        <v>100</v>
      </c>
      <c r="ND25" s="191"/>
      <c r="NE25" s="191"/>
      <c r="NF25" s="191">
        <v>50</v>
      </c>
      <c r="NG25" s="191">
        <v>10</v>
      </c>
      <c r="NH25" s="191"/>
      <c r="NI25" s="191"/>
      <c r="NJ25" s="191">
        <v>50</v>
      </c>
      <c r="NK25" s="191"/>
      <c r="NL25" s="191"/>
      <c r="NM25" s="191"/>
      <c r="NN25" s="191">
        <v>150</v>
      </c>
      <c r="NO25" s="191"/>
      <c r="NP25" s="191"/>
      <c r="NQ25" s="191">
        <v>50</v>
      </c>
      <c r="NR25" s="191"/>
      <c r="NS25" s="191"/>
      <c r="NT25" s="191"/>
      <c r="NU25" s="191">
        <v>150</v>
      </c>
      <c r="NV25" s="191"/>
      <c r="NW25" s="192"/>
      <c r="NX25" s="190">
        <v>50</v>
      </c>
      <c r="NY25" s="191">
        <v>50</v>
      </c>
      <c r="NZ25" s="191"/>
      <c r="OA25" s="191"/>
      <c r="OB25" s="191">
        <v>50</v>
      </c>
      <c r="OC25" s="191"/>
      <c r="OD25" s="191"/>
      <c r="OE25" s="191">
        <v>100</v>
      </c>
      <c r="OF25" s="191"/>
      <c r="OG25" s="191"/>
      <c r="OH25" s="191"/>
      <c r="OI25" s="191">
        <v>100</v>
      </c>
      <c r="OJ25" s="191"/>
      <c r="OK25" s="191"/>
      <c r="OL25" s="191">
        <v>100</v>
      </c>
      <c r="OM25" s="191"/>
      <c r="ON25" s="191"/>
      <c r="OO25" s="191"/>
      <c r="OP25" s="191"/>
      <c r="OQ25" s="191"/>
      <c r="OR25" s="191"/>
      <c r="OS25" s="191"/>
      <c r="OT25" s="191"/>
      <c r="OU25" s="191"/>
      <c r="OV25" s="191"/>
      <c r="OW25" s="191"/>
      <c r="OX25" s="191"/>
      <c r="OY25" s="191"/>
      <c r="OZ25" s="191"/>
      <c r="PA25" s="191"/>
      <c r="PB25" s="193"/>
      <c r="PC25" s="47"/>
      <c r="PD25" s="154" t="s">
        <v>97</v>
      </c>
      <c r="PE25" s="155" t="s">
        <v>98</v>
      </c>
      <c r="PF25" s="155" t="s">
        <v>98</v>
      </c>
      <c r="PG25" s="155" t="s">
        <v>98</v>
      </c>
      <c r="PH25" s="155" t="s">
        <v>98</v>
      </c>
      <c r="PI25" s="155" t="s">
        <v>98</v>
      </c>
      <c r="PJ25" s="155" t="s">
        <v>98</v>
      </c>
      <c r="PK25" s="155" t="s">
        <v>98</v>
      </c>
      <c r="PL25" s="155" t="s">
        <v>98</v>
      </c>
      <c r="PM25" s="155" t="s">
        <v>98</v>
      </c>
      <c r="PN25" s="155" t="s">
        <v>98</v>
      </c>
      <c r="PO25" s="156"/>
      <c r="PP25" s="156"/>
      <c r="PQ25" s="156"/>
      <c r="PR25" s="156"/>
      <c r="PS25" s="156"/>
      <c r="PT25" s="156"/>
      <c r="PU25" s="156"/>
      <c r="PV25" s="156"/>
      <c r="PW25" s="156"/>
      <c r="PX25" s="195"/>
      <c r="PY25" s="1"/>
      <c r="PZ25" s="196">
        <f t="shared" si="20"/>
        <v>390</v>
      </c>
      <c r="QA25" s="176">
        <f t="shared" si="21"/>
        <v>3.2535246517060149E-3</v>
      </c>
      <c r="QB25" s="177" t="str">
        <f t="shared" ca="1" si="22"/>
        <v>Attente…</v>
      </c>
      <c r="QC25" s="197">
        <f t="shared" si="23"/>
        <v>410</v>
      </c>
      <c r="QD25" s="179">
        <f t="shared" si="24"/>
        <v>3.8389513108614231E-3</v>
      </c>
      <c r="QE25" s="180" t="str">
        <f t="shared" ca="1" si="25"/>
        <v>Attente…</v>
      </c>
      <c r="QF25" s="196">
        <f t="shared" si="26"/>
        <v>450</v>
      </c>
      <c r="QG25" s="176">
        <f t="shared" si="27"/>
        <v>3.58337314859054E-3</v>
      </c>
      <c r="QH25" s="177" t="str">
        <f t="shared" ca="1" si="28"/>
        <v>Attente…</v>
      </c>
      <c r="QI25" s="197">
        <f t="shared" si="29"/>
        <v>780</v>
      </c>
      <c r="QJ25" s="179">
        <f t="shared" si="30"/>
        <v>5.4706129891990462E-3</v>
      </c>
      <c r="QK25" s="180" t="str">
        <f t="shared" ca="1" si="31"/>
        <v>Attente…</v>
      </c>
      <c r="QL25" s="196">
        <f t="shared" si="32"/>
        <v>1110</v>
      </c>
      <c r="QM25" s="176">
        <f t="shared" si="33"/>
        <v>8.1211589113257248E-3</v>
      </c>
      <c r="QN25" s="177" t="str">
        <f t="shared" ca="1" si="34"/>
        <v>Attente…</v>
      </c>
      <c r="QO25" s="197">
        <f t="shared" si="35"/>
        <v>860</v>
      </c>
      <c r="QP25" s="179">
        <f t="shared" si="36"/>
        <v>6.7329523213027478E-3</v>
      </c>
      <c r="QQ25" s="180" t="str">
        <f t="shared" ca="1" si="37"/>
        <v>Attente…</v>
      </c>
      <c r="QR25" s="196">
        <f t="shared" si="38"/>
        <v>1010</v>
      </c>
      <c r="QS25" s="176">
        <f t="shared" si="39"/>
        <v>7.2711565458406825E-3</v>
      </c>
      <c r="QT25" s="177" t="str">
        <f t="shared" ca="1" si="40"/>
        <v>Attente…</v>
      </c>
      <c r="QU25" s="197">
        <f t="shared" si="41"/>
        <v>960</v>
      </c>
      <c r="QV25" s="179">
        <f t="shared" si="42"/>
        <v>6.6188637617209042E-3</v>
      </c>
      <c r="QW25" s="180" t="str">
        <f t="shared" ca="1" si="43"/>
        <v>Attente…</v>
      </c>
      <c r="QX25" s="196">
        <f t="shared" si="44"/>
        <v>920</v>
      </c>
      <c r="QY25" s="176">
        <f t="shared" si="45"/>
        <v>6.7135643188651157E-3</v>
      </c>
      <c r="QZ25" s="177" t="str">
        <f t="shared" ca="1" si="46"/>
        <v>Attente…</v>
      </c>
      <c r="RA25" s="197">
        <f t="shared" si="47"/>
        <v>1360</v>
      </c>
      <c r="RB25" s="179">
        <f t="shared" si="48"/>
        <v>1.0640794929974181E-2</v>
      </c>
      <c r="RC25" s="180" t="str">
        <f t="shared" ca="1" si="49"/>
        <v>Attente…</v>
      </c>
      <c r="RD25" s="196">
        <f t="shared" si="50"/>
        <v>810</v>
      </c>
      <c r="RE25" s="176">
        <f t="shared" si="51"/>
        <v>8.0709445994420082E-3</v>
      </c>
      <c r="RF25" s="177" t="str">
        <f t="shared" ca="1" si="52"/>
        <v>Attente…</v>
      </c>
      <c r="RG25" s="197">
        <f t="shared" si="53"/>
        <v>450</v>
      </c>
      <c r="RH25" s="179">
        <f t="shared" si="54"/>
        <v>8.2766231377597935E-3</v>
      </c>
      <c r="RI25" s="198" t="str">
        <f t="shared" ca="1" si="55"/>
        <v>Attente…</v>
      </c>
      <c r="RJ25" s="199">
        <f t="shared" si="56"/>
        <v>1250</v>
      </c>
      <c r="RK25" s="200" t="str">
        <f t="shared" ca="1" si="13"/>
        <v>Attente…</v>
      </c>
      <c r="RL25" s="199">
        <f t="shared" si="57"/>
        <v>2750</v>
      </c>
      <c r="RM25" s="200" t="str">
        <f t="shared" ca="1" si="58"/>
        <v>Atttente…</v>
      </c>
      <c r="RN25" s="199">
        <f t="shared" si="59"/>
        <v>2890</v>
      </c>
      <c r="RO25" s="200" t="str">
        <f t="shared" ca="1" si="14"/>
        <v>Attente…</v>
      </c>
      <c r="RP25" s="199">
        <f t="shared" si="60"/>
        <v>2620</v>
      </c>
      <c r="RQ25" s="200" t="str">
        <f t="shared" ca="1" si="15"/>
        <v>Attente…</v>
      </c>
      <c r="RR25" s="201">
        <f t="shared" si="61"/>
        <v>9510</v>
      </c>
      <c r="RS25" s="202" t="str">
        <f t="shared" ca="1" si="16"/>
        <v>Attente…</v>
      </c>
      <c r="RT25" s="103"/>
      <c r="RU25" s="203">
        <f t="shared" si="62"/>
        <v>0.34963235294117645</v>
      </c>
      <c r="RV25" s="204">
        <f t="shared" si="65"/>
        <v>1</v>
      </c>
      <c r="RW25" s="204">
        <f t="shared" si="65"/>
        <v>3</v>
      </c>
      <c r="RX25" s="204">
        <f t="shared" si="63"/>
        <v>136</v>
      </c>
      <c r="RY25" s="205" t="str">
        <f t="shared" si="64"/>
        <v>MALAUNAY - 10 Rue Louis Lesouef (Parking face à Renault)</v>
      </c>
      <c r="RZ25" s="189" t="str">
        <f>IF(OR(RZ24="",RZ24="  &lt;/Document&gt;
&lt;/kml&gt;"),"",
IF(B25="","  &lt;/Document&gt;
&lt;/kml&gt;",
IF(TournéesCAV!Q7=""," ",
"    &lt;Placemark&gt;
      &lt;description&gt;&lt;![CDATA["&amp;B25&amp;"&lt;br&gt;&lt;br&gt;"&amp;RV25&amp;" CAV&lt;br&gt;&lt;br&gt;Présent sur "&amp;RW25&amp;" tournée(s)&lt;br&gt;&lt;br&gt;Taux de remplissage moyen "&amp;TEXT(RU25*1000,"0 %")&amp;"]]&gt;&lt;/description&gt;
      &lt;Style&gt;
        &lt;IconStyle&gt;
          &lt;color&gt;ff"&amp;
          DEC2HEX(0,2)&amp;
          DEC2HEX(
            IF(RU25&lt;=0.5,
               INT(255*(RU25*2)),
               255
            ),2)&amp;
          DEC2HEX(
            IF(RU25&lt;=0.5,
               255,
               INT(255*(1-(RU25-0.5)*2))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&lt;Point&gt;&lt;coordinates&gt;"&amp;R25&amp;","&amp;Q25&amp;",0&lt;/coordinates&gt;&lt;/Point&gt;
    &lt;/Placemark&gt;"
)))</f>
        <v xml:space="preserve">    &lt;Placemark&gt;
      &lt;description&gt;&lt;![CDATA[MALAUNAY - 10 Rue Louis Lesouef (Parking face à Renault)&lt;br&gt;&lt;br&gt;1 CAV&lt;br&gt;&lt;br&gt;Présent sur 3 tournée(s)&lt;br&gt;&lt;br&gt;Taux de remplissage moyen 35%]]&gt;&lt;/description&gt;
      &lt;Style&gt;
        &lt;IconStyle&gt;
          &lt;color&gt;ff00B2FF&lt;/color&gt;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&lt;Point&gt;&lt;coordinates&gt;1.0376784,49.5224944,0&lt;/coordinates&gt;&lt;/Point&gt;
    &lt;/Placemark&gt;</v>
      </c>
    </row>
    <row r="26" spans="2:494" ht="15" hidden="1" customHeight="1" x14ac:dyDescent="0.35">
      <c r="B26" s="153" t="str">
        <f t="shared" si="17"/>
        <v>SAINT-MARTIN-DU-VIVIER - 1377 Route de la Vallée (Parking a coté de la Mairie)</v>
      </c>
      <c r="C26" s="154">
        <v>52</v>
      </c>
      <c r="D26" s="155"/>
      <c r="E26" s="155"/>
      <c r="F26" s="155"/>
      <c r="G26" s="155"/>
      <c r="H26" s="155"/>
      <c r="I26" s="155"/>
      <c r="J26" s="156"/>
      <c r="K26" s="157">
        <f t="shared" si="18"/>
        <v>1</v>
      </c>
      <c r="L26" s="157">
        <f t="shared" si="19"/>
        <v>1</v>
      </c>
      <c r="M26" s="158" t="s">
        <v>201</v>
      </c>
      <c r="N26" s="159" t="s">
        <v>202</v>
      </c>
      <c r="O26" s="159">
        <v>76160</v>
      </c>
      <c r="P26" s="159" t="s">
        <v>203</v>
      </c>
      <c r="Q26" s="159" t="s">
        <v>204</v>
      </c>
      <c r="R26" s="159" t="s">
        <v>205</v>
      </c>
      <c r="S26" s="159" t="s">
        <v>93</v>
      </c>
      <c r="T26" s="159" t="s">
        <v>94</v>
      </c>
      <c r="U26" s="159" t="s">
        <v>206</v>
      </c>
      <c r="V26" s="160" t="s">
        <v>96</v>
      </c>
      <c r="W26" s="161"/>
      <c r="X26" s="162"/>
      <c r="Y26" s="163"/>
      <c r="Z26" s="162"/>
      <c r="AA26" s="163"/>
      <c r="AB26" s="162"/>
      <c r="AC26" s="163"/>
      <c r="AD26" s="162"/>
      <c r="AE26" s="163"/>
      <c r="AF26" s="162">
        <v>3</v>
      </c>
      <c r="AG26" s="163"/>
      <c r="AH26" s="163"/>
      <c r="AI26" s="162"/>
      <c r="AJ26" s="163"/>
      <c r="AK26" s="162"/>
      <c r="AL26" s="163"/>
      <c r="AM26" s="162"/>
      <c r="AN26" s="163"/>
      <c r="AO26" s="162"/>
      <c r="AP26" s="164"/>
      <c r="AQ26" s="164"/>
      <c r="AR26" s="164"/>
      <c r="AS26" s="164"/>
      <c r="AT26" s="164"/>
      <c r="AU26" s="164"/>
      <c r="AV26" s="164"/>
      <c r="AW26" s="164"/>
      <c r="AX26" s="164"/>
      <c r="AY26" s="165"/>
      <c r="AZ26" s="41"/>
      <c r="BA26" s="190"/>
      <c r="BB26" s="191"/>
      <c r="BC26" s="191"/>
      <c r="BD26" s="191"/>
      <c r="BE26" s="191"/>
      <c r="BF26" s="191"/>
      <c r="BG26" s="191"/>
      <c r="BH26" s="191">
        <v>100</v>
      </c>
      <c r="BI26" s="191"/>
      <c r="BJ26" s="191"/>
      <c r="BK26" s="191"/>
      <c r="BL26" s="191"/>
      <c r="BM26" s="191"/>
      <c r="BN26" s="191"/>
      <c r="BO26" s="191">
        <v>50</v>
      </c>
      <c r="BP26" s="191"/>
      <c r="BQ26" s="191"/>
      <c r="BR26" s="191"/>
      <c r="BS26" s="191"/>
      <c r="BT26" s="191"/>
      <c r="BU26" s="191"/>
      <c r="BV26" s="191">
        <v>50</v>
      </c>
      <c r="BW26" s="191"/>
      <c r="BX26" s="191"/>
      <c r="BY26" s="191"/>
      <c r="BZ26" s="191"/>
      <c r="CA26" s="191"/>
      <c r="CB26" s="191"/>
      <c r="CC26" s="191">
        <v>100</v>
      </c>
      <c r="CD26" s="191"/>
      <c r="CE26" s="192"/>
      <c r="CF26" s="190"/>
      <c r="CG26" s="191"/>
      <c r="CH26" s="191"/>
      <c r="CI26" s="191"/>
      <c r="CJ26" s="191">
        <v>50</v>
      </c>
      <c r="CK26" s="191"/>
      <c r="CL26" s="191"/>
      <c r="CM26" s="191"/>
      <c r="CN26" s="191"/>
      <c r="CO26" s="191"/>
      <c r="CP26" s="191"/>
      <c r="CQ26" s="191">
        <v>10</v>
      </c>
      <c r="CR26" s="191"/>
      <c r="CS26" s="191"/>
      <c r="CT26" s="191"/>
      <c r="CU26" s="191"/>
      <c r="CV26" s="191"/>
      <c r="CW26" s="191"/>
      <c r="CX26" s="191">
        <v>50</v>
      </c>
      <c r="CY26" s="191"/>
      <c r="CZ26" s="191"/>
      <c r="DA26" s="191"/>
      <c r="DB26" s="191"/>
      <c r="DC26" s="191"/>
      <c r="DD26" s="191"/>
      <c r="DE26" s="191">
        <v>50</v>
      </c>
      <c r="DF26" s="191"/>
      <c r="DG26" s="191"/>
      <c r="DH26" s="193"/>
      <c r="DI26" s="194"/>
      <c r="DJ26" s="191"/>
      <c r="DK26" s="191"/>
      <c r="DL26" s="191"/>
      <c r="DM26" s="191">
        <v>50</v>
      </c>
      <c r="DN26" s="191"/>
      <c r="DO26" s="191"/>
      <c r="DP26" s="191"/>
      <c r="DQ26" s="191"/>
      <c r="DR26" s="191"/>
      <c r="DS26" s="191"/>
      <c r="DT26" s="191">
        <v>100</v>
      </c>
      <c r="DU26" s="191"/>
      <c r="DV26" s="191"/>
      <c r="DW26" s="191"/>
      <c r="DX26" s="191"/>
      <c r="DY26" s="191"/>
      <c r="DZ26" s="191"/>
      <c r="EA26" s="191">
        <v>100</v>
      </c>
      <c r="EB26" s="191"/>
      <c r="EC26" s="191"/>
      <c r="ED26" s="191"/>
      <c r="EE26" s="191"/>
      <c r="EF26" s="191"/>
      <c r="EG26" s="191"/>
      <c r="EH26" s="191">
        <v>10</v>
      </c>
      <c r="EI26" s="191"/>
      <c r="EJ26" s="191"/>
      <c r="EK26" s="191"/>
      <c r="EL26" s="191"/>
      <c r="EM26" s="192"/>
      <c r="EN26" s="190"/>
      <c r="EO26" s="191">
        <v>50</v>
      </c>
      <c r="EP26" s="191"/>
      <c r="EQ26" s="191"/>
      <c r="ER26" s="191"/>
      <c r="ES26" s="191"/>
      <c r="ET26" s="191"/>
      <c r="EU26" s="191"/>
      <c r="EV26" s="191">
        <v>50</v>
      </c>
      <c r="EW26" s="191"/>
      <c r="EX26" s="191"/>
      <c r="EY26" s="191"/>
      <c r="EZ26" s="191"/>
      <c r="FA26" s="191"/>
      <c r="FB26" s="191"/>
      <c r="FC26" s="191">
        <v>150</v>
      </c>
      <c r="FD26" s="191"/>
      <c r="FE26" s="191"/>
      <c r="FF26" s="191"/>
      <c r="FG26" s="191"/>
      <c r="FH26" s="191"/>
      <c r="FI26" s="191"/>
      <c r="FJ26" s="191"/>
      <c r="FK26" s="191">
        <v>100</v>
      </c>
      <c r="FL26" s="191"/>
      <c r="FM26" s="191"/>
      <c r="FN26" s="191"/>
      <c r="FO26" s="191"/>
      <c r="FP26" s="191"/>
      <c r="FQ26" s="193">
        <v>100</v>
      </c>
      <c r="FR26" s="194"/>
      <c r="FS26" s="191"/>
      <c r="FT26" s="191"/>
      <c r="FU26" s="191"/>
      <c r="FV26" s="191"/>
      <c r="FW26" s="191"/>
      <c r="FX26" s="191"/>
      <c r="FY26" s="191"/>
      <c r="FZ26" s="191"/>
      <c r="GA26" s="191"/>
      <c r="GB26" s="191"/>
      <c r="GC26" s="191"/>
      <c r="GD26" s="191"/>
      <c r="GE26" s="191">
        <v>100</v>
      </c>
      <c r="GF26" s="191"/>
      <c r="GG26" s="191"/>
      <c r="GH26" s="191"/>
      <c r="GI26" s="191"/>
      <c r="GJ26" s="191"/>
      <c r="GK26" s="191"/>
      <c r="GL26" s="191">
        <v>150</v>
      </c>
      <c r="GM26" s="191"/>
      <c r="GN26" s="191"/>
      <c r="GO26" s="191"/>
      <c r="GP26" s="191"/>
      <c r="GQ26" s="191"/>
      <c r="GR26" s="191"/>
      <c r="GS26" s="191">
        <v>10</v>
      </c>
      <c r="GT26" s="191"/>
      <c r="GU26" s="191"/>
      <c r="GV26" s="192"/>
      <c r="GW26" s="190"/>
      <c r="GX26" s="191"/>
      <c r="GY26" s="191"/>
      <c r="GZ26" s="191"/>
      <c r="HA26" s="191">
        <v>100</v>
      </c>
      <c r="HB26" s="191"/>
      <c r="HC26" s="191"/>
      <c r="HD26" s="191"/>
      <c r="HE26" s="191"/>
      <c r="HF26" s="191"/>
      <c r="HG26" s="191"/>
      <c r="HH26" s="191"/>
      <c r="HI26" s="191"/>
      <c r="HJ26" s="191"/>
      <c r="HK26" s="191"/>
      <c r="HL26" s="191"/>
      <c r="HM26" s="191"/>
      <c r="HN26" s="191">
        <v>150</v>
      </c>
      <c r="HO26" s="191"/>
      <c r="HP26" s="191"/>
      <c r="HQ26" s="191"/>
      <c r="HR26" s="191"/>
      <c r="HS26" s="191"/>
      <c r="HT26" s="191"/>
      <c r="HU26" s="191"/>
      <c r="HV26" s="191"/>
      <c r="HW26" s="191"/>
      <c r="HX26" s="191"/>
      <c r="HY26" s="191"/>
      <c r="HZ26" s="193"/>
      <c r="IA26" s="194"/>
      <c r="IB26" s="191">
        <v>10</v>
      </c>
      <c r="IC26" s="191"/>
      <c r="ID26" s="191"/>
      <c r="IE26" s="191"/>
      <c r="IF26" s="191"/>
      <c r="IG26" s="191"/>
      <c r="IH26" s="191"/>
      <c r="II26" s="191">
        <v>200</v>
      </c>
      <c r="IJ26" s="191"/>
      <c r="IK26" s="191"/>
      <c r="IL26" s="191"/>
      <c r="IM26" s="191"/>
      <c r="IN26" s="191"/>
      <c r="IO26" s="191"/>
      <c r="IP26" s="191"/>
      <c r="IQ26" s="191"/>
      <c r="IR26" s="191"/>
      <c r="IS26" s="191"/>
      <c r="IT26" s="191"/>
      <c r="IU26" s="191"/>
      <c r="IV26" s="191"/>
      <c r="IW26" s="191">
        <v>100</v>
      </c>
      <c r="IX26" s="191"/>
      <c r="IY26" s="191"/>
      <c r="IZ26" s="191"/>
      <c r="JA26" s="191"/>
      <c r="JB26" s="191"/>
      <c r="JC26" s="191"/>
      <c r="JD26" s="191">
        <v>50</v>
      </c>
      <c r="JE26" s="192"/>
      <c r="JF26" s="190"/>
      <c r="JG26" s="191"/>
      <c r="JH26" s="191"/>
      <c r="JI26" s="191"/>
      <c r="JJ26" s="191"/>
      <c r="JK26" s="191">
        <v>150</v>
      </c>
      <c r="JL26" s="191"/>
      <c r="JM26" s="191"/>
      <c r="JN26" s="191"/>
      <c r="JO26" s="191"/>
      <c r="JP26" s="191"/>
      <c r="JQ26" s="191"/>
      <c r="JR26" s="191">
        <v>50</v>
      </c>
      <c r="JS26" s="191"/>
      <c r="JT26" s="191"/>
      <c r="JU26" s="191"/>
      <c r="JV26" s="191"/>
      <c r="JW26" s="191"/>
      <c r="JX26" s="191"/>
      <c r="JY26" s="191">
        <v>100</v>
      </c>
      <c r="JZ26" s="191"/>
      <c r="KA26" s="191"/>
      <c r="KB26" s="191"/>
      <c r="KC26" s="191"/>
      <c r="KD26" s="191"/>
      <c r="KE26" s="191"/>
      <c r="KF26" s="191"/>
      <c r="KG26" s="191">
        <v>150</v>
      </c>
      <c r="KH26" s="191"/>
      <c r="KI26" s="191"/>
      <c r="KJ26" s="193"/>
      <c r="KK26" s="194"/>
      <c r="KL26" s="191"/>
      <c r="KM26" s="191">
        <v>100</v>
      </c>
      <c r="KN26" s="191"/>
      <c r="KO26" s="191"/>
      <c r="KP26" s="191"/>
      <c r="KQ26" s="191"/>
      <c r="KR26" s="191"/>
      <c r="KS26" s="191"/>
      <c r="KT26" s="191"/>
      <c r="KU26" s="191"/>
      <c r="KV26" s="191"/>
      <c r="KW26" s="191"/>
      <c r="KX26" s="191"/>
      <c r="KY26" s="191"/>
      <c r="KZ26" s="191"/>
      <c r="LA26" s="191">
        <v>200</v>
      </c>
      <c r="LB26" s="191"/>
      <c r="LC26" s="191"/>
      <c r="LD26" s="191"/>
      <c r="LE26" s="191"/>
      <c r="LF26" s="191"/>
      <c r="LG26" s="191"/>
      <c r="LH26" s="191">
        <v>50</v>
      </c>
      <c r="LI26" s="191"/>
      <c r="LJ26" s="191"/>
      <c r="LK26" s="191"/>
      <c r="LL26" s="191"/>
      <c r="LM26" s="191"/>
      <c r="LN26" s="192"/>
      <c r="LO26" s="190">
        <v>100</v>
      </c>
      <c r="LP26" s="191"/>
      <c r="LQ26" s="191"/>
      <c r="LR26" s="191"/>
      <c r="LS26" s="191"/>
      <c r="LT26" s="191"/>
      <c r="LU26" s="191"/>
      <c r="LV26" s="191">
        <v>50</v>
      </c>
      <c r="LW26" s="191"/>
      <c r="LX26" s="191"/>
      <c r="LY26" s="191"/>
      <c r="LZ26" s="191"/>
      <c r="MA26" s="191"/>
      <c r="MB26" s="191"/>
      <c r="MC26" s="191">
        <v>100</v>
      </c>
      <c r="MD26" s="191"/>
      <c r="ME26" s="191"/>
      <c r="MF26" s="191"/>
      <c r="MG26" s="191"/>
      <c r="MH26" s="191"/>
      <c r="MI26" s="191"/>
      <c r="MJ26" s="191">
        <v>50</v>
      </c>
      <c r="MK26" s="191"/>
      <c r="ML26" s="191"/>
      <c r="MM26" s="191"/>
      <c r="MN26" s="191"/>
      <c r="MO26" s="191"/>
      <c r="MP26" s="191"/>
      <c r="MQ26" s="191"/>
      <c r="MR26" s="191"/>
      <c r="MS26" s="193"/>
      <c r="MT26" s="194"/>
      <c r="MU26" s="191"/>
      <c r="MV26" s="191"/>
      <c r="MW26" s="191"/>
      <c r="MX26" s="191">
        <v>100</v>
      </c>
      <c r="MY26" s="191"/>
      <c r="MZ26" s="191"/>
      <c r="NA26" s="191"/>
      <c r="NB26" s="191"/>
      <c r="NC26" s="191"/>
      <c r="ND26" s="191"/>
      <c r="NE26" s="191"/>
      <c r="NF26" s="191"/>
      <c r="NG26" s="191"/>
      <c r="NH26" s="191"/>
      <c r="NI26" s="191"/>
      <c r="NJ26" s="191"/>
      <c r="NK26" s="191"/>
      <c r="NL26" s="191">
        <v>50</v>
      </c>
      <c r="NM26" s="191"/>
      <c r="NN26" s="191"/>
      <c r="NO26" s="191"/>
      <c r="NP26" s="191"/>
      <c r="NQ26" s="191"/>
      <c r="NR26" s="191"/>
      <c r="NS26" s="191">
        <v>10</v>
      </c>
      <c r="NT26" s="191"/>
      <c r="NU26" s="191"/>
      <c r="NV26" s="191"/>
      <c r="NW26" s="192"/>
      <c r="NX26" s="190"/>
      <c r="NY26" s="191">
        <v>50</v>
      </c>
      <c r="NZ26" s="191"/>
      <c r="OA26" s="191"/>
      <c r="OB26" s="191"/>
      <c r="OC26" s="191"/>
      <c r="OD26" s="191"/>
      <c r="OE26" s="191"/>
      <c r="OF26" s="191"/>
      <c r="OG26" s="191">
        <v>10</v>
      </c>
      <c r="OH26" s="191"/>
      <c r="OI26" s="191"/>
      <c r="OJ26" s="191"/>
      <c r="OK26" s="191"/>
      <c r="OL26" s="191"/>
      <c r="OM26" s="191"/>
      <c r="ON26" s="191"/>
      <c r="OO26" s="191"/>
      <c r="OP26" s="191"/>
      <c r="OQ26" s="191"/>
      <c r="OR26" s="191"/>
      <c r="OS26" s="191"/>
      <c r="OT26" s="191"/>
      <c r="OU26" s="191"/>
      <c r="OV26" s="191"/>
      <c r="OW26" s="191"/>
      <c r="OX26" s="191"/>
      <c r="OY26" s="191"/>
      <c r="OZ26" s="191"/>
      <c r="PA26" s="191"/>
      <c r="PB26" s="193"/>
      <c r="PC26" s="47"/>
      <c r="PD26" s="154" t="s">
        <v>97</v>
      </c>
      <c r="PE26" s="155" t="s">
        <v>98</v>
      </c>
      <c r="PF26" s="155" t="s">
        <v>98</v>
      </c>
      <c r="PG26" s="155" t="s">
        <v>98</v>
      </c>
      <c r="PH26" s="155" t="s">
        <v>98</v>
      </c>
      <c r="PI26" s="155" t="s">
        <v>98</v>
      </c>
      <c r="PJ26" s="155" t="s">
        <v>98</v>
      </c>
      <c r="PK26" s="155" t="s">
        <v>98</v>
      </c>
      <c r="PL26" s="155" t="s">
        <v>98</v>
      </c>
      <c r="PM26" s="155" t="s">
        <v>98</v>
      </c>
      <c r="PN26" s="155" t="s">
        <v>98</v>
      </c>
      <c r="PO26" s="156"/>
      <c r="PP26" s="156"/>
      <c r="PQ26" s="156"/>
      <c r="PR26" s="156"/>
      <c r="PS26" s="156"/>
      <c r="PT26" s="156"/>
      <c r="PU26" s="156"/>
      <c r="PV26" s="156"/>
      <c r="PW26" s="156"/>
      <c r="PX26" s="195"/>
      <c r="PY26" s="1"/>
      <c r="PZ26" s="196">
        <f t="shared" si="20"/>
        <v>300</v>
      </c>
      <c r="QA26" s="176">
        <f t="shared" si="21"/>
        <v>2.5027112705430883E-3</v>
      </c>
      <c r="QB26" s="177" t="str">
        <f t="shared" ca="1" si="22"/>
        <v>Attente…</v>
      </c>
      <c r="QC26" s="197">
        <f t="shared" si="23"/>
        <v>160</v>
      </c>
      <c r="QD26" s="179">
        <f t="shared" si="24"/>
        <v>1.4981273408239701E-3</v>
      </c>
      <c r="QE26" s="180" t="str">
        <f t="shared" ca="1" si="25"/>
        <v>Attente…</v>
      </c>
      <c r="QF26" s="196">
        <f t="shared" si="26"/>
        <v>260</v>
      </c>
      <c r="QG26" s="176">
        <f t="shared" si="27"/>
        <v>2.070393374741201E-3</v>
      </c>
      <c r="QH26" s="177" t="str">
        <f t="shared" ca="1" si="28"/>
        <v>Attente…</v>
      </c>
      <c r="QI26" s="197">
        <f t="shared" si="29"/>
        <v>450</v>
      </c>
      <c r="QJ26" s="179">
        <f t="shared" si="30"/>
        <v>3.1561228783840651E-3</v>
      </c>
      <c r="QK26" s="180" t="str">
        <f t="shared" ca="1" si="31"/>
        <v>Attente…</v>
      </c>
      <c r="QL26" s="196">
        <f t="shared" si="32"/>
        <v>260</v>
      </c>
      <c r="QM26" s="176">
        <f t="shared" si="33"/>
        <v>1.9022534386889084E-3</v>
      </c>
      <c r="QN26" s="177" t="str">
        <f t="shared" ca="1" si="34"/>
        <v>Attente…</v>
      </c>
      <c r="QO26" s="197">
        <f t="shared" si="35"/>
        <v>250</v>
      </c>
      <c r="QP26" s="179">
        <f t="shared" si="36"/>
        <v>1.9572535817740547E-3</v>
      </c>
      <c r="QQ26" s="180" t="str">
        <f t="shared" ca="1" si="37"/>
        <v>Attente…</v>
      </c>
      <c r="QR26" s="196">
        <f t="shared" si="38"/>
        <v>360</v>
      </c>
      <c r="QS26" s="176">
        <f t="shared" si="39"/>
        <v>2.5916993628739065E-3</v>
      </c>
      <c r="QT26" s="177" t="str">
        <f t="shared" ca="1" si="40"/>
        <v>Attente…</v>
      </c>
      <c r="QU26" s="197">
        <f t="shared" si="41"/>
        <v>450</v>
      </c>
      <c r="QV26" s="179">
        <f t="shared" si="42"/>
        <v>3.1025923883066741E-3</v>
      </c>
      <c r="QW26" s="180" t="str">
        <f t="shared" ca="1" si="43"/>
        <v>Attente…</v>
      </c>
      <c r="QX26" s="196">
        <f t="shared" si="44"/>
        <v>350</v>
      </c>
      <c r="QY26" s="176">
        <f t="shared" si="45"/>
        <v>2.5540733821769464E-3</v>
      </c>
      <c r="QZ26" s="177" t="str">
        <f t="shared" ca="1" si="46"/>
        <v>Attente…</v>
      </c>
      <c r="RA26" s="197">
        <f t="shared" si="47"/>
        <v>300</v>
      </c>
      <c r="RB26" s="179">
        <f t="shared" si="48"/>
        <v>2.3472341757295985E-3</v>
      </c>
      <c r="RC26" s="180" t="str">
        <f t="shared" ca="1" si="49"/>
        <v>Attente…</v>
      </c>
      <c r="RD26" s="196">
        <f t="shared" si="50"/>
        <v>160</v>
      </c>
      <c r="RE26" s="176">
        <f t="shared" si="51"/>
        <v>1.5942606616181746E-3</v>
      </c>
      <c r="RF26" s="177" t="str">
        <f t="shared" ca="1" si="52"/>
        <v>Attente…</v>
      </c>
      <c r="RG26" s="197">
        <f t="shared" si="53"/>
        <v>60</v>
      </c>
      <c r="RH26" s="179">
        <f t="shared" si="54"/>
        <v>1.1035497517013059E-3</v>
      </c>
      <c r="RI26" s="198" t="str">
        <f t="shared" ca="1" si="55"/>
        <v>Attente…</v>
      </c>
      <c r="RJ26" s="199">
        <f t="shared" si="56"/>
        <v>720</v>
      </c>
      <c r="RK26" s="200" t="str">
        <f t="shared" ca="1" si="13"/>
        <v>Attente…</v>
      </c>
      <c r="RL26" s="199">
        <f t="shared" si="57"/>
        <v>960</v>
      </c>
      <c r="RM26" s="200" t="str">
        <f t="shared" ca="1" si="58"/>
        <v>Atttente…</v>
      </c>
      <c r="RN26" s="199">
        <f t="shared" si="59"/>
        <v>1160</v>
      </c>
      <c r="RO26" s="200" t="str">
        <f t="shared" ca="1" si="14"/>
        <v>Attente…</v>
      </c>
      <c r="RP26" s="199">
        <f t="shared" si="60"/>
        <v>520</v>
      </c>
      <c r="RQ26" s="200" t="str">
        <f t="shared" ca="1" si="15"/>
        <v>Attente…</v>
      </c>
      <c r="RR26" s="201">
        <f t="shared" si="61"/>
        <v>3360</v>
      </c>
      <c r="RS26" s="202" t="str">
        <f t="shared" ca="1" si="16"/>
        <v>Attente…</v>
      </c>
      <c r="RT26" s="103"/>
      <c r="RU26" s="203">
        <f t="shared" si="62"/>
        <v>0.4</v>
      </c>
      <c r="RV26" s="204">
        <f t="shared" si="65"/>
        <v>1</v>
      </c>
      <c r="RW26" s="204">
        <f t="shared" si="65"/>
        <v>1</v>
      </c>
      <c r="RX26" s="204">
        <f t="shared" si="63"/>
        <v>42</v>
      </c>
      <c r="RY26" s="205" t="str">
        <f t="shared" si="64"/>
        <v>SAINT-MARTIN-DU-VIVIER - 1377 Route de la Vallée (Parking a coté de la Mairie)</v>
      </c>
      <c r="RZ26" s="189" t="str">
        <f>IF(OR(RZ25="",RZ25="  &lt;/Document&gt;
&lt;/kml&gt;"),"",
IF(B26="","  &lt;/Document&gt;
&lt;/kml&gt;",
IF(TournéesCAV!Q26=""," ",
"    &lt;Placemark&gt;
      &lt;description&gt;&lt;![CDATA["&amp;B26&amp;"&lt;br&gt;&lt;br&gt;"&amp;RV26&amp;" CAV&lt;br&gt;&lt;br&gt;Présent sur "&amp;RW26&amp;" tournée(s)&lt;br&gt;&lt;br&gt;Taux de remplissage moyen "&amp;TEXT(RU26*1000,"0 %")&amp;"]]&gt;&lt;/description&gt;
      &lt;Style&gt;
        &lt;IconStyle&gt;
          &lt;color&gt;ff"&amp;
          DEC2HEX(0,2)&amp;
          DEC2HEX(
            IF(RU26&lt;=0.5,
               INT(255*(RU26*2)),
               255
            ),2)&amp;
          DEC2HEX(
            IF(RU26&lt;=0.5,
               255,
               INT(255*(1-(RU26-0.5)*2))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&lt;Point&gt;&lt;coordinates&gt;"&amp;R26&amp;","&amp;Q26&amp;",0&lt;/coordinates&gt;&lt;/Point&gt;
    &lt;/Placemark&gt;"
)))</f>
        <v xml:space="preserve">    &lt;Placemark&gt;
      &lt;description&gt;&lt;![CDATA[SAINT-MARTIN-DU-VIVIER - 1377 Route de la Vallée (Parking a coté de la Mairie)&lt;br&gt;&lt;br&gt;1 CAV&lt;br&gt;&lt;br&gt;Présent sur 1 tournée(s)&lt;br&gt;&lt;br&gt;Taux de remplissage moyen 40%]]&gt;&lt;/description&gt;
      &lt;Style&gt;
        &lt;IconStyle&gt;
          &lt;color&gt;ff00CCFF&lt;/color&gt;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&lt;Point&gt;&lt;coordinates&gt;1.1616814,49.4675439,0&lt;/coordinates&gt;&lt;/Point&gt;
    &lt;/Placemark&gt;</v>
      </c>
    </row>
    <row r="27" spans="2:494" ht="15" hidden="1" customHeight="1" x14ac:dyDescent="0.35">
      <c r="B27" s="153" t="str">
        <f t="shared" si="17"/>
        <v>BIHOREL - 212 Rue du Sansonnet  (Parking derrière Centre Commercial du Chapitre)</v>
      </c>
      <c r="C27" s="154">
        <v>57</v>
      </c>
      <c r="D27" s="155"/>
      <c r="E27" s="155"/>
      <c r="F27" s="155"/>
      <c r="G27" s="155"/>
      <c r="H27" s="155"/>
      <c r="I27" s="155"/>
      <c r="J27" s="156"/>
      <c r="K27" s="157">
        <f t="shared" si="18"/>
        <v>1</v>
      </c>
      <c r="L27" s="157">
        <f t="shared" si="19"/>
        <v>1</v>
      </c>
      <c r="M27" s="158" t="s">
        <v>207</v>
      </c>
      <c r="N27" s="159" t="s">
        <v>208</v>
      </c>
      <c r="O27" s="159">
        <v>76420</v>
      </c>
      <c r="P27" s="159" t="s">
        <v>209</v>
      </c>
      <c r="Q27" s="159" t="s">
        <v>210</v>
      </c>
      <c r="R27" s="159" t="s">
        <v>211</v>
      </c>
      <c r="S27" s="159" t="s">
        <v>93</v>
      </c>
      <c r="T27" s="159" t="s">
        <v>94</v>
      </c>
      <c r="U27" s="159" t="s">
        <v>212</v>
      </c>
      <c r="V27" s="160" t="s">
        <v>96</v>
      </c>
      <c r="W27" s="210"/>
      <c r="X27" s="162"/>
      <c r="Y27" s="162"/>
      <c r="Z27" s="162"/>
      <c r="AA27" s="162"/>
      <c r="AB27" s="162"/>
      <c r="AC27" s="162"/>
      <c r="AD27" s="162"/>
      <c r="AE27" s="162"/>
      <c r="AF27" s="162">
        <v>4</v>
      </c>
      <c r="AG27" s="162"/>
      <c r="AH27" s="162"/>
      <c r="AI27" s="162"/>
      <c r="AJ27" s="162"/>
      <c r="AK27" s="162"/>
      <c r="AL27" s="162"/>
      <c r="AM27" s="162"/>
      <c r="AN27" s="162"/>
      <c r="AO27" s="162"/>
      <c r="AP27" s="164"/>
      <c r="AQ27" s="164"/>
      <c r="AR27" s="164"/>
      <c r="AS27" s="164"/>
      <c r="AT27" s="164"/>
      <c r="AU27" s="164"/>
      <c r="AV27" s="164"/>
      <c r="AW27" s="164"/>
      <c r="AX27" s="164"/>
      <c r="AY27" s="165"/>
      <c r="AZ27" s="41"/>
      <c r="BA27" s="190"/>
      <c r="BB27" s="191"/>
      <c r="BC27" s="191">
        <v>150</v>
      </c>
      <c r="BD27" s="191"/>
      <c r="BE27" s="191"/>
      <c r="BF27" s="191"/>
      <c r="BG27" s="191"/>
      <c r="BH27" s="191"/>
      <c r="BI27" s="191"/>
      <c r="BJ27" s="191">
        <v>100</v>
      </c>
      <c r="BK27" s="191"/>
      <c r="BL27" s="191"/>
      <c r="BM27" s="191">
        <v>100</v>
      </c>
      <c r="BN27" s="191"/>
      <c r="BO27" s="191"/>
      <c r="BP27" s="191"/>
      <c r="BQ27" s="191">
        <v>50</v>
      </c>
      <c r="BR27" s="191"/>
      <c r="BS27" s="191"/>
      <c r="BT27" s="191"/>
      <c r="BU27" s="191"/>
      <c r="BV27" s="191"/>
      <c r="BW27" s="191"/>
      <c r="BX27" s="191">
        <v>150</v>
      </c>
      <c r="BY27" s="191"/>
      <c r="BZ27" s="191"/>
      <c r="CA27" s="191"/>
      <c r="CB27" s="191"/>
      <c r="CC27" s="191"/>
      <c r="CD27" s="191"/>
      <c r="CE27" s="192">
        <v>100</v>
      </c>
      <c r="CF27" s="190"/>
      <c r="CG27" s="191"/>
      <c r="CH27" s="191"/>
      <c r="CI27" s="191"/>
      <c r="CJ27" s="191"/>
      <c r="CK27" s="191"/>
      <c r="CL27" s="191">
        <v>100</v>
      </c>
      <c r="CM27" s="191"/>
      <c r="CN27" s="191"/>
      <c r="CO27" s="191">
        <v>100</v>
      </c>
      <c r="CP27" s="191"/>
      <c r="CQ27" s="191"/>
      <c r="CR27" s="191"/>
      <c r="CS27" s="191">
        <v>50</v>
      </c>
      <c r="CT27" s="191"/>
      <c r="CU27" s="191"/>
      <c r="CV27" s="191">
        <v>100</v>
      </c>
      <c r="CW27" s="191"/>
      <c r="CX27" s="191"/>
      <c r="CY27" s="191"/>
      <c r="CZ27" s="191">
        <v>50</v>
      </c>
      <c r="DA27" s="191"/>
      <c r="DB27" s="191"/>
      <c r="DC27" s="191">
        <v>100</v>
      </c>
      <c r="DD27" s="191"/>
      <c r="DE27" s="191"/>
      <c r="DF27" s="191"/>
      <c r="DG27" s="191">
        <v>100</v>
      </c>
      <c r="DH27" s="193"/>
      <c r="DI27" s="194"/>
      <c r="DJ27" s="191"/>
      <c r="DK27" s="191">
        <v>100</v>
      </c>
      <c r="DL27" s="191"/>
      <c r="DM27" s="191"/>
      <c r="DN27" s="191"/>
      <c r="DO27" s="191"/>
      <c r="DP27" s="191"/>
      <c r="DQ27" s="191"/>
      <c r="DR27" s="191">
        <v>200</v>
      </c>
      <c r="DS27" s="191"/>
      <c r="DT27" s="191"/>
      <c r="DU27" s="191"/>
      <c r="DV27" s="191">
        <v>50</v>
      </c>
      <c r="DW27" s="191"/>
      <c r="DX27" s="191"/>
      <c r="DY27" s="191">
        <v>50</v>
      </c>
      <c r="DZ27" s="191"/>
      <c r="EA27" s="191"/>
      <c r="EB27" s="191"/>
      <c r="EC27" s="191">
        <v>50</v>
      </c>
      <c r="ED27" s="191"/>
      <c r="EE27" s="191"/>
      <c r="EF27" s="191">
        <v>50</v>
      </c>
      <c r="EG27" s="191"/>
      <c r="EH27" s="191"/>
      <c r="EI27" s="191"/>
      <c r="EJ27" s="191">
        <v>50</v>
      </c>
      <c r="EK27" s="191"/>
      <c r="EL27" s="191"/>
      <c r="EM27" s="192">
        <v>50</v>
      </c>
      <c r="EN27" s="190"/>
      <c r="EO27" s="191"/>
      <c r="EP27" s="191"/>
      <c r="EQ27" s="191">
        <v>100</v>
      </c>
      <c r="ER27" s="191"/>
      <c r="ES27" s="191"/>
      <c r="ET27" s="191">
        <v>100</v>
      </c>
      <c r="EU27" s="191"/>
      <c r="EV27" s="191"/>
      <c r="EW27" s="191"/>
      <c r="EX27" s="191">
        <v>150</v>
      </c>
      <c r="EY27" s="191"/>
      <c r="EZ27" s="191"/>
      <c r="FA27" s="191">
        <v>50</v>
      </c>
      <c r="FB27" s="191"/>
      <c r="FC27" s="191"/>
      <c r="FD27" s="191"/>
      <c r="FE27" s="191">
        <v>100</v>
      </c>
      <c r="FF27" s="191"/>
      <c r="FG27" s="191"/>
      <c r="FH27" s="191"/>
      <c r="FI27" s="191"/>
      <c r="FJ27" s="191"/>
      <c r="FK27" s="191">
        <v>200</v>
      </c>
      <c r="FL27" s="191"/>
      <c r="FM27" s="191"/>
      <c r="FN27" s="191"/>
      <c r="FO27" s="191">
        <v>150</v>
      </c>
      <c r="FP27" s="191"/>
      <c r="FQ27" s="193"/>
      <c r="FR27" s="194"/>
      <c r="FS27" s="191"/>
      <c r="FT27" s="191"/>
      <c r="FU27" s="191"/>
      <c r="FV27" s="191">
        <v>200</v>
      </c>
      <c r="FW27" s="191"/>
      <c r="FX27" s="191"/>
      <c r="FY27" s="191"/>
      <c r="FZ27" s="191">
        <v>50</v>
      </c>
      <c r="GA27" s="191"/>
      <c r="GB27" s="191"/>
      <c r="GC27" s="191">
        <v>10</v>
      </c>
      <c r="GD27" s="191"/>
      <c r="GE27" s="191"/>
      <c r="GF27" s="191"/>
      <c r="GG27" s="191">
        <v>200</v>
      </c>
      <c r="GH27" s="191"/>
      <c r="GI27" s="191"/>
      <c r="GJ27" s="191">
        <v>100</v>
      </c>
      <c r="GK27" s="191"/>
      <c r="GL27" s="191"/>
      <c r="GM27" s="191"/>
      <c r="GN27" s="191">
        <v>100</v>
      </c>
      <c r="GO27" s="191"/>
      <c r="GP27" s="191"/>
      <c r="GQ27" s="191">
        <v>50</v>
      </c>
      <c r="GR27" s="191"/>
      <c r="GS27" s="191"/>
      <c r="GT27" s="191"/>
      <c r="GU27" s="191">
        <v>50</v>
      </c>
      <c r="GV27" s="192"/>
      <c r="GW27" s="190"/>
      <c r="GX27" s="191">
        <v>100</v>
      </c>
      <c r="GY27" s="191"/>
      <c r="GZ27" s="191"/>
      <c r="HA27" s="191"/>
      <c r="HB27" s="191">
        <v>100</v>
      </c>
      <c r="HC27" s="191"/>
      <c r="HD27" s="191"/>
      <c r="HE27" s="191"/>
      <c r="HF27" s="191"/>
      <c r="HG27" s="191"/>
      <c r="HH27" s="191"/>
      <c r="HI27" s="191">
        <v>100</v>
      </c>
      <c r="HJ27" s="191"/>
      <c r="HK27" s="191"/>
      <c r="HL27" s="191"/>
      <c r="HM27" s="191"/>
      <c r="HN27" s="191"/>
      <c r="HO27" s="191"/>
      <c r="HP27" s="191"/>
      <c r="HQ27" s="191"/>
      <c r="HR27" s="191"/>
      <c r="HS27" s="191">
        <v>150</v>
      </c>
      <c r="HT27" s="191"/>
      <c r="HU27" s="191"/>
      <c r="HV27" s="191"/>
      <c r="HW27" s="191">
        <v>100</v>
      </c>
      <c r="HX27" s="191"/>
      <c r="HY27" s="191"/>
      <c r="HZ27" s="193">
        <v>10</v>
      </c>
      <c r="IA27" s="194"/>
      <c r="IB27" s="191"/>
      <c r="IC27" s="191"/>
      <c r="ID27" s="191">
        <v>50</v>
      </c>
      <c r="IE27" s="191"/>
      <c r="IF27" s="191"/>
      <c r="IG27" s="191"/>
      <c r="IH27" s="191"/>
      <c r="II27" s="191"/>
      <c r="IJ27" s="191">
        <v>150</v>
      </c>
      <c r="IK27" s="191"/>
      <c r="IL27" s="191"/>
      <c r="IM27" s="191"/>
      <c r="IN27" s="191">
        <v>50</v>
      </c>
      <c r="IO27" s="191"/>
      <c r="IP27" s="191"/>
      <c r="IQ27" s="191"/>
      <c r="IR27" s="191"/>
      <c r="IS27" s="191"/>
      <c r="IT27" s="191"/>
      <c r="IU27" s="191">
        <v>200</v>
      </c>
      <c r="IV27" s="191"/>
      <c r="IW27" s="191"/>
      <c r="IX27" s="191">
        <v>50</v>
      </c>
      <c r="IY27" s="191"/>
      <c r="IZ27" s="191"/>
      <c r="JA27" s="191"/>
      <c r="JB27" s="191">
        <v>100</v>
      </c>
      <c r="JC27" s="191"/>
      <c r="JD27" s="191"/>
      <c r="JE27" s="192"/>
      <c r="JF27" s="190">
        <v>100</v>
      </c>
      <c r="JG27" s="191"/>
      <c r="JH27" s="191"/>
      <c r="JI27" s="191">
        <v>10</v>
      </c>
      <c r="JJ27" s="191"/>
      <c r="JK27" s="191"/>
      <c r="JL27" s="191"/>
      <c r="JM27" s="191">
        <v>100</v>
      </c>
      <c r="JN27" s="191"/>
      <c r="JO27" s="191"/>
      <c r="JP27" s="191">
        <v>50</v>
      </c>
      <c r="JQ27" s="191"/>
      <c r="JR27" s="191"/>
      <c r="JS27" s="191"/>
      <c r="JT27" s="191"/>
      <c r="JU27" s="191"/>
      <c r="JV27" s="191"/>
      <c r="JW27" s="191"/>
      <c r="JX27" s="191"/>
      <c r="JY27" s="191"/>
      <c r="JZ27" s="191"/>
      <c r="KA27" s="191"/>
      <c r="KB27" s="191"/>
      <c r="KC27" s="191"/>
      <c r="KD27" s="191"/>
      <c r="KE27" s="191"/>
      <c r="KF27" s="191"/>
      <c r="KG27" s="191"/>
      <c r="KH27" s="191"/>
      <c r="KI27" s="191"/>
      <c r="KJ27" s="193"/>
      <c r="KK27" s="194"/>
      <c r="KL27" s="191"/>
      <c r="KM27" s="191">
        <v>150</v>
      </c>
      <c r="KN27" s="191"/>
      <c r="KO27" s="191"/>
      <c r="KP27" s="191"/>
      <c r="KQ27" s="191"/>
      <c r="KR27" s="191"/>
      <c r="KS27" s="191"/>
      <c r="KT27" s="191"/>
      <c r="KU27" s="191"/>
      <c r="KV27" s="191"/>
      <c r="KW27" s="191"/>
      <c r="KX27" s="191"/>
      <c r="KY27" s="191"/>
      <c r="KZ27" s="191"/>
      <c r="LA27" s="191">
        <v>200</v>
      </c>
      <c r="LB27" s="191"/>
      <c r="LC27" s="191"/>
      <c r="LD27" s="191"/>
      <c r="LE27" s="191"/>
      <c r="LF27" s="191"/>
      <c r="LG27" s="191"/>
      <c r="LH27" s="191">
        <v>200</v>
      </c>
      <c r="LI27" s="191"/>
      <c r="LJ27" s="191"/>
      <c r="LK27" s="191"/>
      <c r="LL27" s="191"/>
      <c r="LM27" s="191"/>
      <c r="LN27" s="192"/>
      <c r="LO27" s="190">
        <v>100</v>
      </c>
      <c r="LP27" s="191"/>
      <c r="LQ27" s="191"/>
      <c r="LR27" s="191"/>
      <c r="LS27" s="191"/>
      <c r="LT27" s="191"/>
      <c r="LU27" s="191"/>
      <c r="LV27" s="191">
        <v>100</v>
      </c>
      <c r="LW27" s="191"/>
      <c r="LX27" s="191"/>
      <c r="LY27" s="191"/>
      <c r="LZ27" s="191"/>
      <c r="MA27" s="191"/>
      <c r="MB27" s="191"/>
      <c r="MC27" s="191">
        <v>100</v>
      </c>
      <c r="MD27" s="191"/>
      <c r="ME27" s="191"/>
      <c r="MF27" s="191"/>
      <c r="MG27" s="191"/>
      <c r="MH27" s="191"/>
      <c r="MI27" s="191"/>
      <c r="MJ27" s="191">
        <v>100</v>
      </c>
      <c r="MK27" s="191"/>
      <c r="ML27" s="191"/>
      <c r="MM27" s="191"/>
      <c r="MN27" s="191"/>
      <c r="MO27" s="191"/>
      <c r="MP27" s="191"/>
      <c r="MQ27" s="191"/>
      <c r="MR27" s="191"/>
      <c r="MS27" s="193"/>
      <c r="MT27" s="194"/>
      <c r="MU27" s="191"/>
      <c r="MV27" s="191"/>
      <c r="MW27" s="191"/>
      <c r="MX27" s="191">
        <v>200</v>
      </c>
      <c r="MY27" s="191"/>
      <c r="MZ27" s="191"/>
      <c r="NA27" s="191"/>
      <c r="NB27" s="191"/>
      <c r="NC27" s="191"/>
      <c r="ND27" s="191"/>
      <c r="NE27" s="191"/>
      <c r="NF27" s="191"/>
      <c r="NG27" s="191"/>
      <c r="NH27" s="191"/>
      <c r="NI27" s="191"/>
      <c r="NJ27" s="191"/>
      <c r="NK27" s="191"/>
      <c r="NL27" s="191">
        <v>200</v>
      </c>
      <c r="NM27" s="191"/>
      <c r="NN27" s="191"/>
      <c r="NO27" s="191"/>
      <c r="NP27" s="191"/>
      <c r="NQ27" s="191"/>
      <c r="NR27" s="191"/>
      <c r="NS27" s="191"/>
      <c r="NT27" s="191"/>
      <c r="NU27" s="191"/>
      <c r="NV27" s="191"/>
      <c r="NW27" s="192"/>
      <c r="NX27" s="190"/>
      <c r="NY27" s="191"/>
      <c r="NZ27" s="191">
        <v>100</v>
      </c>
      <c r="OA27" s="191"/>
      <c r="OB27" s="191"/>
      <c r="OC27" s="191"/>
      <c r="OD27" s="191"/>
      <c r="OE27" s="191"/>
      <c r="OF27" s="191"/>
      <c r="OG27" s="191">
        <v>100</v>
      </c>
      <c r="OH27" s="191"/>
      <c r="OI27" s="191"/>
      <c r="OJ27" s="191"/>
      <c r="OK27" s="191"/>
      <c r="OL27" s="191"/>
      <c r="OM27" s="191"/>
      <c r="ON27" s="191"/>
      <c r="OO27" s="191"/>
      <c r="OP27" s="191"/>
      <c r="OQ27" s="191"/>
      <c r="OR27" s="191"/>
      <c r="OS27" s="191"/>
      <c r="OT27" s="191"/>
      <c r="OU27" s="191"/>
      <c r="OV27" s="191"/>
      <c r="OW27" s="191"/>
      <c r="OX27" s="191"/>
      <c r="OY27" s="191"/>
      <c r="OZ27" s="191"/>
      <c r="PA27" s="191"/>
      <c r="PB27" s="193"/>
      <c r="PC27" s="47"/>
      <c r="PD27" s="154" t="s">
        <v>97</v>
      </c>
      <c r="PE27" s="155" t="s">
        <v>98</v>
      </c>
      <c r="PF27" s="155" t="s">
        <v>98</v>
      </c>
      <c r="PG27" s="155" t="s">
        <v>98</v>
      </c>
      <c r="PH27" s="155" t="s">
        <v>98</v>
      </c>
      <c r="PI27" s="155" t="s">
        <v>98</v>
      </c>
      <c r="PJ27" s="155" t="s">
        <v>98</v>
      </c>
      <c r="PK27" s="155" t="s">
        <v>98</v>
      </c>
      <c r="PL27" s="155" t="s">
        <v>98</v>
      </c>
      <c r="PM27" s="155" t="s">
        <v>98</v>
      </c>
      <c r="PN27" s="155" t="s">
        <v>98</v>
      </c>
      <c r="PO27" s="156"/>
      <c r="PP27" s="156"/>
      <c r="PQ27" s="156"/>
      <c r="PR27" s="156"/>
      <c r="PS27" s="156"/>
      <c r="PT27" s="156"/>
      <c r="PU27" s="156"/>
      <c r="PV27" s="156"/>
      <c r="PW27" s="156"/>
      <c r="PX27" s="195"/>
      <c r="PY27" s="1"/>
      <c r="PZ27" s="196">
        <f t="shared" si="20"/>
        <v>650</v>
      </c>
      <c r="QA27" s="176">
        <f t="shared" si="21"/>
        <v>5.4225410861766911E-3</v>
      </c>
      <c r="QB27" s="177" t="str">
        <f t="shared" ca="1" si="22"/>
        <v>Attente…</v>
      </c>
      <c r="QC27" s="197">
        <f t="shared" si="23"/>
        <v>600</v>
      </c>
      <c r="QD27" s="179">
        <f t="shared" si="24"/>
        <v>5.6179775280898875E-3</v>
      </c>
      <c r="QE27" s="180" t="str">
        <f t="shared" ca="1" si="25"/>
        <v>Attente…</v>
      </c>
      <c r="QF27" s="196">
        <f t="shared" si="26"/>
        <v>600</v>
      </c>
      <c r="QG27" s="176">
        <f t="shared" si="27"/>
        <v>4.7778308647873869E-3</v>
      </c>
      <c r="QH27" s="177" t="str">
        <f t="shared" ca="1" si="28"/>
        <v>Attente…</v>
      </c>
      <c r="QI27" s="197">
        <f t="shared" si="29"/>
        <v>850</v>
      </c>
      <c r="QJ27" s="179">
        <f t="shared" si="30"/>
        <v>5.9615654369476788E-3</v>
      </c>
      <c r="QK27" s="180" t="str">
        <f t="shared" ca="1" si="31"/>
        <v>Attente…</v>
      </c>
      <c r="QL27" s="196">
        <f t="shared" si="32"/>
        <v>760</v>
      </c>
      <c r="QM27" s="176">
        <f t="shared" si="33"/>
        <v>5.5604331284752704E-3</v>
      </c>
      <c r="QN27" s="177" t="str">
        <f t="shared" ca="1" si="34"/>
        <v>Attente…</v>
      </c>
      <c r="QO27" s="197">
        <f t="shared" si="35"/>
        <v>560</v>
      </c>
      <c r="QP27" s="179">
        <f t="shared" si="36"/>
        <v>4.3842480231738824E-3</v>
      </c>
      <c r="QQ27" s="180" t="str">
        <f t="shared" ca="1" si="37"/>
        <v>Attente…</v>
      </c>
      <c r="QR27" s="196">
        <f t="shared" si="38"/>
        <v>600</v>
      </c>
      <c r="QS27" s="176">
        <f t="shared" si="39"/>
        <v>4.3194989381231778E-3</v>
      </c>
      <c r="QT27" s="177" t="str">
        <f t="shared" ca="1" si="40"/>
        <v>Attente…</v>
      </c>
      <c r="QU27" s="197">
        <f t="shared" si="41"/>
        <v>260</v>
      </c>
      <c r="QV27" s="179">
        <f t="shared" si="42"/>
        <v>1.7926089354660783E-3</v>
      </c>
      <c r="QW27" s="180" t="str">
        <f t="shared" ca="1" si="43"/>
        <v>Attente…</v>
      </c>
      <c r="QX27" s="196">
        <f t="shared" si="44"/>
        <v>550</v>
      </c>
      <c r="QY27" s="176">
        <f t="shared" si="45"/>
        <v>4.0135438862780584E-3</v>
      </c>
      <c r="QZ27" s="177" t="str">
        <f t="shared" ca="1" si="46"/>
        <v>Attente…</v>
      </c>
      <c r="RA27" s="197">
        <f t="shared" si="47"/>
        <v>400</v>
      </c>
      <c r="RB27" s="179">
        <f t="shared" si="48"/>
        <v>3.1296455676394649E-3</v>
      </c>
      <c r="RC27" s="180" t="str">
        <f t="shared" ca="1" si="49"/>
        <v>Attente…</v>
      </c>
      <c r="RD27" s="196">
        <f t="shared" si="50"/>
        <v>400</v>
      </c>
      <c r="RE27" s="176">
        <f t="shared" si="51"/>
        <v>3.9856516540454365E-3</v>
      </c>
      <c r="RF27" s="177" t="str">
        <f t="shared" ca="1" si="52"/>
        <v>Attente…</v>
      </c>
      <c r="RG27" s="197">
        <f t="shared" si="53"/>
        <v>200</v>
      </c>
      <c r="RH27" s="179">
        <f t="shared" si="54"/>
        <v>3.6784991723376862E-3</v>
      </c>
      <c r="RI27" s="198" t="str">
        <f t="shared" ca="1" si="55"/>
        <v>Attente…</v>
      </c>
      <c r="RJ27" s="199">
        <f t="shared" si="56"/>
        <v>1850</v>
      </c>
      <c r="RK27" s="200" t="str">
        <f t="shared" ca="1" si="13"/>
        <v>Attente…</v>
      </c>
      <c r="RL27" s="199">
        <f t="shared" si="57"/>
        <v>2170</v>
      </c>
      <c r="RM27" s="200" t="str">
        <f t="shared" ca="1" si="58"/>
        <v>Atttente…</v>
      </c>
      <c r="RN27" s="199">
        <f t="shared" si="59"/>
        <v>1410</v>
      </c>
      <c r="RO27" s="200" t="str">
        <f t="shared" ca="1" si="14"/>
        <v>Attente…</v>
      </c>
      <c r="RP27" s="199">
        <f t="shared" si="60"/>
        <v>1000</v>
      </c>
      <c r="RQ27" s="200" t="str">
        <f t="shared" ca="1" si="15"/>
        <v>Attente…</v>
      </c>
      <c r="RR27" s="201">
        <f t="shared" si="61"/>
        <v>6430</v>
      </c>
      <c r="RS27" s="202" t="str">
        <f t="shared" ca="1" si="16"/>
        <v>Attente…</v>
      </c>
      <c r="RT27" s="103"/>
      <c r="RU27" s="203">
        <f t="shared" si="62"/>
        <v>0.51031746031746028</v>
      </c>
      <c r="RV27" s="204">
        <f t="shared" si="65"/>
        <v>1</v>
      </c>
      <c r="RW27" s="204">
        <f t="shared" si="65"/>
        <v>1</v>
      </c>
      <c r="RX27" s="204">
        <f t="shared" si="63"/>
        <v>63</v>
      </c>
      <c r="RY27" s="205" t="str">
        <f t="shared" si="64"/>
        <v>BIHOREL - 212 Rue du Sansonnet  (Parking derrière Centre Commercial du Chapitre)</v>
      </c>
      <c r="RZ27" s="189" t="str">
        <f>IF(OR(RZ26="",RZ26="  &lt;/Document&gt;
&lt;/kml&gt;"),"",
IF(B27="","  &lt;/Document&gt;
&lt;/kml&gt;",
IF(TournéesCAV!Q27=""," ",
"    &lt;Placemark&gt;
      &lt;description&gt;&lt;![CDATA["&amp;B27&amp;"&lt;br&gt;&lt;br&gt;"&amp;RV27&amp;" CAV&lt;br&gt;&lt;br&gt;Présent sur "&amp;RW27&amp;" tournée(s)&lt;br&gt;&lt;br&gt;Taux de remplissage moyen "&amp;TEXT(RU27*1000,"0 %")&amp;"]]&gt;&lt;/description&gt;
      &lt;Style&gt;
        &lt;IconStyle&gt;
          &lt;color&gt;ff"&amp;
          DEC2HEX(0,2)&amp;
          DEC2HEX(
            IF(RU27&lt;=0.5,
               INT(255*(RU27*2)),
               255
            ),2)&amp;
          DEC2HEX(
            IF(RU27&lt;=0.5,
               255,
               INT(255*(1-(RU27-0.5)*2))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&lt;Point&gt;&lt;coordinates&gt;"&amp;R27&amp;","&amp;Q27&amp;",0&lt;/coordinates&gt;&lt;/Point&gt;
    &lt;/Placemark&gt;"
)))</f>
        <v xml:space="preserve">    &lt;Placemark&gt;
      &lt;description&gt;&lt;![CDATA[BIHOREL - 212 Rue du Sansonnet  (Parking derrière Centre Commercial du Chapitre)&lt;br&gt;&lt;br&gt;1 CAV&lt;br&gt;&lt;br&gt;Présent sur 1 tournée(s)&lt;br&gt;&lt;br&gt;Taux de remplissage moyen 51%]]&gt;&lt;/description&gt;
      &lt;Style&gt;
        &lt;IconStyle&gt;
          &lt;color&gt;ff00FFF9&lt;/color&gt;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&lt;Point&gt;&lt;coordinates&gt;1.1423773,49.4694847,0&lt;/coordinates&gt;&lt;/Point&gt;
    &lt;/Placemark&gt;</v>
      </c>
    </row>
    <row r="28" spans="2:494" ht="15" hidden="1" customHeight="1" x14ac:dyDescent="0.35">
      <c r="B28" s="153" t="str">
        <f t="shared" si="17"/>
        <v>RONCHEROLLES-SUR-LE-VIVIER - 20 Impasse Des Prés Verts (Parking Centre De Loisirs Les Pépinières)</v>
      </c>
      <c r="C28" s="154">
        <v>72</v>
      </c>
      <c r="D28" s="155"/>
      <c r="E28" s="155"/>
      <c r="F28" s="155"/>
      <c r="G28" s="155"/>
      <c r="H28" s="155"/>
      <c r="I28" s="155"/>
      <c r="J28" s="156"/>
      <c r="K28" s="157">
        <f t="shared" si="18"/>
        <v>1</v>
      </c>
      <c r="L28" s="157">
        <f t="shared" si="19"/>
        <v>1</v>
      </c>
      <c r="M28" s="209" t="s">
        <v>213</v>
      </c>
      <c r="N28" s="159" t="s">
        <v>214</v>
      </c>
      <c r="O28" s="159">
        <v>76160</v>
      </c>
      <c r="P28" s="159" t="s">
        <v>215</v>
      </c>
      <c r="Q28" s="159" t="s">
        <v>216</v>
      </c>
      <c r="R28" s="159" t="s">
        <v>217</v>
      </c>
      <c r="S28" s="159" t="s">
        <v>93</v>
      </c>
      <c r="T28" s="159" t="s">
        <v>94</v>
      </c>
      <c r="U28" s="159" t="s">
        <v>218</v>
      </c>
      <c r="V28" s="160" t="s">
        <v>96</v>
      </c>
      <c r="W28" s="161"/>
      <c r="X28" s="162"/>
      <c r="Y28" s="163"/>
      <c r="Z28" s="162"/>
      <c r="AA28" s="163"/>
      <c r="AB28" s="162"/>
      <c r="AC28" s="163"/>
      <c r="AD28" s="162"/>
      <c r="AE28" s="163"/>
      <c r="AF28" s="162">
        <v>5</v>
      </c>
      <c r="AG28" s="163"/>
      <c r="AH28" s="163"/>
      <c r="AI28" s="162"/>
      <c r="AJ28" s="163"/>
      <c r="AK28" s="162"/>
      <c r="AL28" s="163"/>
      <c r="AM28" s="162"/>
      <c r="AN28" s="163"/>
      <c r="AO28" s="162"/>
      <c r="AP28" s="164"/>
      <c r="AQ28" s="164"/>
      <c r="AR28" s="164"/>
      <c r="AS28" s="164"/>
      <c r="AT28" s="164"/>
      <c r="AU28" s="164"/>
      <c r="AV28" s="164"/>
      <c r="AW28" s="164"/>
      <c r="AX28" s="164"/>
      <c r="AY28" s="165"/>
      <c r="AZ28" s="41"/>
      <c r="BA28" s="190"/>
      <c r="BB28" s="191"/>
      <c r="BC28" s="191"/>
      <c r="BD28" s="191"/>
      <c r="BE28" s="191"/>
      <c r="BF28" s="191"/>
      <c r="BG28" s="191"/>
      <c r="BH28" s="191">
        <v>250</v>
      </c>
      <c r="BI28" s="191"/>
      <c r="BJ28" s="191"/>
      <c r="BK28" s="191"/>
      <c r="BL28" s="191"/>
      <c r="BM28" s="191"/>
      <c r="BN28" s="191"/>
      <c r="BO28" s="191">
        <v>50</v>
      </c>
      <c r="BP28" s="191"/>
      <c r="BQ28" s="191"/>
      <c r="BR28" s="191"/>
      <c r="BS28" s="191"/>
      <c r="BT28" s="191"/>
      <c r="BU28" s="191"/>
      <c r="BV28" s="191">
        <v>50</v>
      </c>
      <c r="BW28" s="191"/>
      <c r="BX28" s="191"/>
      <c r="BY28" s="191"/>
      <c r="BZ28" s="191"/>
      <c r="CA28" s="191"/>
      <c r="CB28" s="191"/>
      <c r="CC28" s="191">
        <v>50</v>
      </c>
      <c r="CD28" s="191"/>
      <c r="CE28" s="192"/>
      <c r="CF28" s="190"/>
      <c r="CG28" s="191"/>
      <c r="CH28" s="191"/>
      <c r="CI28" s="191"/>
      <c r="CJ28" s="191">
        <v>50</v>
      </c>
      <c r="CK28" s="191"/>
      <c r="CL28" s="191"/>
      <c r="CM28" s="191"/>
      <c r="CN28" s="191"/>
      <c r="CO28" s="191"/>
      <c r="CP28" s="191"/>
      <c r="CQ28" s="191">
        <v>50</v>
      </c>
      <c r="CR28" s="191"/>
      <c r="CS28" s="191"/>
      <c r="CT28" s="191"/>
      <c r="CU28" s="191"/>
      <c r="CV28" s="191"/>
      <c r="CW28" s="191"/>
      <c r="CX28" s="191">
        <v>150</v>
      </c>
      <c r="CY28" s="191"/>
      <c r="CZ28" s="191"/>
      <c r="DA28" s="191"/>
      <c r="DB28" s="191"/>
      <c r="DC28" s="191"/>
      <c r="DD28" s="191"/>
      <c r="DE28" s="191">
        <v>150</v>
      </c>
      <c r="DF28" s="191"/>
      <c r="DG28" s="191"/>
      <c r="DH28" s="193"/>
      <c r="DI28" s="194"/>
      <c r="DJ28" s="191"/>
      <c r="DK28" s="191"/>
      <c r="DL28" s="191"/>
      <c r="DM28" s="191">
        <v>50</v>
      </c>
      <c r="DN28" s="191"/>
      <c r="DO28" s="191"/>
      <c r="DP28" s="191"/>
      <c r="DQ28" s="191"/>
      <c r="DR28" s="191"/>
      <c r="DS28" s="191"/>
      <c r="DT28" s="191">
        <v>100</v>
      </c>
      <c r="DU28" s="191"/>
      <c r="DV28" s="191"/>
      <c r="DW28" s="191"/>
      <c r="DX28" s="191"/>
      <c r="DY28" s="191"/>
      <c r="DZ28" s="191"/>
      <c r="EA28" s="191">
        <v>100</v>
      </c>
      <c r="EB28" s="191"/>
      <c r="EC28" s="191"/>
      <c r="ED28" s="191"/>
      <c r="EE28" s="191"/>
      <c r="EF28" s="191"/>
      <c r="EG28" s="191"/>
      <c r="EH28" s="191">
        <v>150</v>
      </c>
      <c r="EI28" s="191"/>
      <c r="EJ28" s="191"/>
      <c r="EK28" s="191"/>
      <c r="EL28" s="191"/>
      <c r="EM28" s="192"/>
      <c r="EN28" s="190"/>
      <c r="EO28" s="191">
        <v>50</v>
      </c>
      <c r="EP28" s="191"/>
      <c r="EQ28" s="191"/>
      <c r="ER28" s="191"/>
      <c r="ES28" s="191"/>
      <c r="ET28" s="191"/>
      <c r="EU28" s="191"/>
      <c r="EV28" s="191">
        <v>150</v>
      </c>
      <c r="EW28" s="191"/>
      <c r="EX28" s="191"/>
      <c r="EY28" s="191"/>
      <c r="EZ28" s="191"/>
      <c r="FA28" s="191"/>
      <c r="FB28" s="191"/>
      <c r="FC28" s="191">
        <v>100</v>
      </c>
      <c r="FD28" s="191"/>
      <c r="FE28" s="191"/>
      <c r="FF28" s="191"/>
      <c r="FG28" s="191"/>
      <c r="FH28" s="191"/>
      <c r="FI28" s="191"/>
      <c r="FJ28" s="191"/>
      <c r="FK28" s="191">
        <v>100</v>
      </c>
      <c r="FL28" s="191"/>
      <c r="FM28" s="191"/>
      <c r="FN28" s="191"/>
      <c r="FO28" s="191"/>
      <c r="FP28" s="191"/>
      <c r="FQ28" s="193">
        <v>100</v>
      </c>
      <c r="FR28" s="194"/>
      <c r="FS28" s="191"/>
      <c r="FT28" s="191"/>
      <c r="FU28" s="191"/>
      <c r="FV28" s="191"/>
      <c r="FW28" s="191"/>
      <c r="FX28" s="191"/>
      <c r="FY28" s="191"/>
      <c r="FZ28" s="191"/>
      <c r="GA28" s="191"/>
      <c r="GB28" s="191"/>
      <c r="GC28" s="191"/>
      <c r="GD28" s="191"/>
      <c r="GE28" s="191">
        <v>100</v>
      </c>
      <c r="GF28" s="191"/>
      <c r="GG28" s="191"/>
      <c r="GH28" s="191"/>
      <c r="GI28" s="191"/>
      <c r="GJ28" s="191"/>
      <c r="GK28" s="191"/>
      <c r="GL28" s="191">
        <v>100</v>
      </c>
      <c r="GM28" s="191"/>
      <c r="GN28" s="191"/>
      <c r="GO28" s="191"/>
      <c r="GP28" s="191"/>
      <c r="GQ28" s="191"/>
      <c r="GR28" s="191"/>
      <c r="GS28" s="191">
        <v>10</v>
      </c>
      <c r="GT28" s="191"/>
      <c r="GU28" s="191"/>
      <c r="GV28" s="192"/>
      <c r="GW28" s="190"/>
      <c r="GX28" s="191"/>
      <c r="GY28" s="191"/>
      <c r="GZ28" s="191"/>
      <c r="HA28" s="191">
        <v>100</v>
      </c>
      <c r="HB28" s="191"/>
      <c r="HC28" s="191"/>
      <c r="HD28" s="191"/>
      <c r="HE28" s="191"/>
      <c r="HF28" s="191"/>
      <c r="HG28" s="191"/>
      <c r="HH28" s="191">
        <v>50</v>
      </c>
      <c r="HI28" s="191"/>
      <c r="HJ28" s="191"/>
      <c r="HK28" s="191"/>
      <c r="HL28" s="191"/>
      <c r="HM28" s="191"/>
      <c r="HN28" s="191">
        <v>200</v>
      </c>
      <c r="HO28" s="191"/>
      <c r="HP28" s="191"/>
      <c r="HQ28" s="191"/>
      <c r="HR28" s="191"/>
      <c r="HS28" s="191"/>
      <c r="HT28" s="191"/>
      <c r="HU28" s="191"/>
      <c r="HV28" s="191"/>
      <c r="HW28" s="191"/>
      <c r="HX28" s="191"/>
      <c r="HY28" s="191"/>
      <c r="HZ28" s="193"/>
      <c r="IA28" s="194"/>
      <c r="IB28" s="191">
        <v>200</v>
      </c>
      <c r="IC28" s="191"/>
      <c r="ID28" s="191"/>
      <c r="IE28" s="191"/>
      <c r="IF28" s="191"/>
      <c r="IG28" s="191"/>
      <c r="IH28" s="191"/>
      <c r="II28" s="191">
        <v>150</v>
      </c>
      <c r="IJ28" s="191"/>
      <c r="IK28" s="191"/>
      <c r="IL28" s="191"/>
      <c r="IM28" s="191"/>
      <c r="IN28" s="191"/>
      <c r="IO28" s="191"/>
      <c r="IP28" s="191"/>
      <c r="IQ28" s="191"/>
      <c r="IR28" s="191"/>
      <c r="IS28" s="191"/>
      <c r="IT28" s="191"/>
      <c r="IU28" s="191"/>
      <c r="IV28" s="191"/>
      <c r="IW28" s="191">
        <v>200</v>
      </c>
      <c r="IX28" s="191"/>
      <c r="IY28" s="191"/>
      <c r="IZ28" s="191"/>
      <c r="JA28" s="191"/>
      <c r="JB28" s="191"/>
      <c r="JC28" s="191"/>
      <c r="JD28" s="191">
        <v>150</v>
      </c>
      <c r="JE28" s="192"/>
      <c r="JF28" s="190"/>
      <c r="JG28" s="191"/>
      <c r="JH28" s="191"/>
      <c r="JI28" s="191"/>
      <c r="JJ28" s="191"/>
      <c r="JK28" s="191">
        <v>100</v>
      </c>
      <c r="JL28" s="191"/>
      <c r="JM28" s="191"/>
      <c r="JN28" s="191"/>
      <c r="JO28" s="191"/>
      <c r="JP28" s="191"/>
      <c r="JQ28" s="191"/>
      <c r="JR28" s="191">
        <v>50</v>
      </c>
      <c r="JS28" s="191"/>
      <c r="JT28" s="191"/>
      <c r="JU28" s="191"/>
      <c r="JV28" s="191"/>
      <c r="JW28" s="191"/>
      <c r="JX28" s="191"/>
      <c r="JY28" s="191">
        <v>100</v>
      </c>
      <c r="JZ28" s="191"/>
      <c r="KA28" s="191"/>
      <c r="KB28" s="191"/>
      <c r="KC28" s="191"/>
      <c r="KD28" s="191"/>
      <c r="KE28" s="191"/>
      <c r="KF28" s="191"/>
      <c r="KG28" s="191"/>
      <c r="KH28" s="191"/>
      <c r="KI28" s="191"/>
      <c r="KJ28" s="193"/>
      <c r="KK28" s="194"/>
      <c r="KL28" s="191"/>
      <c r="KM28" s="191">
        <v>100</v>
      </c>
      <c r="KN28" s="191"/>
      <c r="KO28" s="191"/>
      <c r="KP28" s="191"/>
      <c r="KQ28" s="191"/>
      <c r="KR28" s="191"/>
      <c r="KS28" s="191"/>
      <c r="KT28" s="191"/>
      <c r="KU28" s="191"/>
      <c r="KV28" s="191"/>
      <c r="KW28" s="191"/>
      <c r="KX28" s="191"/>
      <c r="KY28" s="191"/>
      <c r="KZ28" s="191"/>
      <c r="LA28" s="191">
        <v>200</v>
      </c>
      <c r="LB28" s="191"/>
      <c r="LC28" s="191"/>
      <c r="LD28" s="191"/>
      <c r="LE28" s="191"/>
      <c r="LF28" s="191"/>
      <c r="LG28" s="191"/>
      <c r="LH28" s="191">
        <v>100</v>
      </c>
      <c r="LI28" s="191"/>
      <c r="LJ28" s="191"/>
      <c r="LK28" s="191"/>
      <c r="LL28" s="191"/>
      <c r="LM28" s="191"/>
      <c r="LN28" s="192"/>
      <c r="LO28" s="190">
        <v>20</v>
      </c>
      <c r="LP28" s="191"/>
      <c r="LQ28" s="191"/>
      <c r="LR28" s="191"/>
      <c r="LS28" s="191"/>
      <c r="LT28" s="191"/>
      <c r="LU28" s="191"/>
      <c r="LV28" s="191">
        <v>20</v>
      </c>
      <c r="LW28" s="191"/>
      <c r="LX28" s="191"/>
      <c r="LY28" s="191"/>
      <c r="LZ28" s="191"/>
      <c r="MA28" s="191"/>
      <c r="MB28" s="191"/>
      <c r="MC28" s="191">
        <v>50</v>
      </c>
      <c r="MD28" s="191"/>
      <c r="ME28" s="191"/>
      <c r="MF28" s="191"/>
      <c r="MG28" s="191"/>
      <c r="MH28" s="191"/>
      <c r="MI28" s="191"/>
      <c r="MJ28" s="191">
        <v>100</v>
      </c>
      <c r="MK28" s="191"/>
      <c r="ML28" s="191"/>
      <c r="MM28" s="191"/>
      <c r="MN28" s="191"/>
      <c r="MO28" s="191"/>
      <c r="MP28" s="191"/>
      <c r="MQ28" s="191"/>
      <c r="MR28" s="191"/>
      <c r="MS28" s="193"/>
      <c r="MT28" s="194"/>
      <c r="MU28" s="191"/>
      <c r="MV28" s="191"/>
      <c r="MW28" s="191"/>
      <c r="MX28" s="191">
        <v>200</v>
      </c>
      <c r="MY28" s="191"/>
      <c r="MZ28" s="191"/>
      <c r="NA28" s="191"/>
      <c r="NB28" s="191"/>
      <c r="NC28" s="191"/>
      <c r="ND28" s="191"/>
      <c r="NE28" s="191"/>
      <c r="NF28" s="191">
        <v>100</v>
      </c>
      <c r="NG28" s="191"/>
      <c r="NH28" s="191"/>
      <c r="NI28" s="191"/>
      <c r="NJ28" s="191"/>
      <c r="NK28" s="191"/>
      <c r="NL28" s="191">
        <v>50</v>
      </c>
      <c r="NM28" s="191"/>
      <c r="NN28" s="191"/>
      <c r="NO28" s="191"/>
      <c r="NP28" s="191"/>
      <c r="NQ28" s="191"/>
      <c r="NR28" s="191"/>
      <c r="NS28" s="191">
        <v>10</v>
      </c>
      <c r="NT28" s="191"/>
      <c r="NU28" s="191"/>
      <c r="NV28" s="191"/>
      <c r="NW28" s="192"/>
      <c r="NX28" s="190"/>
      <c r="NY28" s="191">
        <v>100</v>
      </c>
      <c r="NZ28" s="191"/>
      <c r="OA28" s="191"/>
      <c r="OB28" s="191"/>
      <c r="OC28" s="191"/>
      <c r="OD28" s="191"/>
      <c r="OE28" s="191"/>
      <c r="OF28" s="191"/>
      <c r="OG28" s="191">
        <v>10</v>
      </c>
      <c r="OH28" s="191"/>
      <c r="OI28" s="191"/>
      <c r="OJ28" s="191"/>
      <c r="OK28" s="191"/>
      <c r="OL28" s="191"/>
      <c r="OM28" s="191"/>
      <c r="ON28" s="191"/>
      <c r="OO28" s="191"/>
      <c r="OP28" s="191"/>
      <c r="OQ28" s="191"/>
      <c r="OR28" s="191"/>
      <c r="OS28" s="191"/>
      <c r="OT28" s="191"/>
      <c r="OU28" s="191"/>
      <c r="OV28" s="191"/>
      <c r="OW28" s="191"/>
      <c r="OX28" s="191"/>
      <c r="OY28" s="191"/>
      <c r="OZ28" s="191"/>
      <c r="PA28" s="191"/>
      <c r="PB28" s="193"/>
      <c r="PC28" s="47"/>
      <c r="PD28" s="154" t="s">
        <v>97</v>
      </c>
      <c r="PE28" s="155" t="s">
        <v>98</v>
      </c>
      <c r="PF28" s="155" t="s">
        <v>98</v>
      </c>
      <c r="PG28" s="155" t="s">
        <v>98</v>
      </c>
      <c r="PH28" s="155" t="s">
        <v>98</v>
      </c>
      <c r="PI28" s="155" t="s">
        <v>98</v>
      </c>
      <c r="PJ28" s="155" t="s">
        <v>98</v>
      </c>
      <c r="PK28" s="155" t="s">
        <v>98</v>
      </c>
      <c r="PL28" s="155" t="s">
        <v>98</v>
      </c>
      <c r="PM28" s="155" t="s">
        <v>98</v>
      </c>
      <c r="PN28" s="155" t="s">
        <v>98</v>
      </c>
      <c r="PO28" s="156"/>
      <c r="PP28" s="156"/>
      <c r="PQ28" s="156"/>
      <c r="PR28" s="156"/>
      <c r="PS28" s="156"/>
      <c r="PT28" s="156"/>
      <c r="PU28" s="156"/>
      <c r="PV28" s="156"/>
      <c r="PW28" s="156"/>
      <c r="PX28" s="195"/>
      <c r="PY28" s="1"/>
      <c r="PZ28" s="196">
        <f t="shared" si="20"/>
        <v>400</v>
      </c>
      <c r="QA28" s="176">
        <f t="shared" si="21"/>
        <v>3.3369483607241178E-3</v>
      </c>
      <c r="QB28" s="177" t="str">
        <f t="shared" ca="1" si="22"/>
        <v>Attente…</v>
      </c>
      <c r="QC28" s="197">
        <f t="shared" si="23"/>
        <v>400</v>
      </c>
      <c r="QD28" s="179">
        <f t="shared" si="24"/>
        <v>3.7453183520599251E-3</v>
      </c>
      <c r="QE28" s="180" t="str">
        <f t="shared" ca="1" si="25"/>
        <v>Attente…</v>
      </c>
      <c r="QF28" s="196">
        <f t="shared" si="26"/>
        <v>400</v>
      </c>
      <c r="QG28" s="176">
        <f t="shared" si="27"/>
        <v>3.1852205765249245E-3</v>
      </c>
      <c r="QH28" s="177" t="str">
        <f t="shared" ca="1" si="28"/>
        <v>Attente…</v>
      </c>
      <c r="QI28" s="197">
        <f t="shared" si="29"/>
        <v>500</v>
      </c>
      <c r="QJ28" s="179">
        <f t="shared" si="30"/>
        <v>3.5068031982045168E-3</v>
      </c>
      <c r="QK28" s="180" t="str">
        <f t="shared" ca="1" si="31"/>
        <v>Attente…</v>
      </c>
      <c r="QL28" s="196">
        <f t="shared" si="32"/>
        <v>210</v>
      </c>
      <c r="QM28" s="176">
        <f t="shared" si="33"/>
        <v>1.5364354697102723E-3</v>
      </c>
      <c r="QN28" s="177" t="str">
        <f t="shared" ca="1" si="34"/>
        <v>Attente…</v>
      </c>
      <c r="QO28" s="197">
        <f t="shared" si="35"/>
        <v>350</v>
      </c>
      <c r="QP28" s="179">
        <f t="shared" si="36"/>
        <v>2.7401550144836766E-3</v>
      </c>
      <c r="QQ28" s="180" t="str">
        <f t="shared" ca="1" si="37"/>
        <v>Attente…</v>
      </c>
      <c r="QR28" s="196">
        <f t="shared" si="38"/>
        <v>700</v>
      </c>
      <c r="QS28" s="176">
        <f t="shared" si="39"/>
        <v>5.0394154278103741E-3</v>
      </c>
      <c r="QT28" s="177" t="str">
        <f t="shared" ca="1" si="40"/>
        <v>Attente…</v>
      </c>
      <c r="QU28" s="197">
        <f t="shared" si="41"/>
        <v>250</v>
      </c>
      <c r="QV28" s="179">
        <f t="shared" si="42"/>
        <v>1.7236624379481523E-3</v>
      </c>
      <c r="QW28" s="180" t="str">
        <f t="shared" ca="1" si="43"/>
        <v>Attente…</v>
      </c>
      <c r="QX28" s="196">
        <f t="shared" si="44"/>
        <v>400</v>
      </c>
      <c r="QY28" s="176">
        <f t="shared" si="45"/>
        <v>2.918941008202224E-3</v>
      </c>
      <c r="QZ28" s="177" t="str">
        <f t="shared" ca="1" si="46"/>
        <v>Attente…</v>
      </c>
      <c r="RA28" s="197">
        <f t="shared" si="47"/>
        <v>190</v>
      </c>
      <c r="RB28" s="179">
        <f t="shared" si="48"/>
        <v>1.4865816446287458E-3</v>
      </c>
      <c r="RC28" s="180" t="str">
        <f t="shared" ca="1" si="49"/>
        <v>Attente…</v>
      </c>
      <c r="RD28" s="196">
        <f t="shared" si="50"/>
        <v>360</v>
      </c>
      <c r="RE28" s="176">
        <f t="shared" si="51"/>
        <v>3.5870864886408927E-3</v>
      </c>
      <c r="RF28" s="177" t="str">
        <f t="shared" ca="1" si="52"/>
        <v>Attente…</v>
      </c>
      <c r="RG28" s="197">
        <f t="shared" si="53"/>
        <v>110</v>
      </c>
      <c r="RH28" s="179">
        <f t="shared" si="54"/>
        <v>2.0231745447857274E-3</v>
      </c>
      <c r="RI28" s="198" t="str">
        <f t="shared" ca="1" si="55"/>
        <v>Attente…</v>
      </c>
      <c r="RJ28" s="199">
        <f t="shared" si="56"/>
        <v>1200</v>
      </c>
      <c r="RK28" s="200" t="str">
        <f t="shared" ca="1" si="13"/>
        <v>Attente…</v>
      </c>
      <c r="RL28" s="199">
        <f t="shared" si="57"/>
        <v>1060</v>
      </c>
      <c r="RM28" s="200" t="str">
        <f t="shared" ca="1" si="58"/>
        <v>Atttente…</v>
      </c>
      <c r="RN28" s="199">
        <f t="shared" si="59"/>
        <v>1350</v>
      </c>
      <c r="RO28" s="200" t="str">
        <f t="shared" ca="1" si="14"/>
        <v>Attente…</v>
      </c>
      <c r="RP28" s="199">
        <f t="shared" si="60"/>
        <v>660</v>
      </c>
      <c r="RQ28" s="200" t="str">
        <f t="shared" ca="1" si="15"/>
        <v>Attente…</v>
      </c>
      <c r="RR28" s="201">
        <f t="shared" si="61"/>
        <v>4270</v>
      </c>
      <c r="RS28" s="202" t="str">
        <f t="shared" ca="1" si="16"/>
        <v>Attente…</v>
      </c>
      <c r="RT28" s="103"/>
      <c r="RU28" s="203">
        <f t="shared" si="62"/>
        <v>0.49651162790697678</v>
      </c>
      <c r="RV28" s="204">
        <f t="shared" si="65"/>
        <v>1</v>
      </c>
      <c r="RW28" s="204">
        <f t="shared" si="65"/>
        <v>1</v>
      </c>
      <c r="RX28" s="204">
        <f t="shared" si="63"/>
        <v>43</v>
      </c>
      <c r="RY28" s="205" t="str">
        <f t="shared" si="64"/>
        <v>RONCHEROLLES-SUR-LE-VIVIER - 20 Impasse Des Prés Verts (Parking Centre De Loisirs Les Pépinières)</v>
      </c>
      <c r="RZ28" s="189" t="str">
        <f>IF(OR(RZ27="",RZ27="  &lt;/Document&gt;
&lt;/kml&gt;"),"",
IF(B28="","  &lt;/Document&gt;
&lt;/kml&gt;",
IF(TournéesCAV!Q28=""," ",
"    &lt;Placemark&gt;
      &lt;description&gt;&lt;![CDATA["&amp;B28&amp;"&lt;br&gt;&lt;br&gt;"&amp;RV28&amp;" CAV&lt;br&gt;&lt;br&gt;Présent sur "&amp;RW28&amp;" tournée(s)&lt;br&gt;&lt;br&gt;Taux de remplissage moyen "&amp;TEXT(RU28*1000,"0 %")&amp;"]]&gt;&lt;/description&gt;
      &lt;Style&gt;
        &lt;IconStyle&gt;
          &lt;color&gt;ff"&amp;
          DEC2HEX(0,2)&amp;
          DEC2HEX(
            IF(RU28&lt;=0.5,
               INT(255*(RU28*2)),
               255
            ),2)&amp;
          DEC2HEX(
            IF(RU28&lt;=0.5,
               255,
               INT(255*(1-(RU28-0.5)*2))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&lt;Point&gt;&lt;coordinates&gt;"&amp;R28&amp;","&amp;Q28&amp;",0&lt;/coordinates&gt;&lt;/Point&gt;
    &lt;/Placemark&gt;"
)))</f>
        <v xml:space="preserve">    &lt;Placemark&gt;
      &lt;description&gt;&lt;![CDATA[RONCHEROLLES-SUR-LE-VIVIER - 20 Impasse Des Prés Verts (Parking Centre De Loisirs Les Pépinières)&lt;br&gt;&lt;br&gt;1 CAV&lt;br&gt;&lt;br&gt;Présent sur 1 tournée(s)&lt;br&gt;&lt;br&gt;Taux de remplissage moyen 50%]]&gt;&lt;/description&gt;
      &lt;Style&gt;
        &lt;IconStyle&gt;
          &lt;color&gt;ff00FDFF&lt;/color&gt;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&lt;Point&gt;&lt;coordinates&gt;1.1791064,49.4642576,0&lt;/coordinates&gt;&lt;/Point&gt;
    &lt;/Placemark&gt;</v>
      </c>
    </row>
    <row r="29" spans="2:494" ht="15" hidden="1" customHeight="1" x14ac:dyDescent="0.35">
      <c r="B29" s="153" t="str">
        <f t="shared" si="17"/>
        <v>MONTVILLE - 1 Sentier des Jumelles (Parking Intermarché)</v>
      </c>
      <c r="C29" s="154" t="s">
        <v>104</v>
      </c>
      <c r="D29" s="155" t="s">
        <v>104</v>
      </c>
      <c r="E29" s="155"/>
      <c r="F29" s="155"/>
      <c r="G29" s="155"/>
      <c r="H29" s="155"/>
      <c r="I29" s="155"/>
      <c r="J29" s="156"/>
      <c r="K29" s="157">
        <f t="shared" si="18"/>
        <v>2</v>
      </c>
      <c r="L29" s="157">
        <f t="shared" si="19"/>
        <v>2</v>
      </c>
      <c r="M29" s="158" t="s">
        <v>219</v>
      </c>
      <c r="N29" s="159" t="s">
        <v>220</v>
      </c>
      <c r="O29" s="159">
        <v>76710</v>
      </c>
      <c r="P29" s="159" t="s">
        <v>221</v>
      </c>
      <c r="Q29" s="159" t="s">
        <v>222</v>
      </c>
      <c r="R29" s="159" t="s">
        <v>223</v>
      </c>
      <c r="S29" s="159"/>
      <c r="T29" s="159" t="s">
        <v>110</v>
      </c>
      <c r="U29" s="159" t="s">
        <v>224</v>
      </c>
      <c r="V29" s="160" t="s">
        <v>96</v>
      </c>
      <c r="W29" s="161"/>
      <c r="X29" s="162"/>
      <c r="Y29" s="163"/>
      <c r="Z29" s="162"/>
      <c r="AA29" s="163"/>
      <c r="AB29" s="162"/>
      <c r="AC29" s="163"/>
      <c r="AD29" s="162"/>
      <c r="AE29" s="163"/>
      <c r="AF29" s="162"/>
      <c r="AG29" s="163"/>
      <c r="AH29" s="163">
        <v>4</v>
      </c>
      <c r="AI29" s="162">
        <v>4</v>
      </c>
      <c r="AJ29" s="163"/>
      <c r="AK29" s="162"/>
      <c r="AL29" s="163"/>
      <c r="AM29" s="162"/>
      <c r="AN29" s="163"/>
      <c r="AO29" s="162"/>
      <c r="AP29" s="164"/>
      <c r="AQ29" s="164"/>
      <c r="AR29" s="164"/>
      <c r="AS29" s="164"/>
      <c r="AT29" s="164"/>
      <c r="AU29" s="164"/>
      <c r="AV29" s="164"/>
      <c r="AW29" s="164"/>
      <c r="AX29" s="164"/>
      <c r="AY29" s="165"/>
      <c r="AZ29" s="41"/>
      <c r="BA29" s="190"/>
      <c r="BB29" s="191"/>
      <c r="BC29" s="191">
        <v>400</v>
      </c>
      <c r="BD29" s="191"/>
      <c r="BE29" s="191"/>
      <c r="BF29" s="191">
        <v>300</v>
      </c>
      <c r="BG29" s="191"/>
      <c r="BH29" s="191"/>
      <c r="BI29" s="191"/>
      <c r="BJ29" s="191">
        <v>200</v>
      </c>
      <c r="BK29" s="191"/>
      <c r="BL29" s="191"/>
      <c r="BM29" s="191">
        <v>200</v>
      </c>
      <c r="BN29" s="191"/>
      <c r="BO29" s="191"/>
      <c r="BP29" s="191"/>
      <c r="BQ29" s="191">
        <v>250</v>
      </c>
      <c r="BR29" s="191"/>
      <c r="BS29" s="191"/>
      <c r="BT29" s="191">
        <v>100</v>
      </c>
      <c r="BU29" s="191"/>
      <c r="BV29" s="191"/>
      <c r="BW29" s="191"/>
      <c r="BX29" s="191"/>
      <c r="BY29" s="191"/>
      <c r="BZ29" s="191"/>
      <c r="CA29" s="191">
        <v>350</v>
      </c>
      <c r="CB29" s="191"/>
      <c r="CC29" s="191"/>
      <c r="CD29" s="191"/>
      <c r="CE29" s="192">
        <v>200</v>
      </c>
      <c r="CF29" s="190"/>
      <c r="CG29" s="191"/>
      <c r="CH29" s="191">
        <v>250</v>
      </c>
      <c r="CI29" s="191"/>
      <c r="CJ29" s="191"/>
      <c r="CK29" s="191"/>
      <c r="CL29" s="191">
        <v>150</v>
      </c>
      <c r="CM29" s="191"/>
      <c r="CN29" s="191"/>
      <c r="CO29" s="191">
        <v>100</v>
      </c>
      <c r="CP29" s="191"/>
      <c r="CQ29" s="191"/>
      <c r="CR29" s="191"/>
      <c r="CS29" s="191">
        <v>300</v>
      </c>
      <c r="CT29" s="191"/>
      <c r="CU29" s="191"/>
      <c r="CV29" s="191">
        <v>200</v>
      </c>
      <c r="CW29" s="191"/>
      <c r="CX29" s="191"/>
      <c r="CY29" s="191"/>
      <c r="CZ29" s="191">
        <v>400</v>
      </c>
      <c r="DA29" s="191"/>
      <c r="DB29" s="191"/>
      <c r="DC29" s="191">
        <v>250</v>
      </c>
      <c r="DD29" s="191"/>
      <c r="DE29" s="191"/>
      <c r="DF29" s="191"/>
      <c r="DG29" s="191">
        <v>350</v>
      </c>
      <c r="DH29" s="193"/>
      <c r="DI29" s="194"/>
      <c r="DJ29" s="191"/>
      <c r="DK29" s="191">
        <v>300</v>
      </c>
      <c r="DL29" s="191"/>
      <c r="DM29" s="191"/>
      <c r="DN29" s="191"/>
      <c r="DO29" s="191">
        <v>150</v>
      </c>
      <c r="DP29" s="191"/>
      <c r="DQ29" s="191"/>
      <c r="DR29" s="191">
        <v>350</v>
      </c>
      <c r="DS29" s="191"/>
      <c r="DT29" s="191"/>
      <c r="DU29" s="191"/>
      <c r="DV29" s="191">
        <v>300</v>
      </c>
      <c r="DW29" s="191"/>
      <c r="DX29" s="191"/>
      <c r="DY29" s="191">
        <v>100</v>
      </c>
      <c r="DZ29" s="191"/>
      <c r="EA29" s="191"/>
      <c r="EB29" s="191"/>
      <c r="EC29" s="191">
        <v>400</v>
      </c>
      <c r="ED29" s="191"/>
      <c r="EE29" s="191"/>
      <c r="EF29" s="191">
        <v>250</v>
      </c>
      <c r="EG29" s="191"/>
      <c r="EH29" s="191"/>
      <c r="EI29" s="191"/>
      <c r="EJ29" s="191">
        <v>160</v>
      </c>
      <c r="EK29" s="191"/>
      <c r="EL29" s="191"/>
      <c r="EM29" s="192">
        <v>200</v>
      </c>
      <c r="EN29" s="190"/>
      <c r="EO29" s="191"/>
      <c r="EP29" s="191"/>
      <c r="EQ29" s="191">
        <v>350</v>
      </c>
      <c r="ER29" s="191"/>
      <c r="ES29" s="191"/>
      <c r="ET29" s="191">
        <v>250</v>
      </c>
      <c r="EU29" s="191"/>
      <c r="EV29" s="191"/>
      <c r="EW29" s="191"/>
      <c r="EX29" s="191">
        <v>250</v>
      </c>
      <c r="EY29" s="191"/>
      <c r="EZ29" s="191"/>
      <c r="FA29" s="191">
        <v>250</v>
      </c>
      <c r="FB29" s="191"/>
      <c r="FC29" s="191"/>
      <c r="FD29" s="191"/>
      <c r="FE29" s="191">
        <v>400</v>
      </c>
      <c r="FF29" s="191"/>
      <c r="FG29" s="191"/>
      <c r="FH29" s="191"/>
      <c r="FI29" s="191">
        <v>300</v>
      </c>
      <c r="FJ29" s="191"/>
      <c r="FK29" s="191"/>
      <c r="FL29" s="191">
        <v>350</v>
      </c>
      <c r="FM29" s="191"/>
      <c r="FN29" s="191"/>
      <c r="FO29" s="191">
        <v>300</v>
      </c>
      <c r="FP29" s="191"/>
      <c r="FQ29" s="193">
        <v>200</v>
      </c>
      <c r="FR29" s="194"/>
      <c r="FS29" s="191"/>
      <c r="FT29" s="191"/>
      <c r="FU29" s="191"/>
      <c r="FV29" s="191">
        <v>300</v>
      </c>
      <c r="FW29" s="191"/>
      <c r="FX29" s="191"/>
      <c r="FY29" s="191"/>
      <c r="FZ29" s="191">
        <v>300</v>
      </c>
      <c r="GA29" s="191"/>
      <c r="GB29" s="191"/>
      <c r="GC29" s="191">
        <v>250</v>
      </c>
      <c r="GD29" s="191"/>
      <c r="GE29" s="191"/>
      <c r="GF29" s="191"/>
      <c r="GG29" s="191">
        <v>250</v>
      </c>
      <c r="GH29" s="191"/>
      <c r="GI29" s="191"/>
      <c r="GJ29" s="191">
        <v>200</v>
      </c>
      <c r="GK29" s="191"/>
      <c r="GL29" s="191"/>
      <c r="GM29" s="191"/>
      <c r="GN29" s="191">
        <v>250</v>
      </c>
      <c r="GO29" s="191"/>
      <c r="GP29" s="191"/>
      <c r="GQ29" s="191">
        <v>350</v>
      </c>
      <c r="GR29" s="191"/>
      <c r="GS29" s="191"/>
      <c r="GT29" s="191"/>
      <c r="GU29" s="191">
        <v>300</v>
      </c>
      <c r="GV29" s="192"/>
      <c r="GW29" s="190"/>
      <c r="GX29" s="191">
        <v>150</v>
      </c>
      <c r="GY29" s="191"/>
      <c r="GZ29" s="191"/>
      <c r="HA29" s="191"/>
      <c r="HB29" s="191">
        <v>300</v>
      </c>
      <c r="HC29" s="191"/>
      <c r="HD29" s="191"/>
      <c r="HE29" s="191"/>
      <c r="HF29" s="191">
        <v>200</v>
      </c>
      <c r="HG29" s="191"/>
      <c r="HH29" s="191"/>
      <c r="HI29" s="191">
        <v>300</v>
      </c>
      <c r="HJ29" s="191"/>
      <c r="HK29" s="191"/>
      <c r="HL29" s="191">
        <v>400</v>
      </c>
      <c r="HM29" s="191"/>
      <c r="HN29" s="191"/>
      <c r="HO29" s="191"/>
      <c r="HP29" s="191">
        <v>300</v>
      </c>
      <c r="HQ29" s="191"/>
      <c r="HR29" s="191"/>
      <c r="HS29" s="191">
        <v>110</v>
      </c>
      <c r="HT29" s="191"/>
      <c r="HU29" s="191"/>
      <c r="HV29" s="191"/>
      <c r="HW29" s="191">
        <v>150</v>
      </c>
      <c r="HX29" s="191"/>
      <c r="HY29" s="191"/>
      <c r="HZ29" s="193">
        <v>200</v>
      </c>
      <c r="IA29" s="194"/>
      <c r="IB29" s="191"/>
      <c r="IC29" s="191"/>
      <c r="ID29" s="191">
        <v>300</v>
      </c>
      <c r="IE29" s="191"/>
      <c r="IF29" s="191"/>
      <c r="IG29" s="191">
        <v>250</v>
      </c>
      <c r="IH29" s="191"/>
      <c r="II29" s="191"/>
      <c r="IJ29" s="191"/>
      <c r="IK29" s="191">
        <v>400</v>
      </c>
      <c r="IL29" s="191"/>
      <c r="IM29" s="191"/>
      <c r="IN29" s="191">
        <v>350</v>
      </c>
      <c r="IO29" s="191"/>
      <c r="IP29" s="191"/>
      <c r="IQ29" s="191"/>
      <c r="IR29" s="191">
        <v>250</v>
      </c>
      <c r="IS29" s="191"/>
      <c r="IT29" s="191"/>
      <c r="IU29" s="191">
        <v>150</v>
      </c>
      <c r="IV29" s="191"/>
      <c r="IW29" s="191"/>
      <c r="IX29" s="191"/>
      <c r="IY29" s="191">
        <v>300</v>
      </c>
      <c r="IZ29" s="191"/>
      <c r="JA29" s="191"/>
      <c r="JB29" s="191">
        <v>350</v>
      </c>
      <c r="JC29" s="191"/>
      <c r="JD29" s="191"/>
      <c r="JE29" s="192"/>
      <c r="JF29" s="190">
        <v>250</v>
      </c>
      <c r="JG29" s="191"/>
      <c r="JH29" s="191"/>
      <c r="JI29" s="191">
        <v>100</v>
      </c>
      <c r="JJ29" s="191"/>
      <c r="JK29" s="191"/>
      <c r="JL29" s="191"/>
      <c r="JM29" s="191">
        <v>200</v>
      </c>
      <c r="JN29" s="191"/>
      <c r="JO29" s="191"/>
      <c r="JP29" s="191">
        <v>400</v>
      </c>
      <c r="JQ29" s="191"/>
      <c r="JR29" s="191"/>
      <c r="JS29" s="191">
        <v>200</v>
      </c>
      <c r="JT29" s="191"/>
      <c r="JU29" s="191"/>
      <c r="JV29" s="191"/>
      <c r="JW29" s="191">
        <v>300</v>
      </c>
      <c r="JX29" s="191"/>
      <c r="JY29" s="191"/>
      <c r="JZ29" s="191"/>
      <c r="KA29" s="191">
        <v>350</v>
      </c>
      <c r="KB29" s="191"/>
      <c r="KC29" s="191"/>
      <c r="KD29" s="191">
        <v>250</v>
      </c>
      <c r="KE29" s="191"/>
      <c r="KF29" s="191"/>
      <c r="KG29" s="191"/>
      <c r="KH29" s="191">
        <v>200</v>
      </c>
      <c r="KI29" s="191"/>
      <c r="KJ29" s="193"/>
      <c r="KK29" s="194">
        <v>200</v>
      </c>
      <c r="KL29" s="191"/>
      <c r="KM29" s="191"/>
      <c r="KN29" s="191"/>
      <c r="KO29" s="191">
        <v>350</v>
      </c>
      <c r="KP29" s="191"/>
      <c r="KQ29" s="191"/>
      <c r="KR29" s="191">
        <v>250</v>
      </c>
      <c r="KS29" s="191"/>
      <c r="KT29" s="191"/>
      <c r="KU29" s="191"/>
      <c r="KV29" s="191">
        <v>350</v>
      </c>
      <c r="KW29" s="191"/>
      <c r="KX29" s="191"/>
      <c r="KY29" s="191">
        <v>200</v>
      </c>
      <c r="KZ29" s="191"/>
      <c r="LA29" s="191"/>
      <c r="LB29" s="191"/>
      <c r="LC29" s="191">
        <v>160</v>
      </c>
      <c r="LD29" s="191"/>
      <c r="LE29" s="191"/>
      <c r="LF29" s="191">
        <v>110</v>
      </c>
      <c r="LG29" s="191"/>
      <c r="LH29" s="191"/>
      <c r="LI29" s="191"/>
      <c r="LJ29" s="191">
        <v>150</v>
      </c>
      <c r="LK29" s="191"/>
      <c r="LL29" s="191"/>
      <c r="LM29" s="191">
        <v>150</v>
      </c>
      <c r="LN29" s="192"/>
      <c r="LO29" s="190"/>
      <c r="LP29" s="191"/>
      <c r="LQ29" s="191">
        <v>300</v>
      </c>
      <c r="LR29" s="191"/>
      <c r="LS29" s="191"/>
      <c r="LT29" s="191">
        <v>160</v>
      </c>
      <c r="LU29" s="191"/>
      <c r="LV29" s="191"/>
      <c r="LW29" s="191"/>
      <c r="LX29" s="191">
        <v>110</v>
      </c>
      <c r="LY29" s="191"/>
      <c r="LZ29" s="191"/>
      <c r="MA29" s="191">
        <v>150</v>
      </c>
      <c r="MB29" s="191"/>
      <c r="MC29" s="191"/>
      <c r="MD29" s="191"/>
      <c r="ME29" s="191">
        <v>200</v>
      </c>
      <c r="MF29" s="191"/>
      <c r="MG29" s="191"/>
      <c r="MH29" s="191">
        <v>60</v>
      </c>
      <c r="MI29" s="191"/>
      <c r="MJ29" s="191"/>
      <c r="MK29" s="191"/>
      <c r="ML29" s="191">
        <v>300</v>
      </c>
      <c r="MM29" s="191"/>
      <c r="MN29" s="191"/>
      <c r="MO29" s="191">
        <v>200</v>
      </c>
      <c r="MP29" s="191"/>
      <c r="MQ29" s="191"/>
      <c r="MR29" s="191"/>
      <c r="MS29" s="193">
        <v>110</v>
      </c>
      <c r="MT29" s="194"/>
      <c r="MU29" s="191"/>
      <c r="MV29" s="191">
        <v>100</v>
      </c>
      <c r="MW29" s="191"/>
      <c r="MX29" s="191"/>
      <c r="MY29" s="191"/>
      <c r="MZ29" s="191">
        <v>160</v>
      </c>
      <c r="NA29" s="191"/>
      <c r="NB29" s="191"/>
      <c r="NC29" s="191">
        <v>100</v>
      </c>
      <c r="ND29" s="191"/>
      <c r="NE29" s="191"/>
      <c r="NF29" s="191"/>
      <c r="NG29" s="191">
        <v>150</v>
      </c>
      <c r="NH29" s="191"/>
      <c r="NI29" s="191"/>
      <c r="NJ29" s="191">
        <v>110</v>
      </c>
      <c r="NK29" s="191"/>
      <c r="NL29" s="191"/>
      <c r="NM29" s="191"/>
      <c r="NN29" s="191">
        <v>150</v>
      </c>
      <c r="NO29" s="191"/>
      <c r="NP29" s="191"/>
      <c r="NQ29" s="191">
        <v>60</v>
      </c>
      <c r="NR29" s="191"/>
      <c r="NS29" s="191"/>
      <c r="NT29" s="191"/>
      <c r="NU29" s="191">
        <v>110</v>
      </c>
      <c r="NV29" s="191"/>
      <c r="NW29" s="192"/>
      <c r="NX29" s="190">
        <v>150</v>
      </c>
      <c r="NY29" s="191"/>
      <c r="NZ29" s="191"/>
      <c r="OA29" s="191"/>
      <c r="OB29" s="191">
        <v>110</v>
      </c>
      <c r="OC29" s="191"/>
      <c r="OD29" s="191"/>
      <c r="OE29" s="191">
        <v>20</v>
      </c>
      <c r="OF29" s="191"/>
      <c r="OG29" s="191"/>
      <c r="OH29" s="191"/>
      <c r="OI29" s="191">
        <v>60</v>
      </c>
      <c r="OJ29" s="191"/>
      <c r="OK29" s="191"/>
      <c r="OL29" s="191">
        <v>60</v>
      </c>
      <c r="OM29" s="191"/>
      <c r="ON29" s="191"/>
      <c r="OO29" s="191"/>
      <c r="OP29" s="191"/>
      <c r="OQ29" s="191"/>
      <c r="OR29" s="191"/>
      <c r="OS29" s="191"/>
      <c r="OT29" s="191"/>
      <c r="OU29" s="191"/>
      <c r="OV29" s="191"/>
      <c r="OW29" s="191"/>
      <c r="OX29" s="191"/>
      <c r="OY29" s="191"/>
      <c r="OZ29" s="191"/>
      <c r="PA29" s="191"/>
      <c r="PB29" s="193"/>
      <c r="PC29" s="47"/>
      <c r="PD29" s="154" t="s">
        <v>98</v>
      </c>
      <c r="PE29" s="155" t="s">
        <v>98</v>
      </c>
      <c r="PF29" s="155" t="s">
        <v>98</v>
      </c>
      <c r="PG29" s="155" t="s">
        <v>98</v>
      </c>
      <c r="PH29" s="155" t="s">
        <v>98</v>
      </c>
      <c r="PI29" s="155" t="s">
        <v>98</v>
      </c>
      <c r="PJ29" s="155" t="s">
        <v>98</v>
      </c>
      <c r="PK29" s="155" t="s">
        <v>98</v>
      </c>
      <c r="PL29" s="155" t="s">
        <v>97</v>
      </c>
      <c r="PM29" s="155" t="s">
        <v>98</v>
      </c>
      <c r="PN29" s="155" t="s">
        <v>98</v>
      </c>
      <c r="PO29" s="156"/>
      <c r="PP29" s="156"/>
      <c r="PQ29" s="156"/>
      <c r="PR29" s="156"/>
      <c r="PS29" s="156"/>
      <c r="PT29" s="156"/>
      <c r="PU29" s="156"/>
      <c r="PV29" s="156"/>
      <c r="PW29" s="156"/>
      <c r="PX29" s="195"/>
      <c r="PY29" s="1"/>
      <c r="PZ29" s="196">
        <f t="shared" si="20"/>
        <v>2000</v>
      </c>
      <c r="QA29" s="176">
        <f t="shared" si="21"/>
        <v>1.668474180362059E-2</v>
      </c>
      <c r="QB29" s="177" t="str">
        <f t="shared" ca="1" si="22"/>
        <v>Attente…</v>
      </c>
      <c r="QC29" s="197">
        <f t="shared" si="23"/>
        <v>2000</v>
      </c>
      <c r="QD29" s="179">
        <f t="shared" si="24"/>
        <v>1.8726591760299626E-2</v>
      </c>
      <c r="QE29" s="180" t="str">
        <f t="shared" ca="1" si="25"/>
        <v>Attente…</v>
      </c>
      <c r="QF29" s="196">
        <f t="shared" si="26"/>
        <v>2210</v>
      </c>
      <c r="QG29" s="176">
        <f t="shared" si="27"/>
        <v>1.7598343685300208E-2</v>
      </c>
      <c r="QH29" s="177" t="str">
        <f t="shared" ca="1" si="28"/>
        <v>Attente…</v>
      </c>
      <c r="QI29" s="197">
        <f t="shared" si="29"/>
        <v>2650</v>
      </c>
      <c r="QJ29" s="179">
        <f t="shared" si="30"/>
        <v>1.8586056950483938E-2</v>
      </c>
      <c r="QK29" s="180" t="str">
        <f t="shared" ca="1" si="31"/>
        <v>Attente…</v>
      </c>
      <c r="QL29" s="196">
        <f t="shared" si="32"/>
        <v>2200</v>
      </c>
      <c r="QM29" s="176">
        <f t="shared" si="33"/>
        <v>1.6095990635059995E-2</v>
      </c>
      <c r="QN29" s="177" t="str">
        <f t="shared" ca="1" si="34"/>
        <v>Attente…</v>
      </c>
      <c r="QO29" s="197">
        <f t="shared" si="35"/>
        <v>2110</v>
      </c>
      <c r="QP29" s="179">
        <f t="shared" si="36"/>
        <v>1.6519220230173021E-2</v>
      </c>
      <c r="QQ29" s="180" t="str">
        <f t="shared" ca="1" si="37"/>
        <v>Attente…</v>
      </c>
      <c r="QR29" s="196">
        <f t="shared" si="38"/>
        <v>2350</v>
      </c>
      <c r="QS29" s="176">
        <f t="shared" si="39"/>
        <v>1.6918037507649114E-2</v>
      </c>
      <c r="QT29" s="177" t="str">
        <f t="shared" ca="1" si="40"/>
        <v>Attente…</v>
      </c>
      <c r="QU29" s="197">
        <f t="shared" si="41"/>
        <v>2250</v>
      </c>
      <c r="QV29" s="179">
        <f t="shared" si="42"/>
        <v>1.5512961941533371E-2</v>
      </c>
      <c r="QW29" s="180" t="str">
        <f t="shared" ca="1" si="43"/>
        <v>Attente…</v>
      </c>
      <c r="QX29" s="196">
        <f t="shared" si="44"/>
        <v>1920</v>
      </c>
      <c r="QY29" s="176">
        <f t="shared" si="45"/>
        <v>1.4010916839370677E-2</v>
      </c>
      <c r="QZ29" s="177" t="str">
        <f t="shared" ca="1" si="46"/>
        <v>Attente…</v>
      </c>
      <c r="RA29" s="197">
        <f t="shared" si="47"/>
        <v>1590</v>
      </c>
      <c r="RB29" s="179">
        <f t="shared" si="48"/>
        <v>1.2440341131366873E-2</v>
      </c>
      <c r="RC29" s="180" t="str">
        <f t="shared" ca="1" si="49"/>
        <v>Attente…</v>
      </c>
      <c r="RD29" s="196">
        <f t="shared" si="50"/>
        <v>940</v>
      </c>
      <c r="RE29" s="176">
        <f t="shared" si="51"/>
        <v>9.3662813870067762E-3</v>
      </c>
      <c r="RF29" s="177" t="str">
        <f t="shared" ca="1" si="52"/>
        <v>Attente…</v>
      </c>
      <c r="RG29" s="197">
        <f t="shared" si="53"/>
        <v>400</v>
      </c>
      <c r="RH29" s="179">
        <f t="shared" si="54"/>
        <v>7.3569983446753725E-3</v>
      </c>
      <c r="RI29" s="198" t="str">
        <f t="shared" ca="1" si="55"/>
        <v>Attente…</v>
      </c>
      <c r="RJ29" s="199">
        <f t="shared" si="56"/>
        <v>6210</v>
      </c>
      <c r="RK29" s="200" t="str">
        <f t="shared" ca="1" si="13"/>
        <v>Attente…</v>
      </c>
      <c r="RL29" s="199">
        <f t="shared" si="57"/>
        <v>6960</v>
      </c>
      <c r="RM29" s="200" t="str">
        <f t="shared" ca="1" si="58"/>
        <v>Atttente…</v>
      </c>
      <c r="RN29" s="199">
        <f t="shared" si="59"/>
        <v>6520</v>
      </c>
      <c r="RO29" s="200" t="str">
        <f t="shared" ca="1" si="14"/>
        <v>Attente…</v>
      </c>
      <c r="RP29" s="199">
        <f t="shared" si="60"/>
        <v>2930</v>
      </c>
      <c r="RQ29" s="200" t="str">
        <f t="shared" ca="1" si="15"/>
        <v>Attente…</v>
      </c>
      <c r="RR29" s="201">
        <f t="shared" si="61"/>
        <v>22620</v>
      </c>
      <c r="RS29" s="202" t="str">
        <f t="shared" ca="1" si="16"/>
        <v>Attente…</v>
      </c>
      <c r="RT29" s="103"/>
      <c r="RU29" s="203">
        <f t="shared" si="62"/>
        <v>0.57121212121212128</v>
      </c>
      <c r="RV29" s="204">
        <f t="shared" si="65"/>
        <v>2</v>
      </c>
      <c r="RW29" s="204">
        <f t="shared" si="65"/>
        <v>2</v>
      </c>
      <c r="RX29" s="204">
        <f t="shared" si="63"/>
        <v>99</v>
      </c>
      <c r="RY29" s="205" t="str">
        <f t="shared" si="64"/>
        <v>MONTVILLE - 1 Sentier des Jumelles (Parking Intermarché)</v>
      </c>
      <c r="RZ29" s="189" t="str">
        <f>IF(OR(RZ28="",RZ28="  &lt;/Document&gt;
&lt;/kml&gt;"),"",
IF(B29="","  &lt;/Document&gt;
&lt;/kml&gt;",
IF(TournéesCAV!Q8=""," ",
"    &lt;Placemark&gt;
      &lt;description&gt;&lt;![CDATA["&amp;B29&amp;"&lt;br&gt;&lt;br&gt;"&amp;RV29&amp;" CAV&lt;br&gt;&lt;br&gt;Présent sur "&amp;RW29&amp;" tournée(s)&lt;br&gt;&lt;br&gt;Taux de remplissage moyen "&amp;TEXT(RU29*1000,"0 %")&amp;"]]&gt;&lt;/description&gt;
      &lt;Style&gt;
        &lt;IconStyle&gt;
          &lt;color&gt;ff"&amp;
          DEC2HEX(0,2)&amp;
          DEC2HEX(
            IF(RU29&lt;=0.5,
               INT(255*(RU29*2)),
               255
            ),2)&amp;
          DEC2HEX(
            IF(RU29&lt;=0.5,
               255,
               INT(255*(1-(RU29-0.5)*2))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&lt;Point&gt;&lt;coordinates&gt;"&amp;R29&amp;","&amp;Q29&amp;",0&lt;/coordinates&gt;&lt;/Point&gt;
    &lt;/Placemark&gt;"
)))</f>
        <v xml:space="preserve">    &lt;Placemark&gt;
      &lt;description&gt;&lt;![CDATA[MONTVILLE - 1 Sentier des Jumelles (Parking Intermarché)&lt;br&gt;&lt;br&gt;2 CAV&lt;br&gt;&lt;br&gt;Présent sur 2 tournée(s)&lt;br&gt;&lt;br&gt;Taux de remplissage moyen 57%]]&gt;&lt;/description&gt;
      &lt;Style&gt;
        &lt;IconStyle&gt;
          &lt;color&gt;ff00FFDA&lt;/color&gt;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&lt;Point&gt;&lt;coordinates&gt;1.0634101,49.5405801,0&lt;/coordinates&gt;&lt;/Point&gt;
    &lt;/Placemark&gt;</v>
      </c>
    </row>
    <row r="30" spans="2:494" ht="15" hidden="1" customHeight="1" x14ac:dyDescent="0.35">
      <c r="B30" s="153" t="str">
        <f t="shared" si="17"/>
        <v>MONTVILLE - 693 rue des Reservoirs (Déchetterie - 9h30 / 11h45)</v>
      </c>
      <c r="C30" s="154" t="s">
        <v>104</v>
      </c>
      <c r="D30" s="155"/>
      <c r="E30" s="155"/>
      <c r="F30" s="155"/>
      <c r="G30" s="155"/>
      <c r="H30" s="155"/>
      <c r="I30" s="155"/>
      <c r="J30" s="156"/>
      <c r="K30" s="157">
        <f t="shared" si="18"/>
        <v>1</v>
      </c>
      <c r="L30" s="157">
        <f t="shared" si="19"/>
        <v>2</v>
      </c>
      <c r="M30" s="158" t="s">
        <v>225</v>
      </c>
      <c r="N30" s="159" t="s">
        <v>226</v>
      </c>
      <c r="O30" s="159">
        <v>76710</v>
      </c>
      <c r="P30" s="159" t="s">
        <v>221</v>
      </c>
      <c r="Q30" s="159" t="s">
        <v>227</v>
      </c>
      <c r="R30" s="159" t="s">
        <v>228</v>
      </c>
      <c r="S30" s="159"/>
      <c r="T30" s="159" t="s">
        <v>94</v>
      </c>
      <c r="U30" s="159" t="s">
        <v>229</v>
      </c>
      <c r="V30" s="160" t="s">
        <v>96</v>
      </c>
      <c r="W30" s="161"/>
      <c r="X30" s="162"/>
      <c r="Y30" s="163"/>
      <c r="Z30" s="162"/>
      <c r="AA30" s="163"/>
      <c r="AB30" s="162"/>
      <c r="AC30" s="163"/>
      <c r="AD30" s="162"/>
      <c r="AE30" s="163"/>
      <c r="AF30" s="162"/>
      <c r="AG30" s="163"/>
      <c r="AH30" s="163">
        <v>5</v>
      </c>
      <c r="AI30" s="162">
        <v>5</v>
      </c>
      <c r="AJ30" s="163"/>
      <c r="AK30" s="162"/>
      <c r="AL30" s="163"/>
      <c r="AM30" s="162"/>
      <c r="AN30" s="163"/>
      <c r="AO30" s="162"/>
      <c r="AP30" s="164"/>
      <c r="AQ30" s="164"/>
      <c r="AR30" s="164"/>
      <c r="AS30" s="164"/>
      <c r="AT30" s="164"/>
      <c r="AU30" s="164"/>
      <c r="AV30" s="164"/>
      <c r="AW30" s="164"/>
      <c r="AX30" s="164"/>
      <c r="AY30" s="165"/>
      <c r="AZ30" s="41"/>
      <c r="BA30" s="190"/>
      <c r="BB30" s="191"/>
      <c r="BC30" s="191">
        <v>200</v>
      </c>
      <c r="BD30" s="191"/>
      <c r="BE30" s="191"/>
      <c r="BF30" s="191">
        <v>200</v>
      </c>
      <c r="BG30" s="191"/>
      <c r="BH30" s="191"/>
      <c r="BI30" s="191"/>
      <c r="BJ30" s="191">
        <v>50</v>
      </c>
      <c r="BK30" s="191"/>
      <c r="BL30" s="191"/>
      <c r="BM30" s="191">
        <v>10</v>
      </c>
      <c r="BN30" s="191"/>
      <c r="BO30" s="191"/>
      <c r="BP30" s="191"/>
      <c r="BQ30" s="191">
        <v>50</v>
      </c>
      <c r="BR30" s="191"/>
      <c r="BS30" s="191"/>
      <c r="BT30" s="191">
        <v>10</v>
      </c>
      <c r="BU30" s="191"/>
      <c r="BV30" s="191"/>
      <c r="BW30" s="191"/>
      <c r="BX30" s="191">
        <v>10</v>
      </c>
      <c r="BY30" s="191"/>
      <c r="BZ30" s="191"/>
      <c r="CA30" s="191">
        <v>10</v>
      </c>
      <c r="CB30" s="191"/>
      <c r="CC30" s="191"/>
      <c r="CD30" s="191"/>
      <c r="CE30" s="192">
        <v>50</v>
      </c>
      <c r="CF30" s="190"/>
      <c r="CG30" s="191"/>
      <c r="CH30" s="191">
        <v>10</v>
      </c>
      <c r="CI30" s="191"/>
      <c r="CJ30" s="191"/>
      <c r="CK30" s="191"/>
      <c r="CL30" s="191">
        <v>50</v>
      </c>
      <c r="CM30" s="191"/>
      <c r="CN30" s="191"/>
      <c r="CO30" s="191">
        <v>10</v>
      </c>
      <c r="CP30" s="191"/>
      <c r="CQ30" s="191"/>
      <c r="CR30" s="191"/>
      <c r="CS30" s="191">
        <v>150</v>
      </c>
      <c r="CT30" s="191"/>
      <c r="CU30" s="191"/>
      <c r="CV30" s="191">
        <v>100</v>
      </c>
      <c r="CW30" s="191"/>
      <c r="CX30" s="191"/>
      <c r="CY30" s="191"/>
      <c r="CZ30" s="191"/>
      <c r="DA30" s="191"/>
      <c r="DB30" s="191"/>
      <c r="DC30" s="191"/>
      <c r="DD30" s="191"/>
      <c r="DE30" s="191"/>
      <c r="DF30" s="191"/>
      <c r="DG30" s="191">
        <v>100</v>
      </c>
      <c r="DH30" s="193"/>
      <c r="DI30" s="194"/>
      <c r="DJ30" s="191"/>
      <c r="DK30" s="191">
        <v>150</v>
      </c>
      <c r="DL30" s="191"/>
      <c r="DM30" s="191"/>
      <c r="DN30" s="191"/>
      <c r="DO30" s="191">
        <v>150</v>
      </c>
      <c r="DP30" s="191"/>
      <c r="DQ30" s="191"/>
      <c r="DR30" s="191">
        <v>50</v>
      </c>
      <c r="DS30" s="191"/>
      <c r="DT30" s="191"/>
      <c r="DU30" s="191"/>
      <c r="DV30" s="191">
        <v>50</v>
      </c>
      <c r="DW30" s="191"/>
      <c r="DX30" s="191"/>
      <c r="DY30" s="191">
        <v>100</v>
      </c>
      <c r="DZ30" s="191"/>
      <c r="EA30" s="191"/>
      <c r="EB30" s="191"/>
      <c r="EC30" s="191">
        <v>50</v>
      </c>
      <c r="ED30" s="191"/>
      <c r="EE30" s="191"/>
      <c r="EF30" s="191">
        <v>150</v>
      </c>
      <c r="EG30" s="191"/>
      <c r="EH30" s="191"/>
      <c r="EI30" s="191"/>
      <c r="EJ30" s="191">
        <v>50</v>
      </c>
      <c r="EK30" s="191"/>
      <c r="EL30" s="191"/>
      <c r="EM30" s="192">
        <v>50</v>
      </c>
      <c r="EN30" s="190"/>
      <c r="EO30" s="191"/>
      <c r="EP30" s="191"/>
      <c r="EQ30" s="191">
        <v>10</v>
      </c>
      <c r="ER30" s="191"/>
      <c r="ES30" s="191"/>
      <c r="ET30" s="191">
        <v>50</v>
      </c>
      <c r="EU30" s="191"/>
      <c r="EV30" s="191"/>
      <c r="EW30" s="191"/>
      <c r="EX30" s="191">
        <v>150</v>
      </c>
      <c r="EY30" s="191"/>
      <c r="EZ30" s="191"/>
      <c r="FA30" s="191">
        <v>10</v>
      </c>
      <c r="FB30" s="191"/>
      <c r="FC30" s="191"/>
      <c r="FD30" s="191"/>
      <c r="FE30" s="191">
        <v>200</v>
      </c>
      <c r="FF30" s="191"/>
      <c r="FG30" s="191"/>
      <c r="FH30" s="191"/>
      <c r="FI30" s="191">
        <v>100</v>
      </c>
      <c r="FJ30" s="191"/>
      <c r="FK30" s="191"/>
      <c r="FL30" s="191">
        <v>150</v>
      </c>
      <c r="FM30" s="191"/>
      <c r="FN30" s="191"/>
      <c r="FO30" s="191">
        <v>50</v>
      </c>
      <c r="FP30" s="191"/>
      <c r="FQ30" s="193"/>
      <c r="FR30" s="194"/>
      <c r="FS30" s="191">
        <v>10</v>
      </c>
      <c r="FT30" s="191"/>
      <c r="FU30" s="191"/>
      <c r="FV30" s="191">
        <v>50</v>
      </c>
      <c r="FW30" s="191"/>
      <c r="FX30" s="191"/>
      <c r="FY30" s="191"/>
      <c r="FZ30" s="191">
        <v>100</v>
      </c>
      <c r="GA30" s="191"/>
      <c r="GB30" s="191"/>
      <c r="GC30" s="191">
        <v>50</v>
      </c>
      <c r="GD30" s="191"/>
      <c r="GE30" s="191"/>
      <c r="GF30" s="191"/>
      <c r="GG30" s="191">
        <v>200</v>
      </c>
      <c r="GH30" s="191"/>
      <c r="GI30" s="191"/>
      <c r="GJ30" s="191">
        <v>50</v>
      </c>
      <c r="GK30" s="191"/>
      <c r="GL30" s="191"/>
      <c r="GM30" s="191"/>
      <c r="GN30" s="191">
        <v>50</v>
      </c>
      <c r="GO30" s="191"/>
      <c r="GP30" s="191"/>
      <c r="GQ30" s="191">
        <v>100</v>
      </c>
      <c r="GR30" s="191"/>
      <c r="GS30" s="191"/>
      <c r="GT30" s="191"/>
      <c r="GU30" s="191">
        <v>10</v>
      </c>
      <c r="GV30" s="192"/>
      <c r="GW30" s="190"/>
      <c r="GX30" s="191">
        <v>50</v>
      </c>
      <c r="GY30" s="191"/>
      <c r="GZ30" s="191"/>
      <c r="HA30" s="191"/>
      <c r="HB30" s="191">
        <v>100</v>
      </c>
      <c r="HC30" s="191"/>
      <c r="HD30" s="191"/>
      <c r="HE30" s="191"/>
      <c r="HF30" s="191">
        <v>50</v>
      </c>
      <c r="HG30" s="191"/>
      <c r="HH30" s="191"/>
      <c r="HI30" s="191">
        <v>100</v>
      </c>
      <c r="HJ30" s="191"/>
      <c r="HK30" s="191"/>
      <c r="HL30" s="191">
        <v>10</v>
      </c>
      <c r="HM30" s="191"/>
      <c r="HN30" s="191"/>
      <c r="HO30" s="191"/>
      <c r="HP30" s="191">
        <v>200</v>
      </c>
      <c r="HQ30" s="191"/>
      <c r="HR30" s="191"/>
      <c r="HS30" s="191">
        <v>50</v>
      </c>
      <c r="HT30" s="191"/>
      <c r="HU30" s="191"/>
      <c r="HV30" s="191"/>
      <c r="HW30" s="191">
        <v>150</v>
      </c>
      <c r="HX30" s="191"/>
      <c r="HY30" s="191"/>
      <c r="HZ30" s="193">
        <v>50</v>
      </c>
      <c r="IA30" s="194"/>
      <c r="IB30" s="191"/>
      <c r="IC30" s="191"/>
      <c r="ID30" s="191">
        <v>50</v>
      </c>
      <c r="IE30" s="191"/>
      <c r="IF30" s="191"/>
      <c r="IG30" s="191">
        <v>50</v>
      </c>
      <c r="IH30" s="191"/>
      <c r="II30" s="191"/>
      <c r="IJ30" s="191"/>
      <c r="IK30" s="191">
        <v>150</v>
      </c>
      <c r="IL30" s="191"/>
      <c r="IM30" s="191"/>
      <c r="IN30" s="191">
        <v>100</v>
      </c>
      <c r="IO30" s="191"/>
      <c r="IP30" s="191"/>
      <c r="IQ30" s="191"/>
      <c r="IR30" s="191">
        <v>100</v>
      </c>
      <c r="IS30" s="191"/>
      <c r="IT30" s="191"/>
      <c r="IU30" s="191">
        <v>100</v>
      </c>
      <c r="IV30" s="191"/>
      <c r="IW30" s="191"/>
      <c r="IX30" s="191"/>
      <c r="IY30" s="191">
        <v>100</v>
      </c>
      <c r="IZ30" s="191"/>
      <c r="JA30" s="191"/>
      <c r="JB30" s="191">
        <v>50</v>
      </c>
      <c r="JC30" s="191"/>
      <c r="JD30" s="191"/>
      <c r="JE30" s="192"/>
      <c r="JF30" s="190">
        <v>50</v>
      </c>
      <c r="JG30" s="191"/>
      <c r="JH30" s="191"/>
      <c r="JI30" s="191">
        <v>150</v>
      </c>
      <c r="JJ30" s="191"/>
      <c r="JK30" s="191"/>
      <c r="JL30" s="191"/>
      <c r="JM30" s="191">
        <v>150</v>
      </c>
      <c r="JN30" s="191"/>
      <c r="JO30" s="191"/>
      <c r="JP30" s="191">
        <v>100</v>
      </c>
      <c r="JQ30" s="191"/>
      <c r="JR30" s="191"/>
      <c r="JS30" s="191">
        <v>50</v>
      </c>
      <c r="JT30" s="191"/>
      <c r="JU30" s="191"/>
      <c r="JV30" s="191"/>
      <c r="JW30" s="191">
        <v>50</v>
      </c>
      <c r="JX30" s="191"/>
      <c r="JY30" s="191"/>
      <c r="JZ30" s="191"/>
      <c r="KA30" s="191">
        <v>50</v>
      </c>
      <c r="KB30" s="191"/>
      <c r="KC30" s="191"/>
      <c r="KD30" s="191">
        <v>100</v>
      </c>
      <c r="KE30" s="191"/>
      <c r="KF30" s="191"/>
      <c r="KG30" s="191"/>
      <c r="KH30" s="191">
        <v>200</v>
      </c>
      <c r="KI30" s="191"/>
      <c r="KJ30" s="193"/>
      <c r="KK30" s="194">
        <v>50</v>
      </c>
      <c r="KL30" s="191"/>
      <c r="KM30" s="191"/>
      <c r="KN30" s="191"/>
      <c r="KO30" s="191">
        <v>150</v>
      </c>
      <c r="KP30" s="191"/>
      <c r="KQ30" s="191"/>
      <c r="KR30" s="191">
        <v>50</v>
      </c>
      <c r="KS30" s="191"/>
      <c r="KT30" s="191"/>
      <c r="KU30" s="191"/>
      <c r="KV30" s="191"/>
      <c r="KW30" s="191"/>
      <c r="KX30" s="191"/>
      <c r="KY30" s="191">
        <v>50</v>
      </c>
      <c r="KZ30" s="191"/>
      <c r="LA30" s="191"/>
      <c r="LB30" s="191"/>
      <c r="LC30" s="191">
        <v>50</v>
      </c>
      <c r="LD30" s="191"/>
      <c r="LE30" s="191"/>
      <c r="LF30" s="191">
        <v>50</v>
      </c>
      <c r="LG30" s="191"/>
      <c r="LH30" s="191"/>
      <c r="LI30" s="191"/>
      <c r="LJ30" s="191">
        <v>100</v>
      </c>
      <c r="LK30" s="191"/>
      <c r="LL30" s="191"/>
      <c r="LM30" s="191">
        <v>50</v>
      </c>
      <c r="LN30" s="192"/>
      <c r="LO30" s="190"/>
      <c r="LP30" s="191"/>
      <c r="LQ30" s="191">
        <v>100</v>
      </c>
      <c r="LR30" s="191"/>
      <c r="LS30" s="191"/>
      <c r="LT30" s="191">
        <v>10</v>
      </c>
      <c r="LU30" s="191"/>
      <c r="LV30" s="191"/>
      <c r="LW30" s="191"/>
      <c r="LX30" s="191">
        <v>50</v>
      </c>
      <c r="LY30" s="191"/>
      <c r="LZ30" s="191"/>
      <c r="MA30" s="191">
        <v>50</v>
      </c>
      <c r="MB30" s="191"/>
      <c r="MC30" s="191"/>
      <c r="MD30" s="191"/>
      <c r="ME30" s="191">
        <v>100</v>
      </c>
      <c r="MF30" s="191"/>
      <c r="MG30" s="191"/>
      <c r="MH30" s="191">
        <v>200</v>
      </c>
      <c r="MI30" s="191"/>
      <c r="MJ30" s="191"/>
      <c r="MK30" s="191"/>
      <c r="ML30" s="191">
        <v>150</v>
      </c>
      <c r="MM30" s="191"/>
      <c r="MN30" s="191"/>
      <c r="MO30" s="191">
        <v>50</v>
      </c>
      <c r="MP30" s="191"/>
      <c r="MQ30" s="191"/>
      <c r="MR30" s="191"/>
      <c r="MS30" s="193">
        <v>100</v>
      </c>
      <c r="MT30" s="194"/>
      <c r="MU30" s="191"/>
      <c r="MV30" s="191">
        <v>50</v>
      </c>
      <c r="MW30" s="191"/>
      <c r="MX30" s="191"/>
      <c r="MY30" s="191"/>
      <c r="MZ30" s="191">
        <v>50</v>
      </c>
      <c r="NA30" s="191"/>
      <c r="NB30" s="191"/>
      <c r="NC30" s="191">
        <v>50</v>
      </c>
      <c r="ND30" s="191"/>
      <c r="NE30" s="191"/>
      <c r="NF30" s="191"/>
      <c r="NG30" s="191">
        <v>50</v>
      </c>
      <c r="NH30" s="191"/>
      <c r="NI30" s="191"/>
      <c r="NJ30" s="191">
        <v>50</v>
      </c>
      <c r="NK30" s="191"/>
      <c r="NL30" s="191"/>
      <c r="NM30" s="191"/>
      <c r="NN30" s="191">
        <v>10</v>
      </c>
      <c r="NO30" s="191"/>
      <c r="NP30" s="191"/>
      <c r="NQ30" s="191">
        <v>50</v>
      </c>
      <c r="NR30" s="191"/>
      <c r="NS30" s="191"/>
      <c r="NT30" s="191"/>
      <c r="NU30" s="191">
        <v>10</v>
      </c>
      <c r="NV30" s="191"/>
      <c r="NW30" s="192"/>
      <c r="NX30" s="190">
        <v>10</v>
      </c>
      <c r="NY30" s="191"/>
      <c r="NZ30" s="191"/>
      <c r="OA30" s="191"/>
      <c r="OB30" s="191">
        <v>100</v>
      </c>
      <c r="OC30" s="191"/>
      <c r="OD30" s="191"/>
      <c r="OE30" s="191">
        <v>10</v>
      </c>
      <c r="OF30" s="191"/>
      <c r="OG30" s="191"/>
      <c r="OH30" s="191"/>
      <c r="OI30" s="191">
        <v>100</v>
      </c>
      <c r="OJ30" s="191"/>
      <c r="OK30" s="191"/>
      <c r="OL30" s="191">
        <v>100</v>
      </c>
      <c r="OM30" s="191"/>
      <c r="ON30" s="191"/>
      <c r="OO30" s="191"/>
      <c r="OP30" s="191"/>
      <c r="OQ30" s="191"/>
      <c r="OR30" s="191"/>
      <c r="OS30" s="191"/>
      <c r="OT30" s="191"/>
      <c r="OU30" s="191"/>
      <c r="OV30" s="191"/>
      <c r="OW30" s="191"/>
      <c r="OX30" s="191"/>
      <c r="OY30" s="191"/>
      <c r="OZ30" s="191"/>
      <c r="PA30" s="191"/>
      <c r="PB30" s="193"/>
      <c r="PC30" s="47"/>
      <c r="PD30" s="154" t="s">
        <v>98</v>
      </c>
      <c r="PE30" s="155" t="s">
        <v>98</v>
      </c>
      <c r="PF30" s="155" t="s">
        <v>98</v>
      </c>
      <c r="PG30" s="155" t="s">
        <v>98</v>
      </c>
      <c r="PH30" s="155" t="s">
        <v>98</v>
      </c>
      <c r="PI30" s="155" t="s">
        <v>98</v>
      </c>
      <c r="PJ30" s="155" t="s">
        <v>98</v>
      </c>
      <c r="PK30" s="155" t="s">
        <v>98</v>
      </c>
      <c r="PL30" s="155" t="s">
        <v>97</v>
      </c>
      <c r="PM30" s="155" t="s">
        <v>98</v>
      </c>
      <c r="PN30" s="155" t="s">
        <v>98</v>
      </c>
      <c r="PO30" s="156"/>
      <c r="PP30" s="156"/>
      <c r="PQ30" s="156"/>
      <c r="PR30" s="156"/>
      <c r="PS30" s="156"/>
      <c r="PT30" s="156"/>
      <c r="PU30" s="156"/>
      <c r="PV30" s="156"/>
      <c r="PW30" s="156"/>
      <c r="PX30" s="195"/>
      <c r="PY30" s="1"/>
      <c r="PZ30" s="196">
        <f t="shared" si="20"/>
        <v>590</v>
      </c>
      <c r="QA30" s="176">
        <f t="shared" si="21"/>
        <v>4.9219988320680736E-3</v>
      </c>
      <c r="QB30" s="177" t="str">
        <f t="shared" ca="1" si="22"/>
        <v>Attente…</v>
      </c>
      <c r="QC30" s="197">
        <f t="shared" si="23"/>
        <v>420</v>
      </c>
      <c r="QD30" s="179">
        <f t="shared" si="24"/>
        <v>3.9325842696629216E-3</v>
      </c>
      <c r="QE30" s="180" t="str">
        <f t="shared" ca="1" si="25"/>
        <v>Attente…</v>
      </c>
      <c r="QF30" s="196">
        <f t="shared" si="26"/>
        <v>800</v>
      </c>
      <c r="QG30" s="176">
        <f t="shared" si="27"/>
        <v>6.370441153049849E-3</v>
      </c>
      <c r="QH30" s="177" t="str">
        <f t="shared" ca="1" si="28"/>
        <v>Attente…</v>
      </c>
      <c r="QI30" s="197">
        <f t="shared" si="29"/>
        <v>720</v>
      </c>
      <c r="QJ30" s="179">
        <f t="shared" si="30"/>
        <v>5.0497966054145037E-3</v>
      </c>
      <c r="QK30" s="180" t="str">
        <f t="shared" ca="1" si="31"/>
        <v>Attente…</v>
      </c>
      <c r="QL30" s="196">
        <f t="shared" si="32"/>
        <v>620</v>
      </c>
      <c r="QM30" s="176">
        <f t="shared" si="33"/>
        <v>4.5361428153350893E-3</v>
      </c>
      <c r="QN30" s="177" t="str">
        <f t="shared" ca="1" si="34"/>
        <v>Attente…</v>
      </c>
      <c r="QO30" s="197">
        <f t="shared" si="35"/>
        <v>760</v>
      </c>
      <c r="QP30" s="179">
        <f t="shared" si="36"/>
        <v>5.9500508885931263E-3</v>
      </c>
      <c r="QQ30" s="180" t="str">
        <f t="shared" ca="1" si="37"/>
        <v>Attente…</v>
      </c>
      <c r="QR30" s="196">
        <f t="shared" si="38"/>
        <v>700</v>
      </c>
      <c r="QS30" s="176">
        <f t="shared" si="39"/>
        <v>5.0394154278103741E-3</v>
      </c>
      <c r="QT30" s="177" t="str">
        <f t="shared" ca="1" si="40"/>
        <v>Attente…</v>
      </c>
      <c r="QU30" s="197">
        <f t="shared" si="41"/>
        <v>900</v>
      </c>
      <c r="QV30" s="179">
        <f t="shared" si="42"/>
        <v>6.2051847766133482E-3</v>
      </c>
      <c r="QW30" s="180" t="str">
        <f t="shared" ca="1" si="43"/>
        <v>Attente…</v>
      </c>
      <c r="QX30" s="196">
        <f t="shared" si="44"/>
        <v>550</v>
      </c>
      <c r="QY30" s="176">
        <f t="shared" si="45"/>
        <v>4.0135438862780584E-3</v>
      </c>
      <c r="QZ30" s="177" t="str">
        <f t="shared" ca="1" si="46"/>
        <v>Attente…</v>
      </c>
      <c r="RA30" s="197">
        <f t="shared" si="47"/>
        <v>810</v>
      </c>
      <c r="RB30" s="179">
        <f t="shared" si="48"/>
        <v>6.3375322744699163E-3</v>
      </c>
      <c r="RC30" s="180" t="str">
        <f t="shared" ca="1" si="49"/>
        <v>Attente…</v>
      </c>
      <c r="RD30" s="196">
        <f t="shared" si="50"/>
        <v>320</v>
      </c>
      <c r="RE30" s="176">
        <f t="shared" si="51"/>
        <v>3.1885213232363493E-3</v>
      </c>
      <c r="RF30" s="177" t="str">
        <f t="shared" ca="1" si="52"/>
        <v>Attente…</v>
      </c>
      <c r="RG30" s="197">
        <f t="shared" si="53"/>
        <v>320</v>
      </c>
      <c r="RH30" s="179">
        <f t="shared" si="54"/>
        <v>5.8855986757402976E-3</v>
      </c>
      <c r="RI30" s="198" t="str">
        <f t="shared" ca="1" si="55"/>
        <v>Attente…</v>
      </c>
      <c r="RJ30" s="199">
        <f t="shared" si="56"/>
        <v>1810</v>
      </c>
      <c r="RK30" s="200" t="str">
        <f t="shared" ca="1" si="13"/>
        <v>Attente…</v>
      </c>
      <c r="RL30" s="199">
        <f t="shared" si="57"/>
        <v>2100</v>
      </c>
      <c r="RM30" s="200" t="str">
        <f t="shared" ca="1" si="58"/>
        <v>Atttente…</v>
      </c>
      <c r="RN30" s="199">
        <f t="shared" si="59"/>
        <v>2150</v>
      </c>
      <c r="RO30" s="200" t="str">
        <f t="shared" ca="1" si="14"/>
        <v>Attente…</v>
      </c>
      <c r="RP30" s="199">
        <f t="shared" si="60"/>
        <v>1450</v>
      </c>
      <c r="RQ30" s="200" t="str">
        <f t="shared" ca="1" si="15"/>
        <v>Attente…</v>
      </c>
      <c r="RR30" s="201">
        <f t="shared" si="61"/>
        <v>7510</v>
      </c>
      <c r="RS30" s="202" t="str">
        <f t="shared" ca="1" si="16"/>
        <v>Attente…</v>
      </c>
      <c r="RT30" s="103"/>
      <c r="RU30" s="203">
        <f t="shared" si="62"/>
        <v>0.38711340206185568</v>
      </c>
      <c r="RV30" s="204">
        <f t="shared" si="65"/>
        <v>1</v>
      </c>
      <c r="RW30" s="204">
        <f t="shared" si="65"/>
        <v>2</v>
      </c>
      <c r="RX30" s="204">
        <f t="shared" si="63"/>
        <v>97</v>
      </c>
      <c r="RY30" s="205" t="str">
        <f t="shared" si="64"/>
        <v>MONTVILLE - 693 rue des Reservoirs (Déchetterie - 9h30 / 11h45)</v>
      </c>
      <c r="RZ30" s="189" t="str">
        <f>IF(OR(RZ29="",RZ29="  &lt;/Document&gt;
&lt;/kml&gt;"),"",
IF(B30="","  &lt;/Document&gt;
&lt;/kml&gt;",
IF(TournéesCAV!Q9=""," ",
"    &lt;Placemark&gt;
      &lt;description&gt;&lt;![CDATA["&amp;B30&amp;"&lt;br&gt;&lt;br&gt;"&amp;RV30&amp;" CAV&lt;br&gt;&lt;br&gt;Présent sur "&amp;RW30&amp;" tournée(s)&lt;br&gt;&lt;br&gt;Taux de remplissage moyen "&amp;TEXT(RU30*1000,"0 %")&amp;"]]&gt;&lt;/description&gt;
      &lt;Style&gt;
        &lt;IconStyle&gt;
          &lt;color&gt;ff"&amp;
          DEC2HEX(0,2)&amp;
          DEC2HEX(
            IF(RU30&lt;=0.5,
               INT(255*(RU30*2)),
               255
            ),2)&amp;
          DEC2HEX(
            IF(RU30&lt;=0.5,
               255,
               INT(255*(1-(RU30-0.5)*2))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&lt;Point&gt;&lt;coordinates&gt;"&amp;R30&amp;","&amp;Q30&amp;",0&lt;/coordinates&gt;&lt;/Point&gt;
    &lt;/Placemark&gt;"
)))</f>
        <v xml:space="preserve">    &lt;Placemark&gt;
      &lt;description&gt;&lt;![CDATA[MONTVILLE - 693 rue des Reservoirs (Déchetterie - 9h30 / 11h45)&lt;br&gt;&lt;br&gt;1 CAV&lt;br&gt;&lt;br&gt;Présent sur 2 tournée(s)&lt;br&gt;&lt;br&gt;Taux de remplissage moyen 39%]]&gt;&lt;/description&gt;
      &lt;Style&gt;
        &lt;IconStyle&gt;
          &lt;color&gt;ff00C5FF&lt;/color&gt;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&lt;Point&gt;&lt;coordinates&gt;1.0999617,49.5379517,0&lt;/coordinates&gt;&lt;/Point&gt;
    &lt;/Placemark&gt;</v>
      </c>
    </row>
    <row r="31" spans="2:494" ht="15" hidden="1" customHeight="1" x14ac:dyDescent="0.35">
      <c r="B31" s="153" t="str">
        <f t="shared" si="17"/>
        <v>FONTAINE LE BOURG - 318 rue Delamare Deboutteville</v>
      </c>
      <c r="C31" s="154" t="s">
        <v>104</v>
      </c>
      <c r="D31" s="155"/>
      <c r="E31" s="155"/>
      <c r="F31" s="155"/>
      <c r="G31" s="155"/>
      <c r="H31" s="155"/>
      <c r="I31" s="155"/>
      <c r="J31" s="156"/>
      <c r="K31" s="157">
        <f t="shared" si="18"/>
        <v>1</v>
      </c>
      <c r="L31" s="157">
        <f t="shared" si="19"/>
        <v>1</v>
      </c>
      <c r="M31" s="158" t="s">
        <v>230</v>
      </c>
      <c r="N31" s="159"/>
      <c r="O31" s="159">
        <v>76690</v>
      </c>
      <c r="P31" s="159" t="s">
        <v>231</v>
      </c>
      <c r="Q31" s="159" t="s">
        <v>232</v>
      </c>
      <c r="R31" s="159" t="s">
        <v>233</v>
      </c>
      <c r="S31" s="159"/>
      <c r="T31" s="159" t="s">
        <v>94</v>
      </c>
      <c r="U31" s="159" t="s">
        <v>234</v>
      </c>
      <c r="V31" s="160" t="s">
        <v>96</v>
      </c>
      <c r="W31" s="161"/>
      <c r="X31" s="162"/>
      <c r="Y31" s="163"/>
      <c r="Z31" s="162"/>
      <c r="AA31" s="163"/>
      <c r="AB31" s="162"/>
      <c r="AC31" s="163"/>
      <c r="AD31" s="162"/>
      <c r="AE31" s="163"/>
      <c r="AF31" s="162"/>
      <c r="AG31" s="163"/>
      <c r="AH31" s="163">
        <v>6</v>
      </c>
      <c r="AI31" s="162"/>
      <c r="AJ31" s="163"/>
      <c r="AK31" s="162"/>
      <c r="AL31" s="163"/>
      <c r="AM31" s="162"/>
      <c r="AN31" s="163"/>
      <c r="AO31" s="162"/>
      <c r="AP31" s="164"/>
      <c r="AQ31" s="164"/>
      <c r="AR31" s="164"/>
      <c r="AS31" s="164"/>
      <c r="AT31" s="164"/>
      <c r="AU31" s="164"/>
      <c r="AV31" s="164"/>
      <c r="AW31" s="164"/>
      <c r="AX31" s="164"/>
      <c r="AY31" s="165"/>
      <c r="AZ31" s="41"/>
      <c r="BA31" s="190"/>
      <c r="BB31" s="191"/>
      <c r="BC31" s="191"/>
      <c r="BD31" s="191"/>
      <c r="BE31" s="191"/>
      <c r="BF31" s="191">
        <v>100</v>
      </c>
      <c r="BG31" s="191"/>
      <c r="BH31" s="191"/>
      <c r="BI31" s="191"/>
      <c r="BJ31" s="191"/>
      <c r="BK31" s="191"/>
      <c r="BL31" s="191"/>
      <c r="BM31" s="191">
        <v>10</v>
      </c>
      <c r="BN31" s="191"/>
      <c r="BO31" s="191"/>
      <c r="BP31" s="191"/>
      <c r="BQ31" s="191"/>
      <c r="BR31" s="191"/>
      <c r="BS31" s="191"/>
      <c r="BT31" s="191">
        <v>50</v>
      </c>
      <c r="BU31" s="191"/>
      <c r="BV31" s="191"/>
      <c r="BW31" s="191"/>
      <c r="BX31" s="191"/>
      <c r="BY31" s="191"/>
      <c r="BZ31" s="191"/>
      <c r="CA31" s="191">
        <v>10</v>
      </c>
      <c r="CB31" s="191"/>
      <c r="CC31" s="191"/>
      <c r="CD31" s="191"/>
      <c r="CE31" s="192"/>
      <c r="CF31" s="190"/>
      <c r="CG31" s="191"/>
      <c r="CH31" s="191">
        <v>50</v>
      </c>
      <c r="CI31" s="191"/>
      <c r="CJ31" s="191"/>
      <c r="CK31" s="191"/>
      <c r="CL31" s="191"/>
      <c r="CM31" s="191"/>
      <c r="CN31" s="191"/>
      <c r="CO31" s="191">
        <v>50</v>
      </c>
      <c r="CP31" s="191"/>
      <c r="CQ31" s="191"/>
      <c r="CR31" s="191"/>
      <c r="CS31" s="191"/>
      <c r="CT31" s="191"/>
      <c r="CU31" s="191"/>
      <c r="CV31" s="191">
        <v>100</v>
      </c>
      <c r="CW31" s="191"/>
      <c r="CX31" s="191"/>
      <c r="CY31" s="191"/>
      <c r="CZ31" s="191"/>
      <c r="DA31" s="191"/>
      <c r="DB31" s="191"/>
      <c r="DC31" s="191">
        <v>50</v>
      </c>
      <c r="DD31" s="191"/>
      <c r="DE31" s="191"/>
      <c r="DF31" s="191"/>
      <c r="DG31" s="191"/>
      <c r="DH31" s="193"/>
      <c r="DI31" s="194"/>
      <c r="DJ31" s="191"/>
      <c r="DK31" s="191">
        <v>150</v>
      </c>
      <c r="DL31" s="191"/>
      <c r="DM31" s="191"/>
      <c r="DN31" s="191"/>
      <c r="DO31" s="191"/>
      <c r="DP31" s="191"/>
      <c r="DQ31" s="191"/>
      <c r="DR31" s="191">
        <v>200</v>
      </c>
      <c r="DS31" s="191"/>
      <c r="DT31" s="191"/>
      <c r="DU31" s="191"/>
      <c r="DV31" s="191"/>
      <c r="DW31" s="191"/>
      <c r="DX31" s="191"/>
      <c r="DY31" s="191">
        <v>50</v>
      </c>
      <c r="DZ31" s="191"/>
      <c r="EA31" s="191"/>
      <c r="EB31" s="191"/>
      <c r="EC31" s="191"/>
      <c r="ED31" s="191"/>
      <c r="EE31" s="191"/>
      <c r="EF31" s="191">
        <v>100</v>
      </c>
      <c r="EG31" s="191"/>
      <c r="EH31" s="191"/>
      <c r="EI31" s="191"/>
      <c r="EJ31" s="191"/>
      <c r="EK31" s="191"/>
      <c r="EL31" s="191"/>
      <c r="EM31" s="192">
        <v>150</v>
      </c>
      <c r="EN31" s="190"/>
      <c r="EO31" s="191"/>
      <c r="EP31" s="191"/>
      <c r="EQ31" s="191"/>
      <c r="ER31" s="191"/>
      <c r="ES31" s="191"/>
      <c r="ET31" s="191">
        <v>150</v>
      </c>
      <c r="EU31" s="191"/>
      <c r="EV31" s="191"/>
      <c r="EW31" s="191"/>
      <c r="EX31" s="191"/>
      <c r="EY31" s="191"/>
      <c r="EZ31" s="191"/>
      <c r="FA31" s="191">
        <v>50</v>
      </c>
      <c r="FB31" s="191"/>
      <c r="FC31" s="191"/>
      <c r="FD31" s="191"/>
      <c r="FE31" s="191"/>
      <c r="FF31" s="191"/>
      <c r="FG31" s="191"/>
      <c r="FH31" s="191"/>
      <c r="FI31" s="191">
        <v>150</v>
      </c>
      <c r="FJ31" s="191"/>
      <c r="FK31" s="191"/>
      <c r="FL31" s="191"/>
      <c r="FM31" s="191"/>
      <c r="FN31" s="191"/>
      <c r="FO31" s="191">
        <v>50</v>
      </c>
      <c r="FP31" s="191"/>
      <c r="FQ31" s="193"/>
      <c r="FR31" s="194"/>
      <c r="FS31" s="191"/>
      <c r="FT31" s="191"/>
      <c r="FU31" s="191"/>
      <c r="FV31" s="191">
        <v>150</v>
      </c>
      <c r="FW31" s="191"/>
      <c r="FX31" s="191"/>
      <c r="FY31" s="191"/>
      <c r="FZ31" s="191"/>
      <c r="GA31" s="191"/>
      <c r="GB31" s="191"/>
      <c r="GC31" s="191">
        <v>100</v>
      </c>
      <c r="GD31" s="191"/>
      <c r="GE31" s="191"/>
      <c r="GF31" s="191"/>
      <c r="GG31" s="191"/>
      <c r="GH31" s="191"/>
      <c r="GI31" s="191"/>
      <c r="GJ31" s="191">
        <v>100</v>
      </c>
      <c r="GK31" s="191"/>
      <c r="GL31" s="191"/>
      <c r="GM31" s="191"/>
      <c r="GN31" s="191"/>
      <c r="GO31" s="191"/>
      <c r="GP31" s="191"/>
      <c r="GQ31" s="191">
        <v>100</v>
      </c>
      <c r="GR31" s="191"/>
      <c r="GS31" s="191"/>
      <c r="GT31" s="191"/>
      <c r="GU31" s="191"/>
      <c r="GV31" s="192"/>
      <c r="GW31" s="190"/>
      <c r="GX31" s="191">
        <v>100</v>
      </c>
      <c r="GY31" s="191"/>
      <c r="GZ31" s="191"/>
      <c r="HA31" s="191"/>
      <c r="HB31" s="191"/>
      <c r="HC31" s="191"/>
      <c r="HD31" s="191"/>
      <c r="HE31" s="191"/>
      <c r="HF31" s="191">
        <v>150</v>
      </c>
      <c r="HG31" s="191"/>
      <c r="HH31" s="191"/>
      <c r="HI31" s="191"/>
      <c r="HJ31" s="191"/>
      <c r="HK31" s="191"/>
      <c r="HL31" s="191"/>
      <c r="HM31" s="191">
        <v>100</v>
      </c>
      <c r="HN31" s="191"/>
      <c r="HO31" s="191"/>
      <c r="HP31" s="191"/>
      <c r="HQ31" s="191"/>
      <c r="HR31" s="191"/>
      <c r="HS31" s="191">
        <v>100</v>
      </c>
      <c r="HT31" s="191"/>
      <c r="HU31" s="191"/>
      <c r="HV31" s="191"/>
      <c r="HW31" s="191"/>
      <c r="HX31" s="191"/>
      <c r="HY31" s="191"/>
      <c r="HZ31" s="193">
        <v>50</v>
      </c>
      <c r="IA31" s="194"/>
      <c r="IB31" s="191"/>
      <c r="IC31" s="191"/>
      <c r="ID31" s="191"/>
      <c r="IE31" s="191"/>
      <c r="IF31" s="191"/>
      <c r="IG31" s="191">
        <v>50</v>
      </c>
      <c r="IH31" s="191"/>
      <c r="II31" s="191"/>
      <c r="IJ31" s="191"/>
      <c r="IK31" s="191"/>
      <c r="IL31" s="191"/>
      <c r="IM31" s="191"/>
      <c r="IN31" s="191">
        <v>200</v>
      </c>
      <c r="IO31" s="191"/>
      <c r="IP31" s="191"/>
      <c r="IQ31" s="191"/>
      <c r="IR31" s="191"/>
      <c r="IS31" s="191"/>
      <c r="IT31" s="191"/>
      <c r="IU31" s="191">
        <v>100</v>
      </c>
      <c r="IV31" s="191"/>
      <c r="IW31" s="191"/>
      <c r="IX31" s="191"/>
      <c r="IY31" s="191"/>
      <c r="IZ31" s="191"/>
      <c r="JA31" s="191"/>
      <c r="JB31" s="191">
        <v>150</v>
      </c>
      <c r="JC31" s="191"/>
      <c r="JD31" s="191"/>
      <c r="JE31" s="192"/>
      <c r="JF31" s="190"/>
      <c r="JG31" s="191"/>
      <c r="JH31" s="191"/>
      <c r="JI31" s="191">
        <v>150</v>
      </c>
      <c r="JJ31" s="191"/>
      <c r="JK31" s="191"/>
      <c r="JL31" s="191"/>
      <c r="JM31" s="191"/>
      <c r="JN31" s="191"/>
      <c r="JO31" s="191"/>
      <c r="JP31" s="191">
        <v>100</v>
      </c>
      <c r="JQ31" s="191"/>
      <c r="JR31" s="191"/>
      <c r="JS31" s="191"/>
      <c r="JT31" s="191"/>
      <c r="JU31" s="191"/>
      <c r="JV31" s="191"/>
      <c r="JW31" s="191">
        <v>200</v>
      </c>
      <c r="JX31" s="191"/>
      <c r="JY31" s="191"/>
      <c r="JZ31" s="191"/>
      <c r="KA31" s="191"/>
      <c r="KB31" s="191"/>
      <c r="KC31" s="191"/>
      <c r="KD31" s="191">
        <v>200</v>
      </c>
      <c r="KE31" s="191"/>
      <c r="KF31" s="191"/>
      <c r="KG31" s="191"/>
      <c r="KH31" s="191"/>
      <c r="KI31" s="191"/>
      <c r="KJ31" s="193"/>
      <c r="KK31" s="194">
        <v>100</v>
      </c>
      <c r="KL31" s="191"/>
      <c r="KM31" s="191"/>
      <c r="KN31" s="191"/>
      <c r="KO31" s="191"/>
      <c r="KP31" s="191"/>
      <c r="KQ31" s="191"/>
      <c r="KR31" s="191">
        <v>50</v>
      </c>
      <c r="KS31" s="191"/>
      <c r="KT31" s="191"/>
      <c r="KU31" s="191"/>
      <c r="KV31" s="191"/>
      <c r="KW31" s="191"/>
      <c r="KX31" s="191"/>
      <c r="KY31" s="191">
        <v>100</v>
      </c>
      <c r="KZ31" s="191"/>
      <c r="LA31" s="191"/>
      <c r="LB31" s="191"/>
      <c r="LC31" s="191"/>
      <c r="LD31" s="191"/>
      <c r="LE31" s="191"/>
      <c r="LF31" s="191">
        <v>50</v>
      </c>
      <c r="LG31" s="191"/>
      <c r="LH31" s="191"/>
      <c r="LI31" s="191"/>
      <c r="LJ31" s="191"/>
      <c r="LK31" s="191"/>
      <c r="LL31" s="191"/>
      <c r="LM31" s="191"/>
      <c r="LN31" s="192"/>
      <c r="LO31" s="190"/>
      <c r="LP31" s="191"/>
      <c r="LQ31" s="191"/>
      <c r="LR31" s="191"/>
      <c r="LS31" s="191"/>
      <c r="LT31" s="191">
        <v>150</v>
      </c>
      <c r="LU31" s="191"/>
      <c r="LV31" s="191"/>
      <c r="LW31" s="191"/>
      <c r="LX31" s="191"/>
      <c r="LY31" s="191"/>
      <c r="LZ31" s="191"/>
      <c r="MA31" s="191">
        <v>100</v>
      </c>
      <c r="MB31" s="191"/>
      <c r="MC31" s="191"/>
      <c r="MD31" s="191"/>
      <c r="ME31" s="191"/>
      <c r="MF31" s="191"/>
      <c r="MG31" s="191"/>
      <c r="MH31" s="191">
        <v>150</v>
      </c>
      <c r="MI31" s="191"/>
      <c r="MJ31" s="191"/>
      <c r="MK31" s="191"/>
      <c r="ML31" s="191"/>
      <c r="MM31" s="191"/>
      <c r="MN31" s="191"/>
      <c r="MO31" s="191">
        <v>100</v>
      </c>
      <c r="MP31" s="191"/>
      <c r="MQ31" s="191"/>
      <c r="MR31" s="191"/>
      <c r="MS31" s="193"/>
      <c r="MT31" s="194"/>
      <c r="MU31" s="191"/>
      <c r="MV31" s="191">
        <v>10</v>
      </c>
      <c r="MW31" s="191"/>
      <c r="MX31" s="191"/>
      <c r="MY31" s="191"/>
      <c r="MZ31" s="191"/>
      <c r="NA31" s="191"/>
      <c r="NB31" s="191"/>
      <c r="NC31" s="191">
        <v>50</v>
      </c>
      <c r="ND31" s="191"/>
      <c r="NE31" s="191"/>
      <c r="NF31" s="191"/>
      <c r="NG31" s="191"/>
      <c r="NH31" s="191"/>
      <c r="NI31" s="191"/>
      <c r="NJ31" s="191">
        <v>50</v>
      </c>
      <c r="NK31" s="191"/>
      <c r="NL31" s="191"/>
      <c r="NM31" s="191"/>
      <c r="NN31" s="191"/>
      <c r="NO31" s="191"/>
      <c r="NP31" s="191"/>
      <c r="NQ31" s="191">
        <v>10</v>
      </c>
      <c r="NR31" s="191"/>
      <c r="NS31" s="191"/>
      <c r="NT31" s="191"/>
      <c r="NU31" s="191"/>
      <c r="NV31" s="191"/>
      <c r="NW31" s="192"/>
      <c r="NX31" s="190">
        <v>10</v>
      </c>
      <c r="NY31" s="191"/>
      <c r="NZ31" s="191"/>
      <c r="OA31" s="191"/>
      <c r="OB31" s="191"/>
      <c r="OC31" s="191"/>
      <c r="OD31" s="191"/>
      <c r="OE31" s="191">
        <v>50</v>
      </c>
      <c r="OF31" s="191"/>
      <c r="OG31" s="191"/>
      <c r="OH31" s="191"/>
      <c r="OI31" s="191"/>
      <c r="OJ31" s="191"/>
      <c r="OK31" s="191"/>
      <c r="OL31" s="191">
        <v>100</v>
      </c>
      <c r="OM31" s="191"/>
      <c r="ON31" s="191"/>
      <c r="OO31" s="191"/>
      <c r="OP31" s="191"/>
      <c r="OQ31" s="191"/>
      <c r="OR31" s="191"/>
      <c r="OS31" s="191"/>
      <c r="OT31" s="191"/>
      <c r="OU31" s="191"/>
      <c r="OV31" s="191"/>
      <c r="OW31" s="191"/>
      <c r="OX31" s="191"/>
      <c r="OY31" s="191"/>
      <c r="OZ31" s="191"/>
      <c r="PA31" s="191"/>
      <c r="PB31" s="193"/>
      <c r="PC31" s="47"/>
      <c r="PD31" s="154" t="s">
        <v>98</v>
      </c>
      <c r="PE31" s="155" t="s">
        <v>98</v>
      </c>
      <c r="PF31" s="155" t="s">
        <v>98</v>
      </c>
      <c r="PG31" s="155" t="s">
        <v>98</v>
      </c>
      <c r="PH31" s="155" t="s">
        <v>98</v>
      </c>
      <c r="PI31" s="155" t="s">
        <v>98</v>
      </c>
      <c r="PJ31" s="155" t="s">
        <v>98</v>
      </c>
      <c r="PK31" s="155" t="s">
        <v>98</v>
      </c>
      <c r="PL31" s="155" t="s">
        <v>97</v>
      </c>
      <c r="PM31" s="155" t="s">
        <v>98</v>
      </c>
      <c r="PN31" s="155" t="s">
        <v>98</v>
      </c>
      <c r="PO31" s="156"/>
      <c r="PP31" s="156"/>
      <c r="PQ31" s="156"/>
      <c r="PR31" s="156"/>
      <c r="PS31" s="156"/>
      <c r="PT31" s="156"/>
      <c r="PU31" s="156"/>
      <c r="PV31" s="156"/>
      <c r="PW31" s="156"/>
      <c r="PX31" s="195"/>
      <c r="PY31" s="1"/>
      <c r="PZ31" s="196">
        <f t="shared" si="20"/>
        <v>170</v>
      </c>
      <c r="QA31" s="176">
        <f t="shared" si="21"/>
        <v>1.41820305330775E-3</v>
      </c>
      <c r="QB31" s="177" t="str">
        <f t="shared" ca="1" si="22"/>
        <v>Attente…</v>
      </c>
      <c r="QC31" s="197">
        <f t="shared" si="23"/>
        <v>250</v>
      </c>
      <c r="QD31" s="179">
        <f t="shared" si="24"/>
        <v>2.3408239700374533E-3</v>
      </c>
      <c r="QE31" s="180" t="str">
        <f t="shared" ca="1" si="25"/>
        <v>Attente…</v>
      </c>
      <c r="QF31" s="196">
        <f t="shared" si="26"/>
        <v>650</v>
      </c>
      <c r="QG31" s="176">
        <f t="shared" si="27"/>
        <v>5.175983436853002E-3</v>
      </c>
      <c r="QH31" s="177" t="str">
        <f t="shared" ca="1" si="28"/>
        <v>Attente…</v>
      </c>
      <c r="QI31" s="197">
        <f t="shared" si="29"/>
        <v>400</v>
      </c>
      <c r="QJ31" s="179">
        <f t="shared" si="30"/>
        <v>2.8054425585636133E-3</v>
      </c>
      <c r="QK31" s="180" t="str">
        <f t="shared" ca="1" si="31"/>
        <v>Attente…</v>
      </c>
      <c r="QL31" s="196">
        <f t="shared" si="32"/>
        <v>450</v>
      </c>
      <c r="QM31" s="176">
        <f t="shared" si="33"/>
        <v>3.2923617208077262E-3</v>
      </c>
      <c r="QN31" s="177" t="str">
        <f t="shared" ca="1" si="34"/>
        <v>Attente…</v>
      </c>
      <c r="QO31" s="197">
        <f t="shared" si="35"/>
        <v>500</v>
      </c>
      <c r="QP31" s="179">
        <f t="shared" si="36"/>
        <v>3.9145071635481093E-3</v>
      </c>
      <c r="QQ31" s="180" t="str">
        <f t="shared" ca="1" si="37"/>
        <v>Attente…</v>
      </c>
      <c r="QR31" s="196">
        <f t="shared" si="38"/>
        <v>500</v>
      </c>
      <c r="QS31" s="176">
        <f t="shared" si="39"/>
        <v>3.5995824484359815E-3</v>
      </c>
      <c r="QT31" s="177" t="str">
        <f t="shared" ca="1" si="40"/>
        <v>Attente…</v>
      </c>
      <c r="QU31" s="197">
        <f t="shared" si="41"/>
        <v>650</v>
      </c>
      <c r="QV31" s="179">
        <f t="shared" si="42"/>
        <v>4.4815223386651956E-3</v>
      </c>
      <c r="QW31" s="180" t="str">
        <f t="shared" ca="1" si="43"/>
        <v>Attente…</v>
      </c>
      <c r="QX31" s="196">
        <f t="shared" si="44"/>
        <v>300</v>
      </c>
      <c r="QY31" s="176">
        <f t="shared" si="45"/>
        <v>2.1892057561516682E-3</v>
      </c>
      <c r="QZ31" s="177" t="str">
        <f t="shared" ca="1" si="46"/>
        <v>Attente…</v>
      </c>
      <c r="RA31" s="197">
        <f t="shared" si="47"/>
        <v>500</v>
      </c>
      <c r="RB31" s="179">
        <f t="shared" si="48"/>
        <v>3.9120569595493312E-3</v>
      </c>
      <c r="RC31" s="180" t="str">
        <f t="shared" ca="1" si="49"/>
        <v>Attente…</v>
      </c>
      <c r="RD31" s="196">
        <f t="shared" si="50"/>
        <v>120</v>
      </c>
      <c r="RE31" s="176">
        <f t="shared" si="51"/>
        <v>1.1956954962136308E-3</v>
      </c>
      <c r="RF31" s="177" t="str">
        <f t="shared" ca="1" si="52"/>
        <v>Attente…</v>
      </c>
      <c r="RG31" s="197">
        <f t="shared" si="53"/>
        <v>160</v>
      </c>
      <c r="RH31" s="179">
        <f t="shared" si="54"/>
        <v>2.9427993378701488E-3</v>
      </c>
      <c r="RI31" s="198" t="str">
        <f t="shared" ca="1" si="55"/>
        <v>Attente…</v>
      </c>
      <c r="RJ31" s="199">
        <f t="shared" si="56"/>
        <v>1070</v>
      </c>
      <c r="RK31" s="200" t="str">
        <f t="shared" ca="1" si="13"/>
        <v>Attente…</v>
      </c>
      <c r="RL31" s="199">
        <f t="shared" si="57"/>
        <v>1350</v>
      </c>
      <c r="RM31" s="200" t="str">
        <f t="shared" ca="1" si="58"/>
        <v>Atttente…</v>
      </c>
      <c r="RN31" s="199">
        <f t="shared" si="59"/>
        <v>1450</v>
      </c>
      <c r="RO31" s="200" t="str">
        <f t="shared" ca="1" si="14"/>
        <v>Attente…</v>
      </c>
      <c r="RP31" s="199">
        <f t="shared" si="60"/>
        <v>780</v>
      </c>
      <c r="RQ31" s="200" t="str">
        <f t="shared" ca="1" si="15"/>
        <v>Attente…</v>
      </c>
      <c r="RR31" s="201">
        <f t="shared" si="61"/>
        <v>4650</v>
      </c>
      <c r="RS31" s="202" t="str">
        <f t="shared" ca="1" si="16"/>
        <v>Attente…</v>
      </c>
      <c r="RT31" s="103"/>
      <c r="RU31" s="203">
        <f t="shared" si="62"/>
        <v>0.47448979591836732</v>
      </c>
      <c r="RV31" s="204">
        <f t="shared" si="65"/>
        <v>1</v>
      </c>
      <c r="RW31" s="204">
        <f t="shared" si="65"/>
        <v>1</v>
      </c>
      <c r="RX31" s="204">
        <f t="shared" si="63"/>
        <v>49</v>
      </c>
      <c r="RY31" s="205" t="str">
        <f t="shared" si="64"/>
        <v>FONTAINE LE BOURG - 318 rue Delamare Deboutteville</v>
      </c>
      <c r="RZ31" s="189" t="str">
        <f>IF(OR(RZ30="",RZ30="  &lt;/Document&gt;
&lt;/kml&gt;"),"",
IF(B31="","  &lt;/Document&gt;
&lt;/kml&gt;",
IF(TournéesCAV!Q30=""," ",
"    &lt;Placemark&gt;
      &lt;description&gt;&lt;![CDATA["&amp;B31&amp;"&lt;br&gt;&lt;br&gt;"&amp;RV31&amp;" CAV&lt;br&gt;&lt;br&gt;Présent sur "&amp;RW31&amp;" tournée(s)&lt;br&gt;&lt;br&gt;Taux de remplissage moyen "&amp;TEXT(RU31*1000,"0 %")&amp;"]]&gt;&lt;/description&gt;
      &lt;Style&gt;
        &lt;IconStyle&gt;
          &lt;color&gt;ff"&amp;
          DEC2HEX(0,2)&amp;
          DEC2HEX(
            IF(RU31&lt;=0.5,
               INT(255*(RU31*2)),
               255
            ),2)&amp;
          DEC2HEX(
            IF(RU31&lt;=0.5,
               255,
               INT(255*(1-(RU31-0.5)*2))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&lt;Point&gt;&lt;coordinates&gt;"&amp;R31&amp;","&amp;Q31&amp;",0&lt;/coordinates&gt;&lt;/Point&gt;
    &lt;/Placemark&gt;"
)))</f>
        <v xml:space="preserve">    &lt;Placemark&gt;
      &lt;description&gt;&lt;![CDATA[FONTAINE LE BOURG - 318 rue Delamare Deboutteville&lt;br&gt;&lt;br&gt;1 CAV&lt;br&gt;&lt;br&gt;Présent sur 1 tournée(s)&lt;br&gt;&lt;br&gt;Taux de remplissage moyen 47%]]&gt;&lt;/description&gt;
      &lt;Style&gt;
        &lt;IconStyle&gt;
          &lt;color&gt;ff00F1FF&lt;/color&gt;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&lt;Point&gt;&lt;coordinates&gt;1.1605071,49.5616059,0&lt;/coordinates&gt;&lt;/Point&gt;
    &lt;/Placemark&gt;</v>
      </c>
    </row>
    <row r="32" spans="2:494" ht="15" hidden="1" customHeight="1" x14ac:dyDescent="0.35">
      <c r="B32" s="153" t="str">
        <f t="shared" si="17"/>
        <v>QUINCAMPOIX - 11 Rue de Cailly (Parking du Cimetière)</v>
      </c>
      <c r="C32" s="154" t="s">
        <v>104</v>
      </c>
      <c r="D32" s="155"/>
      <c r="E32" s="155"/>
      <c r="F32" s="155"/>
      <c r="G32" s="155"/>
      <c r="H32" s="155"/>
      <c r="I32" s="155"/>
      <c r="J32" s="156"/>
      <c r="K32" s="157">
        <f t="shared" si="18"/>
        <v>1</v>
      </c>
      <c r="L32" s="157">
        <f t="shared" si="19"/>
        <v>2</v>
      </c>
      <c r="M32" s="158" t="s">
        <v>235</v>
      </c>
      <c r="N32" s="159" t="s">
        <v>236</v>
      </c>
      <c r="O32" s="159">
        <v>76230</v>
      </c>
      <c r="P32" s="159" t="s">
        <v>237</v>
      </c>
      <c r="Q32" s="159" t="s">
        <v>238</v>
      </c>
      <c r="R32" s="159" t="s">
        <v>239</v>
      </c>
      <c r="S32" s="159"/>
      <c r="T32" s="159" t="s">
        <v>94</v>
      </c>
      <c r="U32" s="159" t="s">
        <v>240</v>
      </c>
      <c r="V32" s="160" t="s">
        <v>96</v>
      </c>
      <c r="W32" s="161"/>
      <c r="X32" s="162"/>
      <c r="Y32" s="163"/>
      <c r="Z32" s="162"/>
      <c r="AA32" s="163"/>
      <c r="AB32" s="162"/>
      <c r="AC32" s="163"/>
      <c r="AD32" s="162"/>
      <c r="AE32" s="163"/>
      <c r="AF32" s="162"/>
      <c r="AG32" s="163"/>
      <c r="AH32" s="163">
        <v>7</v>
      </c>
      <c r="AI32" s="162">
        <v>6</v>
      </c>
      <c r="AJ32" s="163"/>
      <c r="AK32" s="162"/>
      <c r="AL32" s="163"/>
      <c r="AM32" s="162"/>
      <c r="AN32" s="163"/>
      <c r="AO32" s="162"/>
      <c r="AP32" s="164"/>
      <c r="AQ32" s="164"/>
      <c r="AR32" s="164"/>
      <c r="AS32" s="164"/>
      <c r="AT32" s="164"/>
      <c r="AU32" s="164"/>
      <c r="AV32" s="164"/>
      <c r="AW32" s="164"/>
      <c r="AX32" s="164"/>
      <c r="AY32" s="165"/>
      <c r="AZ32" s="41"/>
      <c r="BA32" s="190"/>
      <c r="BB32" s="191"/>
      <c r="BC32" s="191">
        <v>200</v>
      </c>
      <c r="BD32" s="191"/>
      <c r="BE32" s="191"/>
      <c r="BF32" s="191">
        <v>400</v>
      </c>
      <c r="BG32" s="191"/>
      <c r="BH32" s="191"/>
      <c r="BI32" s="191"/>
      <c r="BJ32" s="191">
        <v>100</v>
      </c>
      <c r="BK32" s="191"/>
      <c r="BL32" s="191"/>
      <c r="BM32" s="191">
        <v>50</v>
      </c>
      <c r="BN32" s="191"/>
      <c r="BO32" s="191"/>
      <c r="BP32" s="191"/>
      <c r="BQ32" s="191">
        <v>150</v>
      </c>
      <c r="BR32" s="191"/>
      <c r="BS32" s="191"/>
      <c r="BT32" s="191">
        <v>50</v>
      </c>
      <c r="BU32" s="191"/>
      <c r="BV32" s="191"/>
      <c r="BW32" s="191"/>
      <c r="BX32" s="191">
        <v>50</v>
      </c>
      <c r="BY32" s="191"/>
      <c r="BZ32" s="191"/>
      <c r="CA32" s="191">
        <v>150</v>
      </c>
      <c r="CB32" s="191"/>
      <c r="CC32" s="191"/>
      <c r="CD32" s="191"/>
      <c r="CE32" s="192">
        <v>100</v>
      </c>
      <c r="CF32" s="190"/>
      <c r="CG32" s="191"/>
      <c r="CH32" s="191">
        <v>50</v>
      </c>
      <c r="CI32" s="191"/>
      <c r="CJ32" s="191"/>
      <c r="CK32" s="191"/>
      <c r="CL32" s="191">
        <v>150</v>
      </c>
      <c r="CM32" s="191"/>
      <c r="CN32" s="191"/>
      <c r="CO32" s="191">
        <v>100</v>
      </c>
      <c r="CP32" s="191"/>
      <c r="CQ32" s="191"/>
      <c r="CR32" s="191"/>
      <c r="CS32" s="191">
        <v>100</v>
      </c>
      <c r="CT32" s="191"/>
      <c r="CU32" s="191"/>
      <c r="CV32" s="191">
        <v>100</v>
      </c>
      <c r="CW32" s="191"/>
      <c r="CX32" s="191"/>
      <c r="CY32" s="191"/>
      <c r="CZ32" s="191">
        <v>100</v>
      </c>
      <c r="DA32" s="191"/>
      <c r="DB32" s="191"/>
      <c r="DC32" s="191">
        <v>100</v>
      </c>
      <c r="DD32" s="191"/>
      <c r="DE32" s="191"/>
      <c r="DF32" s="191"/>
      <c r="DG32" s="191">
        <v>200</v>
      </c>
      <c r="DH32" s="193"/>
      <c r="DI32" s="194"/>
      <c r="DJ32" s="191"/>
      <c r="DK32" s="191">
        <v>100</v>
      </c>
      <c r="DL32" s="191"/>
      <c r="DM32" s="191"/>
      <c r="DN32" s="191"/>
      <c r="DO32" s="191">
        <v>150</v>
      </c>
      <c r="DP32" s="191"/>
      <c r="DQ32" s="191"/>
      <c r="DR32" s="191">
        <v>200</v>
      </c>
      <c r="DS32" s="191"/>
      <c r="DT32" s="191"/>
      <c r="DU32" s="191"/>
      <c r="DV32" s="191">
        <v>50</v>
      </c>
      <c r="DW32" s="191"/>
      <c r="DX32" s="191"/>
      <c r="DY32" s="191">
        <v>100</v>
      </c>
      <c r="DZ32" s="191"/>
      <c r="EA32" s="191"/>
      <c r="EB32" s="191"/>
      <c r="EC32" s="191">
        <v>100</v>
      </c>
      <c r="ED32" s="191"/>
      <c r="EE32" s="191"/>
      <c r="EF32" s="191">
        <v>200</v>
      </c>
      <c r="EG32" s="191"/>
      <c r="EH32" s="191"/>
      <c r="EI32" s="191"/>
      <c r="EJ32" s="191">
        <v>100</v>
      </c>
      <c r="EK32" s="191"/>
      <c r="EL32" s="191"/>
      <c r="EM32" s="192">
        <v>100</v>
      </c>
      <c r="EN32" s="190"/>
      <c r="EO32" s="191"/>
      <c r="EP32" s="191"/>
      <c r="EQ32" s="191">
        <v>100</v>
      </c>
      <c r="ER32" s="191"/>
      <c r="ES32" s="191"/>
      <c r="ET32" s="191">
        <v>50</v>
      </c>
      <c r="EU32" s="191"/>
      <c r="EV32" s="191"/>
      <c r="EW32" s="191"/>
      <c r="EX32" s="191">
        <v>100</v>
      </c>
      <c r="EY32" s="191"/>
      <c r="EZ32" s="191"/>
      <c r="FA32" s="191">
        <v>100</v>
      </c>
      <c r="FB32" s="191"/>
      <c r="FC32" s="191"/>
      <c r="FD32" s="191"/>
      <c r="FE32" s="191">
        <v>150</v>
      </c>
      <c r="FF32" s="191"/>
      <c r="FG32" s="191"/>
      <c r="FH32" s="191"/>
      <c r="FI32" s="191">
        <v>200</v>
      </c>
      <c r="FJ32" s="191"/>
      <c r="FK32" s="191"/>
      <c r="FL32" s="191">
        <v>150</v>
      </c>
      <c r="FM32" s="191"/>
      <c r="FN32" s="191"/>
      <c r="FO32" s="191">
        <v>100</v>
      </c>
      <c r="FP32" s="191"/>
      <c r="FQ32" s="193"/>
      <c r="FR32" s="194"/>
      <c r="FS32" s="191">
        <v>10</v>
      </c>
      <c r="FT32" s="191"/>
      <c r="FU32" s="191"/>
      <c r="FV32" s="191">
        <v>100</v>
      </c>
      <c r="FW32" s="191"/>
      <c r="FX32" s="191"/>
      <c r="FY32" s="191"/>
      <c r="FZ32" s="191">
        <v>150</v>
      </c>
      <c r="GA32" s="191"/>
      <c r="GB32" s="191"/>
      <c r="GC32" s="191">
        <v>50</v>
      </c>
      <c r="GD32" s="191"/>
      <c r="GE32" s="191"/>
      <c r="GF32" s="191"/>
      <c r="GG32" s="191">
        <v>100</v>
      </c>
      <c r="GH32" s="191"/>
      <c r="GI32" s="191"/>
      <c r="GJ32" s="191">
        <v>50</v>
      </c>
      <c r="GK32" s="191"/>
      <c r="GL32" s="191"/>
      <c r="GM32" s="191"/>
      <c r="GN32" s="191">
        <v>100</v>
      </c>
      <c r="GO32" s="191"/>
      <c r="GP32" s="191"/>
      <c r="GQ32" s="191">
        <v>50</v>
      </c>
      <c r="GR32" s="191"/>
      <c r="GS32" s="191"/>
      <c r="GT32" s="191"/>
      <c r="GU32" s="191">
        <v>50</v>
      </c>
      <c r="GV32" s="192"/>
      <c r="GW32" s="190"/>
      <c r="GX32" s="191">
        <v>50</v>
      </c>
      <c r="GY32" s="191"/>
      <c r="GZ32" s="191"/>
      <c r="HA32" s="191"/>
      <c r="HB32" s="191">
        <v>100</v>
      </c>
      <c r="HC32" s="191"/>
      <c r="HD32" s="191"/>
      <c r="HE32" s="191"/>
      <c r="HF32" s="191">
        <v>150</v>
      </c>
      <c r="HG32" s="191"/>
      <c r="HH32" s="191"/>
      <c r="HI32" s="191">
        <v>50</v>
      </c>
      <c r="HJ32" s="191"/>
      <c r="HK32" s="191"/>
      <c r="HL32" s="191"/>
      <c r="HM32" s="191">
        <v>100</v>
      </c>
      <c r="HN32" s="191"/>
      <c r="HO32" s="191">
        <v>150</v>
      </c>
      <c r="HP32" s="191"/>
      <c r="HQ32" s="191"/>
      <c r="HR32" s="191"/>
      <c r="HS32" s="191">
        <v>100</v>
      </c>
      <c r="HT32" s="191"/>
      <c r="HU32" s="191"/>
      <c r="HV32" s="191"/>
      <c r="HW32" s="191">
        <v>50</v>
      </c>
      <c r="HX32" s="191"/>
      <c r="HY32" s="191"/>
      <c r="HZ32" s="193">
        <v>50</v>
      </c>
      <c r="IA32" s="194"/>
      <c r="IB32" s="191"/>
      <c r="IC32" s="191"/>
      <c r="ID32" s="191">
        <v>100</v>
      </c>
      <c r="IE32" s="191"/>
      <c r="IF32" s="191"/>
      <c r="IG32" s="191">
        <v>50</v>
      </c>
      <c r="IH32" s="191"/>
      <c r="II32" s="191"/>
      <c r="IJ32" s="191"/>
      <c r="IK32" s="191">
        <v>150</v>
      </c>
      <c r="IL32" s="191"/>
      <c r="IM32" s="191"/>
      <c r="IN32" s="191">
        <v>50</v>
      </c>
      <c r="IO32" s="191"/>
      <c r="IP32" s="191"/>
      <c r="IQ32" s="191"/>
      <c r="IR32" s="191">
        <v>100</v>
      </c>
      <c r="IS32" s="191"/>
      <c r="IT32" s="191"/>
      <c r="IU32" s="191">
        <v>100</v>
      </c>
      <c r="IV32" s="191"/>
      <c r="IW32" s="191"/>
      <c r="IX32" s="191"/>
      <c r="IY32" s="191">
        <v>100</v>
      </c>
      <c r="IZ32" s="191"/>
      <c r="JA32" s="191"/>
      <c r="JB32" s="191">
        <v>50</v>
      </c>
      <c r="JC32" s="191"/>
      <c r="JD32" s="191"/>
      <c r="JE32" s="192"/>
      <c r="JF32" s="190">
        <v>10</v>
      </c>
      <c r="JG32" s="191"/>
      <c r="JH32" s="191"/>
      <c r="JI32" s="191">
        <v>100</v>
      </c>
      <c r="JJ32" s="191"/>
      <c r="JK32" s="191"/>
      <c r="JL32" s="191"/>
      <c r="JM32" s="191">
        <v>150</v>
      </c>
      <c r="JN32" s="191"/>
      <c r="JO32" s="191"/>
      <c r="JP32" s="191">
        <v>150</v>
      </c>
      <c r="JQ32" s="191"/>
      <c r="JR32" s="191"/>
      <c r="JS32" s="191">
        <v>100</v>
      </c>
      <c r="JT32" s="191"/>
      <c r="JU32" s="191"/>
      <c r="JV32" s="191"/>
      <c r="JW32" s="191">
        <v>50</v>
      </c>
      <c r="JX32" s="191"/>
      <c r="JY32" s="191"/>
      <c r="JZ32" s="191"/>
      <c r="KA32" s="191">
        <v>200</v>
      </c>
      <c r="KB32" s="191"/>
      <c r="KC32" s="191"/>
      <c r="KD32" s="191">
        <v>150</v>
      </c>
      <c r="KE32" s="191"/>
      <c r="KF32" s="191"/>
      <c r="KG32" s="191"/>
      <c r="KH32" s="191">
        <v>100</v>
      </c>
      <c r="KI32" s="191"/>
      <c r="KJ32" s="193"/>
      <c r="KK32" s="194">
        <v>50</v>
      </c>
      <c r="KL32" s="191"/>
      <c r="KM32" s="191"/>
      <c r="KN32" s="191"/>
      <c r="KO32" s="191">
        <v>150</v>
      </c>
      <c r="KP32" s="191"/>
      <c r="KQ32" s="191"/>
      <c r="KR32" s="191">
        <v>100</v>
      </c>
      <c r="KS32" s="191"/>
      <c r="KT32" s="191"/>
      <c r="KU32" s="191"/>
      <c r="KV32" s="191">
        <v>50</v>
      </c>
      <c r="KW32" s="191"/>
      <c r="KX32" s="191"/>
      <c r="KY32" s="191">
        <v>50</v>
      </c>
      <c r="KZ32" s="191"/>
      <c r="LA32" s="191"/>
      <c r="LB32" s="191"/>
      <c r="LC32" s="191">
        <v>50</v>
      </c>
      <c r="LD32" s="191"/>
      <c r="LE32" s="191"/>
      <c r="LF32" s="191">
        <v>100</v>
      </c>
      <c r="LG32" s="191"/>
      <c r="LH32" s="191"/>
      <c r="LI32" s="191"/>
      <c r="LJ32" s="191">
        <v>150</v>
      </c>
      <c r="LK32" s="191"/>
      <c r="LL32" s="191"/>
      <c r="LM32" s="191"/>
      <c r="LN32" s="192"/>
      <c r="LO32" s="190"/>
      <c r="LP32" s="191"/>
      <c r="LQ32" s="191">
        <v>150</v>
      </c>
      <c r="LR32" s="191"/>
      <c r="LS32" s="191"/>
      <c r="LT32" s="191">
        <v>50</v>
      </c>
      <c r="LU32" s="191"/>
      <c r="LV32" s="191"/>
      <c r="LW32" s="191"/>
      <c r="LX32" s="191">
        <v>50</v>
      </c>
      <c r="LY32" s="191"/>
      <c r="LZ32" s="191"/>
      <c r="MA32" s="191">
        <v>100</v>
      </c>
      <c r="MB32" s="191"/>
      <c r="MC32" s="191"/>
      <c r="MD32" s="191"/>
      <c r="ME32" s="191">
        <v>200</v>
      </c>
      <c r="MF32" s="191"/>
      <c r="MG32" s="191"/>
      <c r="MH32" s="191">
        <v>100</v>
      </c>
      <c r="MI32" s="191"/>
      <c r="MJ32" s="191"/>
      <c r="MK32" s="191"/>
      <c r="ML32" s="191">
        <v>100</v>
      </c>
      <c r="MM32" s="191"/>
      <c r="MN32" s="191"/>
      <c r="MO32" s="191">
        <v>50</v>
      </c>
      <c r="MP32" s="191"/>
      <c r="MQ32" s="191"/>
      <c r="MR32" s="191"/>
      <c r="MS32" s="193">
        <v>50</v>
      </c>
      <c r="MT32" s="194"/>
      <c r="MU32" s="191"/>
      <c r="MV32" s="191">
        <v>100</v>
      </c>
      <c r="MW32" s="191"/>
      <c r="MX32" s="191"/>
      <c r="MY32" s="191"/>
      <c r="MZ32" s="191">
        <v>50</v>
      </c>
      <c r="NA32" s="191"/>
      <c r="NB32" s="191"/>
      <c r="NC32" s="191">
        <v>50</v>
      </c>
      <c r="ND32" s="191"/>
      <c r="NE32" s="191"/>
      <c r="NF32" s="191"/>
      <c r="NG32" s="191">
        <v>150</v>
      </c>
      <c r="NH32" s="191"/>
      <c r="NI32" s="191"/>
      <c r="NJ32" s="191">
        <v>10</v>
      </c>
      <c r="NK32" s="191"/>
      <c r="NL32" s="191"/>
      <c r="NM32" s="191"/>
      <c r="NN32" s="191">
        <v>50</v>
      </c>
      <c r="NO32" s="191"/>
      <c r="NP32" s="191"/>
      <c r="NQ32" s="191">
        <v>50</v>
      </c>
      <c r="NR32" s="191"/>
      <c r="NS32" s="191"/>
      <c r="NT32" s="191"/>
      <c r="NU32" s="191">
        <v>50</v>
      </c>
      <c r="NV32" s="191"/>
      <c r="NW32" s="192"/>
      <c r="NX32" s="190">
        <v>50</v>
      </c>
      <c r="NY32" s="191"/>
      <c r="NZ32" s="191"/>
      <c r="OA32" s="191"/>
      <c r="OB32" s="191">
        <v>50</v>
      </c>
      <c r="OC32" s="191"/>
      <c r="OD32" s="191"/>
      <c r="OE32" s="191">
        <v>100</v>
      </c>
      <c r="OF32" s="191"/>
      <c r="OG32" s="191"/>
      <c r="OH32" s="191"/>
      <c r="OI32" s="191">
        <v>50</v>
      </c>
      <c r="OJ32" s="191"/>
      <c r="OK32" s="191"/>
      <c r="OL32" s="191">
        <v>50</v>
      </c>
      <c r="OM32" s="191"/>
      <c r="ON32" s="191"/>
      <c r="OO32" s="191"/>
      <c r="OP32" s="191"/>
      <c r="OQ32" s="191"/>
      <c r="OR32" s="191"/>
      <c r="OS32" s="191"/>
      <c r="OT32" s="191"/>
      <c r="OU32" s="191"/>
      <c r="OV32" s="191"/>
      <c r="OW32" s="191"/>
      <c r="OX32" s="191"/>
      <c r="OY32" s="191"/>
      <c r="OZ32" s="191"/>
      <c r="PA32" s="191"/>
      <c r="PB32" s="193"/>
      <c r="PC32" s="47"/>
      <c r="PD32" s="154" t="s">
        <v>98</v>
      </c>
      <c r="PE32" s="155" t="s">
        <v>98</v>
      </c>
      <c r="PF32" s="155" t="s">
        <v>98</v>
      </c>
      <c r="PG32" s="155" t="s">
        <v>98</v>
      </c>
      <c r="PH32" s="155" t="s">
        <v>98</v>
      </c>
      <c r="PI32" s="155" t="s">
        <v>98</v>
      </c>
      <c r="PJ32" s="155" t="s">
        <v>98</v>
      </c>
      <c r="PK32" s="155" t="s">
        <v>98</v>
      </c>
      <c r="PL32" s="155" t="s">
        <v>97</v>
      </c>
      <c r="PM32" s="155" t="s">
        <v>98</v>
      </c>
      <c r="PN32" s="155" t="s">
        <v>98</v>
      </c>
      <c r="PO32" s="156"/>
      <c r="PP32" s="156"/>
      <c r="PQ32" s="156"/>
      <c r="PR32" s="156"/>
      <c r="PS32" s="156"/>
      <c r="PT32" s="156"/>
      <c r="PU32" s="156"/>
      <c r="PV32" s="156"/>
      <c r="PW32" s="156"/>
      <c r="PX32" s="195"/>
      <c r="PY32" s="1"/>
      <c r="PZ32" s="196">
        <f t="shared" si="20"/>
        <v>1250</v>
      </c>
      <c r="QA32" s="176">
        <f t="shared" si="21"/>
        <v>1.0427963627262869E-2</v>
      </c>
      <c r="QB32" s="177" t="str">
        <f t="shared" ca="1" si="22"/>
        <v>Attente…</v>
      </c>
      <c r="QC32" s="197">
        <f t="shared" si="23"/>
        <v>900</v>
      </c>
      <c r="QD32" s="179">
        <f t="shared" si="24"/>
        <v>8.4269662921348312E-3</v>
      </c>
      <c r="QE32" s="180" t="str">
        <f t="shared" ca="1" si="25"/>
        <v>Attente…</v>
      </c>
      <c r="QF32" s="196">
        <f t="shared" si="26"/>
        <v>1100</v>
      </c>
      <c r="QG32" s="176">
        <f t="shared" si="27"/>
        <v>8.759356585443542E-3</v>
      </c>
      <c r="QH32" s="177" t="str">
        <f t="shared" ca="1" si="28"/>
        <v>Attente…</v>
      </c>
      <c r="QI32" s="197">
        <f t="shared" si="29"/>
        <v>950</v>
      </c>
      <c r="QJ32" s="179">
        <f t="shared" si="30"/>
        <v>6.6629260765885823E-3</v>
      </c>
      <c r="QK32" s="180" t="str">
        <f t="shared" ca="1" si="31"/>
        <v>Attente…</v>
      </c>
      <c r="QL32" s="196">
        <f t="shared" si="32"/>
        <v>660</v>
      </c>
      <c r="QM32" s="176">
        <f t="shared" si="33"/>
        <v>4.8287971905179982E-3</v>
      </c>
      <c r="QN32" s="177" t="str">
        <f t="shared" ca="1" si="34"/>
        <v>Attente…</v>
      </c>
      <c r="QO32" s="197">
        <f t="shared" si="35"/>
        <v>800</v>
      </c>
      <c r="QP32" s="179">
        <f t="shared" si="36"/>
        <v>6.2632114616769747E-3</v>
      </c>
      <c r="QQ32" s="180" t="str">
        <f t="shared" ca="1" si="37"/>
        <v>Attente…</v>
      </c>
      <c r="QR32" s="196">
        <f t="shared" si="38"/>
        <v>700</v>
      </c>
      <c r="QS32" s="176">
        <f t="shared" si="39"/>
        <v>5.0394154278103741E-3</v>
      </c>
      <c r="QT32" s="177" t="str">
        <f t="shared" ca="1" si="40"/>
        <v>Attente…</v>
      </c>
      <c r="QU32" s="197">
        <f t="shared" si="41"/>
        <v>1010</v>
      </c>
      <c r="QV32" s="179">
        <f t="shared" si="42"/>
        <v>6.9635962493105347E-3</v>
      </c>
      <c r="QW32" s="180" t="str">
        <f t="shared" ca="1" si="43"/>
        <v>Attente…</v>
      </c>
      <c r="QX32" s="196">
        <f t="shared" si="44"/>
        <v>700</v>
      </c>
      <c r="QY32" s="176">
        <f t="shared" si="45"/>
        <v>5.1081467643538927E-3</v>
      </c>
      <c r="QZ32" s="177" t="str">
        <f t="shared" ca="1" si="46"/>
        <v>Attente…</v>
      </c>
      <c r="RA32" s="197">
        <f t="shared" si="47"/>
        <v>850</v>
      </c>
      <c r="RB32" s="179">
        <f t="shared" si="48"/>
        <v>6.6504968312338627E-3</v>
      </c>
      <c r="RC32" s="180" t="str">
        <f t="shared" ca="1" si="49"/>
        <v>Attente…</v>
      </c>
      <c r="RD32" s="196">
        <f t="shared" si="50"/>
        <v>510</v>
      </c>
      <c r="RE32" s="176">
        <f t="shared" si="51"/>
        <v>5.0817058589079315E-3</v>
      </c>
      <c r="RF32" s="177" t="str">
        <f t="shared" ca="1" si="52"/>
        <v>Attente…</v>
      </c>
      <c r="RG32" s="197">
        <f t="shared" si="53"/>
        <v>300</v>
      </c>
      <c r="RH32" s="179">
        <f t="shared" si="54"/>
        <v>5.5177487585065296E-3</v>
      </c>
      <c r="RI32" s="198" t="str">
        <f t="shared" ca="1" si="55"/>
        <v>Attente…</v>
      </c>
      <c r="RJ32" s="199">
        <f t="shared" si="56"/>
        <v>3250</v>
      </c>
      <c r="RK32" s="200" t="str">
        <f t="shared" ca="1" si="13"/>
        <v>Attente…</v>
      </c>
      <c r="RL32" s="199">
        <f t="shared" si="57"/>
        <v>2410</v>
      </c>
      <c r="RM32" s="200" t="str">
        <f t="shared" ca="1" si="58"/>
        <v>Atttente…</v>
      </c>
      <c r="RN32" s="199">
        <f t="shared" si="59"/>
        <v>2410</v>
      </c>
      <c r="RO32" s="200" t="str">
        <f t="shared" ca="1" si="14"/>
        <v>Attente…</v>
      </c>
      <c r="RP32" s="199">
        <f t="shared" si="60"/>
        <v>1660</v>
      </c>
      <c r="RQ32" s="200" t="str">
        <f t="shared" ca="1" si="15"/>
        <v>Attente…</v>
      </c>
      <c r="RR32" s="201">
        <f t="shared" si="61"/>
        <v>9730</v>
      </c>
      <c r="RS32" s="202" t="str">
        <f t="shared" ca="1" si="16"/>
        <v>Attente…</v>
      </c>
      <c r="RT32" s="103"/>
      <c r="RU32" s="203">
        <f t="shared" si="62"/>
        <v>0.49141414141414136</v>
      </c>
      <c r="RV32" s="204">
        <f t="shared" si="65"/>
        <v>1</v>
      </c>
      <c r="RW32" s="204">
        <f t="shared" si="65"/>
        <v>2</v>
      </c>
      <c r="RX32" s="204">
        <f t="shared" si="63"/>
        <v>99</v>
      </c>
      <c r="RY32" s="205" t="str">
        <f t="shared" si="64"/>
        <v>QUINCAMPOIX - 11 Rue de Cailly (Parking du Cimetière)</v>
      </c>
      <c r="RZ32" s="189" t="str">
        <f>IF(OR(RZ31="",RZ31="  &lt;/Document&gt;
&lt;/kml&gt;"),"",
IF(B32="","  &lt;/Document&gt;
&lt;/kml&gt;",
IF(TournéesCAV!Q25=""," ",
"    &lt;Placemark&gt;
      &lt;description&gt;&lt;![CDATA["&amp;B32&amp;"&lt;br&gt;&lt;br&gt;"&amp;RV32&amp;" CAV&lt;br&gt;&lt;br&gt;Présent sur "&amp;RW32&amp;" tournée(s)&lt;br&gt;&lt;br&gt;Taux de remplissage moyen "&amp;TEXT(RU32*1000,"0 %")&amp;"]]&gt;&lt;/description&gt;
      &lt;Style&gt;
        &lt;IconStyle&gt;
          &lt;color&gt;ff"&amp;
          DEC2HEX(0,2)&amp;
          DEC2HEX(
            IF(RU32&lt;=0.5,
               INT(255*(RU32*2)),
               255
            ),2)&amp;
          DEC2HEX(
            IF(RU32&lt;=0.5,
               255,
               INT(255*(1-(RU32-0.5)*2))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&lt;Point&gt;&lt;coordinates&gt;"&amp;R32&amp;","&amp;Q32&amp;",0&lt;/coordinates&gt;&lt;/Point&gt;
    &lt;/Placemark&gt;"
)))</f>
        <v xml:space="preserve">    &lt;Placemark&gt;
      &lt;description&gt;&lt;![CDATA[QUINCAMPOIX - 11 Rue de Cailly (Parking du Cimetière)&lt;br&gt;&lt;br&gt;1 CAV&lt;br&gt;&lt;br&gt;Présent sur 2 tournée(s)&lt;br&gt;&lt;br&gt;Taux de remplissage moyen 49%]]&gt;&lt;/description&gt;
      &lt;Style&gt;
        &lt;IconStyle&gt;
          &lt;color&gt;ff00FAFF&lt;/color&gt;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&lt;Point&gt;&lt;coordinates&gt;1.1705615,49.5145259,0&lt;/coordinates&gt;&lt;/Point&gt;
    &lt;/Placemark&gt;</v>
      </c>
    </row>
    <row r="33" spans="2:494" ht="15" hidden="1" customHeight="1" x14ac:dyDescent="0.35">
      <c r="B33" s="153" t="str">
        <f t="shared" si="17"/>
        <v>VAL-DE-LA-HAYE - 2 Rue Henri Chivé</v>
      </c>
      <c r="C33" s="154">
        <v>11</v>
      </c>
      <c r="D33" s="155"/>
      <c r="E33" s="155"/>
      <c r="F33" s="155"/>
      <c r="G33" s="155"/>
      <c r="H33" s="155"/>
      <c r="I33" s="155"/>
      <c r="J33" s="156"/>
      <c r="K33" s="157">
        <f t="shared" si="18"/>
        <v>1</v>
      </c>
      <c r="L33" s="157">
        <f t="shared" si="19"/>
        <v>1</v>
      </c>
      <c r="M33" s="158" t="s">
        <v>241</v>
      </c>
      <c r="N33" s="159"/>
      <c r="O33" s="159">
        <v>76380</v>
      </c>
      <c r="P33" s="159" t="s">
        <v>242</v>
      </c>
      <c r="Q33" s="159" t="s">
        <v>243</v>
      </c>
      <c r="R33" s="159" t="s">
        <v>244</v>
      </c>
      <c r="S33" s="159" t="s">
        <v>93</v>
      </c>
      <c r="T33" s="159" t="s">
        <v>94</v>
      </c>
      <c r="U33" s="159" t="s">
        <v>245</v>
      </c>
      <c r="V33" s="160" t="s">
        <v>96</v>
      </c>
      <c r="W33" s="161"/>
      <c r="X33" s="162"/>
      <c r="Y33" s="163"/>
      <c r="Z33" s="162"/>
      <c r="AA33" s="163"/>
      <c r="AB33" s="162"/>
      <c r="AC33" s="163">
        <v>1</v>
      </c>
      <c r="AD33" s="162"/>
      <c r="AE33" s="163"/>
      <c r="AF33" s="162"/>
      <c r="AG33" s="163"/>
      <c r="AH33" s="163"/>
      <c r="AI33" s="162"/>
      <c r="AJ33" s="163"/>
      <c r="AK33" s="162"/>
      <c r="AL33" s="163"/>
      <c r="AM33" s="162"/>
      <c r="AN33" s="163"/>
      <c r="AO33" s="162"/>
      <c r="AP33" s="164"/>
      <c r="AQ33" s="164"/>
      <c r="AR33" s="164"/>
      <c r="AS33" s="164"/>
      <c r="AT33" s="164"/>
      <c r="AU33" s="164"/>
      <c r="AV33" s="164"/>
      <c r="AW33" s="164"/>
      <c r="AX33" s="164"/>
      <c r="AY33" s="165"/>
      <c r="AZ33" s="41"/>
      <c r="BA33" s="190"/>
      <c r="BB33" s="191"/>
      <c r="BC33" s="191"/>
      <c r="BD33" s="191"/>
      <c r="BE33" s="191"/>
      <c r="BF33" s="191"/>
      <c r="BG33" s="191">
        <v>100</v>
      </c>
      <c r="BH33" s="191"/>
      <c r="BI33" s="191"/>
      <c r="BJ33" s="191"/>
      <c r="BK33" s="191"/>
      <c r="BL33" s="191"/>
      <c r="BM33" s="191"/>
      <c r="BN33" s="191">
        <v>10</v>
      </c>
      <c r="BO33" s="191"/>
      <c r="BP33" s="191"/>
      <c r="BQ33" s="191"/>
      <c r="BR33" s="191"/>
      <c r="BS33" s="191"/>
      <c r="BT33" s="191"/>
      <c r="BU33" s="191">
        <v>10</v>
      </c>
      <c r="BV33" s="191"/>
      <c r="BW33" s="191"/>
      <c r="BX33" s="191"/>
      <c r="BY33" s="191"/>
      <c r="BZ33" s="191"/>
      <c r="CA33" s="191"/>
      <c r="CB33" s="191">
        <v>100</v>
      </c>
      <c r="CC33" s="191"/>
      <c r="CD33" s="191"/>
      <c r="CE33" s="192"/>
      <c r="CF33" s="190"/>
      <c r="CG33" s="191"/>
      <c r="CH33" s="191"/>
      <c r="CI33" s="191">
        <v>10</v>
      </c>
      <c r="CJ33" s="191"/>
      <c r="CK33" s="191"/>
      <c r="CL33" s="191"/>
      <c r="CM33" s="191"/>
      <c r="CN33" s="191"/>
      <c r="CO33" s="191"/>
      <c r="CP33" s="191">
        <v>50</v>
      </c>
      <c r="CQ33" s="191"/>
      <c r="CR33" s="191"/>
      <c r="CS33" s="191"/>
      <c r="CT33" s="191"/>
      <c r="CU33" s="191"/>
      <c r="CV33" s="191"/>
      <c r="CW33" s="191"/>
      <c r="CX33" s="191"/>
      <c r="CY33" s="191"/>
      <c r="CZ33" s="191"/>
      <c r="DA33" s="191"/>
      <c r="DB33" s="191"/>
      <c r="DC33" s="191"/>
      <c r="DD33" s="191">
        <v>50</v>
      </c>
      <c r="DE33" s="191"/>
      <c r="DF33" s="191"/>
      <c r="DG33" s="191"/>
      <c r="DH33" s="193"/>
      <c r="DI33" s="194"/>
      <c r="DJ33" s="191"/>
      <c r="DK33" s="191"/>
      <c r="DL33" s="191">
        <v>100</v>
      </c>
      <c r="DM33" s="191"/>
      <c r="DN33" s="191"/>
      <c r="DO33" s="191"/>
      <c r="DP33" s="191"/>
      <c r="DQ33" s="191"/>
      <c r="DR33" s="191"/>
      <c r="DS33" s="191">
        <v>50</v>
      </c>
      <c r="DT33" s="191"/>
      <c r="DU33" s="191"/>
      <c r="DV33" s="191"/>
      <c r="DW33" s="191"/>
      <c r="DX33" s="191"/>
      <c r="DY33" s="191"/>
      <c r="DZ33" s="191">
        <v>50</v>
      </c>
      <c r="EA33" s="191"/>
      <c r="EB33" s="191"/>
      <c r="EC33" s="191"/>
      <c r="ED33" s="191"/>
      <c r="EE33" s="191"/>
      <c r="EF33" s="191"/>
      <c r="EG33" s="191">
        <v>50</v>
      </c>
      <c r="EH33" s="191"/>
      <c r="EI33" s="191"/>
      <c r="EJ33" s="191"/>
      <c r="EK33" s="191"/>
      <c r="EL33" s="191"/>
      <c r="EM33" s="192"/>
      <c r="EN33" s="190">
        <v>150</v>
      </c>
      <c r="EO33" s="191"/>
      <c r="EP33" s="191"/>
      <c r="EQ33" s="191"/>
      <c r="ER33" s="191"/>
      <c r="ES33" s="191"/>
      <c r="ET33" s="191"/>
      <c r="EU33" s="191">
        <v>200</v>
      </c>
      <c r="EV33" s="191"/>
      <c r="EW33" s="191"/>
      <c r="EX33" s="191"/>
      <c r="EY33" s="191"/>
      <c r="EZ33" s="191"/>
      <c r="FA33" s="191"/>
      <c r="FB33" s="191">
        <v>100</v>
      </c>
      <c r="FC33" s="191"/>
      <c r="FD33" s="191"/>
      <c r="FE33" s="191"/>
      <c r="FF33" s="191"/>
      <c r="FG33" s="191"/>
      <c r="FH33" s="191"/>
      <c r="FI33" s="191"/>
      <c r="FJ33" s="191"/>
      <c r="FK33" s="191">
        <v>100</v>
      </c>
      <c r="FL33" s="191"/>
      <c r="FM33" s="191"/>
      <c r="FN33" s="191"/>
      <c r="FO33" s="191"/>
      <c r="FP33" s="191">
        <v>50</v>
      </c>
      <c r="FQ33" s="193"/>
      <c r="FR33" s="194"/>
      <c r="FS33" s="191"/>
      <c r="FT33" s="191"/>
      <c r="FU33" s="191"/>
      <c r="FV33" s="191"/>
      <c r="FW33" s="191">
        <v>100</v>
      </c>
      <c r="FX33" s="191"/>
      <c r="FY33" s="191"/>
      <c r="FZ33" s="191"/>
      <c r="GA33" s="191"/>
      <c r="GB33" s="191"/>
      <c r="GC33" s="191"/>
      <c r="GD33" s="191">
        <v>100</v>
      </c>
      <c r="GE33" s="191"/>
      <c r="GF33" s="191"/>
      <c r="GG33" s="191"/>
      <c r="GH33" s="191"/>
      <c r="GI33" s="191"/>
      <c r="GJ33" s="191"/>
      <c r="GK33" s="191">
        <v>50</v>
      </c>
      <c r="GL33" s="191"/>
      <c r="GM33" s="191"/>
      <c r="GN33" s="191"/>
      <c r="GO33" s="191"/>
      <c r="GP33" s="191"/>
      <c r="GQ33" s="191"/>
      <c r="GR33" s="191">
        <v>50</v>
      </c>
      <c r="GS33" s="191"/>
      <c r="GT33" s="191"/>
      <c r="GU33" s="191"/>
      <c r="GV33" s="192"/>
      <c r="GW33" s="190"/>
      <c r="GX33" s="191"/>
      <c r="GY33" s="191">
        <v>50</v>
      </c>
      <c r="GZ33" s="191"/>
      <c r="HA33" s="191"/>
      <c r="HB33" s="191"/>
      <c r="HC33" s="191"/>
      <c r="HD33" s="191"/>
      <c r="HE33" s="191"/>
      <c r="HF33" s="191"/>
      <c r="HG33" s="191"/>
      <c r="HH33" s="191">
        <v>50</v>
      </c>
      <c r="HI33" s="191"/>
      <c r="HJ33" s="191"/>
      <c r="HK33" s="191"/>
      <c r="HL33" s="191"/>
      <c r="HM33" s="191"/>
      <c r="HN33" s="191"/>
      <c r="HO33" s="191"/>
      <c r="HP33" s="191">
        <v>100</v>
      </c>
      <c r="HQ33" s="191"/>
      <c r="HR33" s="191"/>
      <c r="HS33" s="191"/>
      <c r="HT33" s="191">
        <v>50</v>
      </c>
      <c r="HU33" s="191"/>
      <c r="HV33" s="191"/>
      <c r="HW33" s="191"/>
      <c r="HX33" s="191"/>
      <c r="HY33" s="191"/>
      <c r="HZ33" s="193"/>
      <c r="IA33" s="194">
        <v>200</v>
      </c>
      <c r="IB33" s="191"/>
      <c r="IC33" s="191"/>
      <c r="ID33" s="191"/>
      <c r="IE33" s="191"/>
      <c r="IF33" s="191"/>
      <c r="IG33" s="191"/>
      <c r="IH33" s="191">
        <v>150</v>
      </c>
      <c r="II33" s="191"/>
      <c r="IJ33" s="191"/>
      <c r="IK33" s="191"/>
      <c r="IL33" s="191"/>
      <c r="IM33" s="191"/>
      <c r="IN33" s="191"/>
      <c r="IO33" s="191"/>
      <c r="IP33" s="191">
        <v>50</v>
      </c>
      <c r="IQ33" s="191"/>
      <c r="IR33" s="191"/>
      <c r="IS33" s="191"/>
      <c r="IT33" s="191"/>
      <c r="IU33" s="191"/>
      <c r="IV33" s="191">
        <v>50</v>
      </c>
      <c r="IW33" s="191"/>
      <c r="IX33" s="191"/>
      <c r="IY33" s="191"/>
      <c r="IZ33" s="191"/>
      <c r="JA33" s="191"/>
      <c r="JB33" s="191"/>
      <c r="JC33" s="191"/>
      <c r="JD33" s="191"/>
      <c r="JE33" s="192">
        <v>100</v>
      </c>
      <c r="JF33" s="190"/>
      <c r="JG33" s="191"/>
      <c r="JH33" s="191"/>
      <c r="JI33" s="191"/>
      <c r="JJ33" s="191">
        <v>100</v>
      </c>
      <c r="JK33" s="191"/>
      <c r="JL33" s="191"/>
      <c r="JM33" s="191"/>
      <c r="JN33" s="191"/>
      <c r="JO33" s="191"/>
      <c r="JP33" s="191"/>
      <c r="JQ33" s="191">
        <v>50</v>
      </c>
      <c r="JR33" s="191"/>
      <c r="JS33" s="191"/>
      <c r="JT33" s="191"/>
      <c r="JU33" s="191"/>
      <c r="JV33" s="191"/>
      <c r="JW33" s="191"/>
      <c r="JX33" s="191"/>
      <c r="JY33" s="191"/>
      <c r="JZ33" s="191"/>
      <c r="KA33" s="191"/>
      <c r="KB33" s="191"/>
      <c r="KC33" s="191"/>
      <c r="KD33" s="191"/>
      <c r="KE33" s="191">
        <v>150</v>
      </c>
      <c r="KF33" s="191"/>
      <c r="KG33" s="191"/>
      <c r="KH33" s="191"/>
      <c r="KI33" s="191"/>
      <c r="KJ33" s="193"/>
      <c r="KK33" s="194"/>
      <c r="KL33" s="191">
        <v>100</v>
      </c>
      <c r="KM33" s="191"/>
      <c r="KN33" s="191"/>
      <c r="KO33" s="191"/>
      <c r="KP33" s="191"/>
      <c r="KQ33" s="191"/>
      <c r="KR33" s="191"/>
      <c r="KS33" s="191">
        <v>100</v>
      </c>
      <c r="KT33" s="191"/>
      <c r="KU33" s="191"/>
      <c r="KV33" s="191"/>
      <c r="KW33" s="191"/>
      <c r="KX33" s="191"/>
      <c r="KY33" s="191"/>
      <c r="KZ33" s="191">
        <v>150</v>
      </c>
      <c r="LA33" s="191"/>
      <c r="LB33" s="191"/>
      <c r="LC33" s="191"/>
      <c r="LD33" s="191"/>
      <c r="LE33" s="191"/>
      <c r="LF33" s="191"/>
      <c r="LG33" s="191">
        <v>100</v>
      </c>
      <c r="LH33" s="191"/>
      <c r="LI33" s="191"/>
      <c r="LJ33" s="191"/>
      <c r="LK33" s="191"/>
      <c r="LL33" s="191"/>
      <c r="LM33" s="191"/>
      <c r="LN33" s="192">
        <v>50</v>
      </c>
      <c r="LO33" s="190"/>
      <c r="LP33" s="191"/>
      <c r="LQ33" s="191"/>
      <c r="LR33" s="191"/>
      <c r="LS33" s="191"/>
      <c r="LT33" s="191"/>
      <c r="LU33" s="191">
        <v>100</v>
      </c>
      <c r="LV33" s="191"/>
      <c r="LW33" s="191"/>
      <c r="LX33" s="191"/>
      <c r="LY33" s="191"/>
      <c r="LZ33" s="191"/>
      <c r="MA33" s="191"/>
      <c r="MB33" s="191"/>
      <c r="MC33" s="191"/>
      <c r="MD33" s="191">
        <v>50</v>
      </c>
      <c r="ME33" s="191"/>
      <c r="MF33" s="191"/>
      <c r="MG33" s="191"/>
      <c r="MH33" s="191"/>
      <c r="MI33" s="191">
        <v>10</v>
      </c>
      <c r="MJ33" s="191"/>
      <c r="MK33" s="191"/>
      <c r="ML33" s="191"/>
      <c r="MM33" s="191"/>
      <c r="MN33" s="191"/>
      <c r="MO33" s="191"/>
      <c r="MP33" s="191">
        <v>50</v>
      </c>
      <c r="MQ33" s="191"/>
      <c r="MR33" s="191"/>
      <c r="MS33" s="193"/>
      <c r="MT33" s="194"/>
      <c r="MU33" s="191"/>
      <c r="MV33" s="191"/>
      <c r="MW33" s="191"/>
      <c r="MX33" s="191"/>
      <c r="MY33" s="191"/>
      <c r="MZ33" s="191"/>
      <c r="NA33" s="191"/>
      <c r="NB33" s="191"/>
      <c r="NC33" s="191"/>
      <c r="ND33" s="191"/>
      <c r="NE33" s="191">
        <v>150</v>
      </c>
      <c r="NF33" s="191"/>
      <c r="NG33" s="191"/>
      <c r="NH33" s="191"/>
      <c r="NI33" s="191"/>
      <c r="NJ33" s="191"/>
      <c r="NK33" s="191">
        <v>10</v>
      </c>
      <c r="NL33" s="191"/>
      <c r="NM33" s="191"/>
      <c r="NN33" s="191"/>
      <c r="NO33" s="191"/>
      <c r="NP33" s="191"/>
      <c r="NQ33" s="191"/>
      <c r="NR33" s="191">
        <v>10</v>
      </c>
      <c r="NS33" s="191"/>
      <c r="NT33" s="191"/>
      <c r="NU33" s="191"/>
      <c r="NV33" s="191"/>
      <c r="NW33" s="192"/>
      <c r="NX33" s="190"/>
      <c r="NY33" s="191">
        <v>100</v>
      </c>
      <c r="NZ33" s="191"/>
      <c r="OA33" s="191"/>
      <c r="OB33" s="191"/>
      <c r="OC33" s="191"/>
      <c r="OD33" s="191"/>
      <c r="OE33" s="191"/>
      <c r="OF33" s="191">
        <v>10</v>
      </c>
      <c r="OG33" s="191"/>
      <c r="OH33" s="191"/>
      <c r="OI33" s="191"/>
      <c r="OJ33" s="191"/>
      <c r="OK33" s="191"/>
      <c r="OL33" s="191"/>
      <c r="OM33" s="191"/>
      <c r="ON33" s="191"/>
      <c r="OO33" s="191"/>
      <c r="OP33" s="191"/>
      <c r="OQ33" s="191"/>
      <c r="OR33" s="191"/>
      <c r="OS33" s="191"/>
      <c r="OT33" s="191"/>
      <c r="OU33" s="191"/>
      <c r="OV33" s="191"/>
      <c r="OW33" s="191"/>
      <c r="OX33" s="191"/>
      <c r="OY33" s="191"/>
      <c r="OZ33" s="191"/>
      <c r="PA33" s="191"/>
      <c r="PB33" s="193"/>
      <c r="PC33" s="47"/>
      <c r="PD33" s="154" t="s">
        <v>97</v>
      </c>
      <c r="PE33" s="155" t="s">
        <v>98</v>
      </c>
      <c r="PF33" s="155" t="s">
        <v>98</v>
      </c>
      <c r="PG33" s="155" t="s">
        <v>98</v>
      </c>
      <c r="PH33" s="155" t="s">
        <v>98</v>
      </c>
      <c r="PI33" s="155" t="s">
        <v>98</v>
      </c>
      <c r="PJ33" s="155" t="s">
        <v>98</v>
      </c>
      <c r="PK33" s="155" t="s">
        <v>98</v>
      </c>
      <c r="PL33" s="155" t="s">
        <v>98</v>
      </c>
      <c r="PM33" s="155" t="s">
        <v>98</v>
      </c>
      <c r="PN33" s="155" t="s">
        <v>98</v>
      </c>
      <c r="PO33" s="156"/>
      <c r="PP33" s="156"/>
      <c r="PQ33" s="156"/>
      <c r="PR33" s="156"/>
      <c r="PS33" s="156"/>
      <c r="PT33" s="156"/>
      <c r="PU33" s="156"/>
      <c r="PV33" s="156"/>
      <c r="PW33" s="156"/>
      <c r="PX33" s="195"/>
      <c r="PY33" s="1"/>
      <c r="PZ33" s="196">
        <f t="shared" si="20"/>
        <v>220</v>
      </c>
      <c r="QA33" s="176">
        <f t="shared" si="21"/>
        <v>1.8353215983982648E-3</v>
      </c>
      <c r="QB33" s="177" t="str">
        <f t="shared" ca="1" si="22"/>
        <v>Attente…</v>
      </c>
      <c r="QC33" s="197">
        <f t="shared" si="23"/>
        <v>110</v>
      </c>
      <c r="QD33" s="179">
        <f t="shared" si="24"/>
        <v>1.0299625468164794E-3</v>
      </c>
      <c r="QE33" s="180" t="str">
        <f t="shared" ca="1" si="25"/>
        <v>Attente…</v>
      </c>
      <c r="QF33" s="196">
        <f t="shared" si="26"/>
        <v>250</v>
      </c>
      <c r="QG33" s="176">
        <f t="shared" si="27"/>
        <v>1.9907628603280775E-3</v>
      </c>
      <c r="QH33" s="177" t="str">
        <f t="shared" ca="1" si="28"/>
        <v>Attente…</v>
      </c>
      <c r="QI33" s="197">
        <f t="shared" si="29"/>
        <v>600</v>
      </c>
      <c r="QJ33" s="179">
        <f t="shared" si="30"/>
        <v>4.2081638378454198E-3</v>
      </c>
      <c r="QK33" s="180" t="str">
        <f t="shared" ca="1" si="31"/>
        <v>Attente…</v>
      </c>
      <c r="QL33" s="196">
        <f t="shared" si="32"/>
        <v>300</v>
      </c>
      <c r="QM33" s="176">
        <f t="shared" si="33"/>
        <v>2.1949078138718174E-3</v>
      </c>
      <c r="QN33" s="177" t="str">
        <f t="shared" ca="1" si="34"/>
        <v>Attente…</v>
      </c>
      <c r="QO33" s="197">
        <f t="shared" si="35"/>
        <v>250</v>
      </c>
      <c r="QP33" s="179">
        <f t="shared" si="36"/>
        <v>1.9572535817740547E-3</v>
      </c>
      <c r="QQ33" s="180" t="str">
        <f t="shared" ca="1" si="37"/>
        <v>Attente…</v>
      </c>
      <c r="QR33" s="196">
        <f t="shared" si="38"/>
        <v>550</v>
      </c>
      <c r="QS33" s="176">
        <f t="shared" si="39"/>
        <v>3.9595406932795797E-3</v>
      </c>
      <c r="QT33" s="177" t="str">
        <f t="shared" ca="1" si="40"/>
        <v>Attente…</v>
      </c>
      <c r="QU33" s="197">
        <f t="shared" si="41"/>
        <v>300</v>
      </c>
      <c r="QV33" s="179">
        <f t="shared" si="42"/>
        <v>2.0683949255377826E-3</v>
      </c>
      <c r="QW33" s="180" t="str">
        <f t="shared" ca="1" si="43"/>
        <v>Attente…</v>
      </c>
      <c r="QX33" s="196">
        <f t="shared" si="44"/>
        <v>500</v>
      </c>
      <c r="QY33" s="176">
        <f t="shared" si="45"/>
        <v>3.6486762602527803E-3</v>
      </c>
      <c r="QZ33" s="177" t="str">
        <f t="shared" ca="1" si="46"/>
        <v>Attente…</v>
      </c>
      <c r="RA33" s="197">
        <f t="shared" si="47"/>
        <v>210</v>
      </c>
      <c r="RB33" s="179">
        <f t="shared" si="48"/>
        <v>1.643063923010719E-3</v>
      </c>
      <c r="RC33" s="180" t="str">
        <f t="shared" ca="1" si="49"/>
        <v>Attente…</v>
      </c>
      <c r="RD33" s="196">
        <f t="shared" si="50"/>
        <v>170</v>
      </c>
      <c r="RE33" s="176">
        <f t="shared" si="51"/>
        <v>1.6939019529693105E-3</v>
      </c>
      <c r="RF33" s="177" t="str">
        <f t="shared" ca="1" si="52"/>
        <v>Attente…</v>
      </c>
      <c r="RG33" s="197">
        <f t="shared" si="53"/>
        <v>110</v>
      </c>
      <c r="RH33" s="179">
        <f t="shared" si="54"/>
        <v>2.0231745447857274E-3</v>
      </c>
      <c r="RI33" s="198" t="str">
        <f t="shared" ca="1" si="55"/>
        <v>Attente…</v>
      </c>
      <c r="RJ33" s="199">
        <f t="shared" si="56"/>
        <v>580</v>
      </c>
      <c r="RK33" s="200" t="str">
        <f t="shared" ca="1" si="13"/>
        <v>Attente…</v>
      </c>
      <c r="RL33" s="199">
        <f t="shared" si="57"/>
        <v>1150</v>
      </c>
      <c r="RM33" s="200" t="str">
        <f t="shared" ca="1" si="58"/>
        <v>Atttente…</v>
      </c>
      <c r="RN33" s="199">
        <f t="shared" si="59"/>
        <v>1350</v>
      </c>
      <c r="RO33" s="200" t="str">
        <f t="shared" ca="1" si="14"/>
        <v>Attente…</v>
      </c>
      <c r="RP33" s="199">
        <f t="shared" si="60"/>
        <v>490</v>
      </c>
      <c r="RQ33" s="200" t="str">
        <f t="shared" ca="1" si="15"/>
        <v>Attente…</v>
      </c>
      <c r="RR33" s="201">
        <f t="shared" si="61"/>
        <v>3570</v>
      </c>
      <c r="RS33" s="202" t="str">
        <f t="shared" ca="1" si="16"/>
        <v>Attente…</v>
      </c>
      <c r="RT33" s="103"/>
      <c r="RU33" s="203">
        <f t="shared" si="62"/>
        <v>0.38804347826086955</v>
      </c>
      <c r="RV33" s="204">
        <f t="shared" si="65"/>
        <v>1</v>
      </c>
      <c r="RW33" s="204">
        <f t="shared" si="65"/>
        <v>1</v>
      </c>
      <c r="RX33" s="204">
        <f t="shared" si="63"/>
        <v>46</v>
      </c>
      <c r="RY33" s="205" t="str">
        <f t="shared" si="64"/>
        <v>VAL-DE-LA-HAYE - 2 Rue Henri Chivé</v>
      </c>
      <c r="RZ33" s="189" t="str">
        <f>IF(OR(RZ32="",RZ32="  &lt;/Document&gt;
&lt;/kml&gt;"),"",
IF(B33="","  &lt;/Document&gt;
&lt;/kml&gt;",
IF(TournéesCAV!Q33=""," ",
"    &lt;Placemark&gt;
      &lt;description&gt;&lt;![CDATA["&amp;B33&amp;"&lt;br&gt;&lt;br&gt;"&amp;RV33&amp;" CAV&lt;br&gt;&lt;br&gt;Présent sur "&amp;RW33&amp;" tournée(s)&lt;br&gt;&lt;br&gt;Taux de remplissage moyen "&amp;TEXT(RU33*1000,"0 %")&amp;"]]&gt;&lt;/description&gt;
      &lt;Style&gt;
        &lt;IconStyle&gt;
          &lt;color&gt;ff"&amp;
          DEC2HEX(0,2)&amp;
          DEC2HEX(
            IF(RU33&lt;=0.5,
               INT(255*(RU33*2)),
               255
            ),2)&amp;
          DEC2HEX(
            IF(RU33&lt;=0.5,
               255,
               INT(255*(1-(RU33-0.5)*2))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&lt;Point&gt;&lt;coordinates&gt;"&amp;R33&amp;","&amp;Q33&amp;",0&lt;/coordinates&gt;&lt;/Point&gt;
    &lt;/Placemark&gt;"
)))</f>
        <v xml:space="preserve">    &lt;Placemark&gt;
      &lt;description&gt;&lt;![CDATA[VAL-DE-LA-HAYE - 2 Rue Henri Chivé&lt;br&gt;&lt;br&gt;1 CAV&lt;br&gt;&lt;br&gt;Présent sur 1 tournée(s)&lt;br&gt;&lt;br&gt;Taux de remplissage moyen 39%]]&gt;&lt;/description&gt;
      &lt;Style&gt;
        &lt;IconStyle&gt;
          &lt;color&gt;ff00C5FF&lt;/color&gt;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&lt;Point&gt;&lt;coordinates&gt;1.0022928,49.3776629,0&lt;/coordinates&gt;&lt;/Point&gt;
    &lt;/Placemark&gt;</v>
      </c>
    </row>
    <row r="34" spans="2:494" ht="15" hidden="1" customHeight="1" x14ac:dyDescent="0.35">
      <c r="B34" s="153" t="str">
        <f t="shared" si="17"/>
        <v>ISNEAUVILLE - 3 Route de Dieppe (Parking Intermarché)</v>
      </c>
      <c r="C34" s="154">
        <v>111</v>
      </c>
      <c r="D34" s="155">
        <v>158</v>
      </c>
      <c r="E34" s="155"/>
      <c r="F34" s="155"/>
      <c r="G34" s="155"/>
      <c r="H34" s="155"/>
      <c r="I34" s="155"/>
      <c r="J34" s="156"/>
      <c r="K34" s="157">
        <f t="shared" si="18"/>
        <v>2</v>
      </c>
      <c r="L34" s="157">
        <f t="shared" si="19"/>
        <v>2</v>
      </c>
      <c r="M34" s="158" t="s">
        <v>246</v>
      </c>
      <c r="N34" s="159" t="s">
        <v>220</v>
      </c>
      <c r="O34" s="159">
        <v>76230</v>
      </c>
      <c r="P34" s="159" t="s">
        <v>247</v>
      </c>
      <c r="Q34" s="159" t="s">
        <v>248</v>
      </c>
      <c r="R34" s="159" t="s">
        <v>249</v>
      </c>
      <c r="S34" s="159" t="s">
        <v>93</v>
      </c>
      <c r="T34" s="159" t="s">
        <v>110</v>
      </c>
      <c r="U34" s="159" t="s">
        <v>250</v>
      </c>
      <c r="V34" s="160" t="s">
        <v>96</v>
      </c>
      <c r="W34" s="161"/>
      <c r="X34" s="162"/>
      <c r="Y34" s="163"/>
      <c r="Z34" s="162"/>
      <c r="AA34" s="163"/>
      <c r="AB34" s="162"/>
      <c r="AC34" s="163"/>
      <c r="AD34" s="162"/>
      <c r="AE34" s="163"/>
      <c r="AF34" s="162"/>
      <c r="AG34" s="163"/>
      <c r="AH34" s="163">
        <v>8</v>
      </c>
      <c r="AI34" s="162">
        <v>7</v>
      </c>
      <c r="AJ34" s="163"/>
      <c r="AK34" s="162"/>
      <c r="AL34" s="163"/>
      <c r="AM34" s="162"/>
      <c r="AN34" s="163"/>
      <c r="AO34" s="162"/>
      <c r="AP34" s="164"/>
      <c r="AQ34" s="164"/>
      <c r="AR34" s="164"/>
      <c r="AS34" s="164"/>
      <c r="AT34" s="164"/>
      <c r="AU34" s="164"/>
      <c r="AV34" s="164"/>
      <c r="AW34" s="164"/>
      <c r="AX34" s="164"/>
      <c r="AY34" s="165"/>
      <c r="AZ34" s="41"/>
      <c r="BA34" s="190"/>
      <c r="BB34" s="191"/>
      <c r="BC34" s="191">
        <v>350</v>
      </c>
      <c r="BD34" s="191"/>
      <c r="BE34" s="191"/>
      <c r="BF34" s="191">
        <v>150</v>
      </c>
      <c r="BG34" s="191"/>
      <c r="BH34" s="191"/>
      <c r="BI34" s="191"/>
      <c r="BJ34" s="191">
        <v>300</v>
      </c>
      <c r="BK34" s="191"/>
      <c r="BL34" s="191"/>
      <c r="BM34" s="191">
        <v>250</v>
      </c>
      <c r="BN34" s="191"/>
      <c r="BO34" s="191"/>
      <c r="BP34" s="191"/>
      <c r="BQ34" s="191">
        <v>200</v>
      </c>
      <c r="BR34" s="191"/>
      <c r="BS34" s="191"/>
      <c r="BT34" s="191">
        <v>110</v>
      </c>
      <c r="BU34" s="191"/>
      <c r="BV34" s="191"/>
      <c r="BW34" s="191"/>
      <c r="BX34" s="191">
        <v>160</v>
      </c>
      <c r="BY34" s="191"/>
      <c r="BZ34" s="191"/>
      <c r="CA34" s="191">
        <v>160</v>
      </c>
      <c r="CB34" s="191"/>
      <c r="CC34" s="191"/>
      <c r="CD34" s="191"/>
      <c r="CE34" s="192">
        <v>200</v>
      </c>
      <c r="CF34" s="190"/>
      <c r="CG34" s="191"/>
      <c r="CH34" s="191">
        <v>100</v>
      </c>
      <c r="CI34" s="191"/>
      <c r="CJ34" s="191"/>
      <c r="CK34" s="191"/>
      <c r="CL34" s="191">
        <v>100</v>
      </c>
      <c r="CM34" s="191"/>
      <c r="CN34" s="191"/>
      <c r="CO34" s="191">
        <v>250</v>
      </c>
      <c r="CP34" s="191"/>
      <c r="CQ34" s="191"/>
      <c r="CR34" s="191"/>
      <c r="CS34" s="191">
        <v>150</v>
      </c>
      <c r="CT34" s="191"/>
      <c r="CU34" s="191"/>
      <c r="CV34" s="191">
        <v>150</v>
      </c>
      <c r="CW34" s="191"/>
      <c r="CX34" s="191"/>
      <c r="CY34" s="191"/>
      <c r="CZ34" s="191">
        <v>300</v>
      </c>
      <c r="DA34" s="191"/>
      <c r="DB34" s="191"/>
      <c r="DC34" s="191">
        <v>200</v>
      </c>
      <c r="DD34" s="191"/>
      <c r="DE34" s="191"/>
      <c r="DF34" s="191"/>
      <c r="DG34" s="191">
        <v>200</v>
      </c>
      <c r="DH34" s="193"/>
      <c r="DI34" s="194"/>
      <c r="DJ34" s="191"/>
      <c r="DK34" s="191">
        <v>250</v>
      </c>
      <c r="DL34" s="191"/>
      <c r="DM34" s="191"/>
      <c r="DN34" s="191"/>
      <c r="DO34" s="191">
        <v>250</v>
      </c>
      <c r="DP34" s="191"/>
      <c r="DQ34" s="191"/>
      <c r="DR34" s="191">
        <v>200</v>
      </c>
      <c r="DS34" s="191"/>
      <c r="DT34" s="191"/>
      <c r="DU34" s="191"/>
      <c r="DV34" s="191">
        <v>150</v>
      </c>
      <c r="DW34" s="191"/>
      <c r="DX34" s="191"/>
      <c r="DY34" s="191">
        <v>200</v>
      </c>
      <c r="DZ34" s="191"/>
      <c r="EA34" s="191"/>
      <c r="EB34" s="191"/>
      <c r="EC34" s="191">
        <v>300</v>
      </c>
      <c r="ED34" s="191"/>
      <c r="EE34" s="191"/>
      <c r="EF34" s="191">
        <v>50</v>
      </c>
      <c r="EG34" s="191"/>
      <c r="EH34" s="191"/>
      <c r="EI34" s="191"/>
      <c r="EJ34" s="191">
        <v>200</v>
      </c>
      <c r="EK34" s="191"/>
      <c r="EL34" s="191"/>
      <c r="EM34" s="192">
        <v>150</v>
      </c>
      <c r="EN34" s="190"/>
      <c r="EO34" s="191"/>
      <c r="EP34" s="191"/>
      <c r="EQ34" s="191">
        <v>350</v>
      </c>
      <c r="ER34" s="191"/>
      <c r="ES34" s="191"/>
      <c r="ET34" s="191">
        <v>150</v>
      </c>
      <c r="EU34" s="191"/>
      <c r="EV34" s="191"/>
      <c r="EW34" s="191"/>
      <c r="EX34" s="191">
        <v>350</v>
      </c>
      <c r="EY34" s="191"/>
      <c r="EZ34" s="191"/>
      <c r="FA34" s="191">
        <v>200</v>
      </c>
      <c r="FB34" s="191"/>
      <c r="FC34" s="191"/>
      <c r="FD34" s="191"/>
      <c r="FE34" s="191">
        <v>400</v>
      </c>
      <c r="FF34" s="191"/>
      <c r="FG34" s="191"/>
      <c r="FH34" s="191"/>
      <c r="FI34" s="191">
        <v>400</v>
      </c>
      <c r="FJ34" s="191"/>
      <c r="FK34" s="191"/>
      <c r="FL34" s="191">
        <v>200</v>
      </c>
      <c r="FM34" s="191"/>
      <c r="FN34" s="191"/>
      <c r="FO34" s="191">
        <v>250</v>
      </c>
      <c r="FP34" s="191"/>
      <c r="FQ34" s="193"/>
      <c r="FR34" s="194"/>
      <c r="FS34" s="191">
        <v>300</v>
      </c>
      <c r="FT34" s="191"/>
      <c r="FU34" s="191"/>
      <c r="FV34" s="191">
        <v>200</v>
      </c>
      <c r="FW34" s="191"/>
      <c r="FX34" s="191"/>
      <c r="FY34" s="191"/>
      <c r="FZ34" s="191">
        <v>250</v>
      </c>
      <c r="GA34" s="191"/>
      <c r="GB34" s="191"/>
      <c r="GC34" s="191">
        <v>250</v>
      </c>
      <c r="GD34" s="191"/>
      <c r="GE34" s="191"/>
      <c r="GF34" s="191"/>
      <c r="GG34" s="191">
        <v>250</v>
      </c>
      <c r="GH34" s="191"/>
      <c r="GI34" s="191"/>
      <c r="GJ34" s="191">
        <v>200</v>
      </c>
      <c r="GK34" s="191"/>
      <c r="GL34" s="191"/>
      <c r="GM34" s="191"/>
      <c r="GN34" s="191">
        <v>200</v>
      </c>
      <c r="GO34" s="191"/>
      <c r="GP34" s="191"/>
      <c r="GQ34" s="191">
        <v>250</v>
      </c>
      <c r="GR34" s="191"/>
      <c r="GS34" s="191"/>
      <c r="GT34" s="191"/>
      <c r="GU34" s="191">
        <v>200</v>
      </c>
      <c r="GV34" s="192"/>
      <c r="GW34" s="190"/>
      <c r="GX34" s="191">
        <v>250</v>
      </c>
      <c r="GY34" s="191"/>
      <c r="GZ34" s="191"/>
      <c r="HA34" s="191"/>
      <c r="HB34" s="191">
        <v>200</v>
      </c>
      <c r="HC34" s="191"/>
      <c r="HD34" s="191"/>
      <c r="HE34" s="191"/>
      <c r="HF34" s="191">
        <v>300</v>
      </c>
      <c r="HG34" s="191"/>
      <c r="HH34" s="191"/>
      <c r="HI34" s="191">
        <v>150</v>
      </c>
      <c r="HJ34" s="191"/>
      <c r="HK34" s="191"/>
      <c r="HL34" s="191">
        <v>250</v>
      </c>
      <c r="HM34" s="191"/>
      <c r="HN34" s="191"/>
      <c r="HO34" s="191">
        <v>300</v>
      </c>
      <c r="HP34" s="191"/>
      <c r="HQ34" s="191"/>
      <c r="HR34" s="191"/>
      <c r="HS34" s="191">
        <v>200</v>
      </c>
      <c r="HT34" s="191"/>
      <c r="HU34" s="191"/>
      <c r="HV34" s="191"/>
      <c r="HW34" s="191">
        <v>200</v>
      </c>
      <c r="HX34" s="191"/>
      <c r="HY34" s="191"/>
      <c r="HZ34" s="193">
        <v>200</v>
      </c>
      <c r="IA34" s="194"/>
      <c r="IB34" s="191"/>
      <c r="IC34" s="191"/>
      <c r="ID34" s="191">
        <v>200</v>
      </c>
      <c r="IE34" s="191"/>
      <c r="IF34" s="191"/>
      <c r="IG34" s="191">
        <v>200</v>
      </c>
      <c r="IH34" s="191"/>
      <c r="II34" s="191"/>
      <c r="IJ34" s="191"/>
      <c r="IK34" s="191">
        <v>250</v>
      </c>
      <c r="IL34" s="191"/>
      <c r="IM34" s="191"/>
      <c r="IN34" s="191">
        <v>350</v>
      </c>
      <c r="IO34" s="191"/>
      <c r="IP34" s="191"/>
      <c r="IQ34" s="191"/>
      <c r="IR34" s="191">
        <v>250</v>
      </c>
      <c r="IS34" s="191"/>
      <c r="IT34" s="191"/>
      <c r="IU34" s="191">
        <v>200</v>
      </c>
      <c r="IV34" s="191"/>
      <c r="IW34" s="191"/>
      <c r="IX34" s="191"/>
      <c r="IY34" s="191">
        <v>400</v>
      </c>
      <c r="IZ34" s="191"/>
      <c r="JA34" s="191"/>
      <c r="JB34" s="191">
        <v>150</v>
      </c>
      <c r="JC34" s="191"/>
      <c r="JD34" s="191"/>
      <c r="JE34" s="192"/>
      <c r="JF34" s="190">
        <v>250</v>
      </c>
      <c r="JG34" s="191"/>
      <c r="JH34" s="191"/>
      <c r="JI34" s="191">
        <v>250</v>
      </c>
      <c r="JJ34" s="191"/>
      <c r="JK34" s="191"/>
      <c r="JL34" s="191"/>
      <c r="JM34" s="191">
        <v>200</v>
      </c>
      <c r="JN34" s="191"/>
      <c r="JO34" s="191"/>
      <c r="JP34" s="191">
        <v>350</v>
      </c>
      <c r="JQ34" s="191"/>
      <c r="JR34" s="191"/>
      <c r="JS34" s="191">
        <v>250</v>
      </c>
      <c r="JT34" s="191"/>
      <c r="JU34" s="191"/>
      <c r="JV34" s="191"/>
      <c r="JW34" s="191">
        <v>200</v>
      </c>
      <c r="JX34" s="191"/>
      <c r="JY34" s="191"/>
      <c r="JZ34" s="191"/>
      <c r="KA34" s="191">
        <v>400</v>
      </c>
      <c r="KB34" s="191"/>
      <c r="KC34" s="191"/>
      <c r="KD34" s="191">
        <v>300</v>
      </c>
      <c r="KE34" s="191"/>
      <c r="KF34" s="191"/>
      <c r="KG34" s="191"/>
      <c r="KH34" s="191">
        <v>250</v>
      </c>
      <c r="KI34" s="191"/>
      <c r="KJ34" s="193"/>
      <c r="KK34" s="194">
        <v>300</v>
      </c>
      <c r="KL34" s="191"/>
      <c r="KM34" s="191"/>
      <c r="KN34" s="191"/>
      <c r="KO34" s="191">
        <v>200</v>
      </c>
      <c r="KP34" s="191"/>
      <c r="KQ34" s="191"/>
      <c r="KR34" s="191">
        <v>260</v>
      </c>
      <c r="KS34" s="191"/>
      <c r="KT34" s="191"/>
      <c r="KU34" s="191"/>
      <c r="KV34" s="191">
        <v>350</v>
      </c>
      <c r="KW34" s="191"/>
      <c r="KX34" s="191"/>
      <c r="KY34" s="191">
        <v>200</v>
      </c>
      <c r="KZ34" s="191"/>
      <c r="LA34" s="191"/>
      <c r="LB34" s="191"/>
      <c r="LC34" s="191">
        <v>160</v>
      </c>
      <c r="LD34" s="191"/>
      <c r="LE34" s="191"/>
      <c r="LF34" s="191">
        <v>350</v>
      </c>
      <c r="LG34" s="191"/>
      <c r="LH34" s="191"/>
      <c r="LI34" s="191"/>
      <c r="LJ34" s="191">
        <v>300</v>
      </c>
      <c r="LK34" s="191"/>
      <c r="LL34" s="191"/>
      <c r="LM34" s="191">
        <v>250</v>
      </c>
      <c r="LN34" s="192"/>
      <c r="LO34" s="190"/>
      <c r="LP34" s="191"/>
      <c r="LQ34" s="191">
        <v>300</v>
      </c>
      <c r="LR34" s="191"/>
      <c r="LS34" s="191"/>
      <c r="LT34" s="191">
        <v>160</v>
      </c>
      <c r="LU34" s="191"/>
      <c r="LV34" s="191"/>
      <c r="LW34" s="191"/>
      <c r="LX34" s="191">
        <v>110</v>
      </c>
      <c r="LY34" s="191"/>
      <c r="LZ34" s="191"/>
      <c r="MA34" s="191">
        <v>250</v>
      </c>
      <c r="MB34" s="191"/>
      <c r="MC34" s="191"/>
      <c r="MD34" s="191"/>
      <c r="ME34" s="191">
        <v>350</v>
      </c>
      <c r="MF34" s="191"/>
      <c r="MG34" s="191"/>
      <c r="MH34" s="191">
        <v>210</v>
      </c>
      <c r="MI34" s="191"/>
      <c r="MJ34" s="191"/>
      <c r="MK34" s="191"/>
      <c r="ML34" s="191">
        <v>350</v>
      </c>
      <c r="MM34" s="191"/>
      <c r="MN34" s="191"/>
      <c r="MO34" s="191">
        <v>200</v>
      </c>
      <c r="MP34" s="191"/>
      <c r="MQ34" s="191"/>
      <c r="MR34" s="191"/>
      <c r="MS34" s="193">
        <v>300</v>
      </c>
      <c r="MT34" s="194"/>
      <c r="MU34" s="191"/>
      <c r="MV34" s="191">
        <v>300</v>
      </c>
      <c r="MW34" s="191"/>
      <c r="MX34" s="191"/>
      <c r="MY34" s="191"/>
      <c r="MZ34" s="191">
        <v>200</v>
      </c>
      <c r="NA34" s="191"/>
      <c r="NB34" s="191"/>
      <c r="NC34" s="191">
        <v>200</v>
      </c>
      <c r="ND34" s="191"/>
      <c r="NE34" s="191"/>
      <c r="NF34" s="191"/>
      <c r="NG34" s="191">
        <v>210</v>
      </c>
      <c r="NH34" s="191"/>
      <c r="NI34" s="191"/>
      <c r="NJ34" s="191">
        <v>200</v>
      </c>
      <c r="NK34" s="191"/>
      <c r="NL34" s="191"/>
      <c r="NM34" s="191"/>
      <c r="NN34" s="191">
        <v>150</v>
      </c>
      <c r="NO34" s="191"/>
      <c r="NP34" s="191"/>
      <c r="NQ34" s="191">
        <v>100</v>
      </c>
      <c r="NR34" s="191"/>
      <c r="NS34" s="191"/>
      <c r="NT34" s="191"/>
      <c r="NU34" s="191">
        <v>250</v>
      </c>
      <c r="NV34" s="191"/>
      <c r="NW34" s="192"/>
      <c r="NX34" s="190">
        <v>150</v>
      </c>
      <c r="NY34" s="191"/>
      <c r="NZ34" s="191"/>
      <c r="OA34" s="191"/>
      <c r="OB34" s="191">
        <v>200</v>
      </c>
      <c r="OC34" s="191"/>
      <c r="OD34" s="191"/>
      <c r="OE34" s="191">
        <v>150</v>
      </c>
      <c r="OF34" s="191"/>
      <c r="OG34" s="191"/>
      <c r="OH34" s="191"/>
      <c r="OI34" s="191">
        <v>100</v>
      </c>
      <c r="OJ34" s="191"/>
      <c r="OK34" s="191"/>
      <c r="OL34" s="191">
        <v>350</v>
      </c>
      <c r="OM34" s="191"/>
      <c r="ON34" s="191"/>
      <c r="OO34" s="191"/>
      <c r="OP34" s="191"/>
      <c r="OQ34" s="191"/>
      <c r="OR34" s="191"/>
      <c r="OS34" s="191"/>
      <c r="OT34" s="191"/>
      <c r="OU34" s="191"/>
      <c r="OV34" s="191"/>
      <c r="OW34" s="191"/>
      <c r="OX34" s="191"/>
      <c r="OY34" s="191"/>
      <c r="OZ34" s="191"/>
      <c r="PA34" s="191"/>
      <c r="PB34" s="193"/>
      <c r="PC34" s="47"/>
      <c r="PD34" s="154" t="s">
        <v>97</v>
      </c>
      <c r="PE34" s="155" t="s">
        <v>98</v>
      </c>
      <c r="PF34" s="155" t="s">
        <v>98</v>
      </c>
      <c r="PG34" s="155" t="s">
        <v>98</v>
      </c>
      <c r="PH34" s="155" t="s">
        <v>98</v>
      </c>
      <c r="PI34" s="155" t="s">
        <v>98</v>
      </c>
      <c r="PJ34" s="155" t="s">
        <v>98</v>
      </c>
      <c r="PK34" s="155" t="s">
        <v>98</v>
      </c>
      <c r="PL34" s="155" t="s">
        <v>98</v>
      </c>
      <c r="PM34" s="155" t="s">
        <v>98</v>
      </c>
      <c r="PN34" s="155" t="s">
        <v>98</v>
      </c>
      <c r="PO34" s="156"/>
      <c r="PP34" s="156"/>
      <c r="PQ34" s="156"/>
      <c r="PR34" s="156"/>
      <c r="PS34" s="156"/>
      <c r="PT34" s="156"/>
      <c r="PU34" s="156"/>
      <c r="PV34" s="156"/>
      <c r="PW34" s="156"/>
      <c r="PX34" s="195"/>
      <c r="PY34" s="1"/>
      <c r="PZ34" s="196">
        <f t="shared" si="20"/>
        <v>1880</v>
      </c>
      <c r="QA34" s="176">
        <f t="shared" si="21"/>
        <v>1.5683657295403355E-2</v>
      </c>
      <c r="QB34" s="177" t="str">
        <f t="shared" ca="1" si="22"/>
        <v>Attente…</v>
      </c>
      <c r="QC34" s="197">
        <f t="shared" si="23"/>
        <v>1450</v>
      </c>
      <c r="QD34" s="179">
        <f t="shared" si="24"/>
        <v>1.3576779026217229E-2</v>
      </c>
      <c r="QE34" s="180" t="str">
        <f t="shared" ca="1" si="25"/>
        <v>Attente…</v>
      </c>
      <c r="QF34" s="196">
        <f t="shared" si="26"/>
        <v>1750</v>
      </c>
      <c r="QG34" s="176">
        <f t="shared" si="27"/>
        <v>1.3935340022296544E-2</v>
      </c>
      <c r="QH34" s="177" t="str">
        <f t="shared" ca="1" si="28"/>
        <v>Attente…</v>
      </c>
      <c r="QI34" s="197">
        <f t="shared" si="29"/>
        <v>2300</v>
      </c>
      <c r="QJ34" s="179">
        <f t="shared" si="30"/>
        <v>1.6131294711740778E-2</v>
      </c>
      <c r="QK34" s="180" t="str">
        <f t="shared" ca="1" si="31"/>
        <v>Attente…</v>
      </c>
      <c r="QL34" s="196">
        <f t="shared" si="32"/>
        <v>2100</v>
      </c>
      <c r="QM34" s="176">
        <f t="shared" si="33"/>
        <v>1.5364354697102721E-2</v>
      </c>
      <c r="QN34" s="177" t="str">
        <f t="shared" ca="1" si="34"/>
        <v>Attente…</v>
      </c>
      <c r="QO34" s="197">
        <f t="shared" si="35"/>
        <v>2050</v>
      </c>
      <c r="QP34" s="179">
        <f t="shared" si="36"/>
        <v>1.6049479370547248E-2</v>
      </c>
      <c r="QQ34" s="180" t="str">
        <f t="shared" ca="1" si="37"/>
        <v>Attente…</v>
      </c>
      <c r="QR34" s="196">
        <f t="shared" si="38"/>
        <v>2000</v>
      </c>
      <c r="QS34" s="176">
        <f t="shared" si="39"/>
        <v>1.4398329793743926E-2</v>
      </c>
      <c r="QT34" s="177" t="str">
        <f t="shared" ca="1" si="40"/>
        <v>Attente…</v>
      </c>
      <c r="QU34" s="197">
        <f t="shared" si="41"/>
        <v>2450</v>
      </c>
      <c r="QV34" s="179">
        <f t="shared" si="42"/>
        <v>1.6891891891891893E-2</v>
      </c>
      <c r="QW34" s="180" t="str">
        <f t="shared" ca="1" si="43"/>
        <v>Attente…</v>
      </c>
      <c r="QX34" s="196">
        <f t="shared" si="44"/>
        <v>2370</v>
      </c>
      <c r="QY34" s="176">
        <f t="shared" si="45"/>
        <v>1.7294725473598178E-2</v>
      </c>
      <c r="QZ34" s="177" t="str">
        <f t="shared" ca="1" si="46"/>
        <v>Attente…</v>
      </c>
      <c r="RA34" s="197">
        <f t="shared" si="47"/>
        <v>2230</v>
      </c>
      <c r="RB34" s="179">
        <f t="shared" si="48"/>
        <v>1.7447774039590018E-2</v>
      </c>
      <c r="RC34" s="180" t="str">
        <f t="shared" ca="1" si="49"/>
        <v>Attente…</v>
      </c>
      <c r="RD34" s="196">
        <f t="shared" si="50"/>
        <v>1610</v>
      </c>
      <c r="RE34" s="176">
        <f t="shared" si="51"/>
        <v>1.6042247907532881E-2</v>
      </c>
      <c r="RF34" s="177" t="str">
        <f t="shared" ca="1" si="52"/>
        <v>Attente…</v>
      </c>
      <c r="RG34" s="197">
        <f t="shared" si="53"/>
        <v>950</v>
      </c>
      <c r="RH34" s="179">
        <f t="shared" si="54"/>
        <v>1.7472871068604009E-2</v>
      </c>
      <c r="RI34" s="198" t="str">
        <f t="shared" ca="1" si="55"/>
        <v>Attente…</v>
      </c>
      <c r="RJ34" s="199">
        <f t="shared" si="56"/>
        <v>5080</v>
      </c>
      <c r="RK34" s="200" t="str">
        <f t="shared" ca="1" si="13"/>
        <v>Attente…</v>
      </c>
      <c r="RL34" s="199">
        <f t="shared" si="57"/>
        <v>6450</v>
      </c>
      <c r="RM34" s="200" t="str">
        <f t="shared" ca="1" si="58"/>
        <v>Atttente…</v>
      </c>
      <c r="RN34" s="199">
        <f t="shared" si="59"/>
        <v>6820</v>
      </c>
      <c r="RO34" s="200" t="str">
        <f t="shared" ca="1" si="14"/>
        <v>Attente…</v>
      </c>
      <c r="RP34" s="199">
        <f t="shared" si="60"/>
        <v>4790</v>
      </c>
      <c r="RQ34" s="200" t="str">
        <f t="shared" ca="1" si="15"/>
        <v>Attente…</v>
      </c>
      <c r="RR34" s="201">
        <f t="shared" si="61"/>
        <v>23140</v>
      </c>
      <c r="RS34" s="202" t="str">
        <f t="shared" ca="1" si="16"/>
        <v>Attente…</v>
      </c>
      <c r="RT34" s="103"/>
      <c r="RU34" s="203">
        <f t="shared" si="62"/>
        <v>0.57850000000000001</v>
      </c>
      <c r="RV34" s="204">
        <f t="shared" si="65"/>
        <v>2</v>
      </c>
      <c r="RW34" s="204">
        <f t="shared" si="65"/>
        <v>2</v>
      </c>
      <c r="RX34" s="204">
        <f t="shared" si="63"/>
        <v>100</v>
      </c>
      <c r="RY34" s="205" t="str">
        <f t="shared" si="64"/>
        <v>ISNEAUVILLE - 3 Route de Dieppe (Parking Intermarché)</v>
      </c>
      <c r="RZ34" s="189" t="str">
        <f>IF(OR(RZ33="",RZ33="  &lt;/Document&gt;
&lt;/kml&gt;"),"",
IF(B34="","  &lt;/Document&gt;
&lt;/kml&gt;",
IF(TournéesCAV!Q31=""," ",
"    &lt;Placemark&gt;
      &lt;description&gt;&lt;![CDATA["&amp;B34&amp;"&lt;br&gt;&lt;br&gt;"&amp;RV34&amp;" CAV&lt;br&gt;&lt;br&gt;Présent sur "&amp;RW34&amp;" tournée(s)&lt;br&gt;&lt;br&gt;Taux de remplissage moyen "&amp;TEXT(RU34*1000,"0 %")&amp;"]]&gt;&lt;/description&gt;
      &lt;Style&gt;
        &lt;IconStyle&gt;
          &lt;color&gt;ff"&amp;
          DEC2HEX(0,2)&amp;
          DEC2HEX(
            IF(RU34&lt;=0.5,
               INT(255*(RU34*2)),
               255
            ),2)&amp;
          DEC2HEX(
            IF(RU34&lt;=0.5,
               255,
               INT(255*(1-(RU34-0.5)*2))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&lt;Point&gt;&lt;coordinates&gt;"&amp;R34&amp;","&amp;Q34&amp;",0&lt;/coordinates&gt;&lt;/Point&gt;
    &lt;/Placemark&gt;"
)))</f>
        <v xml:space="preserve">    &lt;Placemark&gt;
      &lt;description&gt;&lt;![CDATA[ISNEAUVILLE - 3 Route de Dieppe (Parking Intermarché)&lt;br&gt;&lt;br&gt;2 CAV&lt;br&gt;&lt;br&gt;Présent sur 2 tournée(s)&lt;br&gt;&lt;br&gt;Taux de remplissage moyen 58%]]&gt;&lt;/description&gt;
      &lt;Style&gt;
        &lt;IconStyle&gt;
          &lt;color&gt;ff00FFD6&lt;/color&gt;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&lt;Point&gt;&lt;coordinates&gt;1.1504061,49.5024921,0&lt;/coordinates&gt;&lt;/Point&gt;
    &lt;/Placemark&gt;</v>
      </c>
    </row>
    <row r="35" spans="2:494" ht="15" hidden="1" customHeight="1" x14ac:dyDescent="0.35">
      <c r="B35" s="153" t="str">
        <f t="shared" si="17"/>
        <v>ISNEAUVILLE - 31 Rue André Le Nosle</v>
      </c>
      <c r="C35" s="154">
        <v>79</v>
      </c>
      <c r="D35" s="155"/>
      <c r="E35" s="155"/>
      <c r="F35" s="155"/>
      <c r="G35" s="155"/>
      <c r="H35" s="155"/>
      <c r="I35" s="155"/>
      <c r="J35" s="156"/>
      <c r="K35" s="157">
        <f t="shared" si="18"/>
        <v>1</v>
      </c>
      <c r="L35" s="157">
        <f t="shared" si="19"/>
        <v>2</v>
      </c>
      <c r="M35" s="158" t="s">
        <v>251</v>
      </c>
      <c r="N35" s="159"/>
      <c r="O35" s="159">
        <v>76230</v>
      </c>
      <c r="P35" s="159" t="s">
        <v>247</v>
      </c>
      <c r="Q35" s="159" t="s">
        <v>252</v>
      </c>
      <c r="R35" s="159" t="s">
        <v>253</v>
      </c>
      <c r="S35" s="159" t="s">
        <v>93</v>
      </c>
      <c r="T35" s="159" t="s">
        <v>94</v>
      </c>
      <c r="U35" s="159" t="s">
        <v>254</v>
      </c>
      <c r="V35" s="160" t="s">
        <v>96</v>
      </c>
      <c r="W35" s="161"/>
      <c r="X35" s="162"/>
      <c r="Y35" s="163"/>
      <c r="Z35" s="162"/>
      <c r="AA35" s="163"/>
      <c r="AB35" s="162"/>
      <c r="AC35" s="163"/>
      <c r="AD35" s="162"/>
      <c r="AE35" s="163"/>
      <c r="AF35" s="162"/>
      <c r="AG35" s="163"/>
      <c r="AH35" s="163">
        <v>9</v>
      </c>
      <c r="AI35" s="162">
        <v>8</v>
      </c>
      <c r="AJ35" s="163"/>
      <c r="AK35" s="162"/>
      <c r="AL35" s="163"/>
      <c r="AM35" s="162"/>
      <c r="AN35" s="163"/>
      <c r="AO35" s="162"/>
      <c r="AP35" s="164"/>
      <c r="AQ35" s="164"/>
      <c r="AR35" s="164"/>
      <c r="AS35" s="164"/>
      <c r="AT35" s="164"/>
      <c r="AU35" s="164"/>
      <c r="AV35" s="164"/>
      <c r="AW35" s="164"/>
      <c r="AX35" s="164"/>
      <c r="AY35" s="165"/>
      <c r="AZ35" s="41"/>
      <c r="BA35" s="190"/>
      <c r="BB35" s="191"/>
      <c r="BC35" s="191">
        <v>200</v>
      </c>
      <c r="BD35" s="191"/>
      <c r="BE35" s="191"/>
      <c r="BF35" s="191">
        <v>10</v>
      </c>
      <c r="BG35" s="191"/>
      <c r="BH35" s="191"/>
      <c r="BI35" s="191"/>
      <c r="BJ35" s="191">
        <v>50</v>
      </c>
      <c r="BK35" s="191"/>
      <c r="BL35" s="191"/>
      <c r="BM35" s="191">
        <v>10</v>
      </c>
      <c r="BN35" s="191"/>
      <c r="BO35" s="191"/>
      <c r="BP35" s="191"/>
      <c r="BQ35" s="191">
        <v>100</v>
      </c>
      <c r="BR35" s="191"/>
      <c r="BS35" s="191"/>
      <c r="BT35" s="191">
        <v>100</v>
      </c>
      <c r="BU35" s="191"/>
      <c r="BV35" s="191"/>
      <c r="BW35" s="191"/>
      <c r="BX35" s="191">
        <v>150</v>
      </c>
      <c r="BY35" s="191"/>
      <c r="BZ35" s="191"/>
      <c r="CA35" s="191">
        <v>100</v>
      </c>
      <c r="CB35" s="191"/>
      <c r="CC35" s="191"/>
      <c r="CD35" s="191"/>
      <c r="CE35" s="192">
        <v>50</v>
      </c>
      <c r="CF35" s="190"/>
      <c r="CG35" s="191"/>
      <c r="CH35" s="191">
        <v>50</v>
      </c>
      <c r="CI35" s="191"/>
      <c r="CJ35" s="191"/>
      <c r="CK35" s="191"/>
      <c r="CL35" s="191">
        <v>10</v>
      </c>
      <c r="CM35" s="191"/>
      <c r="CN35" s="191"/>
      <c r="CO35" s="191">
        <v>50</v>
      </c>
      <c r="CP35" s="191"/>
      <c r="CQ35" s="191"/>
      <c r="CR35" s="191"/>
      <c r="CS35" s="191">
        <v>50</v>
      </c>
      <c r="CT35" s="191"/>
      <c r="CU35" s="191"/>
      <c r="CV35" s="191">
        <v>100</v>
      </c>
      <c r="CW35" s="191"/>
      <c r="CX35" s="191"/>
      <c r="CY35" s="191"/>
      <c r="CZ35" s="191">
        <v>50</v>
      </c>
      <c r="DA35" s="191"/>
      <c r="DB35" s="191"/>
      <c r="DC35" s="191">
        <v>100</v>
      </c>
      <c r="DD35" s="191"/>
      <c r="DE35" s="191"/>
      <c r="DF35" s="191"/>
      <c r="DG35" s="191">
        <v>100</v>
      </c>
      <c r="DH35" s="193"/>
      <c r="DI35" s="194"/>
      <c r="DJ35" s="191"/>
      <c r="DK35" s="191">
        <v>100</v>
      </c>
      <c r="DL35" s="191"/>
      <c r="DM35" s="191"/>
      <c r="DN35" s="191"/>
      <c r="DO35" s="191">
        <v>100</v>
      </c>
      <c r="DP35" s="191"/>
      <c r="DQ35" s="191"/>
      <c r="DR35" s="191">
        <v>100</v>
      </c>
      <c r="DS35" s="191"/>
      <c r="DT35" s="191"/>
      <c r="DU35" s="191"/>
      <c r="DV35" s="191">
        <v>50</v>
      </c>
      <c r="DW35" s="191"/>
      <c r="DX35" s="191"/>
      <c r="DY35" s="191">
        <v>50</v>
      </c>
      <c r="DZ35" s="191"/>
      <c r="EA35" s="191"/>
      <c r="EB35" s="191"/>
      <c r="EC35" s="191">
        <v>150</v>
      </c>
      <c r="ED35" s="191"/>
      <c r="EE35" s="191"/>
      <c r="EF35" s="191">
        <v>50</v>
      </c>
      <c r="EG35" s="191"/>
      <c r="EH35" s="191"/>
      <c r="EI35" s="191"/>
      <c r="EJ35" s="191">
        <v>50</v>
      </c>
      <c r="EK35" s="191"/>
      <c r="EL35" s="191"/>
      <c r="EM35" s="192">
        <v>100</v>
      </c>
      <c r="EN35" s="190"/>
      <c r="EO35" s="191"/>
      <c r="EP35" s="191"/>
      <c r="EQ35" s="191">
        <v>100</v>
      </c>
      <c r="ER35" s="191"/>
      <c r="ES35" s="191"/>
      <c r="ET35" s="191">
        <v>150</v>
      </c>
      <c r="EU35" s="191"/>
      <c r="EV35" s="191"/>
      <c r="EW35" s="191"/>
      <c r="EX35" s="191">
        <v>200</v>
      </c>
      <c r="EY35" s="191"/>
      <c r="EZ35" s="191"/>
      <c r="FA35" s="191">
        <v>50</v>
      </c>
      <c r="FB35" s="191"/>
      <c r="FC35" s="191"/>
      <c r="FD35" s="191"/>
      <c r="FE35" s="191">
        <v>200</v>
      </c>
      <c r="FF35" s="191"/>
      <c r="FG35" s="191"/>
      <c r="FH35" s="191"/>
      <c r="FI35" s="191">
        <v>100</v>
      </c>
      <c r="FJ35" s="191"/>
      <c r="FK35" s="191"/>
      <c r="FL35" s="191">
        <v>100</v>
      </c>
      <c r="FM35" s="191"/>
      <c r="FN35" s="191"/>
      <c r="FO35" s="191">
        <v>150</v>
      </c>
      <c r="FP35" s="191"/>
      <c r="FQ35" s="193"/>
      <c r="FR35" s="194"/>
      <c r="FS35" s="191">
        <v>200</v>
      </c>
      <c r="FT35" s="191"/>
      <c r="FU35" s="191"/>
      <c r="FV35" s="191">
        <v>150</v>
      </c>
      <c r="FW35" s="191"/>
      <c r="FX35" s="191"/>
      <c r="FY35" s="191"/>
      <c r="FZ35" s="191">
        <v>100</v>
      </c>
      <c r="GA35" s="191"/>
      <c r="GB35" s="191"/>
      <c r="GC35" s="191">
        <v>150</v>
      </c>
      <c r="GD35" s="191"/>
      <c r="GE35" s="191"/>
      <c r="GF35" s="191"/>
      <c r="GG35" s="191">
        <v>150</v>
      </c>
      <c r="GH35" s="191"/>
      <c r="GI35" s="191"/>
      <c r="GJ35" s="191">
        <v>100</v>
      </c>
      <c r="GK35" s="191"/>
      <c r="GL35" s="191"/>
      <c r="GM35" s="191"/>
      <c r="GN35" s="191">
        <v>100</v>
      </c>
      <c r="GO35" s="191"/>
      <c r="GP35" s="191"/>
      <c r="GQ35" s="191">
        <v>150</v>
      </c>
      <c r="GR35" s="191"/>
      <c r="GS35" s="191"/>
      <c r="GT35" s="191"/>
      <c r="GU35" s="191">
        <v>100</v>
      </c>
      <c r="GV35" s="192"/>
      <c r="GW35" s="190"/>
      <c r="GX35" s="191">
        <v>100</v>
      </c>
      <c r="GY35" s="191"/>
      <c r="GZ35" s="191"/>
      <c r="HA35" s="191"/>
      <c r="HB35" s="191">
        <v>100</v>
      </c>
      <c r="HC35" s="191"/>
      <c r="HD35" s="191"/>
      <c r="HE35" s="191"/>
      <c r="HF35" s="191">
        <v>100</v>
      </c>
      <c r="HG35" s="191"/>
      <c r="HH35" s="191"/>
      <c r="HI35" s="191">
        <v>100</v>
      </c>
      <c r="HJ35" s="191"/>
      <c r="HK35" s="191"/>
      <c r="HL35" s="191"/>
      <c r="HM35" s="191"/>
      <c r="HN35" s="191"/>
      <c r="HO35" s="191">
        <v>150</v>
      </c>
      <c r="HP35" s="191"/>
      <c r="HQ35" s="191"/>
      <c r="HR35" s="191"/>
      <c r="HS35" s="191">
        <v>100</v>
      </c>
      <c r="HT35" s="191"/>
      <c r="HU35" s="191"/>
      <c r="HV35" s="191"/>
      <c r="HW35" s="191">
        <v>100</v>
      </c>
      <c r="HX35" s="191"/>
      <c r="HY35" s="191"/>
      <c r="HZ35" s="193">
        <v>100</v>
      </c>
      <c r="IA35" s="194"/>
      <c r="IB35" s="191"/>
      <c r="IC35" s="191"/>
      <c r="ID35" s="191">
        <v>100</v>
      </c>
      <c r="IE35" s="191"/>
      <c r="IF35" s="191"/>
      <c r="IG35" s="191">
        <v>100</v>
      </c>
      <c r="IH35" s="191"/>
      <c r="II35" s="191"/>
      <c r="IJ35" s="191"/>
      <c r="IK35" s="191">
        <v>50</v>
      </c>
      <c r="IL35" s="191"/>
      <c r="IM35" s="191"/>
      <c r="IN35" s="191">
        <v>200</v>
      </c>
      <c r="IO35" s="191"/>
      <c r="IP35" s="191"/>
      <c r="IQ35" s="191"/>
      <c r="IR35" s="191">
        <v>100</v>
      </c>
      <c r="IS35" s="191"/>
      <c r="IT35" s="191"/>
      <c r="IU35" s="191">
        <v>150</v>
      </c>
      <c r="IV35" s="191"/>
      <c r="IW35" s="191"/>
      <c r="IX35" s="191"/>
      <c r="IY35" s="191">
        <v>200</v>
      </c>
      <c r="IZ35" s="191"/>
      <c r="JA35" s="191"/>
      <c r="JB35" s="191">
        <v>150</v>
      </c>
      <c r="JC35" s="191"/>
      <c r="JD35" s="191"/>
      <c r="JE35" s="192"/>
      <c r="JF35" s="190">
        <v>100</v>
      </c>
      <c r="JG35" s="191"/>
      <c r="JH35" s="191"/>
      <c r="JI35" s="191">
        <v>100</v>
      </c>
      <c r="JJ35" s="191"/>
      <c r="JK35" s="191"/>
      <c r="JL35" s="191"/>
      <c r="JM35" s="191">
        <v>150</v>
      </c>
      <c r="JN35" s="191"/>
      <c r="JO35" s="191"/>
      <c r="JP35" s="191">
        <v>150</v>
      </c>
      <c r="JQ35" s="191"/>
      <c r="JR35" s="191"/>
      <c r="JS35" s="191">
        <v>100</v>
      </c>
      <c r="JT35" s="191"/>
      <c r="JU35" s="191"/>
      <c r="JV35" s="191"/>
      <c r="JW35" s="191">
        <v>100</v>
      </c>
      <c r="JX35" s="191"/>
      <c r="JY35" s="191"/>
      <c r="JZ35" s="191"/>
      <c r="KA35" s="191">
        <v>200</v>
      </c>
      <c r="KB35" s="191"/>
      <c r="KC35" s="191"/>
      <c r="KD35" s="191">
        <v>150</v>
      </c>
      <c r="KE35" s="191"/>
      <c r="KF35" s="191"/>
      <c r="KG35" s="191"/>
      <c r="KH35" s="191">
        <v>100</v>
      </c>
      <c r="KI35" s="191"/>
      <c r="KJ35" s="193"/>
      <c r="KK35" s="194">
        <v>100</v>
      </c>
      <c r="KL35" s="191"/>
      <c r="KM35" s="191"/>
      <c r="KN35" s="191"/>
      <c r="KO35" s="191">
        <v>150</v>
      </c>
      <c r="KP35" s="191"/>
      <c r="KQ35" s="191"/>
      <c r="KR35" s="191">
        <v>100</v>
      </c>
      <c r="KS35" s="191"/>
      <c r="KT35" s="191"/>
      <c r="KU35" s="191"/>
      <c r="KV35" s="191">
        <v>150</v>
      </c>
      <c r="KW35" s="191"/>
      <c r="KX35" s="191"/>
      <c r="KY35" s="191">
        <v>150</v>
      </c>
      <c r="KZ35" s="191"/>
      <c r="LA35" s="191"/>
      <c r="LB35" s="191"/>
      <c r="LC35" s="191">
        <v>50</v>
      </c>
      <c r="LD35" s="191"/>
      <c r="LE35" s="191"/>
      <c r="LF35" s="191">
        <v>100</v>
      </c>
      <c r="LG35" s="191"/>
      <c r="LH35" s="191"/>
      <c r="LI35" s="191"/>
      <c r="LJ35" s="191">
        <v>100</v>
      </c>
      <c r="LK35" s="191"/>
      <c r="LL35" s="191"/>
      <c r="LM35" s="191">
        <v>100</v>
      </c>
      <c r="LN35" s="192"/>
      <c r="LO35" s="190"/>
      <c r="LP35" s="191"/>
      <c r="LQ35" s="191">
        <v>100</v>
      </c>
      <c r="LR35" s="191"/>
      <c r="LS35" s="191"/>
      <c r="LT35" s="191">
        <v>50</v>
      </c>
      <c r="LU35" s="191"/>
      <c r="LV35" s="191"/>
      <c r="LW35" s="191"/>
      <c r="LX35" s="191"/>
      <c r="LY35" s="191"/>
      <c r="LZ35" s="191"/>
      <c r="MA35" s="191">
        <v>100</v>
      </c>
      <c r="MB35" s="191"/>
      <c r="MC35" s="191"/>
      <c r="MD35" s="191"/>
      <c r="ME35" s="191">
        <v>100</v>
      </c>
      <c r="MF35" s="191"/>
      <c r="MG35" s="191"/>
      <c r="MH35" s="191">
        <v>50</v>
      </c>
      <c r="MI35" s="191"/>
      <c r="MJ35" s="191"/>
      <c r="MK35" s="191"/>
      <c r="ML35" s="191">
        <v>100</v>
      </c>
      <c r="MM35" s="191"/>
      <c r="MN35" s="191"/>
      <c r="MO35" s="191">
        <v>50</v>
      </c>
      <c r="MP35" s="191"/>
      <c r="MQ35" s="191"/>
      <c r="MR35" s="191"/>
      <c r="MS35" s="193">
        <v>150</v>
      </c>
      <c r="MT35" s="194"/>
      <c r="MU35" s="191"/>
      <c r="MV35" s="191">
        <v>100</v>
      </c>
      <c r="MW35" s="191"/>
      <c r="MX35" s="191"/>
      <c r="MY35" s="191"/>
      <c r="MZ35" s="191">
        <v>100</v>
      </c>
      <c r="NA35" s="191"/>
      <c r="NB35" s="191"/>
      <c r="NC35" s="191">
        <v>100</v>
      </c>
      <c r="ND35" s="191"/>
      <c r="NE35" s="191"/>
      <c r="NF35" s="191"/>
      <c r="NG35" s="191">
        <v>100</v>
      </c>
      <c r="NH35" s="191"/>
      <c r="NI35" s="191"/>
      <c r="NJ35" s="191">
        <v>100</v>
      </c>
      <c r="NK35" s="191"/>
      <c r="NL35" s="191"/>
      <c r="NM35" s="191"/>
      <c r="NN35" s="191">
        <v>100</v>
      </c>
      <c r="NO35" s="191"/>
      <c r="NP35" s="191"/>
      <c r="NQ35" s="191">
        <v>100</v>
      </c>
      <c r="NR35" s="191"/>
      <c r="NS35" s="191"/>
      <c r="NT35" s="191"/>
      <c r="NU35" s="191">
        <v>150</v>
      </c>
      <c r="NV35" s="191"/>
      <c r="NW35" s="192"/>
      <c r="NX35" s="190">
        <v>100</v>
      </c>
      <c r="NY35" s="191"/>
      <c r="NZ35" s="191"/>
      <c r="OA35" s="191"/>
      <c r="OB35" s="191">
        <v>100</v>
      </c>
      <c r="OC35" s="191"/>
      <c r="OD35" s="191"/>
      <c r="OE35" s="191">
        <v>100</v>
      </c>
      <c r="OF35" s="191"/>
      <c r="OG35" s="191"/>
      <c r="OH35" s="191"/>
      <c r="OI35" s="191">
        <v>100</v>
      </c>
      <c r="OJ35" s="191"/>
      <c r="OK35" s="191"/>
      <c r="OL35" s="191">
        <v>50</v>
      </c>
      <c r="OM35" s="191"/>
      <c r="ON35" s="191"/>
      <c r="OO35" s="191"/>
      <c r="OP35" s="191"/>
      <c r="OQ35" s="191"/>
      <c r="OR35" s="191"/>
      <c r="OS35" s="191"/>
      <c r="OT35" s="191"/>
      <c r="OU35" s="191"/>
      <c r="OV35" s="191"/>
      <c r="OW35" s="191"/>
      <c r="OX35" s="191"/>
      <c r="OY35" s="191"/>
      <c r="OZ35" s="191"/>
      <c r="PA35" s="191"/>
      <c r="PB35" s="193"/>
      <c r="PC35" s="47"/>
      <c r="PD35" s="154" t="s">
        <v>97</v>
      </c>
      <c r="PE35" s="155" t="s">
        <v>98</v>
      </c>
      <c r="PF35" s="155" t="s">
        <v>98</v>
      </c>
      <c r="PG35" s="155" t="s">
        <v>98</v>
      </c>
      <c r="PH35" s="155" t="s">
        <v>98</v>
      </c>
      <c r="PI35" s="155" t="s">
        <v>98</v>
      </c>
      <c r="PJ35" s="155" t="s">
        <v>98</v>
      </c>
      <c r="PK35" s="155" t="s">
        <v>98</v>
      </c>
      <c r="PL35" s="155" t="s">
        <v>98</v>
      </c>
      <c r="PM35" s="155" t="s">
        <v>98</v>
      </c>
      <c r="PN35" s="155" t="s">
        <v>98</v>
      </c>
      <c r="PO35" s="156"/>
      <c r="PP35" s="156"/>
      <c r="PQ35" s="156"/>
      <c r="PR35" s="156"/>
      <c r="PS35" s="156"/>
      <c r="PT35" s="156"/>
      <c r="PU35" s="156"/>
      <c r="PV35" s="156"/>
      <c r="PW35" s="156"/>
      <c r="PX35" s="195"/>
      <c r="PY35" s="1"/>
      <c r="PZ35" s="196">
        <f t="shared" si="20"/>
        <v>770</v>
      </c>
      <c r="QA35" s="176">
        <f t="shared" si="21"/>
        <v>6.423625594393927E-3</v>
      </c>
      <c r="QB35" s="177" t="str">
        <f t="shared" ca="1" si="22"/>
        <v>Attente…</v>
      </c>
      <c r="QC35" s="197">
        <f t="shared" si="23"/>
        <v>510</v>
      </c>
      <c r="QD35" s="179">
        <f t="shared" si="24"/>
        <v>4.7752808988764045E-3</v>
      </c>
      <c r="QE35" s="180" t="str">
        <f t="shared" ca="1" si="25"/>
        <v>Attente…</v>
      </c>
      <c r="QF35" s="196">
        <f t="shared" si="26"/>
        <v>750</v>
      </c>
      <c r="QG35" s="176">
        <f t="shared" si="27"/>
        <v>5.972288580984233E-3</v>
      </c>
      <c r="QH35" s="177" t="str">
        <f t="shared" ca="1" si="28"/>
        <v>Attente…</v>
      </c>
      <c r="QI35" s="197">
        <f t="shared" si="29"/>
        <v>1050</v>
      </c>
      <c r="QJ35" s="179">
        <f t="shared" si="30"/>
        <v>7.3642867162294848E-3</v>
      </c>
      <c r="QK35" s="180" t="str">
        <f t="shared" ca="1" si="31"/>
        <v>Attente…</v>
      </c>
      <c r="QL35" s="196">
        <f t="shared" si="32"/>
        <v>1200</v>
      </c>
      <c r="QM35" s="176">
        <f t="shared" si="33"/>
        <v>8.7796312554872698E-3</v>
      </c>
      <c r="QN35" s="177" t="str">
        <f t="shared" ca="1" si="34"/>
        <v>Attente…</v>
      </c>
      <c r="QO35" s="197">
        <f t="shared" si="35"/>
        <v>850</v>
      </c>
      <c r="QP35" s="179">
        <f t="shared" si="36"/>
        <v>6.6546621780317859E-3</v>
      </c>
      <c r="QQ35" s="180" t="str">
        <f t="shared" ca="1" si="37"/>
        <v>Attente…</v>
      </c>
      <c r="QR35" s="196">
        <f t="shared" si="38"/>
        <v>1050</v>
      </c>
      <c r="QS35" s="176">
        <f t="shared" si="39"/>
        <v>7.5591231417155612E-3</v>
      </c>
      <c r="QT35" s="177" t="str">
        <f t="shared" ca="1" si="40"/>
        <v>Attente…</v>
      </c>
      <c r="QU35" s="197">
        <f t="shared" si="41"/>
        <v>1150</v>
      </c>
      <c r="QV35" s="179">
        <f t="shared" si="42"/>
        <v>7.9288472145614998E-3</v>
      </c>
      <c r="QW35" s="180" t="str">
        <f t="shared" ca="1" si="43"/>
        <v>Attente…</v>
      </c>
      <c r="QX35" s="196">
        <f t="shared" si="44"/>
        <v>1000</v>
      </c>
      <c r="QY35" s="176">
        <f t="shared" si="45"/>
        <v>7.2973525205055605E-3</v>
      </c>
      <c r="QZ35" s="177" t="str">
        <f t="shared" ca="1" si="46"/>
        <v>Attente…</v>
      </c>
      <c r="RA35" s="197">
        <f t="shared" si="47"/>
        <v>700</v>
      </c>
      <c r="RB35" s="179">
        <f t="shared" si="48"/>
        <v>5.4768797433690638E-3</v>
      </c>
      <c r="RC35" s="180" t="str">
        <f t="shared" ca="1" si="49"/>
        <v>Attente…</v>
      </c>
      <c r="RD35" s="196">
        <f t="shared" si="50"/>
        <v>850</v>
      </c>
      <c r="RE35" s="176">
        <f t="shared" si="51"/>
        <v>8.4695097648465525E-3</v>
      </c>
      <c r="RF35" s="177" t="str">
        <f t="shared" ca="1" si="52"/>
        <v>Attente…</v>
      </c>
      <c r="RG35" s="197">
        <f t="shared" si="53"/>
        <v>450</v>
      </c>
      <c r="RH35" s="179">
        <f t="shared" si="54"/>
        <v>8.2766231377597935E-3</v>
      </c>
      <c r="RI35" s="198" t="str">
        <f t="shared" ca="1" si="55"/>
        <v>Attente…</v>
      </c>
      <c r="RJ35" s="199">
        <f t="shared" si="56"/>
        <v>2030</v>
      </c>
      <c r="RK35" s="200" t="str">
        <f t="shared" ca="1" si="13"/>
        <v>Attente…</v>
      </c>
      <c r="RL35" s="199">
        <f t="shared" si="57"/>
        <v>3100</v>
      </c>
      <c r="RM35" s="200" t="str">
        <f t="shared" ca="1" si="58"/>
        <v>Atttente…</v>
      </c>
      <c r="RN35" s="199">
        <f t="shared" si="59"/>
        <v>3200</v>
      </c>
      <c r="RO35" s="200" t="str">
        <f t="shared" ca="1" si="14"/>
        <v>Attente…</v>
      </c>
      <c r="RP35" s="199">
        <f t="shared" si="60"/>
        <v>2000</v>
      </c>
      <c r="RQ35" s="200" t="str">
        <f t="shared" ca="1" si="15"/>
        <v>Attente…</v>
      </c>
      <c r="RR35" s="201">
        <f t="shared" si="61"/>
        <v>10330</v>
      </c>
      <c r="RS35" s="202" t="str">
        <f t="shared" ca="1" si="16"/>
        <v>Attente…</v>
      </c>
      <c r="RT35" s="103"/>
      <c r="RU35" s="203">
        <f t="shared" si="62"/>
        <v>0.52704081632653066</v>
      </c>
      <c r="RV35" s="204">
        <f t="shared" si="65"/>
        <v>1</v>
      </c>
      <c r="RW35" s="204">
        <f t="shared" si="65"/>
        <v>2</v>
      </c>
      <c r="RX35" s="204">
        <f t="shared" si="63"/>
        <v>98</v>
      </c>
      <c r="RY35" s="205" t="str">
        <f t="shared" si="64"/>
        <v>ISNEAUVILLE - 31 Rue André Le Nosle</v>
      </c>
      <c r="RZ35" s="189" t="str">
        <f>IF(OR(RZ34="",RZ34="  &lt;/Document&gt;
&lt;/kml&gt;"),"",
IF(B35="","  &lt;/Document&gt;
&lt;/kml&gt;",
IF(TournéesCAV!Q34=""," ",
"    &lt;Placemark&gt;
      &lt;description&gt;&lt;![CDATA["&amp;B35&amp;"&lt;br&gt;&lt;br&gt;"&amp;RV35&amp;" CAV&lt;br&gt;&lt;br&gt;Présent sur "&amp;RW35&amp;" tournée(s)&lt;br&gt;&lt;br&gt;Taux de remplissage moyen "&amp;TEXT(RU35*1000,"0 %")&amp;"]]&gt;&lt;/description&gt;
      &lt;Style&gt;
        &lt;IconStyle&gt;
          &lt;color&gt;ff"&amp;
          DEC2HEX(0,2)&amp;
          DEC2HEX(
            IF(RU35&lt;=0.5,
               INT(255*(RU35*2)),
               255
            ),2)&amp;
          DEC2HEX(
            IF(RU35&lt;=0.5,
               255,
               INT(255*(1-(RU35-0.5)*2))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&lt;Point&gt;&lt;coordinates&gt;"&amp;R35&amp;","&amp;Q35&amp;",0&lt;/coordinates&gt;&lt;/Point&gt;
    &lt;/Placemark&gt;"
)))</f>
        <v xml:space="preserve">    &lt;Placemark&gt;
      &lt;description&gt;&lt;![CDATA[ISNEAUVILLE - 31 Rue André Le Nosle&lt;br&gt;&lt;br&gt;1 CAV&lt;br&gt;&lt;br&gt;Présent sur 2 tournée(s)&lt;br&gt;&lt;br&gt;Taux de remplissage moyen 53%]]&gt;&lt;/description&gt;
      &lt;Style&gt;
        &lt;IconStyle&gt;
          &lt;color&gt;ff00FFF1&lt;/color&gt;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&lt;Point&gt;&lt;coordinates&gt;1.1446697,49.4946399,0&lt;/coordinates&gt;&lt;/Point&gt;
    &lt;/Placemark&gt;</v>
      </c>
    </row>
    <row r="36" spans="2:494" ht="15" hidden="1" customHeight="1" x14ac:dyDescent="0.35">
      <c r="B36" s="153" t="str">
        <f t="shared" si="17"/>
        <v>HOUPPEVILLE - 86 rue de la Voix Maline (A coté de la colonne à verre)</v>
      </c>
      <c r="C36" s="154">
        <v>74</v>
      </c>
      <c r="D36" s="155"/>
      <c r="E36" s="155"/>
      <c r="F36" s="155"/>
      <c r="G36" s="155"/>
      <c r="H36" s="155"/>
      <c r="I36" s="155"/>
      <c r="J36" s="156"/>
      <c r="K36" s="157">
        <f t="shared" si="18"/>
        <v>1</v>
      </c>
      <c r="L36" s="157">
        <f t="shared" si="19"/>
        <v>2</v>
      </c>
      <c r="M36" s="158" t="s">
        <v>255</v>
      </c>
      <c r="N36" s="159" t="s">
        <v>256</v>
      </c>
      <c r="O36" s="159">
        <v>76770</v>
      </c>
      <c r="P36" s="159" t="s">
        <v>257</v>
      </c>
      <c r="Q36" s="159" t="s">
        <v>258</v>
      </c>
      <c r="R36" s="159" t="s">
        <v>259</v>
      </c>
      <c r="S36" s="159" t="s">
        <v>93</v>
      </c>
      <c r="T36" s="159" t="s">
        <v>94</v>
      </c>
      <c r="U36" s="159" t="s">
        <v>260</v>
      </c>
      <c r="V36" s="160" t="s">
        <v>96</v>
      </c>
      <c r="W36" s="161"/>
      <c r="X36" s="162"/>
      <c r="Y36" s="163"/>
      <c r="Z36" s="162"/>
      <c r="AA36" s="163"/>
      <c r="AB36" s="162"/>
      <c r="AC36" s="163"/>
      <c r="AD36" s="162"/>
      <c r="AE36" s="163"/>
      <c r="AF36" s="162"/>
      <c r="AG36" s="163"/>
      <c r="AH36" s="163">
        <v>11</v>
      </c>
      <c r="AI36" s="162">
        <v>9</v>
      </c>
      <c r="AJ36" s="163"/>
      <c r="AK36" s="162"/>
      <c r="AL36" s="163"/>
      <c r="AM36" s="162"/>
      <c r="AN36" s="163"/>
      <c r="AO36" s="162"/>
      <c r="AP36" s="164"/>
      <c r="AQ36" s="164"/>
      <c r="AR36" s="164"/>
      <c r="AS36" s="164"/>
      <c r="AT36" s="164"/>
      <c r="AU36" s="164"/>
      <c r="AV36" s="164"/>
      <c r="AW36" s="164"/>
      <c r="AX36" s="164"/>
      <c r="AY36" s="165"/>
      <c r="AZ36" s="41"/>
      <c r="BA36" s="190"/>
      <c r="BB36" s="191"/>
      <c r="BC36" s="191">
        <v>100</v>
      </c>
      <c r="BD36" s="191"/>
      <c r="BE36" s="191"/>
      <c r="BF36" s="191">
        <v>100</v>
      </c>
      <c r="BG36" s="191"/>
      <c r="BH36" s="191"/>
      <c r="BI36" s="191"/>
      <c r="BJ36" s="191">
        <v>50</v>
      </c>
      <c r="BK36" s="191"/>
      <c r="BL36" s="191"/>
      <c r="BM36" s="191">
        <v>50</v>
      </c>
      <c r="BN36" s="191"/>
      <c r="BO36" s="191"/>
      <c r="BP36" s="191"/>
      <c r="BQ36" s="191">
        <v>10</v>
      </c>
      <c r="BR36" s="191"/>
      <c r="BS36" s="191"/>
      <c r="BT36" s="191">
        <v>10</v>
      </c>
      <c r="BU36" s="191"/>
      <c r="BV36" s="191"/>
      <c r="BW36" s="191"/>
      <c r="BX36" s="191">
        <v>10</v>
      </c>
      <c r="BY36" s="191"/>
      <c r="BZ36" s="191"/>
      <c r="CA36" s="191">
        <v>10</v>
      </c>
      <c r="CB36" s="191"/>
      <c r="CC36" s="191"/>
      <c r="CD36" s="191"/>
      <c r="CE36" s="192">
        <v>50</v>
      </c>
      <c r="CF36" s="190"/>
      <c r="CG36" s="191"/>
      <c r="CH36" s="191">
        <v>10</v>
      </c>
      <c r="CI36" s="191"/>
      <c r="CJ36" s="191"/>
      <c r="CK36" s="191"/>
      <c r="CL36" s="191">
        <v>50</v>
      </c>
      <c r="CM36" s="191"/>
      <c r="CN36" s="191"/>
      <c r="CO36" s="191">
        <v>50</v>
      </c>
      <c r="CP36" s="191"/>
      <c r="CQ36" s="191"/>
      <c r="CR36" s="191"/>
      <c r="CS36" s="191">
        <v>50</v>
      </c>
      <c r="CT36" s="191"/>
      <c r="CU36" s="191"/>
      <c r="CV36" s="191">
        <v>10</v>
      </c>
      <c r="CW36" s="191"/>
      <c r="CX36" s="191"/>
      <c r="CY36" s="191"/>
      <c r="CZ36" s="191">
        <v>100</v>
      </c>
      <c r="DA36" s="191"/>
      <c r="DB36" s="191"/>
      <c r="DC36" s="191">
        <v>100</v>
      </c>
      <c r="DD36" s="191"/>
      <c r="DE36" s="191"/>
      <c r="DF36" s="191"/>
      <c r="DG36" s="191">
        <v>50</v>
      </c>
      <c r="DH36" s="193"/>
      <c r="DI36" s="194"/>
      <c r="DJ36" s="191"/>
      <c r="DK36" s="191">
        <v>50</v>
      </c>
      <c r="DL36" s="191"/>
      <c r="DM36" s="191"/>
      <c r="DN36" s="191"/>
      <c r="DO36" s="191">
        <v>100</v>
      </c>
      <c r="DP36" s="191"/>
      <c r="DQ36" s="191"/>
      <c r="DR36" s="191">
        <v>100</v>
      </c>
      <c r="DS36" s="191"/>
      <c r="DT36" s="191"/>
      <c r="DU36" s="191"/>
      <c r="DV36" s="191">
        <v>50</v>
      </c>
      <c r="DW36" s="191"/>
      <c r="DX36" s="191"/>
      <c r="DY36" s="191">
        <v>10</v>
      </c>
      <c r="DZ36" s="191"/>
      <c r="EA36" s="191"/>
      <c r="EB36" s="191"/>
      <c r="EC36" s="191">
        <v>10</v>
      </c>
      <c r="ED36" s="191"/>
      <c r="EE36" s="191"/>
      <c r="EF36" s="191">
        <v>50</v>
      </c>
      <c r="EG36" s="191"/>
      <c r="EH36" s="191"/>
      <c r="EI36" s="191"/>
      <c r="EJ36" s="191">
        <v>10</v>
      </c>
      <c r="EK36" s="191"/>
      <c r="EL36" s="191"/>
      <c r="EM36" s="192">
        <v>50</v>
      </c>
      <c r="EN36" s="190"/>
      <c r="EO36" s="191"/>
      <c r="EP36" s="191"/>
      <c r="EQ36" s="191">
        <v>50</v>
      </c>
      <c r="ER36" s="191"/>
      <c r="ES36" s="191"/>
      <c r="ET36" s="191">
        <v>10</v>
      </c>
      <c r="EU36" s="191"/>
      <c r="EV36" s="191"/>
      <c r="EW36" s="191"/>
      <c r="EX36" s="191">
        <v>50</v>
      </c>
      <c r="EY36" s="191"/>
      <c r="EZ36" s="191"/>
      <c r="FA36" s="191">
        <v>10</v>
      </c>
      <c r="FB36" s="191"/>
      <c r="FC36" s="191"/>
      <c r="FD36" s="191"/>
      <c r="FE36" s="191">
        <v>10</v>
      </c>
      <c r="FF36" s="191"/>
      <c r="FG36" s="191"/>
      <c r="FH36" s="191"/>
      <c r="FI36" s="191">
        <v>100</v>
      </c>
      <c r="FJ36" s="191"/>
      <c r="FK36" s="191"/>
      <c r="FL36" s="191">
        <v>50</v>
      </c>
      <c r="FM36" s="191"/>
      <c r="FN36" s="191"/>
      <c r="FO36" s="191">
        <v>100</v>
      </c>
      <c r="FP36" s="191"/>
      <c r="FQ36" s="193"/>
      <c r="FR36" s="194"/>
      <c r="FS36" s="191">
        <v>10</v>
      </c>
      <c r="FT36" s="191"/>
      <c r="FU36" s="191"/>
      <c r="FV36" s="191">
        <v>50</v>
      </c>
      <c r="FW36" s="191"/>
      <c r="FX36" s="191"/>
      <c r="FY36" s="191"/>
      <c r="FZ36" s="191">
        <v>50</v>
      </c>
      <c r="GA36" s="191"/>
      <c r="GB36" s="191"/>
      <c r="GC36" s="191">
        <v>100</v>
      </c>
      <c r="GD36" s="191"/>
      <c r="GE36" s="191"/>
      <c r="GF36" s="191"/>
      <c r="GG36" s="191">
        <v>50</v>
      </c>
      <c r="GH36" s="191"/>
      <c r="GI36" s="191"/>
      <c r="GJ36" s="191">
        <v>50</v>
      </c>
      <c r="GK36" s="191"/>
      <c r="GL36" s="191"/>
      <c r="GM36" s="191"/>
      <c r="GN36" s="191">
        <v>50</v>
      </c>
      <c r="GO36" s="191"/>
      <c r="GP36" s="191"/>
      <c r="GQ36" s="191">
        <v>10</v>
      </c>
      <c r="GR36" s="191"/>
      <c r="GS36" s="191"/>
      <c r="GT36" s="191"/>
      <c r="GU36" s="191">
        <v>10</v>
      </c>
      <c r="GV36" s="192"/>
      <c r="GW36" s="190"/>
      <c r="GX36" s="191">
        <v>100</v>
      </c>
      <c r="GY36" s="191"/>
      <c r="GZ36" s="191"/>
      <c r="HA36" s="191"/>
      <c r="HB36" s="191">
        <v>50</v>
      </c>
      <c r="HC36" s="191"/>
      <c r="HD36" s="191"/>
      <c r="HE36" s="191"/>
      <c r="HF36" s="191">
        <v>50</v>
      </c>
      <c r="HG36" s="191"/>
      <c r="HH36" s="191"/>
      <c r="HI36" s="191">
        <v>10</v>
      </c>
      <c r="HJ36" s="191"/>
      <c r="HK36" s="191"/>
      <c r="HL36" s="191">
        <v>10</v>
      </c>
      <c r="HM36" s="191"/>
      <c r="HN36" s="191"/>
      <c r="HO36" s="191">
        <v>100</v>
      </c>
      <c r="HP36" s="191"/>
      <c r="HQ36" s="191"/>
      <c r="HR36" s="191"/>
      <c r="HS36" s="191">
        <v>50</v>
      </c>
      <c r="HT36" s="191"/>
      <c r="HU36" s="191"/>
      <c r="HV36" s="191"/>
      <c r="HW36" s="191">
        <v>50</v>
      </c>
      <c r="HX36" s="191"/>
      <c r="HY36" s="191"/>
      <c r="HZ36" s="193">
        <v>10</v>
      </c>
      <c r="IA36" s="194"/>
      <c r="IB36" s="191"/>
      <c r="IC36" s="191"/>
      <c r="ID36" s="191">
        <v>10</v>
      </c>
      <c r="IE36" s="191"/>
      <c r="IF36" s="191"/>
      <c r="IG36" s="191">
        <v>150</v>
      </c>
      <c r="IH36" s="191"/>
      <c r="II36" s="191"/>
      <c r="IJ36" s="191"/>
      <c r="IK36" s="191">
        <v>100</v>
      </c>
      <c r="IL36" s="191"/>
      <c r="IM36" s="191"/>
      <c r="IN36" s="191">
        <v>50</v>
      </c>
      <c r="IO36" s="191"/>
      <c r="IP36" s="191"/>
      <c r="IQ36" s="191"/>
      <c r="IR36" s="191">
        <v>10</v>
      </c>
      <c r="IS36" s="191"/>
      <c r="IT36" s="191"/>
      <c r="IU36" s="191">
        <v>50</v>
      </c>
      <c r="IV36" s="191"/>
      <c r="IW36" s="191"/>
      <c r="IX36" s="191"/>
      <c r="IY36" s="191">
        <v>10</v>
      </c>
      <c r="IZ36" s="191"/>
      <c r="JA36" s="191"/>
      <c r="JB36" s="191">
        <v>100</v>
      </c>
      <c r="JC36" s="191"/>
      <c r="JD36" s="191"/>
      <c r="JE36" s="192"/>
      <c r="JF36" s="190">
        <v>50</v>
      </c>
      <c r="JG36" s="191"/>
      <c r="JH36" s="191"/>
      <c r="JI36" s="191">
        <v>10</v>
      </c>
      <c r="JJ36" s="191"/>
      <c r="JK36" s="191"/>
      <c r="JL36" s="191"/>
      <c r="JM36" s="191">
        <v>10</v>
      </c>
      <c r="JN36" s="191"/>
      <c r="JO36" s="191"/>
      <c r="JP36" s="191">
        <v>100</v>
      </c>
      <c r="JQ36" s="191"/>
      <c r="JR36" s="191"/>
      <c r="JS36" s="191">
        <v>50</v>
      </c>
      <c r="JT36" s="191"/>
      <c r="JU36" s="191"/>
      <c r="JV36" s="191"/>
      <c r="JW36" s="191">
        <v>50</v>
      </c>
      <c r="JX36" s="191"/>
      <c r="JY36" s="191"/>
      <c r="JZ36" s="191"/>
      <c r="KA36" s="191">
        <v>50</v>
      </c>
      <c r="KB36" s="191"/>
      <c r="KC36" s="191"/>
      <c r="KD36" s="191">
        <v>50</v>
      </c>
      <c r="KE36" s="191"/>
      <c r="KF36" s="191"/>
      <c r="KG36" s="191"/>
      <c r="KH36" s="191">
        <v>100</v>
      </c>
      <c r="KI36" s="191"/>
      <c r="KJ36" s="193"/>
      <c r="KK36" s="194">
        <v>50</v>
      </c>
      <c r="KL36" s="191"/>
      <c r="KM36" s="191"/>
      <c r="KN36" s="191">
        <v>100</v>
      </c>
      <c r="KO36" s="191">
        <v>10</v>
      </c>
      <c r="KP36" s="191"/>
      <c r="KQ36" s="191"/>
      <c r="KR36" s="191">
        <v>50</v>
      </c>
      <c r="KS36" s="191"/>
      <c r="KT36" s="191"/>
      <c r="KU36" s="191"/>
      <c r="KV36" s="191">
        <v>100</v>
      </c>
      <c r="KW36" s="191"/>
      <c r="KX36" s="191"/>
      <c r="KY36" s="191">
        <v>100</v>
      </c>
      <c r="KZ36" s="191"/>
      <c r="LA36" s="191"/>
      <c r="LB36" s="191"/>
      <c r="LC36" s="191">
        <v>10</v>
      </c>
      <c r="LD36" s="191"/>
      <c r="LE36" s="191"/>
      <c r="LF36" s="191">
        <v>50</v>
      </c>
      <c r="LG36" s="191"/>
      <c r="LH36" s="191"/>
      <c r="LI36" s="191"/>
      <c r="LJ36" s="191">
        <v>50</v>
      </c>
      <c r="LK36" s="191"/>
      <c r="LL36" s="191"/>
      <c r="LM36" s="191"/>
      <c r="LN36" s="192"/>
      <c r="LO36" s="190"/>
      <c r="LP36" s="191"/>
      <c r="LQ36" s="191">
        <v>100</v>
      </c>
      <c r="LR36" s="191"/>
      <c r="LS36" s="191"/>
      <c r="LT36" s="191">
        <v>50</v>
      </c>
      <c r="LU36" s="191"/>
      <c r="LV36" s="191"/>
      <c r="LW36" s="191"/>
      <c r="LX36" s="191">
        <v>10</v>
      </c>
      <c r="LY36" s="191"/>
      <c r="LZ36" s="191"/>
      <c r="MA36" s="191">
        <v>50</v>
      </c>
      <c r="MB36" s="191"/>
      <c r="MC36" s="191"/>
      <c r="MD36" s="191"/>
      <c r="ME36" s="191">
        <v>50</v>
      </c>
      <c r="MF36" s="191"/>
      <c r="MG36" s="191"/>
      <c r="MH36" s="191">
        <v>50</v>
      </c>
      <c r="MI36" s="191"/>
      <c r="MJ36" s="191"/>
      <c r="MK36" s="191"/>
      <c r="ML36" s="191">
        <v>10</v>
      </c>
      <c r="MM36" s="191"/>
      <c r="MN36" s="191"/>
      <c r="MO36" s="191">
        <v>50</v>
      </c>
      <c r="MP36" s="191"/>
      <c r="MQ36" s="191"/>
      <c r="MR36" s="191"/>
      <c r="MS36" s="193">
        <v>50</v>
      </c>
      <c r="MT36" s="194"/>
      <c r="MU36" s="191"/>
      <c r="MV36" s="191">
        <v>50</v>
      </c>
      <c r="MW36" s="191"/>
      <c r="MX36" s="191"/>
      <c r="MY36" s="191"/>
      <c r="MZ36" s="191">
        <v>10</v>
      </c>
      <c r="NA36" s="191"/>
      <c r="NB36" s="191"/>
      <c r="NC36" s="191">
        <v>50</v>
      </c>
      <c r="ND36" s="191"/>
      <c r="NE36" s="191"/>
      <c r="NF36" s="191"/>
      <c r="NG36" s="191">
        <v>50</v>
      </c>
      <c r="NH36" s="191"/>
      <c r="NI36" s="191"/>
      <c r="NJ36" s="191">
        <v>10</v>
      </c>
      <c r="NK36" s="191"/>
      <c r="NL36" s="191"/>
      <c r="NM36" s="191"/>
      <c r="NN36" s="191">
        <v>50</v>
      </c>
      <c r="NO36" s="191"/>
      <c r="NP36" s="191"/>
      <c r="NQ36" s="191">
        <v>50</v>
      </c>
      <c r="NR36" s="191"/>
      <c r="NS36" s="191"/>
      <c r="NT36" s="191"/>
      <c r="NU36" s="191">
        <v>10</v>
      </c>
      <c r="NV36" s="191"/>
      <c r="NW36" s="192"/>
      <c r="NX36" s="190">
        <v>10</v>
      </c>
      <c r="NY36" s="191"/>
      <c r="NZ36" s="191"/>
      <c r="OA36" s="191"/>
      <c r="OB36" s="191">
        <v>10</v>
      </c>
      <c r="OC36" s="191"/>
      <c r="OD36" s="191"/>
      <c r="OE36" s="191">
        <v>10</v>
      </c>
      <c r="OF36" s="191"/>
      <c r="OG36" s="191"/>
      <c r="OH36" s="191"/>
      <c r="OI36" s="191">
        <v>50</v>
      </c>
      <c r="OJ36" s="191"/>
      <c r="OK36" s="191"/>
      <c r="OL36" s="191">
        <v>50</v>
      </c>
      <c r="OM36" s="191"/>
      <c r="ON36" s="191"/>
      <c r="OO36" s="191"/>
      <c r="OP36" s="191"/>
      <c r="OQ36" s="191"/>
      <c r="OR36" s="191"/>
      <c r="OS36" s="191"/>
      <c r="OT36" s="191"/>
      <c r="OU36" s="191"/>
      <c r="OV36" s="191"/>
      <c r="OW36" s="191"/>
      <c r="OX36" s="191"/>
      <c r="OY36" s="191"/>
      <c r="OZ36" s="191"/>
      <c r="PA36" s="191"/>
      <c r="PB36" s="193"/>
      <c r="PC36" s="47"/>
      <c r="PD36" s="154" t="s">
        <v>97</v>
      </c>
      <c r="PE36" s="155" t="s">
        <v>98</v>
      </c>
      <c r="PF36" s="155" t="s">
        <v>98</v>
      </c>
      <c r="PG36" s="155" t="s">
        <v>98</v>
      </c>
      <c r="PH36" s="155" t="s">
        <v>98</v>
      </c>
      <c r="PI36" s="155" t="s">
        <v>98</v>
      </c>
      <c r="PJ36" s="155" t="s">
        <v>98</v>
      </c>
      <c r="PK36" s="155" t="s">
        <v>98</v>
      </c>
      <c r="PL36" s="155" t="s">
        <v>98</v>
      </c>
      <c r="PM36" s="155" t="s">
        <v>98</v>
      </c>
      <c r="PN36" s="155" t="s">
        <v>98</v>
      </c>
      <c r="PO36" s="156"/>
      <c r="PP36" s="156"/>
      <c r="PQ36" s="156"/>
      <c r="PR36" s="156"/>
      <c r="PS36" s="156"/>
      <c r="PT36" s="156"/>
      <c r="PU36" s="156"/>
      <c r="PV36" s="156"/>
      <c r="PW36" s="156"/>
      <c r="PX36" s="195"/>
      <c r="PY36" s="1"/>
      <c r="PZ36" s="196">
        <f t="shared" si="20"/>
        <v>390</v>
      </c>
      <c r="QA36" s="176">
        <f t="shared" si="21"/>
        <v>3.2535246517060149E-3</v>
      </c>
      <c r="QB36" s="177" t="str">
        <f t="shared" ca="1" si="22"/>
        <v>Attente…</v>
      </c>
      <c r="QC36" s="197">
        <f t="shared" si="23"/>
        <v>420</v>
      </c>
      <c r="QD36" s="179">
        <f t="shared" si="24"/>
        <v>3.9325842696629216E-3</v>
      </c>
      <c r="QE36" s="180" t="str">
        <f t="shared" ca="1" si="25"/>
        <v>Attente…</v>
      </c>
      <c r="QF36" s="196">
        <f t="shared" si="26"/>
        <v>430</v>
      </c>
      <c r="QG36" s="176">
        <f t="shared" si="27"/>
        <v>3.4241121197642935E-3</v>
      </c>
      <c r="QH36" s="177" t="str">
        <f t="shared" ca="1" si="28"/>
        <v>Attente…</v>
      </c>
      <c r="QI36" s="197">
        <f t="shared" si="29"/>
        <v>380</v>
      </c>
      <c r="QJ36" s="179">
        <f t="shared" si="30"/>
        <v>2.6651704306354328E-3</v>
      </c>
      <c r="QK36" s="180" t="str">
        <f t="shared" ca="1" si="31"/>
        <v>Attente…</v>
      </c>
      <c r="QL36" s="196">
        <f t="shared" si="32"/>
        <v>380</v>
      </c>
      <c r="QM36" s="176">
        <f t="shared" si="33"/>
        <v>2.7802165642376352E-3</v>
      </c>
      <c r="QN36" s="177" t="str">
        <f t="shared" ca="1" si="34"/>
        <v>Attente…</v>
      </c>
      <c r="QO36" s="197">
        <f t="shared" si="35"/>
        <v>430</v>
      </c>
      <c r="QP36" s="179">
        <f t="shared" si="36"/>
        <v>3.3664761606513739E-3</v>
      </c>
      <c r="QQ36" s="180" t="str">
        <f t="shared" ca="1" si="37"/>
        <v>Attente…</v>
      </c>
      <c r="QR36" s="196">
        <f t="shared" si="38"/>
        <v>480</v>
      </c>
      <c r="QS36" s="176">
        <f t="shared" si="39"/>
        <v>3.4555991504985422E-3</v>
      </c>
      <c r="QT36" s="177" t="str">
        <f t="shared" ca="1" si="40"/>
        <v>Attente…</v>
      </c>
      <c r="QU36" s="197">
        <f t="shared" si="41"/>
        <v>470</v>
      </c>
      <c r="QV36" s="179">
        <f t="shared" si="42"/>
        <v>3.2404853833425261E-3</v>
      </c>
      <c r="QW36" s="180" t="str">
        <f t="shared" ca="1" si="43"/>
        <v>Attente…</v>
      </c>
      <c r="QX36" s="196">
        <f t="shared" si="44"/>
        <v>520</v>
      </c>
      <c r="QY36" s="176">
        <f t="shared" si="45"/>
        <v>3.7946233106628917E-3</v>
      </c>
      <c r="QZ36" s="177" t="str">
        <f t="shared" ca="1" si="46"/>
        <v>Attente…</v>
      </c>
      <c r="RA36" s="197">
        <f t="shared" si="47"/>
        <v>420</v>
      </c>
      <c r="RB36" s="179">
        <f t="shared" si="48"/>
        <v>3.286127846021438E-3</v>
      </c>
      <c r="RC36" s="180" t="str">
        <f t="shared" ca="1" si="49"/>
        <v>Attente…</v>
      </c>
      <c r="RD36" s="196">
        <f t="shared" si="50"/>
        <v>280</v>
      </c>
      <c r="RE36" s="176">
        <f t="shared" si="51"/>
        <v>2.7899561578318055E-3</v>
      </c>
      <c r="RF36" s="177" t="str">
        <f t="shared" ca="1" si="52"/>
        <v>Attente…</v>
      </c>
      <c r="RG36" s="197">
        <f t="shared" si="53"/>
        <v>130</v>
      </c>
      <c r="RH36" s="179">
        <f t="shared" si="54"/>
        <v>2.3910244620194959E-3</v>
      </c>
      <c r="RI36" s="198" t="str">
        <f t="shared" ca="1" si="55"/>
        <v>Attente…</v>
      </c>
      <c r="RJ36" s="199">
        <f t="shared" si="56"/>
        <v>1240</v>
      </c>
      <c r="RK36" s="200" t="str">
        <f t="shared" ca="1" si="13"/>
        <v>Attente…</v>
      </c>
      <c r="RL36" s="199">
        <f t="shared" si="57"/>
        <v>1190</v>
      </c>
      <c r="RM36" s="200" t="str">
        <f t="shared" ca="1" si="58"/>
        <v>Atttente…</v>
      </c>
      <c r="RN36" s="199">
        <f t="shared" si="59"/>
        <v>1470</v>
      </c>
      <c r="RO36" s="200" t="str">
        <f t="shared" ca="1" si="14"/>
        <v>Attente…</v>
      </c>
      <c r="RP36" s="199">
        <f t="shared" si="60"/>
        <v>830</v>
      </c>
      <c r="RQ36" s="200" t="str">
        <f t="shared" ca="1" si="15"/>
        <v>Attente…</v>
      </c>
      <c r="RR36" s="201">
        <f t="shared" si="61"/>
        <v>4730</v>
      </c>
      <c r="RS36" s="202" t="str">
        <f t="shared" ca="1" si="16"/>
        <v>Attente…</v>
      </c>
      <c r="RT36" s="103"/>
      <c r="RU36" s="203">
        <f t="shared" si="62"/>
        <v>0.23649999999999999</v>
      </c>
      <c r="RV36" s="204">
        <f t="shared" si="65"/>
        <v>1</v>
      </c>
      <c r="RW36" s="204">
        <f t="shared" si="65"/>
        <v>2</v>
      </c>
      <c r="RX36" s="204">
        <f t="shared" si="63"/>
        <v>100</v>
      </c>
      <c r="RY36" s="205" t="str">
        <f t="shared" si="64"/>
        <v>HOUPPEVILLE - 86 rue de la Voix Maline (A coté de la colonne à verre)</v>
      </c>
      <c r="RZ36" s="189" t="str">
        <f>IF(OR(RZ35="",RZ35="  &lt;/Document&gt;
&lt;/kml&gt;"),"",
IF(B36="","  &lt;/Document&gt;
&lt;/kml&gt;",
IF(TournéesCAV!Q36=""," ",
"    &lt;Placemark&gt;
      &lt;description&gt;&lt;![CDATA["&amp;B36&amp;"&lt;br&gt;&lt;br&gt;"&amp;RV36&amp;" CAV&lt;br&gt;&lt;br&gt;Présent sur "&amp;RW36&amp;" tournée(s)&lt;br&gt;&lt;br&gt;Taux de remplissage moyen "&amp;TEXT(RU36*1000,"0 %")&amp;"]]&gt;&lt;/description&gt;
      &lt;Style&gt;
        &lt;IconStyle&gt;
          &lt;color&gt;ff"&amp;
          DEC2HEX(0,2)&amp;
          DEC2HEX(
            IF(RU36&lt;=0.5,
               INT(255*(RU36*2)),
               255
            ),2)&amp;
          DEC2HEX(
            IF(RU36&lt;=0.5,
               255,
               INT(255*(1-(RU36-0.5)*2))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&lt;Point&gt;&lt;coordinates&gt;"&amp;R36&amp;","&amp;Q36&amp;",0&lt;/coordinates&gt;&lt;/Point&gt;
    &lt;/Placemark&gt;"
)))</f>
        <v xml:space="preserve">    &lt;Placemark&gt;
      &lt;description&gt;&lt;![CDATA[HOUPPEVILLE - 86 rue de la Voix Maline (A coté de la colonne à verre)&lt;br&gt;&lt;br&gt;1 CAV&lt;br&gt;&lt;br&gt;Présent sur 2 tournée(s)&lt;br&gt;&lt;br&gt;Taux de remplissage moyen 24%]]&gt;&lt;/description&gt;
      &lt;Style&gt;
        &lt;IconStyle&gt;
          &lt;color&gt;ff0078FF&lt;/color&gt;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&lt;Point&gt;&lt;coordinates&gt;1.087103,49.511496,0&lt;/coordinates&gt;&lt;/Point&gt;
    &lt;/Placemark&gt;</v>
      </c>
    </row>
    <row r="37" spans="2:494" ht="15" hidden="1" customHeight="1" x14ac:dyDescent="0.35">
      <c r="B37" s="153" t="str">
        <f t="shared" si="17"/>
        <v>BOOS - 60 Impasse de la Grande Mare (Changement pour travaux)</v>
      </c>
      <c r="C37" s="154">
        <v>58</v>
      </c>
      <c r="D37" s="155">
        <v>59</v>
      </c>
      <c r="E37" s="155"/>
      <c r="F37" s="155"/>
      <c r="G37" s="155"/>
      <c r="H37" s="155"/>
      <c r="I37" s="155"/>
      <c r="J37" s="156"/>
      <c r="K37" s="157">
        <f t="shared" si="18"/>
        <v>2</v>
      </c>
      <c r="L37" s="157">
        <f t="shared" si="19"/>
        <v>3</v>
      </c>
      <c r="M37" s="209" t="s">
        <v>261</v>
      </c>
      <c r="N37" s="159" t="s">
        <v>262</v>
      </c>
      <c r="O37" s="159">
        <v>76520</v>
      </c>
      <c r="P37" s="159" t="s">
        <v>263</v>
      </c>
      <c r="Q37" s="159" t="s">
        <v>264</v>
      </c>
      <c r="R37" s="159" t="s">
        <v>265</v>
      </c>
      <c r="S37" s="159" t="s">
        <v>93</v>
      </c>
      <c r="T37" s="159" t="s">
        <v>110</v>
      </c>
      <c r="U37" s="159" t="s">
        <v>266</v>
      </c>
      <c r="V37" s="160" t="s">
        <v>96</v>
      </c>
      <c r="W37" s="161"/>
      <c r="X37" s="162"/>
      <c r="Y37" s="163"/>
      <c r="Z37" s="162"/>
      <c r="AA37" s="163"/>
      <c r="AB37" s="162"/>
      <c r="AC37" s="163"/>
      <c r="AD37" s="162">
        <v>2</v>
      </c>
      <c r="AE37" s="163">
        <v>2</v>
      </c>
      <c r="AF37" s="162">
        <v>6</v>
      </c>
      <c r="AG37" s="163"/>
      <c r="AH37" s="163"/>
      <c r="AI37" s="162"/>
      <c r="AJ37" s="163"/>
      <c r="AK37" s="162"/>
      <c r="AL37" s="163"/>
      <c r="AM37" s="162"/>
      <c r="AN37" s="163"/>
      <c r="AO37" s="162"/>
      <c r="AP37" s="164"/>
      <c r="AQ37" s="164"/>
      <c r="AR37" s="164"/>
      <c r="AS37" s="164"/>
      <c r="AT37" s="164"/>
      <c r="AU37" s="164"/>
      <c r="AV37" s="164"/>
      <c r="AW37" s="164"/>
      <c r="AX37" s="164"/>
      <c r="AY37" s="165"/>
      <c r="AZ37" s="41"/>
      <c r="BA37" s="190"/>
      <c r="BB37" s="191"/>
      <c r="BC37" s="191"/>
      <c r="BD37" s="191"/>
      <c r="BE37" s="191"/>
      <c r="BF37" s="191">
        <v>400</v>
      </c>
      <c r="BG37" s="191"/>
      <c r="BH37" s="191">
        <v>400</v>
      </c>
      <c r="BI37" s="191"/>
      <c r="BJ37" s="191">
        <v>200</v>
      </c>
      <c r="BK37" s="191"/>
      <c r="BL37" s="191"/>
      <c r="BM37" s="191">
        <v>200</v>
      </c>
      <c r="BN37" s="191"/>
      <c r="BO37" s="191">
        <v>200</v>
      </c>
      <c r="BP37" s="191"/>
      <c r="BQ37" s="191">
        <v>100</v>
      </c>
      <c r="BR37" s="191"/>
      <c r="BS37" s="191"/>
      <c r="BT37" s="191">
        <v>100</v>
      </c>
      <c r="BU37" s="191"/>
      <c r="BV37" s="191">
        <v>250</v>
      </c>
      <c r="BW37" s="191"/>
      <c r="BX37" s="191">
        <v>200</v>
      </c>
      <c r="BY37" s="191"/>
      <c r="BZ37" s="191"/>
      <c r="CA37" s="191">
        <v>300</v>
      </c>
      <c r="CB37" s="191"/>
      <c r="CC37" s="191">
        <v>100</v>
      </c>
      <c r="CD37" s="191"/>
      <c r="CE37" s="192">
        <v>150</v>
      </c>
      <c r="CF37" s="190"/>
      <c r="CG37" s="191"/>
      <c r="CH37" s="191">
        <v>100</v>
      </c>
      <c r="CI37" s="191"/>
      <c r="CJ37" s="191">
        <v>150</v>
      </c>
      <c r="CK37" s="191"/>
      <c r="CL37" s="191">
        <v>150</v>
      </c>
      <c r="CM37" s="191"/>
      <c r="CN37" s="191"/>
      <c r="CO37" s="191">
        <v>150</v>
      </c>
      <c r="CP37" s="191"/>
      <c r="CQ37" s="191">
        <v>160</v>
      </c>
      <c r="CR37" s="191"/>
      <c r="CS37" s="191">
        <v>150</v>
      </c>
      <c r="CT37" s="191"/>
      <c r="CU37" s="191"/>
      <c r="CV37" s="191">
        <v>200</v>
      </c>
      <c r="CW37" s="191"/>
      <c r="CX37" s="191">
        <v>250</v>
      </c>
      <c r="CY37" s="191"/>
      <c r="CZ37" s="191">
        <v>250</v>
      </c>
      <c r="DA37" s="191"/>
      <c r="DB37" s="191"/>
      <c r="DC37" s="191">
        <v>200</v>
      </c>
      <c r="DD37" s="191"/>
      <c r="DE37" s="191">
        <v>300</v>
      </c>
      <c r="DF37" s="191"/>
      <c r="DG37" s="191">
        <v>100</v>
      </c>
      <c r="DH37" s="193"/>
      <c r="DI37" s="194"/>
      <c r="DJ37" s="191"/>
      <c r="DK37" s="191">
        <v>250</v>
      </c>
      <c r="DL37" s="191"/>
      <c r="DM37" s="191">
        <v>150</v>
      </c>
      <c r="DN37" s="191"/>
      <c r="DO37" s="191">
        <v>200</v>
      </c>
      <c r="DP37" s="191"/>
      <c r="DQ37" s="191"/>
      <c r="DR37" s="191">
        <v>300</v>
      </c>
      <c r="DS37" s="191"/>
      <c r="DT37" s="191">
        <v>250</v>
      </c>
      <c r="DU37" s="191"/>
      <c r="DV37" s="191">
        <v>250</v>
      </c>
      <c r="DW37" s="191"/>
      <c r="DX37" s="191"/>
      <c r="DY37" s="191">
        <v>300</v>
      </c>
      <c r="DZ37" s="191"/>
      <c r="EA37" s="191">
        <v>110</v>
      </c>
      <c r="EB37" s="191"/>
      <c r="EC37" s="191">
        <v>150</v>
      </c>
      <c r="ED37" s="191"/>
      <c r="EE37" s="191"/>
      <c r="EF37" s="191">
        <v>200</v>
      </c>
      <c r="EG37" s="191"/>
      <c r="EH37" s="191">
        <v>160</v>
      </c>
      <c r="EI37" s="191"/>
      <c r="EJ37" s="191">
        <v>60</v>
      </c>
      <c r="EK37" s="191"/>
      <c r="EL37" s="191"/>
      <c r="EM37" s="192">
        <v>200</v>
      </c>
      <c r="EN37" s="190"/>
      <c r="EO37" s="191">
        <v>160</v>
      </c>
      <c r="EP37" s="191"/>
      <c r="EQ37" s="191">
        <v>110</v>
      </c>
      <c r="ER37" s="191"/>
      <c r="ES37" s="191"/>
      <c r="ET37" s="191">
        <v>210</v>
      </c>
      <c r="EU37" s="191"/>
      <c r="EV37" s="191">
        <v>210</v>
      </c>
      <c r="EW37" s="191"/>
      <c r="EX37" s="191">
        <v>160</v>
      </c>
      <c r="EY37" s="191"/>
      <c r="EZ37" s="191"/>
      <c r="FA37" s="191">
        <v>400</v>
      </c>
      <c r="FB37" s="191"/>
      <c r="FC37" s="191">
        <v>200</v>
      </c>
      <c r="FD37" s="191"/>
      <c r="FE37" s="191">
        <v>150</v>
      </c>
      <c r="FF37" s="191"/>
      <c r="FG37" s="191"/>
      <c r="FH37" s="191"/>
      <c r="FI37" s="191">
        <v>300</v>
      </c>
      <c r="FJ37" s="191"/>
      <c r="FK37" s="191">
        <v>100</v>
      </c>
      <c r="FL37" s="191"/>
      <c r="FM37" s="191"/>
      <c r="FN37" s="191"/>
      <c r="FO37" s="191">
        <v>250</v>
      </c>
      <c r="FP37" s="191"/>
      <c r="FQ37" s="193">
        <v>210</v>
      </c>
      <c r="FR37" s="194"/>
      <c r="FS37" s="191">
        <v>150</v>
      </c>
      <c r="FT37" s="191"/>
      <c r="FU37" s="191"/>
      <c r="FV37" s="191">
        <v>300</v>
      </c>
      <c r="FW37" s="191"/>
      <c r="FX37" s="191">
        <v>300</v>
      </c>
      <c r="FY37" s="191"/>
      <c r="FZ37" s="191">
        <v>200</v>
      </c>
      <c r="GA37" s="191"/>
      <c r="GB37" s="191"/>
      <c r="GC37" s="191">
        <v>300</v>
      </c>
      <c r="GD37" s="191"/>
      <c r="GE37" s="191">
        <v>150</v>
      </c>
      <c r="GF37" s="191"/>
      <c r="GG37" s="191">
        <v>350</v>
      </c>
      <c r="GH37" s="191"/>
      <c r="GI37" s="191"/>
      <c r="GJ37" s="191">
        <v>250</v>
      </c>
      <c r="GK37" s="191"/>
      <c r="GL37" s="191">
        <v>60</v>
      </c>
      <c r="GM37" s="191"/>
      <c r="GN37" s="191">
        <v>200</v>
      </c>
      <c r="GO37" s="191"/>
      <c r="GP37" s="191"/>
      <c r="GQ37" s="191">
        <v>300</v>
      </c>
      <c r="GR37" s="191"/>
      <c r="GS37" s="191">
        <v>200</v>
      </c>
      <c r="GT37" s="191"/>
      <c r="GU37" s="191">
        <v>300</v>
      </c>
      <c r="GV37" s="192"/>
      <c r="GW37" s="190"/>
      <c r="GX37" s="191">
        <v>250</v>
      </c>
      <c r="GY37" s="191"/>
      <c r="GZ37" s="191"/>
      <c r="HA37" s="191">
        <v>200</v>
      </c>
      <c r="HB37" s="191">
        <v>60</v>
      </c>
      <c r="HC37" s="191"/>
      <c r="HD37" s="191"/>
      <c r="HE37" s="191"/>
      <c r="HF37" s="191">
        <v>350</v>
      </c>
      <c r="HG37" s="191"/>
      <c r="HH37" s="191"/>
      <c r="HI37" s="191">
        <v>60</v>
      </c>
      <c r="HJ37" s="191"/>
      <c r="HK37" s="191"/>
      <c r="HL37" s="191">
        <v>150</v>
      </c>
      <c r="HM37" s="191"/>
      <c r="HN37" s="191"/>
      <c r="HO37" s="191"/>
      <c r="HP37" s="191">
        <v>60</v>
      </c>
      <c r="HQ37" s="191"/>
      <c r="HR37" s="191"/>
      <c r="HS37" s="191">
        <v>20</v>
      </c>
      <c r="HT37" s="191"/>
      <c r="HU37" s="191"/>
      <c r="HV37" s="191"/>
      <c r="HW37" s="191">
        <v>60</v>
      </c>
      <c r="HX37" s="191"/>
      <c r="HY37" s="191"/>
      <c r="HZ37" s="193">
        <v>20</v>
      </c>
      <c r="IA37" s="194"/>
      <c r="IB37" s="191">
        <v>20</v>
      </c>
      <c r="IC37" s="191"/>
      <c r="ID37" s="191">
        <v>20</v>
      </c>
      <c r="IE37" s="191"/>
      <c r="IF37" s="191"/>
      <c r="IG37" s="191">
        <v>20</v>
      </c>
      <c r="IH37" s="191"/>
      <c r="II37" s="191"/>
      <c r="IJ37" s="191"/>
      <c r="IK37" s="191">
        <v>20</v>
      </c>
      <c r="IL37" s="191"/>
      <c r="IM37" s="191"/>
      <c r="IN37" s="191">
        <v>110</v>
      </c>
      <c r="IO37" s="191"/>
      <c r="IP37" s="191"/>
      <c r="IQ37" s="191"/>
      <c r="IR37" s="191">
        <v>20</v>
      </c>
      <c r="IS37" s="191"/>
      <c r="IT37" s="191"/>
      <c r="IU37" s="191">
        <v>20</v>
      </c>
      <c r="IV37" s="191"/>
      <c r="IW37" s="191"/>
      <c r="IX37" s="191"/>
      <c r="IY37" s="191">
        <v>20</v>
      </c>
      <c r="IZ37" s="191"/>
      <c r="JA37" s="191"/>
      <c r="JB37" s="191">
        <v>20</v>
      </c>
      <c r="JC37" s="191"/>
      <c r="JD37" s="191">
        <v>20</v>
      </c>
      <c r="JE37" s="192"/>
      <c r="JF37" s="190">
        <v>100</v>
      </c>
      <c r="JG37" s="191"/>
      <c r="JH37" s="191"/>
      <c r="JI37" s="191">
        <v>20</v>
      </c>
      <c r="JJ37" s="191"/>
      <c r="JK37" s="191"/>
      <c r="JL37" s="191"/>
      <c r="JM37" s="191">
        <v>20</v>
      </c>
      <c r="JN37" s="191"/>
      <c r="JO37" s="191"/>
      <c r="JP37" s="191">
        <v>110</v>
      </c>
      <c r="JQ37" s="191"/>
      <c r="JR37" s="191">
        <v>20</v>
      </c>
      <c r="JS37" s="191"/>
      <c r="JT37" s="191"/>
      <c r="JU37" s="191"/>
      <c r="JV37" s="191"/>
      <c r="JW37" s="191">
        <v>110</v>
      </c>
      <c r="JX37" s="191"/>
      <c r="JY37" s="191">
        <v>20</v>
      </c>
      <c r="JZ37" s="191"/>
      <c r="KA37" s="191"/>
      <c r="KB37" s="191"/>
      <c r="KC37" s="191"/>
      <c r="KD37" s="191"/>
      <c r="KE37" s="191"/>
      <c r="KF37" s="191"/>
      <c r="KG37" s="191">
        <v>200</v>
      </c>
      <c r="KH37" s="191"/>
      <c r="KI37" s="191"/>
      <c r="KJ37" s="193"/>
      <c r="KK37" s="194"/>
      <c r="KL37" s="191"/>
      <c r="KM37" s="191">
        <v>20</v>
      </c>
      <c r="KN37" s="191"/>
      <c r="KO37" s="191">
        <v>110</v>
      </c>
      <c r="KP37" s="191"/>
      <c r="KQ37" s="191"/>
      <c r="KR37" s="191">
        <v>20</v>
      </c>
      <c r="KS37" s="191"/>
      <c r="KT37" s="191"/>
      <c r="KU37" s="191"/>
      <c r="KV37" s="191">
        <v>60</v>
      </c>
      <c r="KW37" s="191"/>
      <c r="KX37" s="191"/>
      <c r="KY37" s="191">
        <v>20</v>
      </c>
      <c r="KZ37" s="191"/>
      <c r="LA37" s="191">
        <v>20</v>
      </c>
      <c r="LB37" s="191"/>
      <c r="LC37" s="191">
        <v>20</v>
      </c>
      <c r="LD37" s="191"/>
      <c r="LE37" s="191"/>
      <c r="LF37" s="191">
        <v>60</v>
      </c>
      <c r="LG37" s="191"/>
      <c r="LH37" s="191">
        <v>20</v>
      </c>
      <c r="LI37" s="191"/>
      <c r="LJ37" s="191">
        <v>20</v>
      </c>
      <c r="LK37" s="191"/>
      <c r="LL37" s="191"/>
      <c r="LM37" s="191"/>
      <c r="LN37" s="192"/>
      <c r="LO37" s="190">
        <v>150</v>
      </c>
      <c r="LP37" s="191"/>
      <c r="LQ37" s="191">
        <v>20</v>
      </c>
      <c r="LR37" s="191"/>
      <c r="LS37" s="191"/>
      <c r="LT37" s="191">
        <v>20</v>
      </c>
      <c r="LU37" s="191"/>
      <c r="LV37" s="191">
        <v>50</v>
      </c>
      <c r="LW37" s="191"/>
      <c r="LX37" s="191">
        <v>20</v>
      </c>
      <c r="LY37" s="191"/>
      <c r="LZ37" s="191"/>
      <c r="MA37" s="191">
        <v>150</v>
      </c>
      <c r="MB37" s="191"/>
      <c r="MC37" s="191">
        <v>60</v>
      </c>
      <c r="MD37" s="191"/>
      <c r="ME37" s="191">
        <v>20</v>
      </c>
      <c r="MF37" s="191"/>
      <c r="MG37" s="191"/>
      <c r="MH37" s="191">
        <v>20</v>
      </c>
      <c r="MI37" s="191"/>
      <c r="MJ37" s="191">
        <v>20</v>
      </c>
      <c r="MK37" s="191"/>
      <c r="ML37" s="191">
        <v>60</v>
      </c>
      <c r="MM37" s="191"/>
      <c r="MN37" s="191"/>
      <c r="MO37" s="191">
        <v>20</v>
      </c>
      <c r="MP37" s="191"/>
      <c r="MQ37" s="191"/>
      <c r="MR37" s="191"/>
      <c r="MS37" s="193">
        <v>20</v>
      </c>
      <c r="MT37" s="194"/>
      <c r="MU37" s="191"/>
      <c r="MV37" s="191">
        <v>20</v>
      </c>
      <c r="MW37" s="191"/>
      <c r="MX37" s="191"/>
      <c r="MY37" s="191"/>
      <c r="MZ37" s="191">
        <v>20</v>
      </c>
      <c r="NA37" s="191"/>
      <c r="NB37" s="191"/>
      <c r="NC37" s="191">
        <v>20</v>
      </c>
      <c r="ND37" s="191"/>
      <c r="NE37" s="191"/>
      <c r="NF37" s="191">
        <v>60</v>
      </c>
      <c r="NG37" s="191">
        <v>20</v>
      </c>
      <c r="NH37" s="191"/>
      <c r="NI37" s="191"/>
      <c r="NJ37" s="191">
        <v>20</v>
      </c>
      <c r="NK37" s="191"/>
      <c r="NL37" s="191"/>
      <c r="NM37" s="191"/>
      <c r="NN37" s="191">
        <v>20</v>
      </c>
      <c r="NO37" s="191"/>
      <c r="NP37" s="191"/>
      <c r="NQ37" s="191">
        <v>110</v>
      </c>
      <c r="NR37" s="191"/>
      <c r="NS37" s="191"/>
      <c r="NT37" s="191"/>
      <c r="NU37" s="191">
        <v>20</v>
      </c>
      <c r="NV37" s="191"/>
      <c r="NW37" s="192"/>
      <c r="NX37" s="190">
        <v>100</v>
      </c>
      <c r="NY37" s="191"/>
      <c r="NZ37" s="191"/>
      <c r="OA37" s="191"/>
      <c r="OB37" s="191">
        <v>20</v>
      </c>
      <c r="OC37" s="191"/>
      <c r="OD37" s="191"/>
      <c r="OE37" s="191">
        <v>20</v>
      </c>
      <c r="OF37" s="191"/>
      <c r="OG37" s="191"/>
      <c r="OH37" s="191"/>
      <c r="OI37" s="191">
        <v>60</v>
      </c>
      <c r="OJ37" s="191"/>
      <c r="OK37" s="191"/>
      <c r="OL37" s="191"/>
      <c r="OM37" s="191"/>
      <c r="ON37" s="191"/>
      <c r="OO37" s="191"/>
      <c r="OP37" s="191"/>
      <c r="OQ37" s="191"/>
      <c r="OR37" s="191"/>
      <c r="OS37" s="191"/>
      <c r="OT37" s="191"/>
      <c r="OU37" s="191"/>
      <c r="OV37" s="191"/>
      <c r="OW37" s="191"/>
      <c r="OX37" s="191"/>
      <c r="OY37" s="191"/>
      <c r="OZ37" s="191"/>
      <c r="PA37" s="191"/>
      <c r="PB37" s="193"/>
      <c r="PC37" s="47"/>
      <c r="PD37" s="154" t="s">
        <v>97</v>
      </c>
      <c r="PE37" s="155" t="s">
        <v>98</v>
      </c>
      <c r="PF37" s="155" t="s">
        <v>98</v>
      </c>
      <c r="PG37" s="155" t="s">
        <v>98</v>
      </c>
      <c r="PH37" s="155" t="s">
        <v>98</v>
      </c>
      <c r="PI37" s="155" t="s">
        <v>98</v>
      </c>
      <c r="PJ37" s="155" t="s">
        <v>98</v>
      </c>
      <c r="PK37" s="155" t="s">
        <v>98</v>
      </c>
      <c r="PL37" s="155" t="s">
        <v>98</v>
      </c>
      <c r="PM37" s="155" t="s">
        <v>98</v>
      </c>
      <c r="PN37" s="155" t="s">
        <v>98</v>
      </c>
      <c r="PO37" s="156"/>
      <c r="PP37" s="156"/>
      <c r="PQ37" s="156"/>
      <c r="PR37" s="156"/>
      <c r="PS37" s="156"/>
      <c r="PT37" s="156"/>
      <c r="PU37" s="156"/>
      <c r="PV37" s="156"/>
      <c r="PW37" s="156"/>
      <c r="PX37" s="195"/>
      <c r="PY37" s="1"/>
      <c r="PZ37" s="196">
        <f t="shared" si="20"/>
        <v>2600</v>
      </c>
      <c r="QA37" s="176">
        <f t="shared" si="21"/>
        <v>2.1690164344706764E-2</v>
      </c>
      <c r="QB37" s="177" t="str">
        <f t="shared" ca="1" si="22"/>
        <v>Attente…</v>
      </c>
      <c r="QC37" s="197">
        <f t="shared" si="23"/>
        <v>2160</v>
      </c>
      <c r="QD37" s="179">
        <f t="shared" si="24"/>
        <v>2.0224719101123594E-2</v>
      </c>
      <c r="QE37" s="180" t="str">
        <f t="shared" ca="1" si="25"/>
        <v>Attente…</v>
      </c>
      <c r="QF37" s="196">
        <f t="shared" si="26"/>
        <v>2580</v>
      </c>
      <c r="QG37" s="176">
        <f t="shared" si="27"/>
        <v>2.0544672718585764E-2</v>
      </c>
      <c r="QH37" s="177" t="str">
        <f t="shared" ca="1" si="28"/>
        <v>Attente…</v>
      </c>
      <c r="QI37" s="197">
        <f t="shared" si="29"/>
        <v>2460</v>
      </c>
      <c r="QJ37" s="179">
        <f t="shared" si="30"/>
        <v>1.7253471735166222E-2</v>
      </c>
      <c r="QK37" s="180" t="str">
        <f t="shared" ca="1" si="31"/>
        <v>Attente…</v>
      </c>
      <c r="QL37" s="196">
        <f t="shared" si="32"/>
        <v>3060</v>
      </c>
      <c r="QM37" s="176">
        <f t="shared" si="33"/>
        <v>2.2388059701492536E-2</v>
      </c>
      <c r="QN37" s="177" t="str">
        <f t="shared" ca="1" si="34"/>
        <v>Attente…</v>
      </c>
      <c r="QO37" s="197">
        <f t="shared" si="35"/>
        <v>1230</v>
      </c>
      <c r="QP37" s="179">
        <f t="shared" si="36"/>
        <v>9.6296876223283482E-3</v>
      </c>
      <c r="QQ37" s="180" t="str">
        <f t="shared" ca="1" si="37"/>
        <v>Attente…</v>
      </c>
      <c r="QR37" s="196">
        <f t="shared" si="38"/>
        <v>290</v>
      </c>
      <c r="QS37" s="176">
        <f t="shared" si="39"/>
        <v>2.087757820092869E-3</v>
      </c>
      <c r="QT37" s="177" t="str">
        <f t="shared" ca="1" si="40"/>
        <v>Attente…</v>
      </c>
      <c r="QU37" s="197">
        <f t="shared" si="41"/>
        <v>600</v>
      </c>
      <c r="QV37" s="179">
        <f t="shared" si="42"/>
        <v>4.1367898510755651E-3</v>
      </c>
      <c r="QW37" s="180" t="str">
        <f t="shared" ca="1" si="43"/>
        <v>Attente…</v>
      </c>
      <c r="QX37" s="196">
        <f t="shared" si="44"/>
        <v>370</v>
      </c>
      <c r="QY37" s="176">
        <f t="shared" si="45"/>
        <v>2.7000204325870573E-3</v>
      </c>
      <c r="QZ37" s="177" t="str">
        <f t="shared" ca="1" si="46"/>
        <v>Attente…</v>
      </c>
      <c r="RA37" s="197">
        <f t="shared" si="47"/>
        <v>630</v>
      </c>
      <c r="RB37" s="179">
        <f t="shared" si="48"/>
        <v>4.9291917690321568E-3</v>
      </c>
      <c r="RC37" s="180" t="str">
        <f t="shared" ca="1" si="49"/>
        <v>Attente…</v>
      </c>
      <c r="RD37" s="196">
        <f t="shared" si="50"/>
        <v>310</v>
      </c>
      <c r="RE37" s="176">
        <f t="shared" si="51"/>
        <v>3.0888800318852132E-3</v>
      </c>
      <c r="RF37" s="177" t="str">
        <f t="shared" ca="1" si="52"/>
        <v>Attente…</v>
      </c>
      <c r="RG37" s="197">
        <f t="shared" si="53"/>
        <v>200</v>
      </c>
      <c r="RH37" s="179">
        <f t="shared" si="54"/>
        <v>3.6784991723376862E-3</v>
      </c>
      <c r="RI37" s="198" t="str">
        <f t="shared" ca="1" si="55"/>
        <v>Attente…</v>
      </c>
      <c r="RJ37" s="199">
        <f t="shared" si="56"/>
        <v>7340</v>
      </c>
      <c r="RK37" s="200" t="str">
        <f t="shared" ca="1" si="13"/>
        <v>Attente…</v>
      </c>
      <c r="RL37" s="199">
        <f t="shared" si="57"/>
        <v>6750</v>
      </c>
      <c r="RM37" s="200" t="str">
        <f t="shared" ca="1" si="58"/>
        <v>Atttente…</v>
      </c>
      <c r="RN37" s="199">
        <f t="shared" si="59"/>
        <v>1260</v>
      </c>
      <c r="RO37" s="200" t="str">
        <f t="shared" ca="1" si="14"/>
        <v>Attente…</v>
      </c>
      <c r="RP37" s="199">
        <f t="shared" si="60"/>
        <v>1140</v>
      </c>
      <c r="RQ37" s="200" t="str">
        <f t="shared" ca="1" si="15"/>
        <v>Attente…</v>
      </c>
      <c r="RR37" s="201">
        <f t="shared" si="61"/>
        <v>16490</v>
      </c>
      <c r="RS37" s="202" t="str">
        <f t="shared" ca="1" si="16"/>
        <v>Attente…</v>
      </c>
      <c r="RT37" s="103"/>
      <c r="RU37" s="203">
        <f t="shared" si="62"/>
        <v>0.32718253968253969</v>
      </c>
      <c r="RV37" s="204">
        <f t="shared" si="65"/>
        <v>2</v>
      </c>
      <c r="RW37" s="204">
        <f t="shared" si="65"/>
        <v>3</v>
      </c>
      <c r="RX37" s="204">
        <f t="shared" si="63"/>
        <v>126</v>
      </c>
      <c r="RY37" s="205" t="str">
        <f t="shared" si="64"/>
        <v>BOOS - 60 Impasse de la Grande Mare (Changement pour travaux)</v>
      </c>
      <c r="RZ37" s="189" t="str">
        <f>IF(OR(RZ36="",RZ36="  &lt;/Document&gt;
&lt;/kml&gt;"),"",
IF(B37="","  &lt;/Document&gt;
&lt;/kml&gt;",
IF(TournéesCAV!Q29=""," ",
"    &lt;Placemark&gt;
      &lt;description&gt;&lt;![CDATA["&amp;B37&amp;"&lt;br&gt;&lt;br&gt;"&amp;RV37&amp;" CAV&lt;br&gt;&lt;br&gt;Présent sur "&amp;RW37&amp;" tournée(s)&lt;br&gt;&lt;br&gt;Taux de remplissage moyen "&amp;TEXT(RU37*1000,"0 %")&amp;"]]&gt;&lt;/description&gt;
      &lt;Style&gt;
        &lt;IconStyle&gt;
          &lt;color&gt;ff"&amp;
          DEC2HEX(0,2)&amp;
          DEC2HEX(
            IF(RU37&lt;=0.5,
               INT(255*(RU37*2)),
               255
            ),2)&amp;
          DEC2HEX(
            IF(RU37&lt;=0.5,
               255,
               INT(255*(1-(RU37-0.5)*2))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&lt;Point&gt;&lt;coordinates&gt;"&amp;R37&amp;","&amp;Q37&amp;",0&lt;/coordinates&gt;&lt;/Point&gt;
    &lt;/Placemark&gt;"
)))</f>
        <v xml:space="preserve">    &lt;Placemark&gt;
      &lt;description&gt;&lt;![CDATA[BOOS - 60 Impasse de la Grande Mare (Changement pour travaux)&lt;br&gt;&lt;br&gt;2 CAV&lt;br&gt;&lt;br&gt;Présent sur 3 tournée(s)&lt;br&gt;&lt;br&gt;Taux de remplissage moyen 33%]]&gt;&lt;/description&gt;
      &lt;Style&gt;
        &lt;IconStyle&gt;
          &lt;color&gt;ff00A6FF&lt;/color&gt;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&lt;Point&gt;&lt;coordinates&gt;1.2007032,49.3897847,0&lt;/coordinates&gt;&lt;/Point&gt;
    &lt;/Placemark&gt;</v>
      </c>
    </row>
    <row r="38" spans="2:494" ht="15" hidden="1" customHeight="1" x14ac:dyDescent="0.35">
      <c r="B38" s="153" t="str">
        <f t="shared" si="17"/>
        <v>FRANQUEVILLE-SAINT-PIERRE - 962 Rue Pierre Curie (Cimetière)</v>
      </c>
      <c r="C38" s="154">
        <v>38</v>
      </c>
      <c r="D38" s="155">
        <v>41</v>
      </c>
      <c r="E38" s="155"/>
      <c r="F38" s="155"/>
      <c r="G38" s="155"/>
      <c r="H38" s="155"/>
      <c r="I38" s="155"/>
      <c r="J38" s="156"/>
      <c r="K38" s="157">
        <f t="shared" si="18"/>
        <v>2</v>
      </c>
      <c r="L38" s="157">
        <f t="shared" si="19"/>
        <v>3</v>
      </c>
      <c r="M38" s="158" t="s">
        <v>267</v>
      </c>
      <c r="N38" s="159" t="s">
        <v>268</v>
      </c>
      <c r="O38" s="159">
        <v>76520</v>
      </c>
      <c r="P38" s="159" t="s">
        <v>269</v>
      </c>
      <c r="Q38" s="159" t="s">
        <v>270</v>
      </c>
      <c r="R38" s="159" t="s">
        <v>271</v>
      </c>
      <c r="S38" s="159" t="s">
        <v>93</v>
      </c>
      <c r="T38" s="159" t="s">
        <v>94</v>
      </c>
      <c r="U38" s="159" t="s">
        <v>272</v>
      </c>
      <c r="V38" s="160" t="s">
        <v>96</v>
      </c>
      <c r="W38" s="161"/>
      <c r="X38" s="162"/>
      <c r="Y38" s="163"/>
      <c r="Z38" s="162"/>
      <c r="AA38" s="163"/>
      <c r="AB38" s="162"/>
      <c r="AC38" s="163"/>
      <c r="AD38" s="162">
        <v>3</v>
      </c>
      <c r="AE38" s="163">
        <v>3</v>
      </c>
      <c r="AF38" s="162">
        <v>7</v>
      </c>
      <c r="AG38" s="163"/>
      <c r="AH38" s="163"/>
      <c r="AI38" s="162"/>
      <c r="AJ38" s="163"/>
      <c r="AK38" s="162"/>
      <c r="AL38" s="163"/>
      <c r="AM38" s="162"/>
      <c r="AN38" s="163"/>
      <c r="AO38" s="162"/>
      <c r="AP38" s="164"/>
      <c r="AQ38" s="164"/>
      <c r="AR38" s="164"/>
      <c r="AS38" s="164"/>
      <c r="AT38" s="164"/>
      <c r="AU38" s="164"/>
      <c r="AV38" s="164"/>
      <c r="AW38" s="164"/>
      <c r="AX38" s="164"/>
      <c r="AY38" s="165"/>
      <c r="AZ38" s="41"/>
      <c r="BA38" s="190"/>
      <c r="BB38" s="191"/>
      <c r="BC38" s="191"/>
      <c r="BD38" s="191"/>
      <c r="BE38" s="191"/>
      <c r="BF38" s="191">
        <v>400</v>
      </c>
      <c r="BG38" s="191"/>
      <c r="BH38" s="191">
        <v>150</v>
      </c>
      <c r="BI38" s="191"/>
      <c r="BJ38" s="191">
        <v>20</v>
      </c>
      <c r="BK38" s="191"/>
      <c r="BL38" s="191"/>
      <c r="BM38" s="191">
        <v>150</v>
      </c>
      <c r="BN38" s="191"/>
      <c r="BO38" s="191">
        <v>200</v>
      </c>
      <c r="BP38" s="191"/>
      <c r="BQ38" s="191">
        <v>60</v>
      </c>
      <c r="BR38" s="191"/>
      <c r="BS38" s="191"/>
      <c r="BT38" s="191">
        <v>60</v>
      </c>
      <c r="BU38" s="191"/>
      <c r="BV38" s="191">
        <v>150</v>
      </c>
      <c r="BW38" s="191"/>
      <c r="BX38" s="191">
        <v>20</v>
      </c>
      <c r="BY38" s="191"/>
      <c r="BZ38" s="191"/>
      <c r="CA38" s="191">
        <v>100</v>
      </c>
      <c r="CB38" s="191"/>
      <c r="CC38" s="191">
        <v>100</v>
      </c>
      <c r="CD38" s="191"/>
      <c r="CE38" s="192">
        <v>150</v>
      </c>
      <c r="CF38" s="190"/>
      <c r="CG38" s="191"/>
      <c r="CH38" s="191">
        <v>100</v>
      </c>
      <c r="CI38" s="191"/>
      <c r="CJ38" s="191">
        <v>100</v>
      </c>
      <c r="CK38" s="191"/>
      <c r="CL38" s="191">
        <v>150</v>
      </c>
      <c r="CM38" s="191"/>
      <c r="CN38" s="191"/>
      <c r="CO38" s="191">
        <v>100</v>
      </c>
      <c r="CP38" s="191"/>
      <c r="CQ38" s="191">
        <v>160</v>
      </c>
      <c r="CR38" s="191"/>
      <c r="CS38" s="191">
        <v>20</v>
      </c>
      <c r="CT38" s="191"/>
      <c r="CU38" s="191"/>
      <c r="CV38" s="191">
        <v>250</v>
      </c>
      <c r="CW38" s="191"/>
      <c r="CX38" s="191">
        <v>200</v>
      </c>
      <c r="CY38" s="191"/>
      <c r="CZ38" s="191">
        <v>20</v>
      </c>
      <c r="DA38" s="191"/>
      <c r="DB38" s="191"/>
      <c r="DC38" s="191">
        <v>150</v>
      </c>
      <c r="DD38" s="191"/>
      <c r="DE38" s="191">
        <v>350</v>
      </c>
      <c r="DF38" s="191"/>
      <c r="DG38" s="191">
        <v>200</v>
      </c>
      <c r="DH38" s="193"/>
      <c r="DI38" s="194"/>
      <c r="DJ38" s="191"/>
      <c r="DK38" s="191">
        <v>100</v>
      </c>
      <c r="DL38" s="191"/>
      <c r="DM38" s="191"/>
      <c r="DN38" s="191"/>
      <c r="DO38" s="191">
        <v>300</v>
      </c>
      <c r="DP38" s="191"/>
      <c r="DQ38" s="191"/>
      <c r="DR38" s="191">
        <v>250</v>
      </c>
      <c r="DS38" s="191"/>
      <c r="DT38" s="191">
        <v>60</v>
      </c>
      <c r="DU38" s="191"/>
      <c r="DV38" s="191">
        <v>60</v>
      </c>
      <c r="DW38" s="191"/>
      <c r="DX38" s="191"/>
      <c r="DY38" s="191">
        <v>160</v>
      </c>
      <c r="DZ38" s="191"/>
      <c r="EA38" s="191">
        <v>100</v>
      </c>
      <c r="EB38" s="191"/>
      <c r="EC38" s="191">
        <v>110</v>
      </c>
      <c r="ED38" s="191"/>
      <c r="EE38" s="191"/>
      <c r="EF38" s="191">
        <v>300</v>
      </c>
      <c r="EG38" s="191"/>
      <c r="EH38" s="191">
        <v>20</v>
      </c>
      <c r="EI38" s="191"/>
      <c r="EJ38" s="191">
        <v>60</v>
      </c>
      <c r="EK38" s="191"/>
      <c r="EL38" s="191"/>
      <c r="EM38" s="192">
        <v>150</v>
      </c>
      <c r="EN38" s="190"/>
      <c r="EO38" s="191">
        <v>60</v>
      </c>
      <c r="EP38" s="191"/>
      <c r="EQ38" s="191">
        <v>150</v>
      </c>
      <c r="ER38" s="191"/>
      <c r="ES38" s="191"/>
      <c r="ET38" s="191">
        <v>60</v>
      </c>
      <c r="EU38" s="191"/>
      <c r="EV38" s="191">
        <v>150</v>
      </c>
      <c r="EW38" s="191"/>
      <c r="EX38" s="191">
        <v>60</v>
      </c>
      <c r="EY38" s="191"/>
      <c r="EZ38" s="191"/>
      <c r="FA38" s="191">
        <v>150</v>
      </c>
      <c r="FB38" s="191"/>
      <c r="FC38" s="191">
        <v>250</v>
      </c>
      <c r="FD38" s="191"/>
      <c r="FE38" s="191">
        <v>150</v>
      </c>
      <c r="FF38" s="191"/>
      <c r="FG38" s="191"/>
      <c r="FH38" s="191"/>
      <c r="FI38" s="191">
        <v>250</v>
      </c>
      <c r="FJ38" s="191"/>
      <c r="FK38" s="191">
        <v>100</v>
      </c>
      <c r="FL38" s="191"/>
      <c r="FM38" s="191"/>
      <c r="FN38" s="191"/>
      <c r="FO38" s="191">
        <v>300</v>
      </c>
      <c r="FP38" s="191"/>
      <c r="FQ38" s="193">
        <v>100</v>
      </c>
      <c r="FR38" s="194"/>
      <c r="FS38" s="191">
        <v>110</v>
      </c>
      <c r="FT38" s="191"/>
      <c r="FU38" s="191"/>
      <c r="FV38" s="191">
        <v>200</v>
      </c>
      <c r="FW38" s="191"/>
      <c r="FX38" s="191">
        <v>200</v>
      </c>
      <c r="FY38" s="191"/>
      <c r="FZ38" s="191">
        <v>200</v>
      </c>
      <c r="GA38" s="191"/>
      <c r="GB38" s="191"/>
      <c r="GC38" s="191">
        <v>200</v>
      </c>
      <c r="GD38" s="191"/>
      <c r="GE38" s="191">
        <v>150</v>
      </c>
      <c r="GF38" s="191"/>
      <c r="GG38" s="191">
        <v>100</v>
      </c>
      <c r="GH38" s="191"/>
      <c r="GI38" s="191"/>
      <c r="GJ38" s="191">
        <v>200</v>
      </c>
      <c r="GK38" s="191"/>
      <c r="GL38" s="191">
        <v>150</v>
      </c>
      <c r="GM38" s="191"/>
      <c r="GN38" s="191">
        <v>100</v>
      </c>
      <c r="GO38" s="191"/>
      <c r="GP38" s="191"/>
      <c r="GQ38" s="191">
        <v>200</v>
      </c>
      <c r="GR38" s="191"/>
      <c r="GS38" s="191">
        <v>150</v>
      </c>
      <c r="GT38" s="191"/>
      <c r="GU38" s="191">
        <v>60</v>
      </c>
      <c r="GV38" s="192"/>
      <c r="GW38" s="190"/>
      <c r="GX38" s="191">
        <v>200</v>
      </c>
      <c r="GY38" s="191"/>
      <c r="GZ38" s="191"/>
      <c r="HA38" s="191">
        <v>150</v>
      </c>
      <c r="HB38" s="191">
        <v>20</v>
      </c>
      <c r="HC38" s="191"/>
      <c r="HD38" s="191"/>
      <c r="HE38" s="191"/>
      <c r="HF38" s="191">
        <v>400</v>
      </c>
      <c r="HG38" s="191"/>
      <c r="HH38" s="191"/>
      <c r="HI38" s="191">
        <v>250</v>
      </c>
      <c r="HJ38" s="191"/>
      <c r="HK38" s="191"/>
      <c r="HL38" s="191">
        <v>150</v>
      </c>
      <c r="HM38" s="191"/>
      <c r="HN38" s="191">
        <v>200</v>
      </c>
      <c r="HO38" s="191"/>
      <c r="HP38" s="191">
        <v>200</v>
      </c>
      <c r="HQ38" s="191"/>
      <c r="HR38" s="191"/>
      <c r="HS38" s="191">
        <v>200</v>
      </c>
      <c r="HT38" s="191"/>
      <c r="HU38" s="191"/>
      <c r="HV38" s="191"/>
      <c r="HW38" s="191">
        <v>300</v>
      </c>
      <c r="HX38" s="191"/>
      <c r="HY38" s="191"/>
      <c r="HZ38" s="193">
        <v>60</v>
      </c>
      <c r="IA38" s="194"/>
      <c r="IB38" s="191">
        <v>100</v>
      </c>
      <c r="IC38" s="191"/>
      <c r="ID38" s="191">
        <v>60</v>
      </c>
      <c r="IE38" s="191"/>
      <c r="IF38" s="191"/>
      <c r="IG38" s="191">
        <v>300</v>
      </c>
      <c r="IH38" s="191"/>
      <c r="II38" s="191"/>
      <c r="IJ38" s="191"/>
      <c r="IK38" s="191">
        <v>150</v>
      </c>
      <c r="IL38" s="191"/>
      <c r="IM38" s="191"/>
      <c r="IN38" s="191">
        <v>160</v>
      </c>
      <c r="IO38" s="191"/>
      <c r="IP38" s="191"/>
      <c r="IQ38" s="191"/>
      <c r="IR38" s="191">
        <v>100</v>
      </c>
      <c r="IS38" s="191"/>
      <c r="IT38" s="191"/>
      <c r="IU38" s="191">
        <v>100</v>
      </c>
      <c r="IV38" s="191"/>
      <c r="IW38" s="191"/>
      <c r="IX38" s="191"/>
      <c r="IY38" s="191">
        <v>300</v>
      </c>
      <c r="IZ38" s="191"/>
      <c r="JA38" s="191"/>
      <c r="JB38" s="191">
        <v>300</v>
      </c>
      <c r="JC38" s="191"/>
      <c r="JD38" s="191">
        <v>150</v>
      </c>
      <c r="JE38" s="192"/>
      <c r="JF38" s="190">
        <v>100</v>
      </c>
      <c r="JG38" s="191"/>
      <c r="JH38" s="191"/>
      <c r="JI38" s="191">
        <v>300</v>
      </c>
      <c r="JJ38" s="191"/>
      <c r="JK38" s="191"/>
      <c r="JL38" s="191"/>
      <c r="JM38" s="191">
        <v>250</v>
      </c>
      <c r="JN38" s="191"/>
      <c r="JO38" s="191"/>
      <c r="JP38" s="191">
        <v>150</v>
      </c>
      <c r="JQ38" s="191"/>
      <c r="JR38" s="191">
        <v>100</v>
      </c>
      <c r="JS38" s="191"/>
      <c r="JT38" s="191"/>
      <c r="JU38" s="191"/>
      <c r="JV38" s="191"/>
      <c r="JW38" s="191">
        <v>250</v>
      </c>
      <c r="JX38" s="191"/>
      <c r="JY38" s="191">
        <v>100</v>
      </c>
      <c r="JZ38" s="191">
        <v>200</v>
      </c>
      <c r="KA38" s="191"/>
      <c r="KB38" s="191"/>
      <c r="KC38" s="191"/>
      <c r="KD38" s="191">
        <v>300</v>
      </c>
      <c r="KE38" s="191"/>
      <c r="KF38" s="191">
        <v>110</v>
      </c>
      <c r="KG38" s="191"/>
      <c r="KH38" s="191">
        <v>200</v>
      </c>
      <c r="KI38" s="191"/>
      <c r="KJ38" s="193"/>
      <c r="KK38" s="194">
        <v>300</v>
      </c>
      <c r="KL38" s="191"/>
      <c r="KM38" s="191">
        <v>150</v>
      </c>
      <c r="KN38" s="191"/>
      <c r="KO38" s="191">
        <v>60</v>
      </c>
      <c r="KP38" s="191"/>
      <c r="KQ38" s="191"/>
      <c r="KR38" s="191">
        <v>200</v>
      </c>
      <c r="KS38" s="191"/>
      <c r="KT38" s="191"/>
      <c r="KU38" s="191"/>
      <c r="KV38" s="191">
        <v>100</v>
      </c>
      <c r="KW38" s="191"/>
      <c r="KX38" s="191"/>
      <c r="KY38" s="191">
        <v>350</v>
      </c>
      <c r="KZ38" s="191"/>
      <c r="LA38" s="191">
        <v>160</v>
      </c>
      <c r="LB38" s="191"/>
      <c r="LC38" s="191">
        <v>250</v>
      </c>
      <c r="LD38" s="191"/>
      <c r="LE38" s="191"/>
      <c r="LF38" s="191">
        <v>250</v>
      </c>
      <c r="LG38" s="191"/>
      <c r="LH38" s="191">
        <v>100</v>
      </c>
      <c r="LI38" s="191"/>
      <c r="LJ38" s="191">
        <v>60</v>
      </c>
      <c r="LK38" s="191"/>
      <c r="LL38" s="191"/>
      <c r="LM38" s="191">
        <v>300</v>
      </c>
      <c r="LN38" s="192"/>
      <c r="LO38" s="190">
        <v>400</v>
      </c>
      <c r="LP38" s="191"/>
      <c r="LQ38" s="191">
        <v>150</v>
      </c>
      <c r="LR38" s="191"/>
      <c r="LS38" s="191"/>
      <c r="LT38" s="191">
        <v>350</v>
      </c>
      <c r="LU38" s="191"/>
      <c r="LV38" s="191">
        <v>110</v>
      </c>
      <c r="LW38" s="191"/>
      <c r="LX38" s="191">
        <v>60</v>
      </c>
      <c r="LY38" s="191"/>
      <c r="LZ38" s="191"/>
      <c r="MA38" s="191">
        <v>200</v>
      </c>
      <c r="MB38" s="191"/>
      <c r="MC38" s="191">
        <v>150</v>
      </c>
      <c r="MD38" s="191"/>
      <c r="ME38" s="191">
        <v>60</v>
      </c>
      <c r="MF38" s="191"/>
      <c r="MG38" s="191"/>
      <c r="MH38" s="191">
        <v>60</v>
      </c>
      <c r="MI38" s="191"/>
      <c r="MJ38" s="191">
        <v>150</v>
      </c>
      <c r="MK38" s="191"/>
      <c r="ML38" s="191">
        <v>100</v>
      </c>
      <c r="MM38" s="191"/>
      <c r="MN38" s="191"/>
      <c r="MO38" s="191">
        <v>150</v>
      </c>
      <c r="MP38" s="191"/>
      <c r="MQ38" s="191"/>
      <c r="MR38" s="191"/>
      <c r="MS38" s="193">
        <v>300</v>
      </c>
      <c r="MT38" s="194"/>
      <c r="MU38" s="191"/>
      <c r="MV38" s="191">
        <v>250</v>
      </c>
      <c r="MW38" s="191"/>
      <c r="MX38" s="191">
        <v>110</v>
      </c>
      <c r="MY38" s="191"/>
      <c r="MZ38" s="191">
        <v>20</v>
      </c>
      <c r="NA38" s="191"/>
      <c r="NB38" s="191"/>
      <c r="NC38" s="191">
        <v>250</v>
      </c>
      <c r="ND38" s="191"/>
      <c r="NE38" s="191"/>
      <c r="NF38" s="191">
        <v>100</v>
      </c>
      <c r="NG38" s="191">
        <v>60</v>
      </c>
      <c r="NH38" s="191"/>
      <c r="NI38" s="191"/>
      <c r="NJ38" s="191">
        <v>100</v>
      </c>
      <c r="NK38" s="191"/>
      <c r="NL38" s="191">
        <v>60</v>
      </c>
      <c r="NM38" s="191"/>
      <c r="NN38" s="191">
        <v>20</v>
      </c>
      <c r="NO38" s="191"/>
      <c r="NP38" s="191"/>
      <c r="NQ38" s="191">
        <v>20</v>
      </c>
      <c r="NR38" s="191"/>
      <c r="NS38" s="191"/>
      <c r="NT38" s="191"/>
      <c r="NU38" s="191">
        <v>60</v>
      </c>
      <c r="NV38" s="191"/>
      <c r="NW38" s="192"/>
      <c r="NX38" s="190">
        <v>100</v>
      </c>
      <c r="NY38" s="191"/>
      <c r="NZ38" s="191">
        <v>100</v>
      </c>
      <c r="OA38" s="191"/>
      <c r="OB38" s="191">
        <v>100</v>
      </c>
      <c r="OC38" s="191"/>
      <c r="OD38" s="191"/>
      <c r="OE38" s="191">
        <v>100</v>
      </c>
      <c r="OF38" s="191"/>
      <c r="OG38" s="191"/>
      <c r="OH38" s="191"/>
      <c r="OI38" s="191">
        <v>150</v>
      </c>
      <c r="OJ38" s="191"/>
      <c r="OK38" s="191"/>
      <c r="OL38" s="191"/>
      <c r="OM38" s="191"/>
      <c r="ON38" s="191"/>
      <c r="OO38" s="191"/>
      <c r="OP38" s="191"/>
      <c r="OQ38" s="191"/>
      <c r="OR38" s="191"/>
      <c r="OS38" s="191"/>
      <c r="OT38" s="191"/>
      <c r="OU38" s="191"/>
      <c r="OV38" s="191"/>
      <c r="OW38" s="191"/>
      <c r="OX38" s="191"/>
      <c r="OY38" s="191"/>
      <c r="OZ38" s="191"/>
      <c r="PA38" s="191"/>
      <c r="PB38" s="193"/>
      <c r="PC38" s="47"/>
      <c r="PD38" s="154" t="s">
        <v>97</v>
      </c>
      <c r="PE38" s="155" t="s">
        <v>98</v>
      </c>
      <c r="PF38" s="155" t="s">
        <v>98</v>
      </c>
      <c r="PG38" s="155" t="s">
        <v>98</v>
      </c>
      <c r="PH38" s="155" t="s">
        <v>98</v>
      </c>
      <c r="PI38" s="155" t="s">
        <v>98</v>
      </c>
      <c r="PJ38" s="155" t="s">
        <v>98</v>
      </c>
      <c r="PK38" s="155" t="s">
        <v>98</v>
      </c>
      <c r="PL38" s="155" t="s">
        <v>98</v>
      </c>
      <c r="PM38" s="155" t="s">
        <v>98</v>
      </c>
      <c r="PN38" s="155" t="s">
        <v>98</v>
      </c>
      <c r="PO38" s="156"/>
      <c r="PP38" s="156"/>
      <c r="PQ38" s="156"/>
      <c r="PR38" s="156"/>
      <c r="PS38" s="156"/>
      <c r="PT38" s="156"/>
      <c r="PU38" s="156"/>
      <c r="PV38" s="156"/>
      <c r="PW38" s="156"/>
      <c r="PX38" s="195"/>
      <c r="PY38" s="1"/>
      <c r="PZ38" s="196">
        <f t="shared" si="20"/>
        <v>1560</v>
      </c>
      <c r="QA38" s="176">
        <f t="shared" si="21"/>
        <v>1.301409860682406E-2</v>
      </c>
      <c r="QB38" s="177" t="str">
        <f t="shared" ca="1" si="22"/>
        <v>Attente…</v>
      </c>
      <c r="QC38" s="197">
        <f t="shared" si="23"/>
        <v>1800</v>
      </c>
      <c r="QD38" s="179">
        <f t="shared" si="24"/>
        <v>1.6853932584269662E-2</v>
      </c>
      <c r="QE38" s="180" t="str">
        <f t="shared" ca="1" si="25"/>
        <v>Attente…</v>
      </c>
      <c r="QF38" s="196">
        <f t="shared" si="26"/>
        <v>1670</v>
      </c>
      <c r="QG38" s="176">
        <f t="shared" si="27"/>
        <v>1.329829590699156E-2</v>
      </c>
      <c r="QH38" s="177" t="str">
        <f t="shared" ca="1" si="28"/>
        <v>Attente…</v>
      </c>
      <c r="QI38" s="197">
        <f t="shared" si="29"/>
        <v>1780</v>
      </c>
      <c r="QJ38" s="179">
        <f t="shared" si="30"/>
        <v>1.248421938560808E-2</v>
      </c>
      <c r="QK38" s="180" t="str">
        <f t="shared" ca="1" si="31"/>
        <v>Attente…</v>
      </c>
      <c r="QL38" s="196">
        <f t="shared" si="32"/>
        <v>2020</v>
      </c>
      <c r="QM38" s="176">
        <f t="shared" si="33"/>
        <v>1.4779045946736903E-2</v>
      </c>
      <c r="QN38" s="177" t="str">
        <f t="shared" ca="1" si="34"/>
        <v>Attente…</v>
      </c>
      <c r="QO38" s="197">
        <f t="shared" si="35"/>
        <v>2130</v>
      </c>
      <c r="QP38" s="179">
        <f t="shared" si="36"/>
        <v>1.6675800516714946E-2</v>
      </c>
      <c r="QQ38" s="180" t="str">
        <f t="shared" ca="1" si="37"/>
        <v>Attente…</v>
      </c>
      <c r="QR38" s="196">
        <f t="shared" si="38"/>
        <v>1720</v>
      </c>
      <c r="QS38" s="176">
        <f t="shared" si="39"/>
        <v>1.2382563622619776E-2</v>
      </c>
      <c r="QT38" s="177" t="str">
        <f t="shared" ca="1" si="40"/>
        <v>Attente…</v>
      </c>
      <c r="QU38" s="197">
        <f t="shared" si="41"/>
        <v>2060</v>
      </c>
      <c r="QV38" s="179">
        <f t="shared" si="42"/>
        <v>1.4202978488692775E-2</v>
      </c>
      <c r="QW38" s="180" t="str">
        <f t="shared" ca="1" si="43"/>
        <v>Attente…</v>
      </c>
      <c r="QX38" s="196">
        <f t="shared" si="44"/>
        <v>2280</v>
      </c>
      <c r="QY38" s="176">
        <f t="shared" si="45"/>
        <v>1.6637963746752679E-2</v>
      </c>
      <c r="QZ38" s="177" t="str">
        <f t="shared" ca="1" si="46"/>
        <v>Attente…</v>
      </c>
      <c r="RA38" s="197">
        <f t="shared" si="47"/>
        <v>2240</v>
      </c>
      <c r="RB38" s="179">
        <f t="shared" si="48"/>
        <v>1.7526015178781003E-2</v>
      </c>
      <c r="RC38" s="180" t="str">
        <f t="shared" ca="1" si="49"/>
        <v>Attente…</v>
      </c>
      <c r="RD38" s="196">
        <f t="shared" si="50"/>
        <v>1050</v>
      </c>
      <c r="RE38" s="176">
        <f t="shared" si="51"/>
        <v>1.046233559186927E-2</v>
      </c>
      <c r="RF38" s="177" t="str">
        <f t="shared" ca="1" si="52"/>
        <v>Attente…</v>
      </c>
      <c r="RG38" s="197">
        <f t="shared" si="53"/>
        <v>550</v>
      </c>
      <c r="RH38" s="179">
        <f t="shared" si="54"/>
        <v>1.0115872723928637E-2</v>
      </c>
      <c r="RI38" s="198" t="str">
        <f t="shared" ca="1" si="55"/>
        <v>Attente…</v>
      </c>
      <c r="RJ38" s="199">
        <f t="shared" si="56"/>
        <v>5030</v>
      </c>
      <c r="RK38" s="200" t="str">
        <f t="shared" ca="1" si="13"/>
        <v>Attente…</v>
      </c>
      <c r="RL38" s="199">
        <f t="shared" si="57"/>
        <v>5930</v>
      </c>
      <c r="RM38" s="200" t="str">
        <f t="shared" ca="1" si="58"/>
        <v>Atttente…</v>
      </c>
      <c r="RN38" s="199">
        <f t="shared" si="59"/>
        <v>6060</v>
      </c>
      <c r="RO38" s="200" t="str">
        <f t="shared" ca="1" si="14"/>
        <v>Attente…</v>
      </c>
      <c r="RP38" s="199">
        <f t="shared" si="60"/>
        <v>3840</v>
      </c>
      <c r="RQ38" s="200" t="str">
        <f t="shared" ca="1" si="15"/>
        <v>Attente…</v>
      </c>
      <c r="RR38" s="201">
        <f t="shared" si="61"/>
        <v>20860</v>
      </c>
      <c r="RS38" s="202" t="str">
        <f t="shared" ca="1" si="16"/>
        <v>Attente…</v>
      </c>
      <c r="RT38" s="103"/>
      <c r="RU38" s="203">
        <f t="shared" si="62"/>
        <v>0.38917910447761195</v>
      </c>
      <c r="RV38" s="204">
        <f t="shared" si="65"/>
        <v>2</v>
      </c>
      <c r="RW38" s="204">
        <f t="shared" si="65"/>
        <v>3</v>
      </c>
      <c r="RX38" s="204">
        <f t="shared" si="63"/>
        <v>134</v>
      </c>
      <c r="RY38" s="205" t="str">
        <f t="shared" si="64"/>
        <v>FRANQUEVILLE-SAINT-PIERRE - 962 Rue Pierre Curie (Cimetière)</v>
      </c>
      <c r="RZ38" s="189" t="str">
        <f>IF(OR(RZ37="",RZ37="  &lt;/Document&gt;
&lt;/kml&gt;"),"",
IF(B38="","  &lt;/Document&gt;
&lt;/kml&gt;",
IF(TournéesCAV!Q32=""," ",
"    &lt;Placemark&gt;
      &lt;description&gt;&lt;![CDATA["&amp;B38&amp;"&lt;br&gt;&lt;br&gt;"&amp;RV38&amp;" CAV&lt;br&gt;&lt;br&gt;Présent sur "&amp;RW38&amp;" tournée(s)&lt;br&gt;&lt;br&gt;Taux de remplissage moyen "&amp;TEXT(RU38*1000,"0 %")&amp;"]]&gt;&lt;/description&gt;
      &lt;Style&gt;
        &lt;IconStyle&gt;
          &lt;color&gt;ff"&amp;
          DEC2HEX(0,2)&amp;
          DEC2HEX(
            IF(RU38&lt;=0.5,
               INT(255*(RU38*2)),
               255
            ),2)&amp;
          DEC2HEX(
            IF(RU38&lt;=0.5,
               255,
               INT(255*(1-(RU38-0.5)*2))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&lt;Point&gt;&lt;coordinates&gt;"&amp;R38&amp;","&amp;Q38&amp;",0&lt;/coordinates&gt;&lt;/Point&gt;
    &lt;/Placemark&gt;"
)))</f>
        <v xml:space="preserve">    &lt;Placemark&gt;
      &lt;description&gt;&lt;![CDATA[FRANQUEVILLE-SAINT-PIERRE - 962 Rue Pierre Curie (Cimetière)&lt;br&gt;&lt;br&gt;2 CAV&lt;br&gt;&lt;br&gt;Présent sur 3 tournée(s)&lt;br&gt;&lt;br&gt;Taux de remplissage moyen 39%]]&gt;&lt;/description&gt;
      &lt;Style&gt;
        &lt;IconStyle&gt;
          &lt;color&gt;ff00C6FF&lt;/color&gt;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&lt;Point&gt;&lt;coordinates&gt;1.1781562,49.4064014,0&lt;/coordinates&gt;&lt;/Point&gt;
    &lt;/Placemark&gt;</v>
      </c>
    </row>
    <row r="39" spans="2:494" ht="15" hidden="1" customHeight="1" x14ac:dyDescent="0.35">
      <c r="B39" s="153" t="str">
        <f t="shared" si="17"/>
        <v>SOTTEVILLE-LÈS-ROUEN - 103 rue Pierre Mendès-France (Parking Immeuble Habitat 76)</v>
      </c>
      <c r="C39" s="154">
        <v>154</v>
      </c>
      <c r="D39" s="155"/>
      <c r="E39" s="155"/>
      <c r="F39" s="155"/>
      <c r="G39" s="155"/>
      <c r="H39" s="155"/>
      <c r="I39" s="155"/>
      <c r="J39" s="156"/>
      <c r="K39" s="157">
        <f t="shared" si="18"/>
        <v>1</v>
      </c>
      <c r="L39" s="157">
        <f t="shared" si="19"/>
        <v>2</v>
      </c>
      <c r="M39" s="158" t="s">
        <v>273</v>
      </c>
      <c r="N39" s="159" t="s">
        <v>274</v>
      </c>
      <c r="O39" s="159">
        <v>76300</v>
      </c>
      <c r="P39" s="159" t="s">
        <v>275</v>
      </c>
      <c r="Q39" s="159" t="s">
        <v>276</v>
      </c>
      <c r="R39" s="159" t="s">
        <v>277</v>
      </c>
      <c r="S39" s="159" t="s">
        <v>93</v>
      </c>
      <c r="T39" s="159" t="s">
        <v>278</v>
      </c>
      <c r="U39" s="159" t="s">
        <v>279</v>
      </c>
      <c r="V39" s="160" t="s">
        <v>96</v>
      </c>
      <c r="W39" s="161"/>
      <c r="X39" s="162"/>
      <c r="Y39" s="163"/>
      <c r="Z39" s="162"/>
      <c r="AA39" s="163">
        <v>5</v>
      </c>
      <c r="AB39" s="162">
        <v>6</v>
      </c>
      <c r="AC39" s="163"/>
      <c r="AD39" s="162"/>
      <c r="AE39" s="163"/>
      <c r="AF39" s="162"/>
      <c r="AG39" s="163"/>
      <c r="AH39" s="163"/>
      <c r="AI39" s="162"/>
      <c r="AJ39" s="163"/>
      <c r="AK39" s="162"/>
      <c r="AL39" s="163"/>
      <c r="AM39" s="162"/>
      <c r="AN39" s="163"/>
      <c r="AO39" s="162"/>
      <c r="AP39" s="164"/>
      <c r="AQ39" s="164"/>
      <c r="AR39" s="164"/>
      <c r="AS39" s="164"/>
      <c r="AT39" s="164"/>
      <c r="AU39" s="164"/>
      <c r="AV39" s="164"/>
      <c r="AW39" s="164"/>
      <c r="AX39" s="164"/>
      <c r="AY39" s="165"/>
      <c r="AZ39" s="41"/>
      <c r="BA39" s="190"/>
      <c r="BB39" s="191"/>
      <c r="BC39" s="191">
        <v>200</v>
      </c>
      <c r="BD39" s="191"/>
      <c r="BE39" s="191"/>
      <c r="BF39" s="191"/>
      <c r="BG39" s="191">
        <v>150</v>
      </c>
      <c r="BH39" s="191"/>
      <c r="BI39" s="191"/>
      <c r="BJ39" s="191">
        <v>50</v>
      </c>
      <c r="BK39" s="191"/>
      <c r="BL39" s="191"/>
      <c r="BM39" s="191"/>
      <c r="BN39" s="191">
        <v>50</v>
      </c>
      <c r="BO39" s="191"/>
      <c r="BP39" s="191"/>
      <c r="BQ39" s="191">
        <v>50</v>
      </c>
      <c r="BR39" s="191"/>
      <c r="BS39" s="191"/>
      <c r="BT39" s="191"/>
      <c r="BU39" s="191">
        <v>50</v>
      </c>
      <c r="BV39" s="191"/>
      <c r="BW39" s="191"/>
      <c r="BX39" s="191">
        <v>10</v>
      </c>
      <c r="BY39" s="191"/>
      <c r="BZ39" s="191"/>
      <c r="CA39" s="191"/>
      <c r="CB39" s="191">
        <v>100</v>
      </c>
      <c r="CC39" s="191"/>
      <c r="CD39" s="191"/>
      <c r="CE39" s="192">
        <v>50</v>
      </c>
      <c r="CF39" s="190"/>
      <c r="CG39" s="191"/>
      <c r="CH39" s="191"/>
      <c r="CI39" s="191">
        <v>50</v>
      </c>
      <c r="CJ39" s="191"/>
      <c r="CK39" s="191"/>
      <c r="CL39" s="191">
        <v>100</v>
      </c>
      <c r="CM39" s="191"/>
      <c r="CN39" s="191"/>
      <c r="CO39" s="191"/>
      <c r="CP39" s="191">
        <v>150</v>
      </c>
      <c r="CQ39" s="191"/>
      <c r="CR39" s="191"/>
      <c r="CS39" s="191">
        <v>10</v>
      </c>
      <c r="CT39" s="191"/>
      <c r="CU39" s="191"/>
      <c r="CV39" s="191"/>
      <c r="CW39" s="191">
        <v>100</v>
      </c>
      <c r="CX39" s="191"/>
      <c r="CY39" s="191"/>
      <c r="CZ39" s="191">
        <v>50</v>
      </c>
      <c r="DA39" s="191"/>
      <c r="DB39" s="191"/>
      <c r="DC39" s="191"/>
      <c r="DD39" s="191">
        <v>100</v>
      </c>
      <c r="DE39" s="191"/>
      <c r="DF39" s="191"/>
      <c r="DG39" s="191">
        <v>50</v>
      </c>
      <c r="DH39" s="193"/>
      <c r="DI39" s="194"/>
      <c r="DJ39" s="191"/>
      <c r="DK39" s="191"/>
      <c r="DL39" s="191">
        <v>50</v>
      </c>
      <c r="DM39" s="191"/>
      <c r="DN39" s="191"/>
      <c r="DO39" s="191">
        <v>10</v>
      </c>
      <c r="DP39" s="191"/>
      <c r="DQ39" s="191"/>
      <c r="DR39" s="191"/>
      <c r="DS39" s="191">
        <v>10</v>
      </c>
      <c r="DT39" s="191"/>
      <c r="DU39" s="191"/>
      <c r="DV39" s="191">
        <v>50</v>
      </c>
      <c r="DW39" s="191"/>
      <c r="DX39" s="191"/>
      <c r="DY39" s="191"/>
      <c r="DZ39" s="191">
        <v>150</v>
      </c>
      <c r="EA39" s="191"/>
      <c r="EB39" s="191"/>
      <c r="EC39" s="191">
        <v>100</v>
      </c>
      <c r="ED39" s="191"/>
      <c r="EE39" s="191"/>
      <c r="EF39" s="191"/>
      <c r="EG39" s="191">
        <v>150</v>
      </c>
      <c r="EH39" s="191"/>
      <c r="EI39" s="191"/>
      <c r="EJ39" s="191">
        <v>50</v>
      </c>
      <c r="EK39" s="191"/>
      <c r="EL39" s="191"/>
      <c r="EM39" s="192"/>
      <c r="EN39" s="190">
        <v>150</v>
      </c>
      <c r="EO39" s="191"/>
      <c r="EP39" s="191"/>
      <c r="EQ39" s="191">
        <v>100</v>
      </c>
      <c r="ER39" s="191"/>
      <c r="ES39" s="191"/>
      <c r="ET39" s="191"/>
      <c r="EU39" s="191">
        <v>100</v>
      </c>
      <c r="EV39" s="191"/>
      <c r="EW39" s="191"/>
      <c r="EX39" s="191">
        <v>100</v>
      </c>
      <c r="EY39" s="191"/>
      <c r="EZ39" s="191"/>
      <c r="FA39" s="191"/>
      <c r="FB39" s="191">
        <v>150</v>
      </c>
      <c r="FC39" s="191"/>
      <c r="FD39" s="191"/>
      <c r="FE39" s="191">
        <v>100</v>
      </c>
      <c r="FF39" s="191"/>
      <c r="FG39" s="191"/>
      <c r="FH39" s="191"/>
      <c r="FI39" s="191">
        <v>200</v>
      </c>
      <c r="FJ39" s="191"/>
      <c r="FK39" s="191"/>
      <c r="FL39" s="191"/>
      <c r="FM39" s="191"/>
      <c r="FN39" s="191"/>
      <c r="FO39" s="191"/>
      <c r="FP39" s="191">
        <v>100</v>
      </c>
      <c r="FQ39" s="193"/>
      <c r="FR39" s="194"/>
      <c r="FS39" s="191">
        <v>100</v>
      </c>
      <c r="FT39" s="191"/>
      <c r="FU39" s="191"/>
      <c r="FV39" s="191"/>
      <c r="FW39" s="191">
        <v>100</v>
      </c>
      <c r="FX39" s="191"/>
      <c r="FY39" s="191"/>
      <c r="FZ39" s="191">
        <v>100</v>
      </c>
      <c r="GA39" s="191"/>
      <c r="GB39" s="191"/>
      <c r="GC39" s="191"/>
      <c r="GD39" s="191">
        <v>100</v>
      </c>
      <c r="GE39" s="191"/>
      <c r="GF39" s="191"/>
      <c r="GG39" s="191">
        <v>50</v>
      </c>
      <c r="GH39" s="191"/>
      <c r="GI39" s="191"/>
      <c r="GJ39" s="191"/>
      <c r="GK39" s="191">
        <v>100</v>
      </c>
      <c r="GL39" s="191"/>
      <c r="GM39" s="191"/>
      <c r="GN39" s="191"/>
      <c r="GO39" s="191"/>
      <c r="GP39" s="191"/>
      <c r="GQ39" s="191"/>
      <c r="GR39" s="191">
        <v>150</v>
      </c>
      <c r="GS39" s="191"/>
      <c r="GT39" s="191"/>
      <c r="GU39" s="191">
        <v>50</v>
      </c>
      <c r="GV39" s="192"/>
      <c r="GW39" s="190"/>
      <c r="GX39" s="191"/>
      <c r="GY39" s="191">
        <v>200</v>
      </c>
      <c r="GZ39" s="191"/>
      <c r="HA39" s="191"/>
      <c r="HB39" s="191">
        <v>100</v>
      </c>
      <c r="HC39" s="191"/>
      <c r="HD39" s="191"/>
      <c r="HE39" s="191"/>
      <c r="HF39" s="191">
        <v>200</v>
      </c>
      <c r="HG39" s="191"/>
      <c r="HH39" s="191"/>
      <c r="HI39" s="191">
        <v>100</v>
      </c>
      <c r="HJ39" s="191"/>
      <c r="HK39" s="191"/>
      <c r="HL39" s="191"/>
      <c r="HM39" s="191">
        <v>50</v>
      </c>
      <c r="HN39" s="191"/>
      <c r="HO39" s="191"/>
      <c r="HP39" s="191">
        <v>100</v>
      </c>
      <c r="HQ39" s="191"/>
      <c r="HR39" s="191"/>
      <c r="HS39" s="191"/>
      <c r="HT39" s="191"/>
      <c r="HU39" s="191"/>
      <c r="HV39" s="191"/>
      <c r="HW39" s="191">
        <v>200</v>
      </c>
      <c r="HX39" s="191"/>
      <c r="HY39" s="191"/>
      <c r="HZ39" s="193"/>
      <c r="IA39" s="194">
        <v>100</v>
      </c>
      <c r="IB39" s="191"/>
      <c r="IC39" s="191"/>
      <c r="ID39" s="191">
        <v>100</v>
      </c>
      <c r="IE39" s="191"/>
      <c r="IF39" s="191"/>
      <c r="IG39" s="191"/>
      <c r="IH39" s="191"/>
      <c r="II39" s="191"/>
      <c r="IJ39" s="191"/>
      <c r="IK39" s="191">
        <v>200</v>
      </c>
      <c r="IL39" s="191"/>
      <c r="IM39" s="191"/>
      <c r="IN39" s="191"/>
      <c r="IO39" s="191"/>
      <c r="IP39" s="191">
        <v>100</v>
      </c>
      <c r="IQ39" s="191"/>
      <c r="IR39" s="191"/>
      <c r="IS39" s="191"/>
      <c r="IT39" s="191"/>
      <c r="IU39" s="191"/>
      <c r="IV39" s="191">
        <v>100</v>
      </c>
      <c r="IW39" s="191"/>
      <c r="IX39" s="191"/>
      <c r="IY39" s="191"/>
      <c r="IZ39" s="191"/>
      <c r="JA39" s="191"/>
      <c r="JB39" s="191"/>
      <c r="JC39" s="191">
        <v>200</v>
      </c>
      <c r="JD39" s="191"/>
      <c r="JE39" s="192"/>
      <c r="JF39" s="190">
        <v>50</v>
      </c>
      <c r="JG39" s="191"/>
      <c r="JH39" s="191"/>
      <c r="JI39" s="191"/>
      <c r="JJ39" s="191">
        <v>200</v>
      </c>
      <c r="JK39" s="191"/>
      <c r="JL39" s="191"/>
      <c r="JM39" s="191">
        <v>50</v>
      </c>
      <c r="JN39" s="191"/>
      <c r="JO39" s="191"/>
      <c r="JP39" s="191"/>
      <c r="JQ39" s="191">
        <v>150</v>
      </c>
      <c r="JR39" s="191"/>
      <c r="JS39" s="191"/>
      <c r="JT39" s="191"/>
      <c r="JU39" s="191"/>
      <c r="JV39" s="191"/>
      <c r="JW39" s="191"/>
      <c r="JX39" s="191"/>
      <c r="JY39" s="191"/>
      <c r="JZ39" s="191"/>
      <c r="KA39" s="191">
        <v>200</v>
      </c>
      <c r="KB39" s="191"/>
      <c r="KC39" s="191"/>
      <c r="KD39" s="191"/>
      <c r="KE39" s="191"/>
      <c r="KF39" s="191"/>
      <c r="KG39" s="191"/>
      <c r="KH39" s="191">
        <v>150</v>
      </c>
      <c r="KI39" s="191"/>
      <c r="KJ39" s="193"/>
      <c r="KK39" s="194"/>
      <c r="KL39" s="191">
        <v>150</v>
      </c>
      <c r="KM39" s="191"/>
      <c r="KN39" s="191"/>
      <c r="KO39" s="191">
        <v>50</v>
      </c>
      <c r="KP39" s="191"/>
      <c r="KQ39" s="191"/>
      <c r="KR39" s="191"/>
      <c r="KS39" s="191">
        <v>100</v>
      </c>
      <c r="KT39" s="191"/>
      <c r="KU39" s="191"/>
      <c r="KV39" s="191">
        <v>50</v>
      </c>
      <c r="KW39" s="191"/>
      <c r="KX39" s="191"/>
      <c r="KY39" s="191"/>
      <c r="KZ39" s="191">
        <v>150</v>
      </c>
      <c r="LA39" s="191"/>
      <c r="LB39" s="191"/>
      <c r="LC39" s="191"/>
      <c r="LD39" s="191"/>
      <c r="LE39" s="191"/>
      <c r="LF39" s="191"/>
      <c r="LG39" s="191">
        <v>200</v>
      </c>
      <c r="LH39" s="191"/>
      <c r="LI39" s="191"/>
      <c r="LJ39" s="191">
        <v>100</v>
      </c>
      <c r="LK39" s="191"/>
      <c r="LL39" s="191"/>
      <c r="LM39" s="191"/>
      <c r="LN39" s="192">
        <v>150</v>
      </c>
      <c r="LO39" s="190"/>
      <c r="LP39" s="191"/>
      <c r="LQ39" s="191"/>
      <c r="LR39" s="191"/>
      <c r="LS39" s="191"/>
      <c r="LT39" s="191"/>
      <c r="LU39" s="191">
        <v>150</v>
      </c>
      <c r="LV39" s="191"/>
      <c r="LW39" s="191"/>
      <c r="LX39" s="191">
        <v>50</v>
      </c>
      <c r="LY39" s="191"/>
      <c r="LZ39" s="191"/>
      <c r="MA39" s="191"/>
      <c r="MB39" s="191"/>
      <c r="MC39" s="191"/>
      <c r="MD39" s="191"/>
      <c r="ME39" s="191">
        <v>50</v>
      </c>
      <c r="MF39" s="191"/>
      <c r="MG39" s="191"/>
      <c r="MH39" s="191"/>
      <c r="MI39" s="191">
        <v>150</v>
      </c>
      <c r="MJ39" s="191"/>
      <c r="MK39" s="191"/>
      <c r="ML39" s="191">
        <v>150</v>
      </c>
      <c r="MM39" s="191"/>
      <c r="MN39" s="191"/>
      <c r="MO39" s="191"/>
      <c r="MP39" s="191">
        <v>100</v>
      </c>
      <c r="MQ39" s="191"/>
      <c r="MR39" s="191"/>
      <c r="MS39" s="193"/>
      <c r="MT39" s="194"/>
      <c r="MU39" s="191"/>
      <c r="MV39" s="191"/>
      <c r="MW39" s="191">
        <v>100</v>
      </c>
      <c r="MX39" s="191"/>
      <c r="MY39" s="191"/>
      <c r="MZ39" s="191">
        <v>50</v>
      </c>
      <c r="NA39" s="191"/>
      <c r="NB39" s="191"/>
      <c r="NC39" s="191"/>
      <c r="ND39" s="191"/>
      <c r="NE39" s="191">
        <v>150</v>
      </c>
      <c r="NF39" s="191"/>
      <c r="NG39" s="191">
        <v>10</v>
      </c>
      <c r="NH39" s="191"/>
      <c r="NI39" s="191"/>
      <c r="NJ39" s="191"/>
      <c r="NK39" s="191">
        <v>100</v>
      </c>
      <c r="NL39" s="191"/>
      <c r="NM39" s="191"/>
      <c r="NN39" s="191"/>
      <c r="NO39" s="191"/>
      <c r="NP39" s="191"/>
      <c r="NQ39" s="191"/>
      <c r="NR39" s="191">
        <v>100</v>
      </c>
      <c r="NS39" s="191"/>
      <c r="NT39" s="191"/>
      <c r="NU39" s="191">
        <v>10</v>
      </c>
      <c r="NV39" s="191"/>
      <c r="NW39" s="192"/>
      <c r="NX39" s="190"/>
      <c r="NY39" s="191">
        <v>50</v>
      </c>
      <c r="NZ39" s="191"/>
      <c r="OA39" s="191"/>
      <c r="OB39" s="191"/>
      <c r="OC39" s="191"/>
      <c r="OD39" s="191"/>
      <c r="OE39" s="191"/>
      <c r="OF39" s="191">
        <v>50</v>
      </c>
      <c r="OG39" s="191"/>
      <c r="OH39" s="191"/>
      <c r="OI39" s="191">
        <v>10</v>
      </c>
      <c r="OJ39" s="191"/>
      <c r="OK39" s="191"/>
      <c r="OL39" s="191"/>
      <c r="OM39" s="191">
        <v>150</v>
      </c>
      <c r="ON39" s="191"/>
      <c r="OO39" s="191"/>
      <c r="OP39" s="191"/>
      <c r="OQ39" s="191"/>
      <c r="OR39" s="191"/>
      <c r="OS39" s="191"/>
      <c r="OT39" s="191"/>
      <c r="OU39" s="191"/>
      <c r="OV39" s="191"/>
      <c r="OW39" s="191"/>
      <c r="OX39" s="191"/>
      <c r="OY39" s="191"/>
      <c r="OZ39" s="191"/>
      <c r="PA39" s="191"/>
      <c r="PB39" s="193"/>
      <c r="PC39" s="47"/>
      <c r="PD39" s="154" t="s">
        <v>97</v>
      </c>
      <c r="PE39" s="155" t="s">
        <v>98</v>
      </c>
      <c r="PF39" s="155" t="s">
        <v>97</v>
      </c>
      <c r="PG39" s="155" t="s">
        <v>98</v>
      </c>
      <c r="PH39" s="155" t="s">
        <v>98</v>
      </c>
      <c r="PI39" s="155" t="s">
        <v>98</v>
      </c>
      <c r="PJ39" s="155" t="s">
        <v>98</v>
      </c>
      <c r="PK39" s="155" t="s">
        <v>98</v>
      </c>
      <c r="PL39" s="155" t="s">
        <v>98</v>
      </c>
      <c r="PM39" s="155" t="s">
        <v>98</v>
      </c>
      <c r="PN39" s="155" t="s">
        <v>98</v>
      </c>
      <c r="PO39" s="156"/>
      <c r="PP39" s="156"/>
      <c r="PQ39" s="156"/>
      <c r="PR39" s="156"/>
      <c r="PS39" s="156"/>
      <c r="PT39" s="156"/>
      <c r="PU39" s="156"/>
      <c r="PV39" s="156"/>
      <c r="PW39" s="156"/>
      <c r="PX39" s="195"/>
      <c r="PY39" s="1"/>
      <c r="PZ39" s="196">
        <f t="shared" si="20"/>
        <v>710</v>
      </c>
      <c r="QA39" s="176">
        <f t="shared" si="21"/>
        <v>5.9230833402853095E-3</v>
      </c>
      <c r="QB39" s="177" t="str">
        <f t="shared" ca="1" si="22"/>
        <v>Attente…</v>
      </c>
      <c r="QC39" s="197">
        <f t="shared" si="23"/>
        <v>610</v>
      </c>
      <c r="QD39" s="179">
        <f t="shared" si="24"/>
        <v>5.7116104868913855E-3</v>
      </c>
      <c r="QE39" s="180" t="str">
        <f t="shared" ca="1" si="25"/>
        <v>Attente…</v>
      </c>
      <c r="QF39" s="196">
        <f t="shared" si="26"/>
        <v>570</v>
      </c>
      <c r="QG39" s="176">
        <f t="shared" si="27"/>
        <v>4.538939321548017E-3</v>
      </c>
      <c r="QH39" s="177" t="str">
        <f t="shared" ca="1" si="28"/>
        <v>Attente…</v>
      </c>
      <c r="QI39" s="197">
        <f t="shared" si="29"/>
        <v>1000</v>
      </c>
      <c r="QJ39" s="179">
        <f t="shared" si="30"/>
        <v>7.0136063964090336E-3</v>
      </c>
      <c r="QK39" s="180" t="str">
        <f t="shared" ca="1" si="31"/>
        <v>Attente…</v>
      </c>
      <c r="QL39" s="196">
        <f t="shared" si="32"/>
        <v>750</v>
      </c>
      <c r="QM39" s="176">
        <f t="shared" si="33"/>
        <v>5.4872695346795432E-3</v>
      </c>
      <c r="QN39" s="177" t="str">
        <f t="shared" ca="1" si="34"/>
        <v>Attente…</v>
      </c>
      <c r="QO39" s="197">
        <f t="shared" si="35"/>
        <v>950</v>
      </c>
      <c r="QP39" s="179">
        <f t="shared" si="36"/>
        <v>7.4375636107414074E-3</v>
      </c>
      <c r="QQ39" s="180" t="str">
        <f t="shared" ca="1" si="37"/>
        <v>Attente…</v>
      </c>
      <c r="QR39" s="196">
        <f t="shared" si="38"/>
        <v>800</v>
      </c>
      <c r="QS39" s="176">
        <f t="shared" si="39"/>
        <v>5.7593319174975705E-3</v>
      </c>
      <c r="QT39" s="177" t="str">
        <f t="shared" ca="1" si="40"/>
        <v>Attente…</v>
      </c>
      <c r="QU39" s="197">
        <f t="shared" si="41"/>
        <v>800</v>
      </c>
      <c r="QV39" s="179">
        <f t="shared" si="42"/>
        <v>5.5157198014340872E-3</v>
      </c>
      <c r="QW39" s="180" t="str">
        <f t="shared" ca="1" si="43"/>
        <v>Attente…</v>
      </c>
      <c r="QX39" s="196">
        <f t="shared" si="44"/>
        <v>950</v>
      </c>
      <c r="QY39" s="176">
        <f t="shared" si="45"/>
        <v>6.9324848944802824E-3</v>
      </c>
      <c r="QZ39" s="177" t="str">
        <f t="shared" ca="1" si="46"/>
        <v>Attente…</v>
      </c>
      <c r="RA39" s="197">
        <f t="shared" si="47"/>
        <v>650</v>
      </c>
      <c r="RB39" s="179">
        <f t="shared" si="48"/>
        <v>5.08567404741413E-3</v>
      </c>
      <c r="RC39" s="180" t="str">
        <f t="shared" ca="1" si="49"/>
        <v>Attente…</v>
      </c>
      <c r="RD39" s="196">
        <f t="shared" si="50"/>
        <v>520</v>
      </c>
      <c r="RE39" s="176">
        <f t="shared" si="51"/>
        <v>5.1813471502590676E-3</v>
      </c>
      <c r="RF39" s="177" t="str">
        <f t="shared" ca="1" si="52"/>
        <v>Attente…</v>
      </c>
      <c r="RG39" s="197">
        <f t="shared" si="53"/>
        <v>260</v>
      </c>
      <c r="RH39" s="179">
        <f t="shared" si="54"/>
        <v>4.7820489240389917E-3</v>
      </c>
      <c r="RI39" s="198" t="str">
        <f t="shared" ca="1" si="55"/>
        <v>Attente…</v>
      </c>
      <c r="RJ39" s="199">
        <f t="shared" si="56"/>
        <v>1890</v>
      </c>
      <c r="RK39" s="200" t="str">
        <f t="shared" ca="1" si="13"/>
        <v>Attente…</v>
      </c>
      <c r="RL39" s="199">
        <f t="shared" si="57"/>
        <v>2700</v>
      </c>
      <c r="RM39" s="200" t="str">
        <f t="shared" ca="1" si="58"/>
        <v>Atttente…</v>
      </c>
      <c r="RN39" s="199">
        <f t="shared" si="59"/>
        <v>2550</v>
      </c>
      <c r="RO39" s="200" t="str">
        <f t="shared" ca="1" si="14"/>
        <v>Attente…</v>
      </c>
      <c r="RP39" s="199">
        <f t="shared" si="60"/>
        <v>1430</v>
      </c>
      <c r="RQ39" s="200" t="str">
        <f t="shared" ca="1" si="15"/>
        <v>Attente…</v>
      </c>
      <c r="RR39" s="201">
        <f t="shared" si="61"/>
        <v>8570</v>
      </c>
      <c r="RS39" s="202" t="str">
        <f t="shared" ca="1" si="16"/>
        <v>Attente…</v>
      </c>
      <c r="RT39" s="103"/>
      <c r="RU39" s="203">
        <f t="shared" si="62"/>
        <v>0.50411764705882356</v>
      </c>
      <c r="RV39" s="204">
        <f t="shared" si="65"/>
        <v>1</v>
      </c>
      <c r="RW39" s="204">
        <f t="shared" si="65"/>
        <v>2</v>
      </c>
      <c r="RX39" s="204">
        <f t="shared" si="63"/>
        <v>85</v>
      </c>
      <c r="RY39" s="205" t="str">
        <f t="shared" si="64"/>
        <v>SOTTEVILLE-LÈS-ROUEN - 103 rue Pierre Mendès-France (Parking Immeuble Habitat 76)</v>
      </c>
      <c r="RZ39" s="189" t="str">
        <f>IF(OR(RZ38="",RZ38="  &lt;/Document&gt;
&lt;/kml&gt;"),"",
IF(B39="","  &lt;/Document&gt;
&lt;/kml&gt;",
IF(TournéesCAV!Q125=""," ",
"    &lt;Placemark&gt;
      &lt;description&gt;&lt;![CDATA["&amp;B39&amp;"&lt;br&gt;&lt;br&gt;"&amp;RV39&amp;" CAV&lt;br&gt;&lt;br&gt;Présent sur "&amp;RW39&amp;" tournée(s)&lt;br&gt;&lt;br&gt;Taux de remplissage moyen "&amp;TEXT(RU39*1000,"0 %")&amp;"]]&gt;&lt;/description&gt;
      &lt;Style&gt;
        &lt;IconStyle&gt;
          &lt;color&gt;ff"&amp;
          DEC2HEX(0,2)&amp;
          DEC2HEX(
            IF(RU39&lt;=0.5,
               INT(255*(RU39*2)),
               255
            ),2)&amp;
          DEC2HEX(
            IF(RU39&lt;=0.5,
               255,
               INT(255*(1-(RU39-0.5)*2))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&lt;Point&gt;&lt;coordinates&gt;"&amp;R39&amp;","&amp;Q39&amp;",0&lt;/coordinates&gt;&lt;/Point&gt;
    &lt;/Placemark&gt;"
)))</f>
        <v xml:space="preserve">    &lt;Placemark&gt;
      &lt;description&gt;&lt;![CDATA[SOTTEVILLE-LÈS-ROUEN - 103 rue Pierre Mendès-France (Parking Immeuble Habitat 76)&lt;br&gt;&lt;br&gt;1 CAV&lt;br&gt;&lt;br&gt;Présent sur 2 tournée(s)&lt;br&gt;&lt;br&gt;Taux de remplissage moyen 50%]]&gt;&lt;/description&gt;
      &lt;Style&gt;
        &lt;IconStyle&gt;
          &lt;color&gt;ff00FFFC&lt;/color&gt;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&lt;Point&gt;&lt;coordinates&gt;1.0927764,49.4139236,0&lt;/coordinates&gt;&lt;/Point&gt;
    &lt;/Placemark&gt;</v>
      </c>
    </row>
    <row r="40" spans="2:494" ht="15" hidden="1" customHeight="1" x14ac:dyDescent="0.35">
      <c r="B40" s="153" t="str">
        <f t="shared" si="17"/>
        <v>HOUPPEVILLE - 140 Rue Louis Pasteur (Près des Jardins ouvriers)</v>
      </c>
      <c r="C40" s="154">
        <v>54</v>
      </c>
      <c r="D40" s="155"/>
      <c r="E40" s="155"/>
      <c r="F40" s="155"/>
      <c r="G40" s="155"/>
      <c r="H40" s="155"/>
      <c r="I40" s="155"/>
      <c r="J40" s="156"/>
      <c r="K40" s="157">
        <f t="shared" si="18"/>
        <v>1</v>
      </c>
      <c r="L40" s="157">
        <f t="shared" si="19"/>
        <v>2</v>
      </c>
      <c r="M40" s="158" t="s">
        <v>280</v>
      </c>
      <c r="N40" s="159" t="s">
        <v>281</v>
      </c>
      <c r="O40" s="159">
        <v>76770</v>
      </c>
      <c r="P40" s="159" t="s">
        <v>257</v>
      </c>
      <c r="Q40" s="159" t="s">
        <v>282</v>
      </c>
      <c r="R40" s="159" t="s">
        <v>283</v>
      </c>
      <c r="S40" s="159" t="s">
        <v>93</v>
      </c>
      <c r="T40" s="159" t="s">
        <v>94</v>
      </c>
      <c r="U40" s="159" t="s">
        <v>284</v>
      </c>
      <c r="V40" s="160" t="s">
        <v>96</v>
      </c>
      <c r="W40" s="161"/>
      <c r="X40" s="162"/>
      <c r="Y40" s="163"/>
      <c r="Z40" s="162"/>
      <c r="AA40" s="163"/>
      <c r="AB40" s="162"/>
      <c r="AC40" s="163"/>
      <c r="AD40" s="162"/>
      <c r="AE40" s="163"/>
      <c r="AF40" s="162"/>
      <c r="AG40" s="163"/>
      <c r="AH40" s="163">
        <v>10</v>
      </c>
      <c r="AI40" s="162">
        <v>10</v>
      </c>
      <c r="AJ40" s="163"/>
      <c r="AK40" s="162"/>
      <c r="AL40" s="163"/>
      <c r="AM40" s="162"/>
      <c r="AN40" s="163"/>
      <c r="AO40" s="162"/>
      <c r="AP40" s="164"/>
      <c r="AQ40" s="164"/>
      <c r="AR40" s="164"/>
      <c r="AS40" s="164"/>
      <c r="AT40" s="164"/>
      <c r="AU40" s="164"/>
      <c r="AV40" s="164"/>
      <c r="AW40" s="164"/>
      <c r="AX40" s="164"/>
      <c r="AY40" s="165"/>
      <c r="AZ40" s="41"/>
      <c r="BA40" s="190"/>
      <c r="BB40" s="191"/>
      <c r="BC40" s="191">
        <v>150</v>
      </c>
      <c r="BD40" s="191"/>
      <c r="BE40" s="191"/>
      <c r="BF40" s="191">
        <v>100</v>
      </c>
      <c r="BG40" s="191"/>
      <c r="BH40" s="191"/>
      <c r="BI40" s="191"/>
      <c r="BJ40" s="191">
        <v>10</v>
      </c>
      <c r="BK40" s="191"/>
      <c r="BL40" s="191"/>
      <c r="BM40" s="191">
        <v>50</v>
      </c>
      <c r="BN40" s="191"/>
      <c r="BO40" s="191"/>
      <c r="BP40" s="191"/>
      <c r="BQ40" s="191">
        <v>10</v>
      </c>
      <c r="BR40" s="191"/>
      <c r="BS40" s="191"/>
      <c r="BT40" s="191">
        <v>50</v>
      </c>
      <c r="BU40" s="191"/>
      <c r="BV40" s="191"/>
      <c r="BW40" s="191"/>
      <c r="BX40" s="191">
        <v>10</v>
      </c>
      <c r="BY40" s="191"/>
      <c r="BZ40" s="191"/>
      <c r="CA40" s="191">
        <v>50</v>
      </c>
      <c r="CB40" s="191"/>
      <c r="CC40" s="191"/>
      <c r="CD40" s="191"/>
      <c r="CE40" s="192">
        <v>50</v>
      </c>
      <c r="CF40" s="190"/>
      <c r="CG40" s="191"/>
      <c r="CH40" s="191">
        <v>10</v>
      </c>
      <c r="CI40" s="191"/>
      <c r="CJ40" s="191"/>
      <c r="CK40" s="191"/>
      <c r="CL40" s="191">
        <v>10</v>
      </c>
      <c r="CM40" s="191"/>
      <c r="CN40" s="191"/>
      <c r="CO40" s="191">
        <v>50</v>
      </c>
      <c r="CP40" s="191"/>
      <c r="CQ40" s="191"/>
      <c r="CR40" s="191"/>
      <c r="CS40" s="191">
        <v>10</v>
      </c>
      <c r="CT40" s="191"/>
      <c r="CU40" s="191"/>
      <c r="CV40" s="191">
        <v>50</v>
      </c>
      <c r="CW40" s="191"/>
      <c r="CX40" s="191"/>
      <c r="CY40" s="191"/>
      <c r="CZ40" s="191">
        <v>50</v>
      </c>
      <c r="DA40" s="191"/>
      <c r="DB40" s="191"/>
      <c r="DC40" s="191">
        <v>100</v>
      </c>
      <c r="DD40" s="191"/>
      <c r="DE40" s="191"/>
      <c r="DF40" s="191"/>
      <c r="DG40" s="191">
        <v>50</v>
      </c>
      <c r="DH40" s="193"/>
      <c r="DI40" s="194"/>
      <c r="DJ40" s="191"/>
      <c r="DK40" s="191">
        <v>100</v>
      </c>
      <c r="DL40" s="191"/>
      <c r="DM40" s="191"/>
      <c r="DN40" s="191"/>
      <c r="DO40" s="191">
        <v>50</v>
      </c>
      <c r="DP40" s="191"/>
      <c r="DQ40" s="191"/>
      <c r="DR40" s="191">
        <v>100</v>
      </c>
      <c r="DS40" s="191"/>
      <c r="DT40" s="191"/>
      <c r="DU40" s="191"/>
      <c r="DV40" s="191">
        <v>50</v>
      </c>
      <c r="DW40" s="191"/>
      <c r="DX40" s="191"/>
      <c r="DY40" s="191">
        <v>10</v>
      </c>
      <c r="DZ40" s="191"/>
      <c r="EA40" s="191"/>
      <c r="EB40" s="191"/>
      <c r="EC40" s="191">
        <v>10</v>
      </c>
      <c r="ED40" s="191"/>
      <c r="EE40" s="191"/>
      <c r="EF40" s="191">
        <v>10</v>
      </c>
      <c r="EG40" s="191"/>
      <c r="EH40" s="191"/>
      <c r="EI40" s="191"/>
      <c r="EJ40" s="191">
        <v>10</v>
      </c>
      <c r="EK40" s="191"/>
      <c r="EL40" s="191"/>
      <c r="EM40" s="192">
        <v>100</v>
      </c>
      <c r="EN40" s="190"/>
      <c r="EO40" s="191"/>
      <c r="EP40" s="191"/>
      <c r="EQ40" s="191">
        <v>50</v>
      </c>
      <c r="ER40" s="191"/>
      <c r="ES40" s="191"/>
      <c r="ET40" s="191">
        <v>150</v>
      </c>
      <c r="EU40" s="191"/>
      <c r="EV40" s="191"/>
      <c r="EW40" s="191"/>
      <c r="EX40" s="191">
        <v>50</v>
      </c>
      <c r="EY40" s="191"/>
      <c r="EZ40" s="191"/>
      <c r="FA40" s="191">
        <v>50</v>
      </c>
      <c r="FB40" s="191"/>
      <c r="FC40" s="191"/>
      <c r="FD40" s="191"/>
      <c r="FE40" s="191">
        <v>50</v>
      </c>
      <c r="FF40" s="191"/>
      <c r="FG40" s="191"/>
      <c r="FH40" s="191"/>
      <c r="FI40" s="191">
        <v>100</v>
      </c>
      <c r="FJ40" s="191"/>
      <c r="FK40" s="191"/>
      <c r="FL40" s="191">
        <v>10</v>
      </c>
      <c r="FM40" s="191"/>
      <c r="FN40" s="191"/>
      <c r="FO40" s="191">
        <v>50</v>
      </c>
      <c r="FP40" s="191"/>
      <c r="FQ40" s="193"/>
      <c r="FR40" s="194"/>
      <c r="FS40" s="191">
        <v>50</v>
      </c>
      <c r="FT40" s="191"/>
      <c r="FU40" s="191"/>
      <c r="FV40" s="191">
        <v>10</v>
      </c>
      <c r="FW40" s="191"/>
      <c r="FX40" s="191"/>
      <c r="FY40" s="191"/>
      <c r="FZ40" s="191">
        <v>100</v>
      </c>
      <c r="GA40" s="191"/>
      <c r="GB40" s="191"/>
      <c r="GC40" s="191">
        <v>100</v>
      </c>
      <c r="GD40" s="191"/>
      <c r="GE40" s="191"/>
      <c r="GF40" s="191"/>
      <c r="GG40" s="191">
        <v>50</v>
      </c>
      <c r="GH40" s="191"/>
      <c r="GI40" s="191"/>
      <c r="GJ40" s="191">
        <v>50</v>
      </c>
      <c r="GK40" s="191"/>
      <c r="GL40" s="191"/>
      <c r="GM40" s="191"/>
      <c r="GN40" s="191">
        <v>50</v>
      </c>
      <c r="GO40" s="191"/>
      <c r="GP40" s="191"/>
      <c r="GQ40" s="191">
        <v>10</v>
      </c>
      <c r="GR40" s="191"/>
      <c r="GS40" s="191"/>
      <c r="GT40" s="191"/>
      <c r="GU40" s="191">
        <v>100</v>
      </c>
      <c r="GV40" s="192"/>
      <c r="GW40" s="190"/>
      <c r="GX40" s="191">
        <v>50</v>
      </c>
      <c r="GY40" s="191"/>
      <c r="GZ40" s="191"/>
      <c r="HA40" s="191"/>
      <c r="HB40" s="191">
        <v>10</v>
      </c>
      <c r="HC40" s="191"/>
      <c r="HD40" s="191"/>
      <c r="HE40" s="191"/>
      <c r="HF40" s="191">
        <v>50</v>
      </c>
      <c r="HG40" s="191"/>
      <c r="HH40" s="191"/>
      <c r="HI40" s="191">
        <v>10</v>
      </c>
      <c r="HJ40" s="191"/>
      <c r="HK40" s="191"/>
      <c r="HL40" s="191">
        <v>50</v>
      </c>
      <c r="HM40" s="191"/>
      <c r="HN40" s="191"/>
      <c r="HO40" s="191">
        <v>50</v>
      </c>
      <c r="HP40" s="191"/>
      <c r="HQ40" s="191"/>
      <c r="HR40" s="191"/>
      <c r="HS40" s="191">
        <v>50</v>
      </c>
      <c r="HT40" s="191"/>
      <c r="HU40" s="191"/>
      <c r="HV40" s="191"/>
      <c r="HW40" s="191">
        <v>100</v>
      </c>
      <c r="HX40" s="191"/>
      <c r="HY40" s="191"/>
      <c r="HZ40" s="193">
        <v>50</v>
      </c>
      <c r="IA40" s="194"/>
      <c r="IB40" s="191"/>
      <c r="IC40" s="191"/>
      <c r="ID40" s="191">
        <v>10</v>
      </c>
      <c r="IE40" s="191"/>
      <c r="IF40" s="191"/>
      <c r="IG40" s="191">
        <v>100</v>
      </c>
      <c r="IH40" s="191"/>
      <c r="II40" s="191"/>
      <c r="IJ40" s="191"/>
      <c r="IK40" s="191">
        <v>100</v>
      </c>
      <c r="IL40" s="191"/>
      <c r="IM40" s="191"/>
      <c r="IN40" s="191">
        <v>10</v>
      </c>
      <c r="IO40" s="191"/>
      <c r="IP40" s="191"/>
      <c r="IQ40" s="191"/>
      <c r="IR40" s="191">
        <v>50</v>
      </c>
      <c r="IS40" s="191"/>
      <c r="IT40" s="191"/>
      <c r="IU40" s="191">
        <v>50</v>
      </c>
      <c r="IV40" s="191"/>
      <c r="IW40" s="191"/>
      <c r="IX40" s="191"/>
      <c r="IY40" s="191">
        <v>50</v>
      </c>
      <c r="IZ40" s="191"/>
      <c r="JA40" s="191"/>
      <c r="JB40" s="191">
        <v>150</v>
      </c>
      <c r="JC40" s="191"/>
      <c r="JD40" s="191"/>
      <c r="JE40" s="192"/>
      <c r="JF40" s="190">
        <v>100</v>
      </c>
      <c r="JG40" s="191"/>
      <c r="JH40" s="191"/>
      <c r="JI40" s="191">
        <v>100</v>
      </c>
      <c r="JJ40" s="191"/>
      <c r="JK40" s="191"/>
      <c r="JL40" s="191"/>
      <c r="JM40" s="191">
        <v>10</v>
      </c>
      <c r="JN40" s="191"/>
      <c r="JO40" s="191"/>
      <c r="JP40" s="191">
        <v>10</v>
      </c>
      <c r="JQ40" s="191"/>
      <c r="JR40" s="191"/>
      <c r="JS40" s="191">
        <v>10</v>
      </c>
      <c r="JT40" s="191"/>
      <c r="JU40" s="191"/>
      <c r="JV40" s="191"/>
      <c r="JW40" s="191">
        <v>50</v>
      </c>
      <c r="JX40" s="191"/>
      <c r="JY40" s="191"/>
      <c r="JZ40" s="191"/>
      <c r="KA40" s="191">
        <v>50</v>
      </c>
      <c r="KB40" s="191"/>
      <c r="KC40" s="191"/>
      <c r="KD40" s="191">
        <v>100</v>
      </c>
      <c r="KE40" s="191"/>
      <c r="KF40" s="191"/>
      <c r="KG40" s="191"/>
      <c r="KH40" s="191">
        <v>100</v>
      </c>
      <c r="KI40" s="191"/>
      <c r="KJ40" s="193"/>
      <c r="KK40" s="194">
        <v>50</v>
      </c>
      <c r="KL40" s="191"/>
      <c r="KM40" s="191"/>
      <c r="KN40" s="191">
        <v>100</v>
      </c>
      <c r="KO40" s="191">
        <v>10</v>
      </c>
      <c r="KP40" s="191"/>
      <c r="KQ40" s="191"/>
      <c r="KR40" s="191">
        <v>50</v>
      </c>
      <c r="KS40" s="191"/>
      <c r="KT40" s="191"/>
      <c r="KU40" s="191"/>
      <c r="KV40" s="191">
        <v>50</v>
      </c>
      <c r="KW40" s="191"/>
      <c r="KX40" s="191"/>
      <c r="KY40" s="191">
        <v>100</v>
      </c>
      <c r="KZ40" s="191"/>
      <c r="LA40" s="191"/>
      <c r="LB40" s="191"/>
      <c r="LC40" s="191">
        <v>10</v>
      </c>
      <c r="LD40" s="191"/>
      <c r="LE40" s="191"/>
      <c r="LF40" s="191">
        <v>50</v>
      </c>
      <c r="LG40" s="191"/>
      <c r="LH40" s="191"/>
      <c r="LI40" s="191"/>
      <c r="LJ40" s="191">
        <v>10</v>
      </c>
      <c r="LK40" s="191"/>
      <c r="LL40" s="191"/>
      <c r="LM40" s="191"/>
      <c r="LN40" s="192"/>
      <c r="LO40" s="190"/>
      <c r="LP40" s="191"/>
      <c r="LQ40" s="191">
        <v>100</v>
      </c>
      <c r="LR40" s="191"/>
      <c r="LS40" s="191"/>
      <c r="LT40" s="191">
        <v>10</v>
      </c>
      <c r="LU40" s="191"/>
      <c r="LV40" s="191"/>
      <c r="LW40" s="191"/>
      <c r="LX40" s="191"/>
      <c r="LY40" s="191"/>
      <c r="LZ40" s="191"/>
      <c r="MA40" s="191">
        <v>50</v>
      </c>
      <c r="MB40" s="191"/>
      <c r="MC40" s="191"/>
      <c r="MD40" s="191"/>
      <c r="ME40" s="191">
        <v>10</v>
      </c>
      <c r="MF40" s="191"/>
      <c r="MG40" s="191"/>
      <c r="MH40" s="191"/>
      <c r="MI40" s="191"/>
      <c r="MJ40" s="191"/>
      <c r="MK40" s="191"/>
      <c r="ML40" s="191"/>
      <c r="MM40" s="191"/>
      <c r="MN40" s="191"/>
      <c r="MO40" s="191">
        <v>50</v>
      </c>
      <c r="MP40" s="191"/>
      <c r="MQ40" s="191"/>
      <c r="MR40" s="191"/>
      <c r="MS40" s="193">
        <v>50</v>
      </c>
      <c r="MT40" s="194"/>
      <c r="MU40" s="191"/>
      <c r="MV40" s="191">
        <v>100</v>
      </c>
      <c r="MW40" s="191"/>
      <c r="MX40" s="191"/>
      <c r="MY40" s="191"/>
      <c r="MZ40" s="191">
        <v>50</v>
      </c>
      <c r="NA40" s="191"/>
      <c r="NB40" s="191"/>
      <c r="NC40" s="191">
        <v>50</v>
      </c>
      <c r="ND40" s="191"/>
      <c r="NE40" s="191"/>
      <c r="NF40" s="191"/>
      <c r="NG40" s="191">
        <v>50</v>
      </c>
      <c r="NH40" s="191"/>
      <c r="NI40" s="191"/>
      <c r="NJ40" s="191">
        <v>50</v>
      </c>
      <c r="NK40" s="191"/>
      <c r="NL40" s="191"/>
      <c r="NM40" s="191"/>
      <c r="NN40" s="191">
        <v>10</v>
      </c>
      <c r="NO40" s="191"/>
      <c r="NP40" s="191"/>
      <c r="NQ40" s="191">
        <v>50</v>
      </c>
      <c r="NR40" s="191"/>
      <c r="NS40" s="191"/>
      <c r="NT40" s="191"/>
      <c r="NU40" s="191">
        <v>10</v>
      </c>
      <c r="NV40" s="191"/>
      <c r="NW40" s="192"/>
      <c r="NX40" s="190">
        <v>100</v>
      </c>
      <c r="NY40" s="191"/>
      <c r="NZ40" s="191"/>
      <c r="OA40" s="191"/>
      <c r="OB40" s="191">
        <v>50</v>
      </c>
      <c r="OC40" s="191"/>
      <c r="OD40" s="191"/>
      <c r="OE40" s="191">
        <v>50</v>
      </c>
      <c r="OF40" s="191"/>
      <c r="OG40" s="191"/>
      <c r="OH40" s="191"/>
      <c r="OI40" s="191">
        <v>10</v>
      </c>
      <c r="OJ40" s="191"/>
      <c r="OK40" s="191"/>
      <c r="OL40" s="191">
        <v>10</v>
      </c>
      <c r="OM40" s="191"/>
      <c r="ON40" s="191"/>
      <c r="OO40" s="191"/>
      <c r="OP40" s="191"/>
      <c r="OQ40" s="191"/>
      <c r="OR40" s="191"/>
      <c r="OS40" s="191"/>
      <c r="OT40" s="191"/>
      <c r="OU40" s="191"/>
      <c r="OV40" s="191"/>
      <c r="OW40" s="191"/>
      <c r="OX40" s="191"/>
      <c r="OY40" s="191"/>
      <c r="OZ40" s="191"/>
      <c r="PA40" s="191"/>
      <c r="PB40" s="193"/>
      <c r="PC40" s="47"/>
      <c r="PD40" s="154" t="s">
        <v>97</v>
      </c>
      <c r="PE40" s="155" t="s">
        <v>98</v>
      </c>
      <c r="PF40" s="155" t="s">
        <v>98</v>
      </c>
      <c r="PG40" s="155" t="s">
        <v>98</v>
      </c>
      <c r="PH40" s="155" t="s">
        <v>98</v>
      </c>
      <c r="PI40" s="155" t="s">
        <v>98</v>
      </c>
      <c r="PJ40" s="155" t="s">
        <v>98</v>
      </c>
      <c r="PK40" s="155" t="s">
        <v>98</v>
      </c>
      <c r="PL40" s="155" t="s">
        <v>98</v>
      </c>
      <c r="PM40" s="155" t="s">
        <v>98</v>
      </c>
      <c r="PN40" s="155" t="s">
        <v>98</v>
      </c>
      <c r="PO40" s="156"/>
      <c r="PP40" s="156"/>
      <c r="PQ40" s="156"/>
      <c r="PR40" s="156"/>
      <c r="PS40" s="156"/>
      <c r="PT40" s="156"/>
      <c r="PU40" s="156"/>
      <c r="PV40" s="156"/>
      <c r="PW40" s="156"/>
      <c r="PX40" s="195"/>
      <c r="PY40" s="1"/>
      <c r="PZ40" s="196">
        <f t="shared" si="20"/>
        <v>480</v>
      </c>
      <c r="QA40" s="176">
        <f t="shared" si="21"/>
        <v>4.0043380328689416E-3</v>
      </c>
      <c r="QB40" s="177" t="str">
        <f t="shared" ca="1" si="22"/>
        <v>Attente…</v>
      </c>
      <c r="QC40" s="197">
        <f t="shared" si="23"/>
        <v>330</v>
      </c>
      <c r="QD40" s="179">
        <f t="shared" si="24"/>
        <v>3.0898876404494382E-3</v>
      </c>
      <c r="QE40" s="180" t="str">
        <f t="shared" ca="1" si="25"/>
        <v>Attente…</v>
      </c>
      <c r="QF40" s="196">
        <f t="shared" si="26"/>
        <v>440</v>
      </c>
      <c r="QG40" s="176">
        <f t="shared" si="27"/>
        <v>3.503742634177417E-3</v>
      </c>
      <c r="QH40" s="177" t="str">
        <f t="shared" ca="1" si="28"/>
        <v>Attente…</v>
      </c>
      <c r="QI40" s="197">
        <f t="shared" si="29"/>
        <v>510</v>
      </c>
      <c r="QJ40" s="179">
        <f t="shared" si="30"/>
        <v>3.576939262168607E-3</v>
      </c>
      <c r="QK40" s="180" t="str">
        <f t="shared" ca="1" si="31"/>
        <v>Attente…</v>
      </c>
      <c r="QL40" s="196">
        <f t="shared" si="32"/>
        <v>520</v>
      </c>
      <c r="QM40" s="176">
        <f t="shared" si="33"/>
        <v>3.8045068773778167E-3</v>
      </c>
      <c r="QN40" s="177" t="str">
        <f t="shared" ca="1" si="34"/>
        <v>Attente…</v>
      </c>
      <c r="QO40" s="197">
        <f t="shared" si="35"/>
        <v>420</v>
      </c>
      <c r="QP40" s="179">
        <f t="shared" si="36"/>
        <v>3.288186017380412E-3</v>
      </c>
      <c r="QQ40" s="180" t="str">
        <f t="shared" ca="1" si="37"/>
        <v>Attente…</v>
      </c>
      <c r="QR40" s="196">
        <f t="shared" si="38"/>
        <v>520</v>
      </c>
      <c r="QS40" s="176">
        <f t="shared" si="39"/>
        <v>3.7435657463734209E-3</v>
      </c>
      <c r="QT40" s="177" t="str">
        <f t="shared" ca="1" si="40"/>
        <v>Attente…</v>
      </c>
      <c r="QU40" s="197">
        <f t="shared" si="41"/>
        <v>530</v>
      </c>
      <c r="QV40" s="179">
        <f t="shared" si="42"/>
        <v>3.6541643684500826E-3</v>
      </c>
      <c r="QW40" s="180" t="str">
        <f t="shared" ca="1" si="43"/>
        <v>Attente…</v>
      </c>
      <c r="QX40" s="196">
        <f t="shared" si="44"/>
        <v>430</v>
      </c>
      <c r="QY40" s="176">
        <f t="shared" si="45"/>
        <v>3.1378615838173912E-3</v>
      </c>
      <c r="QZ40" s="177" t="str">
        <f t="shared" ca="1" si="46"/>
        <v>Attente…</v>
      </c>
      <c r="RA40" s="197">
        <f t="shared" si="47"/>
        <v>270</v>
      </c>
      <c r="RB40" s="179">
        <f t="shared" si="48"/>
        <v>2.1125107581566388E-3</v>
      </c>
      <c r="RC40" s="180" t="str">
        <f t="shared" ca="1" si="49"/>
        <v>Attente…</v>
      </c>
      <c r="RD40" s="196">
        <f t="shared" si="50"/>
        <v>370</v>
      </c>
      <c r="RE40" s="176">
        <f t="shared" si="51"/>
        <v>3.6867277799920288E-3</v>
      </c>
      <c r="RF40" s="177" t="str">
        <f t="shared" ca="1" si="52"/>
        <v>Attente…</v>
      </c>
      <c r="RG40" s="197">
        <f t="shared" si="53"/>
        <v>220</v>
      </c>
      <c r="RH40" s="179">
        <f t="shared" si="54"/>
        <v>4.0463490895714547E-3</v>
      </c>
      <c r="RI40" s="198" t="str">
        <f t="shared" ca="1" si="55"/>
        <v>Attente…</v>
      </c>
      <c r="RJ40" s="199">
        <f t="shared" si="56"/>
        <v>1250</v>
      </c>
      <c r="RK40" s="200" t="str">
        <f t="shared" ca="1" si="13"/>
        <v>Attente…</v>
      </c>
      <c r="RL40" s="199">
        <f t="shared" si="57"/>
        <v>1450</v>
      </c>
      <c r="RM40" s="200" t="str">
        <f t="shared" ca="1" si="58"/>
        <v>Atttente…</v>
      </c>
      <c r="RN40" s="199">
        <f t="shared" si="59"/>
        <v>1480</v>
      </c>
      <c r="RO40" s="200" t="str">
        <f t="shared" ca="1" si="14"/>
        <v>Attente…</v>
      </c>
      <c r="RP40" s="199">
        <f t="shared" si="60"/>
        <v>860</v>
      </c>
      <c r="RQ40" s="200" t="str">
        <f t="shared" ca="1" si="15"/>
        <v>Attente…</v>
      </c>
      <c r="RR40" s="201">
        <f t="shared" si="61"/>
        <v>5040</v>
      </c>
      <c r="RS40" s="202" t="str">
        <f t="shared" ca="1" si="16"/>
        <v>Attente…</v>
      </c>
      <c r="RT40" s="103"/>
      <c r="RU40" s="203">
        <f t="shared" si="62"/>
        <v>0.25979381443298971</v>
      </c>
      <c r="RV40" s="204">
        <f t="shared" si="65"/>
        <v>1</v>
      </c>
      <c r="RW40" s="204">
        <f t="shared" si="65"/>
        <v>2</v>
      </c>
      <c r="RX40" s="204">
        <f t="shared" si="63"/>
        <v>97</v>
      </c>
      <c r="RY40" s="205" t="str">
        <f t="shared" si="64"/>
        <v>HOUPPEVILLE - 140 Rue Louis Pasteur (Près des Jardins ouvriers)</v>
      </c>
      <c r="RZ40" s="189" t="str">
        <f>IF(OR(RZ39="",RZ39="  &lt;/Document&gt;
&lt;/kml&gt;"),"",
IF(B40="","  &lt;/Document&gt;
&lt;/kml&gt;",
IF(TournéesCAV!Q35=""," ",
"    &lt;Placemark&gt;
      &lt;description&gt;&lt;![CDATA["&amp;B40&amp;"&lt;br&gt;&lt;br&gt;"&amp;RV40&amp;" CAV&lt;br&gt;&lt;br&gt;Présent sur "&amp;RW40&amp;" tournée(s)&lt;br&gt;&lt;br&gt;Taux de remplissage moyen "&amp;TEXT(RU40*1000,"0 %")&amp;"]]&gt;&lt;/description&gt;
      &lt;Style&gt;
        &lt;IconStyle&gt;
          &lt;color&gt;ff"&amp;
          DEC2HEX(0,2)&amp;
          DEC2HEX(
            IF(RU40&lt;=0.5,
               INT(255*(RU40*2)),
               255
            ),2)&amp;
          DEC2HEX(
            IF(RU40&lt;=0.5,
               255,
               INT(255*(1-(RU40-0.5)*2))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&lt;Point&gt;&lt;coordinates&gt;"&amp;R40&amp;","&amp;Q40&amp;",0&lt;/coordinates&gt;&lt;/Point&gt;
    &lt;/Placemark&gt;"
)))</f>
        <v xml:space="preserve">    &lt;Placemark&gt;
      &lt;description&gt;&lt;![CDATA[HOUPPEVILLE - 140 Rue Louis Pasteur (Près des Jardins ouvriers)&lt;br&gt;&lt;br&gt;1 CAV&lt;br&gt;&lt;br&gt;Présent sur 2 tournée(s)&lt;br&gt;&lt;br&gt;Taux de remplissage moyen 26%]]&gt;&lt;/description&gt;
      &lt;Style&gt;
        &lt;IconStyle&gt;
          &lt;color&gt;ff0084FF&lt;/color&gt;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&lt;Point&gt;&lt;coordinates&gt;1.0702444,49.5095306,0&lt;/coordinates&gt;&lt;/Point&gt;
    &lt;/Placemark&gt;</v>
      </c>
    </row>
    <row r="41" spans="2:494" ht="15" hidden="1" customHeight="1" x14ac:dyDescent="0.35">
      <c r="B41" s="153" t="str">
        <f t="shared" si="17"/>
        <v>NOTRE-DAME-DE-BONDEVILLE - 90 rue des longs Vallons</v>
      </c>
      <c r="C41" s="154">
        <v>152</v>
      </c>
      <c r="D41" s="155"/>
      <c r="E41" s="155"/>
      <c r="F41" s="155"/>
      <c r="G41" s="155"/>
      <c r="H41" s="155"/>
      <c r="I41" s="155"/>
      <c r="J41" s="156"/>
      <c r="K41" s="157">
        <f t="shared" si="18"/>
        <v>1</v>
      </c>
      <c r="L41" s="157">
        <f t="shared" si="19"/>
        <v>2</v>
      </c>
      <c r="M41" s="209" t="s">
        <v>285</v>
      </c>
      <c r="N41" s="159"/>
      <c r="O41" s="159">
        <v>76960</v>
      </c>
      <c r="P41" s="159" t="s">
        <v>286</v>
      </c>
      <c r="Q41" s="159" t="s">
        <v>287</v>
      </c>
      <c r="R41" s="159" t="s">
        <v>288</v>
      </c>
      <c r="S41" s="159" t="s">
        <v>93</v>
      </c>
      <c r="T41" s="159" t="s">
        <v>94</v>
      </c>
      <c r="U41" s="159" t="s">
        <v>289</v>
      </c>
      <c r="V41" s="160" t="s">
        <v>96</v>
      </c>
      <c r="W41" s="161"/>
      <c r="X41" s="162"/>
      <c r="Y41" s="163"/>
      <c r="Z41" s="162"/>
      <c r="AA41" s="163"/>
      <c r="AB41" s="162"/>
      <c r="AC41" s="163"/>
      <c r="AD41" s="162"/>
      <c r="AE41" s="163"/>
      <c r="AF41" s="162"/>
      <c r="AG41" s="163"/>
      <c r="AH41" s="163">
        <v>17</v>
      </c>
      <c r="AI41" s="162">
        <v>11</v>
      </c>
      <c r="AJ41" s="163"/>
      <c r="AK41" s="162"/>
      <c r="AL41" s="163"/>
      <c r="AM41" s="162"/>
      <c r="AN41" s="163"/>
      <c r="AO41" s="162"/>
      <c r="AP41" s="164"/>
      <c r="AQ41" s="164"/>
      <c r="AR41" s="164"/>
      <c r="AS41" s="164"/>
      <c r="AT41" s="164"/>
      <c r="AU41" s="164"/>
      <c r="AV41" s="164"/>
      <c r="AW41" s="164"/>
      <c r="AX41" s="164"/>
      <c r="AY41" s="165"/>
      <c r="AZ41" s="41"/>
      <c r="BA41" s="190"/>
      <c r="BB41" s="191"/>
      <c r="BC41" s="191">
        <v>200</v>
      </c>
      <c r="BD41" s="191"/>
      <c r="BE41" s="191"/>
      <c r="BF41" s="191"/>
      <c r="BG41" s="191"/>
      <c r="BH41" s="191"/>
      <c r="BI41" s="191"/>
      <c r="BJ41" s="191">
        <v>50</v>
      </c>
      <c r="BK41" s="191"/>
      <c r="BL41" s="191"/>
      <c r="BM41" s="191">
        <v>50</v>
      </c>
      <c r="BN41" s="191"/>
      <c r="BO41" s="191"/>
      <c r="BP41" s="191"/>
      <c r="BQ41" s="191">
        <v>10</v>
      </c>
      <c r="BR41" s="191"/>
      <c r="BS41" s="191"/>
      <c r="BT41" s="191">
        <v>50</v>
      </c>
      <c r="BU41" s="191"/>
      <c r="BV41" s="191"/>
      <c r="BW41" s="191"/>
      <c r="BX41" s="191">
        <v>10</v>
      </c>
      <c r="BY41" s="191"/>
      <c r="BZ41" s="191"/>
      <c r="CA41" s="191">
        <v>100</v>
      </c>
      <c r="CB41" s="191"/>
      <c r="CC41" s="191"/>
      <c r="CD41" s="191"/>
      <c r="CE41" s="192">
        <v>100</v>
      </c>
      <c r="CF41" s="190"/>
      <c r="CG41" s="191"/>
      <c r="CH41" s="191">
        <v>10</v>
      </c>
      <c r="CI41" s="191"/>
      <c r="CJ41" s="191"/>
      <c r="CK41" s="191"/>
      <c r="CL41" s="191">
        <v>50</v>
      </c>
      <c r="CM41" s="191"/>
      <c r="CN41" s="191"/>
      <c r="CO41" s="191">
        <v>50</v>
      </c>
      <c r="CP41" s="191"/>
      <c r="CQ41" s="191"/>
      <c r="CR41" s="191"/>
      <c r="CS41" s="191">
        <v>50</v>
      </c>
      <c r="CT41" s="191"/>
      <c r="CU41" s="191"/>
      <c r="CV41" s="191">
        <v>10</v>
      </c>
      <c r="CW41" s="191"/>
      <c r="CX41" s="191"/>
      <c r="CY41" s="191"/>
      <c r="CZ41" s="191">
        <v>10</v>
      </c>
      <c r="DA41" s="191"/>
      <c r="DB41" s="191"/>
      <c r="DC41" s="191">
        <v>100</v>
      </c>
      <c r="DD41" s="191"/>
      <c r="DE41" s="191"/>
      <c r="DF41" s="191"/>
      <c r="DG41" s="191">
        <v>50</v>
      </c>
      <c r="DH41" s="193"/>
      <c r="DI41" s="194"/>
      <c r="DJ41" s="191"/>
      <c r="DK41" s="191">
        <v>10</v>
      </c>
      <c r="DL41" s="191"/>
      <c r="DM41" s="191"/>
      <c r="DN41" s="191"/>
      <c r="DO41" s="191">
        <v>50</v>
      </c>
      <c r="DP41" s="191"/>
      <c r="DQ41" s="191"/>
      <c r="DR41" s="191">
        <v>100</v>
      </c>
      <c r="DS41" s="191"/>
      <c r="DT41" s="191"/>
      <c r="DU41" s="191"/>
      <c r="DV41" s="191">
        <v>100</v>
      </c>
      <c r="DW41" s="191"/>
      <c r="DX41" s="191"/>
      <c r="DY41" s="191">
        <v>50</v>
      </c>
      <c r="DZ41" s="191"/>
      <c r="EA41" s="191"/>
      <c r="EB41" s="191"/>
      <c r="EC41" s="191">
        <v>50</v>
      </c>
      <c r="ED41" s="191"/>
      <c r="EE41" s="191"/>
      <c r="EF41" s="191">
        <v>50</v>
      </c>
      <c r="EG41" s="191"/>
      <c r="EH41" s="191"/>
      <c r="EI41" s="191"/>
      <c r="EJ41" s="191">
        <v>50</v>
      </c>
      <c r="EK41" s="191"/>
      <c r="EL41" s="191"/>
      <c r="EM41" s="192">
        <v>50</v>
      </c>
      <c r="EN41" s="190"/>
      <c r="EO41" s="191"/>
      <c r="EP41" s="191"/>
      <c r="EQ41" s="191">
        <v>50</v>
      </c>
      <c r="ER41" s="191"/>
      <c r="ES41" s="191"/>
      <c r="ET41" s="191">
        <v>10</v>
      </c>
      <c r="EU41" s="191"/>
      <c r="EV41" s="191"/>
      <c r="EW41" s="191"/>
      <c r="EX41" s="191">
        <v>100</v>
      </c>
      <c r="EY41" s="191"/>
      <c r="EZ41" s="191"/>
      <c r="FA41" s="191">
        <v>100</v>
      </c>
      <c r="FB41" s="191"/>
      <c r="FC41" s="191"/>
      <c r="FD41" s="191"/>
      <c r="FE41" s="191">
        <v>100</v>
      </c>
      <c r="FF41" s="191"/>
      <c r="FG41" s="191"/>
      <c r="FH41" s="191"/>
      <c r="FI41" s="191">
        <v>100</v>
      </c>
      <c r="FJ41" s="191"/>
      <c r="FK41" s="191"/>
      <c r="FL41" s="191">
        <v>100</v>
      </c>
      <c r="FM41" s="191"/>
      <c r="FN41" s="191"/>
      <c r="FO41" s="191">
        <v>100</v>
      </c>
      <c r="FP41" s="191"/>
      <c r="FQ41" s="193"/>
      <c r="FR41" s="194"/>
      <c r="FS41" s="191">
        <v>50</v>
      </c>
      <c r="FT41" s="191"/>
      <c r="FU41" s="191"/>
      <c r="FV41" s="191">
        <v>100</v>
      </c>
      <c r="FW41" s="191"/>
      <c r="FX41" s="191"/>
      <c r="FY41" s="191"/>
      <c r="FZ41" s="191">
        <v>150</v>
      </c>
      <c r="GA41" s="191"/>
      <c r="GB41" s="191"/>
      <c r="GC41" s="191">
        <v>100</v>
      </c>
      <c r="GD41" s="191"/>
      <c r="GE41" s="191"/>
      <c r="GF41" s="191"/>
      <c r="GG41" s="191">
        <v>100</v>
      </c>
      <c r="GH41" s="191"/>
      <c r="GI41" s="191"/>
      <c r="GJ41" s="191">
        <v>200</v>
      </c>
      <c r="GK41" s="191"/>
      <c r="GL41" s="191"/>
      <c r="GM41" s="191"/>
      <c r="GN41" s="191">
        <v>50</v>
      </c>
      <c r="GO41" s="191"/>
      <c r="GP41" s="191"/>
      <c r="GQ41" s="191">
        <v>50</v>
      </c>
      <c r="GR41" s="191"/>
      <c r="GS41" s="191"/>
      <c r="GT41" s="191"/>
      <c r="GU41" s="191">
        <v>50</v>
      </c>
      <c r="GV41" s="192"/>
      <c r="GW41" s="190"/>
      <c r="GX41" s="191">
        <v>50</v>
      </c>
      <c r="GY41" s="191"/>
      <c r="GZ41" s="191"/>
      <c r="HA41" s="191"/>
      <c r="HB41" s="191">
        <v>100</v>
      </c>
      <c r="HC41" s="191"/>
      <c r="HD41" s="191"/>
      <c r="HE41" s="191"/>
      <c r="HF41" s="191">
        <v>100</v>
      </c>
      <c r="HG41" s="191"/>
      <c r="HH41" s="191"/>
      <c r="HI41" s="191">
        <v>10</v>
      </c>
      <c r="HJ41" s="191"/>
      <c r="HK41" s="191"/>
      <c r="HL41" s="191"/>
      <c r="HM41" s="191">
        <v>100</v>
      </c>
      <c r="HN41" s="191"/>
      <c r="HO41" s="191">
        <v>10</v>
      </c>
      <c r="HP41" s="191"/>
      <c r="HQ41" s="191"/>
      <c r="HR41" s="191"/>
      <c r="HS41" s="191">
        <v>100</v>
      </c>
      <c r="HT41" s="191"/>
      <c r="HU41" s="191"/>
      <c r="HV41" s="191"/>
      <c r="HW41" s="191">
        <v>50</v>
      </c>
      <c r="HX41" s="191"/>
      <c r="HY41" s="191"/>
      <c r="HZ41" s="193">
        <v>50</v>
      </c>
      <c r="IA41" s="194"/>
      <c r="IB41" s="191"/>
      <c r="IC41" s="191"/>
      <c r="ID41" s="191">
        <v>50</v>
      </c>
      <c r="IE41" s="191"/>
      <c r="IF41" s="191"/>
      <c r="IG41" s="191">
        <v>50</v>
      </c>
      <c r="IH41" s="191"/>
      <c r="II41" s="191"/>
      <c r="IJ41" s="191"/>
      <c r="IK41" s="191">
        <v>150</v>
      </c>
      <c r="IL41" s="191"/>
      <c r="IM41" s="191"/>
      <c r="IN41" s="191">
        <v>10</v>
      </c>
      <c r="IO41" s="191"/>
      <c r="IP41" s="191"/>
      <c r="IQ41" s="191"/>
      <c r="IR41" s="191">
        <v>50</v>
      </c>
      <c r="IS41" s="191"/>
      <c r="IT41" s="191"/>
      <c r="IU41" s="191">
        <v>50</v>
      </c>
      <c r="IV41" s="191"/>
      <c r="IW41" s="191"/>
      <c r="IX41" s="191"/>
      <c r="IY41" s="191">
        <v>50</v>
      </c>
      <c r="IZ41" s="191"/>
      <c r="JA41" s="191"/>
      <c r="JB41" s="191">
        <v>150</v>
      </c>
      <c r="JC41" s="191"/>
      <c r="JD41" s="191"/>
      <c r="JE41" s="192"/>
      <c r="JF41" s="190">
        <v>50</v>
      </c>
      <c r="JG41" s="191"/>
      <c r="JH41" s="191"/>
      <c r="JI41" s="191">
        <v>50</v>
      </c>
      <c r="JJ41" s="191"/>
      <c r="JK41" s="191"/>
      <c r="JL41" s="191"/>
      <c r="JM41" s="191">
        <v>150</v>
      </c>
      <c r="JN41" s="191"/>
      <c r="JO41" s="191"/>
      <c r="JP41" s="191">
        <v>150</v>
      </c>
      <c r="JQ41" s="191"/>
      <c r="JR41" s="191"/>
      <c r="JS41" s="191">
        <v>50</v>
      </c>
      <c r="JT41" s="191"/>
      <c r="JU41" s="191"/>
      <c r="JV41" s="191"/>
      <c r="JW41" s="191">
        <v>50</v>
      </c>
      <c r="JX41" s="191"/>
      <c r="JY41" s="191"/>
      <c r="JZ41" s="191"/>
      <c r="KA41" s="191"/>
      <c r="KB41" s="191"/>
      <c r="KC41" s="191"/>
      <c r="KD41" s="191">
        <v>150</v>
      </c>
      <c r="KE41" s="191"/>
      <c r="KF41" s="191"/>
      <c r="KG41" s="191"/>
      <c r="KH41" s="191">
        <v>150</v>
      </c>
      <c r="KI41" s="191"/>
      <c r="KJ41" s="193"/>
      <c r="KK41" s="194">
        <v>50</v>
      </c>
      <c r="KL41" s="191"/>
      <c r="KM41" s="191"/>
      <c r="KN41" s="191">
        <v>50</v>
      </c>
      <c r="KO41" s="191">
        <v>50</v>
      </c>
      <c r="KP41" s="191"/>
      <c r="KQ41" s="191"/>
      <c r="KR41" s="191">
        <v>100</v>
      </c>
      <c r="KS41" s="191"/>
      <c r="KT41" s="191"/>
      <c r="KU41" s="191"/>
      <c r="KV41" s="191">
        <v>200</v>
      </c>
      <c r="KW41" s="191"/>
      <c r="KX41" s="191"/>
      <c r="KY41" s="191">
        <v>50</v>
      </c>
      <c r="KZ41" s="191"/>
      <c r="LA41" s="191"/>
      <c r="LB41" s="191"/>
      <c r="LC41" s="191">
        <v>50</v>
      </c>
      <c r="LD41" s="191"/>
      <c r="LE41" s="191"/>
      <c r="LF41" s="191">
        <v>10</v>
      </c>
      <c r="LG41" s="191"/>
      <c r="LH41" s="191"/>
      <c r="LI41" s="191"/>
      <c r="LJ41" s="191">
        <v>10</v>
      </c>
      <c r="LK41" s="191"/>
      <c r="LL41" s="191"/>
      <c r="LM41" s="191"/>
      <c r="LN41" s="192"/>
      <c r="LO41" s="190"/>
      <c r="LP41" s="191"/>
      <c r="LQ41" s="191">
        <v>150</v>
      </c>
      <c r="LR41" s="191"/>
      <c r="LS41" s="191"/>
      <c r="LT41" s="191">
        <v>50</v>
      </c>
      <c r="LU41" s="191"/>
      <c r="LV41" s="191"/>
      <c r="LW41" s="191"/>
      <c r="LX41" s="191">
        <v>150</v>
      </c>
      <c r="LY41" s="191"/>
      <c r="LZ41" s="191"/>
      <c r="MA41" s="191">
        <v>50</v>
      </c>
      <c r="MB41" s="191"/>
      <c r="MC41" s="191"/>
      <c r="MD41" s="191"/>
      <c r="ME41" s="191">
        <v>100</v>
      </c>
      <c r="MF41" s="191"/>
      <c r="MG41" s="191"/>
      <c r="MH41" s="191">
        <v>50</v>
      </c>
      <c r="MI41" s="191"/>
      <c r="MJ41" s="191"/>
      <c r="MK41" s="191"/>
      <c r="ML41" s="191">
        <v>50</v>
      </c>
      <c r="MM41" s="191"/>
      <c r="MN41" s="191"/>
      <c r="MO41" s="191">
        <v>100</v>
      </c>
      <c r="MP41" s="191"/>
      <c r="MQ41" s="191"/>
      <c r="MR41" s="191"/>
      <c r="MS41" s="193">
        <v>50</v>
      </c>
      <c r="MT41" s="194"/>
      <c r="MU41" s="191"/>
      <c r="MV41" s="191">
        <v>50</v>
      </c>
      <c r="MW41" s="191"/>
      <c r="MX41" s="191"/>
      <c r="MY41" s="191"/>
      <c r="MZ41" s="191">
        <v>100</v>
      </c>
      <c r="NA41" s="191"/>
      <c r="NB41" s="191"/>
      <c r="NC41" s="191">
        <v>50</v>
      </c>
      <c r="ND41" s="191"/>
      <c r="NE41" s="191"/>
      <c r="NF41" s="191"/>
      <c r="NG41" s="191">
        <v>10</v>
      </c>
      <c r="NH41" s="191"/>
      <c r="NI41" s="191"/>
      <c r="NJ41" s="191">
        <v>50</v>
      </c>
      <c r="NK41" s="191"/>
      <c r="NL41" s="191"/>
      <c r="NM41" s="191"/>
      <c r="NN41" s="191">
        <v>50</v>
      </c>
      <c r="NO41" s="191"/>
      <c r="NP41" s="191"/>
      <c r="NQ41" s="191">
        <v>100</v>
      </c>
      <c r="NR41" s="191"/>
      <c r="NS41" s="191"/>
      <c r="NT41" s="191"/>
      <c r="NU41" s="191">
        <v>50</v>
      </c>
      <c r="NV41" s="191"/>
      <c r="NW41" s="192"/>
      <c r="NX41" s="190">
        <v>10</v>
      </c>
      <c r="NY41" s="191"/>
      <c r="NZ41" s="191"/>
      <c r="OA41" s="191"/>
      <c r="OB41" s="191">
        <v>50</v>
      </c>
      <c r="OC41" s="191"/>
      <c r="OD41" s="191"/>
      <c r="OE41" s="191">
        <v>50</v>
      </c>
      <c r="OF41" s="191"/>
      <c r="OG41" s="191"/>
      <c r="OH41" s="191"/>
      <c r="OI41" s="191">
        <v>50</v>
      </c>
      <c r="OJ41" s="191"/>
      <c r="OK41" s="191"/>
      <c r="OL41" s="191">
        <v>10</v>
      </c>
      <c r="OM41" s="191"/>
      <c r="ON41" s="191"/>
      <c r="OO41" s="191"/>
      <c r="OP41" s="191"/>
      <c r="OQ41" s="191"/>
      <c r="OR41" s="191"/>
      <c r="OS41" s="191"/>
      <c r="OT41" s="191"/>
      <c r="OU41" s="191"/>
      <c r="OV41" s="191"/>
      <c r="OW41" s="191"/>
      <c r="OX41" s="191"/>
      <c r="OY41" s="191"/>
      <c r="OZ41" s="191"/>
      <c r="PA41" s="191"/>
      <c r="PB41" s="193"/>
      <c r="PC41" s="47"/>
      <c r="PD41" s="154" t="s">
        <v>97</v>
      </c>
      <c r="PE41" s="155" t="s">
        <v>98</v>
      </c>
      <c r="PF41" s="155" t="s">
        <v>98</v>
      </c>
      <c r="PG41" s="155" t="s">
        <v>98</v>
      </c>
      <c r="PH41" s="155" t="s">
        <v>98</v>
      </c>
      <c r="PI41" s="155" t="s">
        <v>98</v>
      </c>
      <c r="PJ41" s="155" t="s">
        <v>98</v>
      </c>
      <c r="PK41" s="155" t="s">
        <v>98</v>
      </c>
      <c r="PL41" s="155" t="s">
        <v>98</v>
      </c>
      <c r="PM41" s="155" t="s">
        <v>98</v>
      </c>
      <c r="PN41" s="155" t="s">
        <v>98</v>
      </c>
      <c r="PO41" s="156"/>
      <c r="PP41" s="156"/>
      <c r="PQ41" s="156"/>
      <c r="PR41" s="156"/>
      <c r="PS41" s="156"/>
      <c r="PT41" s="156"/>
      <c r="PU41" s="156"/>
      <c r="PV41" s="156"/>
      <c r="PW41" s="156"/>
      <c r="PX41" s="195"/>
      <c r="PY41" s="1"/>
      <c r="PZ41" s="196">
        <f t="shared" si="20"/>
        <v>570</v>
      </c>
      <c r="QA41" s="176">
        <f t="shared" si="21"/>
        <v>4.7551514140318678E-3</v>
      </c>
      <c r="QB41" s="177" t="str">
        <f t="shared" ca="1" si="22"/>
        <v>Attente…</v>
      </c>
      <c r="QC41" s="197">
        <f t="shared" si="23"/>
        <v>330</v>
      </c>
      <c r="QD41" s="179">
        <f t="shared" si="24"/>
        <v>3.0898876404494382E-3</v>
      </c>
      <c r="QE41" s="180" t="str">
        <f t="shared" ca="1" si="25"/>
        <v>Attente…</v>
      </c>
      <c r="QF41" s="196">
        <f t="shared" si="26"/>
        <v>510</v>
      </c>
      <c r="QG41" s="176">
        <f t="shared" si="27"/>
        <v>4.0611562350692789E-3</v>
      </c>
      <c r="QH41" s="177" t="str">
        <f t="shared" ca="1" si="28"/>
        <v>Attente…</v>
      </c>
      <c r="QI41" s="197">
        <f t="shared" si="29"/>
        <v>660</v>
      </c>
      <c r="QJ41" s="179">
        <f t="shared" si="30"/>
        <v>4.6289802216299622E-3</v>
      </c>
      <c r="QK41" s="180" t="str">
        <f t="shared" ca="1" si="31"/>
        <v>Attente…</v>
      </c>
      <c r="QL41" s="196">
        <f t="shared" si="32"/>
        <v>850</v>
      </c>
      <c r="QM41" s="176">
        <f t="shared" si="33"/>
        <v>6.2189054726368162E-3</v>
      </c>
      <c r="QN41" s="177" t="str">
        <f t="shared" ca="1" si="34"/>
        <v>Attente…</v>
      </c>
      <c r="QO41" s="197">
        <f t="shared" si="35"/>
        <v>570</v>
      </c>
      <c r="QP41" s="179">
        <f t="shared" si="36"/>
        <v>4.4625381664448443E-3</v>
      </c>
      <c r="QQ41" s="180" t="str">
        <f t="shared" ca="1" si="37"/>
        <v>Attente…</v>
      </c>
      <c r="QR41" s="196">
        <f t="shared" si="38"/>
        <v>560</v>
      </c>
      <c r="QS41" s="176">
        <f t="shared" si="39"/>
        <v>4.0315323422482991E-3</v>
      </c>
      <c r="QT41" s="177" t="str">
        <f t="shared" ca="1" si="40"/>
        <v>Attente…</v>
      </c>
      <c r="QU41" s="197">
        <f t="shared" si="41"/>
        <v>800</v>
      </c>
      <c r="QV41" s="179">
        <f t="shared" si="42"/>
        <v>5.5157198014340872E-3</v>
      </c>
      <c r="QW41" s="180" t="str">
        <f t="shared" ca="1" si="43"/>
        <v>Attente…</v>
      </c>
      <c r="QX41" s="196">
        <f t="shared" si="44"/>
        <v>570</v>
      </c>
      <c r="QY41" s="176">
        <f t="shared" si="45"/>
        <v>4.1594909366881698E-3</v>
      </c>
      <c r="QZ41" s="177" t="str">
        <f t="shared" ca="1" si="46"/>
        <v>Attente…</v>
      </c>
      <c r="RA41" s="197">
        <f t="shared" si="47"/>
        <v>750</v>
      </c>
      <c r="RB41" s="179">
        <f t="shared" si="48"/>
        <v>5.8680854393239968E-3</v>
      </c>
      <c r="RC41" s="180" t="str">
        <f t="shared" ca="1" si="49"/>
        <v>Attente…</v>
      </c>
      <c r="RD41" s="196">
        <f t="shared" si="50"/>
        <v>460</v>
      </c>
      <c r="RE41" s="176">
        <f t="shared" si="51"/>
        <v>4.583499402152252E-3</v>
      </c>
      <c r="RF41" s="177" t="str">
        <f t="shared" ca="1" si="52"/>
        <v>Attente…</v>
      </c>
      <c r="RG41" s="197">
        <f t="shared" si="53"/>
        <v>170</v>
      </c>
      <c r="RH41" s="179">
        <f t="shared" si="54"/>
        <v>3.1267242964870333E-3</v>
      </c>
      <c r="RI41" s="198" t="str">
        <f t="shared" ca="1" si="55"/>
        <v>Attente…</v>
      </c>
      <c r="RJ41" s="199">
        <f t="shared" si="56"/>
        <v>1410</v>
      </c>
      <c r="RK41" s="200" t="str">
        <f t="shared" ca="1" si="13"/>
        <v>Attente…</v>
      </c>
      <c r="RL41" s="199">
        <f t="shared" si="57"/>
        <v>2080</v>
      </c>
      <c r="RM41" s="200" t="str">
        <f t="shared" ca="1" si="58"/>
        <v>Atttente…</v>
      </c>
      <c r="RN41" s="199">
        <f t="shared" si="59"/>
        <v>1930</v>
      </c>
      <c r="RO41" s="200" t="str">
        <f t="shared" ca="1" si="14"/>
        <v>Attente…</v>
      </c>
      <c r="RP41" s="199">
        <f t="shared" si="60"/>
        <v>1380</v>
      </c>
      <c r="RQ41" s="200" t="str">
        <f t="shared" ca="1" si="15"/>
        <v>Attente…</v>
      </c>
      <c r="RR41" s="201">
        <f t="shared" si="61"/>
        <v>6800</v>
      </c>
      <c r="RS41" s="202" t="str">
        <f t="shared" ca="1" si="16"/>
        <v>Attente…</v>
      </c>
      <c r="RT41" s="103"/>
      <c r="RU41" s="203">
        <f t="shared" si="62"/>
        <v>0.34693877551020408</v>
      </c>
      <c r="RV41" s="204">
        <f t="shared" si="65"/>
        <v>1</v>
      </c>
      <c r="RW41" s="204">
        <f t="shared" si="65"/>
        <v>2</v>
      </c>
      <c r="RX41" s="204">
        <f t="shared" si="63"/>
        <v>98</v>
      </c>
      <c r="RY41" s="205" t="str">
        <f t="shared" si="64"/>
        <v>NOTRE-DAME-DE-BONDEVILLE - 90 rue des longs Vallons</v>
      </c>
      <c r="RZ41" s="189" t="str">
        <f>IF(OR(RZ40="",RZ40="  &lt;/Document&gt;
&lt;/kml&gt;"),"",
IF(B41="","  &lt;/Document&gt;
&lt;/kml&gt;",
IF(TournéesCAV!Q83=""," ",
"    &lt;Placemark&gt;
      &lt;description&gt;&lt;![CDATA["&amp;B41&amp;"&lt;br&gt;&lt;br&gt;"&amp;RV41&amp;" CAV&lt;br&gt;&lt;br&gt;Présent sur "&amp;RW41&amp;" tournée(s)&lt;br&gt;&lt;br&gt;Taux de remplissage moyen "&amp;TEXT(RU41*1000,"0 %")&amp;"]]&gt;&lt;/description&gt;
      &lt;Style&gt;
        &lt;IconStyle&gt;
          &lt;color&gt;ff"&amp;
          DEC2HEX(0,2)&amp;
          DEC2HEX(
            IF(RU41&lt;=0.5,
               INT(255*(RU41*2)),
               255
            ),2)&amp;
          DEC2HEX(
            IF(RU41&lt;=0.5,
               255,
               INT(255*(1-(RU41-0.5)*2))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&lt;Point&gt;&lt;coordinates&gt;"&amp;R41&amp;","&amp;Q41&amp;",0&lt;/coordinates&gt;&lt;/Point&gt;
    &lt;/Placemark&gt;"
)))</f>
        <v xml:space="preserve">    &lt;Placemark&gt;
      &lt;description&gt;&lt;![CDATA[NOTRE-DAME-DE-BONDEVILLE - 90 rue des longs Vallons&lt;br&gt;&lt;br&gt;1 CAV&lt;br&gt;&lt;br&gt;Présent sur 2 tournée(s)&lt;br&gt;&lt;br&gt;Taux de remplissage moyen 35%]]&gt;&lt;/description&gt;
      &lt;Style&gt;
        &lt;IconStyle&gt;
          &lt;color&gt;ff00B0FF&lt;/color&gt;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&lt;Point&gt;&lt;coordinates&gt;1.0494244,49.4839336,0&lt;/coordinates&gt;&lt;/Point&gt;
    &lt;/Placemark&gt;</v>
      </c>
    </row>
    <row r="42" spans="2:494" ht="15" hidden="1" customHeight="1" x14ac:dyDescent="0.35">
      <c r="B42" s="153" t="str">
        <f t="shared" si="17"/>
        <v>NOTRE-DAME-DE-BONDEVILLE - Rue des Bernardines (Devant les ateliers municipaux)</v>
      </c>
      <c r="C42" s="154">
        <v>27</v>
      </c>
      <c r="D42" s="155"/>
      <c r="E42" s="155"/>
      <c r="F42" s="155"/>
      <c r="G42" s="155"/>
      <c r="H42" s="155"/>
      <c r="I42" s="155"/>
      <c r="J42" s="156"/>
      <c r="K42" s="157">
        <f t="shared" si="18"/>
        <v>1</v>
      </c>
      <c r="L42" s="157">
        <f t="shared" si="19"/>
        <v>2</v>
      </c>
      <c r="M42" s="209" t="s">
        <v>290</v>
      </c>
      <c r="N42" s="159" t="s">
        <v>291</v>
      </c>
      <c r="O42" s="159">
        <v>76960</v>
      </c>
      <c r="P42" s="159" t="s">
        <v>286</v>
      </c>
      <c r="Q42" s="159" t="s">
        <v>292</v>
      </c>
      <c r="R42" s="159" t="s">
        <v>293</v>
      </c>
      <c r="S42" s="159" t="s">
        <v>93</v>
      </c>
      <c r="T42" s="159" t="s">
        <v>94</v>
      </c>
      <c r="U42" s="159">
        <v>152</v>
      </c>
      <c r="V42" s="160" t="s">
        <v>96</v>
      </c>
      <c r="W42" s="161"/>
      <c r="X42" s="162"/>
      <c r="Y42" s="163"/>
      <c r="Z42" s="162"/>
      <c r="AA42" s="163"/>
      <c r="AB42" s="162"/>
      <c r="AC42" s="163"/>
      <c r="AD42" s="162"/>
      <c r="AE42" s="163"/>
      <c r="AF42" s="162"/>
      <c r="AG42" s="163"/>
      <c r="AH42" s="163">
        <v>16</v>
      </c>
      <c r="AI42" s="162">
        <v>12</v>
      </c>
      <c r="AJ42" s="163"/>
      <c r="AK42" s="162"/>
      <c r="AL42" s="163"/>
      <c r="AM42" s="162"/>
      <c r="AN42" s="163"/>
      <c r="AO42" s="162"/>
      <c r="AP42" s="164"/>
      <c r="AQ42" s="164"/>
      <c r="AR42" s="164"/>
      <c r="AS42" s="164"/>
      <c r="AT42" s="164"/>
      <c r="AU42" s="164"/>
      <c r="AV42" s="164"/>
      <c r="AW42" s="164"/>
      <c r="AX42" s="164"/>
      <c r="AY42" s="165"/>
      <c r="AZ42" s="41"/>
      <c r="BA42" s="190"/>
      <c r="BB42" s="191"/>
      <c r="BC42" s="191">
        <v>200</v>
      </c>
      <c r="BD42" s="191"/>
      <c r="BE42" s="191"/>
      <c r="BF42" s="191">
        <v>50</v>
      </c>
      <c r="BG42" s="191"/>
      <c r="BH42" s="191"/>
      <c r="BI42" s="191"/>
      <c r="BJ42" s="191">
        <v>50</v>
      </c>
      <c r="BK42" s="191"/>
      <c r="BL42" s="191"/>
      <c r="BM42" s="191">
        <v>200</v>
      </c>
      <c r="BN42" s="191"/>
      <c r="BO42" s="191"/>
      <c r="BP42" s="191"/>
      <c r="BQ42" s="191">
        <v>50</v>
      </c>
      <c r="BR42" s="191"/>
      <c r="BS42" s="191"/>
      <c r="BT42" s="191">
        <v>100</v>
      </c>
      <c r="BU42" s="191"/>
      <c r="BV42" s="191"/>
      <c r="BW42" s="191"/>
      <c r="BX42" s="191">
        <v>50</v>
      </c>
      <c r="BY42" s="191"/>
      <c r="BZ42" s="191"/>
      <c r="CA42" s="191">
        <v>100</v>
      </c>
      <c r="CB42" s="191"/>
      <c r="CC42" s="191"/>
      <c r="CD42" s="191"/>
      <c r="CE42" s="192">
        <v>100</v>
      </c>
      <c r="CF42" s="190"/>
      <c r="CG42" s="191"/>
      <c r="CH42" s="191">
        <v>50</v>
      </c>
      <c r="CI42" s="191"/>
      <c r="CJ42" s="191"/>
      <c r="CK42" s="191"/>
      <c r="CL42" s="191">
        <v>100</v>
      </c>
      <c r="CM42" s="191"/>
      <c r="CN42" s="191"/>
      <c r="CO42" s="191">
        <v>50</v>
      </c>
      <c r="CP42" s="191"/>
      <c r="CQ42" s="191"/>
      <c r="CR42" s="191"/>
      <c r="CS42" s="191">
        <v>100</v>
      </c>
      <c r="CT42" s="191"/>
      <c r="CU42" s="191"/>
      <c r="CV42" s="191">
        <v>100</v>
      </c>
      <c r="CW42" s="191"/>
      <c r="CX42" s="191"/>
      <c r="CY42" s="191"/>
      <c r="CZ42" s="191">
        <v>100</v>
      </c>
      <c r="DA42" s="191"/>
      <c r="DB42" s="191"/>
      <c r="DC42" s="191">
        <v>100</v>
      </c>
      <c r="DD42" s="191"/>
      <c r="DE42" s="191"/>
      <c r="DF42" s="191"/>
      <c r="DG42" s="191">
        <v>100</v>
      </c>
      <c r="DH42" s="193"/>
      <c r="DI42" s="194"/>
      <c r="DJ42" s="191"/>
      <c r="DK42" s="191">
        <v>200</v>
      </c>
      <c r="DL42" s="191"/>
      <c r="DM42" s="191"/>
      <c r="DN42" s="191"/>
      <c r="DO42" s="191">
        <v>100</v>
      </c>
      <c r="DP42" s="191"/>
      <c r="DQ42" s="191"/>
      <c r="DR42" s="191">
        <v>100</v>
      </c>
      <c r="DS42" s="191"/>
      <c r="DT42" s="191"/>
      <c r="DU42" s="191"/>
      <c r="DV42" s="191">
        <v>100</v>
      </c>
      <c r="DW42" s="191"/>
      <c r="DX42" s="191"/>
      <c r="DY42" s="191">
        <v>50</v>
      </c>
      <c r="DZ42" s="191"/>
      <c r="EA42" s="191"/>
      <c r="EB42" s="191"/>
      <c r="EC42" s="191">
        <v>150</v>
      </c>
      <c r="ED42" s="191"/>
      <c r="EE42" s="191"/>
      <c r="EF42" s="191">
        <v>50</v>
      </c>
      <c r="EG42" s="191"/>
      <c r="EH42" s="191"/>
      <c r="EI42" s="191"/>
      <c r="EJ42" s="191">
        <v>10</v>
      </c>
      <c r="EK42" s="191"/>
      <c r="EL42" s="191"/>
      <c r="EM42" s="192">
        <v>100</v>
      </c>
      <c r="EN42" s="190"/>
      <c r="EO42" s="191"/>
      <c r="EP42" s="191"/>
      <c r="EQ42" s="191">
        <v>150</v>
      </c>
      <c r="ER42" s="191"/>
      <c r="ES42" s="191"/>
      <c r="ET42" s="191">
        <v>200</v>
      </c>
      <c r="EU42" s="191"/>
      <c r="EV42" s="191"/>
      <c r="EW42" s="191"/>
      <c r="EX42" s="191">
        <v>50</v>
      </c>
      <c r="EY42" s="191"/>
      <c r="EZ42" s="191"/>
      <c r="FA42" s="191">
        <v>50</v>
      </c>
      <c r="FB42" s="191"/>
      <c r="FC42" s="191"/>
      <c r="FD42" s="191"/>
      <c r="FE42" s="191">
        <v>150</v>
      </c>
      <c r="FF42" s="191"/>
      <c r="FG42" s="191"/>
      <c r="FH42" s="191"/>
      <c r="FI42" s="191">
        <v>200</v>
      </c>
      <c r="FJ42" s="191"/>
      <c r="FK42" s="191"/>
      <c r="FL42" s="191">
        <v>100</v>
      </c>
      <c r="FM42" s="191"/>
      <c r="FN42" s="191"/>
      <c r="FO42" s="191">
        <v>100</v>
      </c>
      <c r="FP42" s="191"/>
      <c r="FQ42" s="193">
        <v>50</v>
      </c>
      <c r="FR42" s="194"/>
      <c r="FS42" s="191"/>
      <c r="FT42" s="191"/>
      <c r="FU42" s="191"/>
      <c r="FV42" s="191">
        <v>200</v>
      </c>
      <c r="FW42" s="191"/>
      <c r="FX42" s="191"/>
      <c r="FY42" s="191"/>
      <c r="FZ42" s="191">
        <v>100</v>
      </c>
      <c r="GA42" s="191"/>
      <c r="GB42" s="191"/>
      <c r="GC42" s="191">
        <v>50</v>
      </c>
      <c r="GD42" s="191"/>
      <c r="GE42" s="191"/>
      <c r="GF42" s="191"/>
      <c r="GG42" s="191">
        <v>100</v>
      </c>
      <c r="GH42" s="191"/>
      <c r="GI42" s="191"/>
      <c r="GJ42" s="191">
        <v>50</v>
      </c>
      <c r="GK42" s="191"/>
      <c r="GL42" s="191"/>
      <c r="GM42" s="191"/>
      <c r="GN42" s="191">
        <v>50</v>
      </c>
      <c r="GO42" s="191"/>
      <c r="GP42" s="191"/>
      <c r="GQ42" s="191">
        <v>100</v>
      </c>
      <c r="GR42" s="191"/>
      <c r="GS42" s="191"/>
      <c r="GT42" s="191"/>
      <c r="GU42" s="191">
        <v>50</v>
      </c>
      <c r="GV42" s="192"/>
      <c r="GW42" s="190"/>
      <c r="GX42" s="191">
        <v>150</v>
      </c>
      <c r="GY42" s="191"/>
      <c r="GZ42" s="191"/>
      <c r="HA42" s="191"/>
      <c r="HB42" s="191">
        <v>150</v>
      </c>
      <c r="HC42" s="191"/>
      <c r="HD42" s="191"/>
      <c r="HE42" s="191"/>
      <c r="HF42" s="191">
        <v>150</v>
      </c>
      <c r="HG42" s="191"/>
      <c r="HH42" s="191"/>
      <c r="HI42" s="191">
        <v>10</v>
      </c>
      <c r="HJ42" s="191"/>
      <c r="HK42" s="191"/>
      <c r="HL42" s="191"/>
      <c r="HM42" s="191">
        <v>150</v>
      </c>
      <c r="HN42" s="191"/>
      <c r="HO42" s="191">
        <v>50</v>
      </c>
      <c r="HP42" s="191">
        <v>10</v>
      </c>
      <c r="HQ42" s="191"/>
      <c r="HR42" s="191"/>
      <c r="HS42" s="191">
        <v>100</v>
      </c>
      <c r="HT42" s="191"/>
      <c r="HU42" s="191"/>
      <c r="HV42" s="191"/>
      <c r="HW42" s="191">
        <v>150</v>
      </c>
      <c r="HX42" s="191"/>
      <c r="HY42" s="191"/>
      <c r="HZ42" s="193">
        <v>100</v>
      </c>
      <c r="IA42" s="194"/>
      <c r="IB42" s="191"/>
      <c r="IC42" s="191">
        <v>150</v>
      </c>
      <c r="ID42" s="191">
        <v>50</v>
      </c>
      <c r="IE42" s="191"/>
      <c r="IF42" s="191"/>
      <c r="IG42" s="191">
        <v>200</v>
      </c>
      <c r="IH42" s="191"/>
      <c r="II42" s="191"/>
      <c r="IJ42" s="191"/>
      <c r="IK42" s="191">
        <v>150</v>
      </c>
      <c r="IL42" s="191"/>
      <c r="IM42" s="191"/>
      <c r="IN42" s="191">
        <v>150</v>
      </c>
      <c r="IO42" s="191"/>
      <c r="IP42" s="191"/>
      <c r="IQ42" s="191"/>
      <c r="IR42" s="191">
        <v>100</v>
      </c>
      <c r="IS42" s="191"/>
      <c r="IT42" s="191"/>
      <c r="IU42" s="191">
        <v>50</v>
      </c>
      <c r="IV42" s="191"/>
      <c r="IW42" s="191"/>
      <c r="IX42" s="191"/>
      <c r="IY42" s="191">
        <v>100</v>
      </c>
      <c r="IZ42" s="191"/>
      <c r="JA42" s="191"/>
      <c r="JB42" s="191"/>
      <c r="JC42" s="191"/>
      <c r="JD42" s="191"/>
      <c r="JE42" s="192"/>
      <c r="JF42" s="190">
        <v>50</v>
      </c>
      <c r="JG42" s="191"/>
      <c r="JH42" s="191"/>
      <c r="JI42" s="191">
        <v>10</v>
      </c>
      <c r="JJ42" s="191"/>
      <c r="JK42" s="191"/>
      <c r="JL42" s="191"/>
      <c r="JM42" s="191">
        <v>100</v>
      </c>
      <c r="JN42" s="191"/>
      <c r="JO42" s="191"/>
      <c r="JP42" s="191">
        <v>50</v>
      </c>
      <c r="JQ42" s="191"/>
      <c r="JR42" s="191"/>
      <c r="JS42" s="191">
        <v>50</v>
      </c>
      <c r="JT42" s="191"/>
      <c r="JU42" s="191"/>
      <c r="JV42" s="191"/>
      <c r="JW42" s="191">
        <v>50</v>
      </c>
      <c r="JX42" s="191"/>
      <c r="JY42" s="191"/>
      <c r="JZ42" s="191"/>
      <c r="KA42" s="191"/>
      <c r="KB42" s="191"/>
      <c r="KC42" s="191"/>
      <c r="KD42" s="191">
        <v>100</v>
      </c>
      <c r="KE42" s="191"/>
      <c r="KF42" s="191"/>
      <c r="KG42" s="191"/>
      <c r="KH42" s="191">
        <v>150</v>
      </c>
      <c r="KI42" s="191"/>
      <c r="KJ42" s="193"/>
      <c r="KK42" s="194">
        <v>50</v>
      </c>
      <c r="KL42" s="191"/>
      <c r="KM42" s="191"/>
      <c r="KN42" s="191">
        <v>100</v>
      </c>
      <c r="KO42" s="191">
        <v>100</v>
      </c>
      <c r="KP42" s="191"/>
      <c r="KQ42" s="191"/>
      <c r="KR42" s="191">
        <v>100</v>
      </c>
      <c r="KS42" s="191"/>
      <c r="KT42" s="191"/>
      <c r="KU42" s="191"/>
      <c r="KV42" s="191">
        <v>200</v>
      </c>
      <c r="KW42" s="191"/>
      <c r="KX42" s="191"/>
      <c r="KY42" s="191">
        <v>100</v>
      </c>
      <c r="KZ42" s="191"/>
      <c r="LA42" s="191"/>
      <c r="LB42" s="191"/>
      <c r="LC42" s="191">
        <v>50</v>
      </c>
      <c r="LD42" s="191"/>
      <c r="LE42" s="191"/>
      <c r="LF42" s="191">
        <v>100</v>
      </c>
      <c r="LG42" s="191"/>
      <c r="LH42" s="191"/>
      <c r="LI42" s="191"/>
      <c r="LJ42" s="191">
        <v>10</v>
      </c>
      <c r="LK42" s="191"/>
      <c r="LL42" s="191"/>
      <c r="LM42" s="191"/>
      <c r="LN42" s="192"/>
      <c r="LO42" s="190"/>
      <c r="LP42" s="191"/>
      <c r="LQ42" s="191">
        <v>200</v>
      </c>
      <c r="LR42" s="191"/>
      <c r="LS42" s="191"/>
      <c r="LT42" s="191">
        <v>10</v>
      </c>
      <c r="LU42" s="191"/>
      <c r="LV42" s="191"/>
      <c r="LW42" s="191"/>
      <c r="LX42" s="191">
        <v>100</v>
      </c>
      <c r="LY42" s="191"/>
      <c r="LZ42" s="191"/>
      <c r="MA42" s="191">
        <v>50</v>
      </c>
      <c r="MB42" s="191"/>
      <c r="MC42" s="191"/>
      <c r="MD42" s="191"/>
      <c r="ME42" s="191">
        <v>100</v>
      </c>
      <c r="MF42" s="191"/>
      <c r="MG42" s="191"/>
      <c r="MH42" s="191">
        <v>50</v>
      </c>
      <c r="MI42" s="191"/>
      <c r="MJ42" s="191"/>
      <c r="MK42" s="191"/>
      <c r="ML42" s="191">
        <v>50</v>
      </c>
      <c r="MM42" s="191"/>
      <c r="MN42" s="191"/>
      <c r="MO42" s="191">
        <v>50</v>
      </c>
      <c r="MP42" s="191"/>
      <c r="MQ42" s="191"/>
      <c r="MR42" s="191"/>
      <c r="MS42" s="193">
        <v>50</v>
      </c>
      <c r="MT42" s="194"/>
      <c r="MU42" s="191"/>
      <c r="MV42" s="191">
        <v>10</v>
      </c>
      <c r="MW42" s="191"/>
      <c r="MX42" s="191"/>
      <c r="MY42" s="191"/>
      <c r="MZ42" s="191">
        <v>100</v>
      </c>
      <c r="NA42" s="191"/>
      <c r="NB42" s="191"/>
      <c r="NC42" s="191">
        <v>50</v>
      </c>
      <c r="ND42" s="191"/>
      <c r="NE42" s="191"/>
      <c r="NF42" s="191"/>
      <c r="NG42" s="191">
        <v>150</v>
      </c>
      <c r="NH42" s="191"/>
      <c r="NI42" s="191"/>
      <c r="NJ42" s="191">
        <v>50</v>
      </c>
      <c r="NK42" s="191"/>
      <c r="NL42" s="191"/>
      <c r="NM42" s="191"/>
      <c r="NN42" s="191">
        <v>150</v>
      </c>
      <c r="NO42" s="191"/>
      <c r="NP42" s="191"/>
      <c r="NQ42" s="191">
        <v>150</v>
      </c>
      <c r="NR42" s="191"/>
      <c r="NS42" s="191"/>
      <c r="NT42" s="191"/>
      <c r="NU42" s="191">
        <v>50</v>
      </c>
      <c r="NV42" s="191"/>
      <c r="NW42" s="192"/>
      <c r="NX42" s="190">
        <v>50</v>
      </c>
      <c r="NY42" s="191"/>
      <c r="NZ42" s="191"/>
      <c r="OA42" s="191"/>
      <c r="OB42" s="191">
        <v>50</v>
      </c>
      <c r="OC42" s="191"/>
      <c r="OD42" s="191"/>
      <c r="OE42" s="191">
        <v>50</v>
      </c>
      <c r="OF42" s="191"/>
      <c r="OG42" s="191"/>
      <c r="OH42" s="191"/>
      <c r="OI42" s="191">
        <v>50</v>
      </c>
      <c r="OJ42" s="191"/>
      <c r="OK42" s="191"/>
      <c r="OL42" s="191">
        <v>100</v>
      </c>
      <c r="OM42" s="191"/>
      <c r="ON42" s="191"/>
      <c r="OO42" s="191"/>
      <c r="OP42" s="191"/>
      <c r="OQ42" s="191"/>
      <c r="OR42" s="191"/>
      <c r="OS42" s="191"/>
      <c r="OT42" s="191"/>
      <c r="OU42" s="191"/>
      <c r="OV42" s="191"/>
      <c r="OW42" s="191"/>
      <c r="OX42" s="191"/>
      <c r="OY42" s="191"/>
      <c r="OZ42" s="191"/>
      <c r="PA42" s="191"/>
      <c r="PB42" s="193"/>
      <c r="PC42" s="47"/>
      <c r="PD42" s="154" t="s">
        <v>97</v>
      </c>
      <c r="PE42" s="155" t="s">
        <v>98</v>
      </c>
      <c r="PF42" s="155" t="s">
        <v>98</v>
      </c>
      <c r="PG42" s="155" t="s">
        <v>98</v>
      </c>
      <c r="PH42" s="155" t="s">
        <v>98</v>
      </c>
      <c r="PI42" s="155" t="s">
        <v>98</v>
      </c>
      <c r="PJ42" s="155" t="s">
        <v>98</v>
      </c>
      <c r="PK42" s="155" t="s">
        <v>98</v>
      </c>
      <c r="PL42" s="155" t="s">
        <v>98</v>
      </c>
      <c r="PM42" s="155" t="s">
        <v>98</v>
      </c>
      <c r="PN42" s="155" t="s">
        <v>98</v>
      </c>
      <c r="PO42" s="156"/>
      <c r="PP42" s="156"/>
      <c r="PQ42" s="156"/>
      <c r="PR42" s="156"/>
      <c r="PS42" s="156"/>
      <c r="PT42" s="156"/>
      <c r="PU42" s="156"/>
      <c r="PV42" s="156"/>
      <c r="PW42" s="156"/>
      <c r="PX42" s="195"/>
      <c r="PY42" s="1"/>
      <c r="PZ42" s="196">
        <f t="shared" si="20"/>
        <v>900</v>
      </c>
      <c r="QA42" s="176">
        <f t="shared" si="21"/>
        <v>7.5081338116292648E-3</v>
      </c>
      <c r="QB42" s="177" t="str">
        <f t="shared" ca="1" si="22"/>
        <v>Attente…</v>
      </c>
      <c r="QC42" s="197">
        <f t="shared" si="23"/>
        <v>700</v>
      </c>
      <c r="QD42" s="179">
        <f t="shared" si="24"/>
        <v>6.5543071161048693E-3</v>
      </c>
      <c r="QE42" s="180" t="str">
        <f t="shared" ca="1" si="25"/>
        <v>Attente…</v>
      </c>
      <c r="QF42" s="196">
        <f t="shared" si="26"/>
        <v>860</v>
      </c>
      <c r="QG42" s="176">
        <f t="shared" si="27"/>
        <v>6.848224239528587E-3</v>
      </c>
      <c r="QH42" s="177" t="str">
        <f t="shared" ca="1" si="28"/>
        <v>Attente…</v>
      </c>
      <c r="QI42" s="197">
        <f t="shared" si="29"/>
        <v>1050</v>
      </c>
      <c r="QJ42" s="179">
        <f t="shared" si="30"/>
        <v>7.3642867162294848E-3</v>
      </c>
      <c r="QK42" s="180" t="str">
        <f t="shared" ca="1" si="31"/>
        <v>Attente…</v>
      </c>
      <c r="QL42" s="196">
        <f t="shared" si="32"/>
        <v>700</v>
      </c>
      <c r="QM42" s="176">
        <f t="shared" si="33"/>
        <v>5.1214515657009071E-3</v>
      </c>
      <c r="QN42" s="177" t="str">
        <f t="shared" ca="1" si="34"/>
        <v>Attente…</v>
      </c>
      <c r="QO42" s="197">
        <f t="shared" si="35"/>
        <v>1020</v>
      </c>
      <c r="QP42" s="179">
        <f t="shared" si="36"/>
        <v>7.9855946136381424E-3</v>
      </c>
      <c r="QQ42" s="180" t="str">
        <f t="shared" ca="1" si="37"/>
        <v>Attente…</v>
      </c>
      <c r="QR42" s="196">
        <f t="shared" si="38"/>
        <v>950</v>
      </c>
      <c r="QS42" s="176">
        <f t="shared" si="39"/>
        <v>6.8392066520283649E-3</v>
      </c>
      <c r="QT42" s="177" t="str">
        <f t="shared" ca="1" si="40"/>
        <v>Attente…</v>
      </c>
      <c r="QU42" s="197">
        <f t="shared" si="41"/>
        <v>560</v>
      </c>
      <c r="QV42" s="179">
        <f t="shared" si="42"/>
        <v>3.8610038610038611E-3</v>
      </c>
      <c r="QW42" s="180" t="str">
        <f t="shared" ca="1" si="43"/>
        <v>Attente…</v>
      </c>
      <c r="QX42" s="196">
        <f t="shared" si="44"/>
        <v>810</v>
      </c>
      <c r="QY42" s="176">
        <f t="shared" si="45"/>
        <v>5.9108555416095042E-3</v>
      </c>
      <c r="QZ42" s="177" t="str">
        <f t="shared" ca="1" si="46"/>
        <v>Attente…</v>
      </c>
      <c r="RA42" s="197">
        <f t="shared" si="47"/>
        <v>660</v>
      </c>
      <c r="RB42" s="179">
        <f t="shared" si="48"/>
        <v>5.1639151866051166E-3</v>
      </c>
      <c r="RC42" s="180" t="str">
        <f t="shared" ca="1" si="49"/>
        <v>Attente…</v>
      </c>
      <c r="RD42" s="196">
        <f t="shared" si="50"/>
        <v>710</v>
      </c>
      <c r="RE42" s="176">
        <f t="shared" si="51"/>
        <v>7.0745316859306493E-3</v>
      </c>
      <c r="RF42" s="177" t="str">
        <f t="shared" ca="1" si="52"/>
        <v>Attente…</v>
      </c>
      <c r="RG42" s="197">
        <f t="shared" si="53"/>
        <v>300</v>
      </c>
      <c r="RH42" s="179">
        <f t="shared" si="54"/>
        <v>5.5177487585065296E-3</v>
      </c>
      <c r="RI42" s="198" t="str">
        <f t="shared" ca="1" si="55"/>
        <v>Attente…</v>
      </c>
      <c r="RJ42" s="199">
        <f t="shared" si="56"/>
        <v>2460</v>
      </c>
      <c r="RK42" s="200" t="str">
        <f t="shared" ca="1" si="13"/>
        <v>Attente…</v>
      </c>
      <c r="RL42" s="199">
        <f t="shared" si="57"/>
        <v>2770</v>
      </c>
      <c r="RM42" s="200" t="str">
        <f t="shared" ca="1" si="58"/>
        <v>Atttente…</v>
      </c>
      <c r="RN42" s="199">
        <f t="shared" si="59"/>
        <v>2320</v>
      </c>
      <c r="RO42" s="200" t="str">
        <f t="shared" ca="1" si="14"/>
        <v>Attente…</v>
      </c>
      <c r="RP42" s="199">
        <f t="shared" si="60"/>
        <v>1670</v>
      </c>
      <c r="RQ42" s="200" t="str">
        <f t="shared" ca="1" si="15"/>
        <v>Attente…</v>
      </c>
      <c r="RR42" s="201">
        <f t="shared" si="61"/>
        <v>9220</v>
      </c>
      <c r="RS42" s="202" t="str">
        <f t="shared" ca="1" si="16"/>
        <v>Attente…</v>
      </c>
      <c r="RT42" s="103"/>
      <c r="RU42" s="203">
        <f t="shared" si="62"/>
        <v>0.46100000000000002</v>
      </c>
      <c r="RV42" s="204">
        <f t="shared" si="65"/>
        <v>1</v>
      </c>
      <c r="RW42" s="204">
        <f t="shared" si="65"/>
        <v>2</v>
      </c>
      <c r="RX42" s="204">
        <f t="shared" si="63"/>
        <v>100</v>
      </c>
      <c r="RY42" s="205" t="str">
        <f t="shared" si="64"/>
        <v>NOTRE-DAME-DE-BONDEVILLE - Rue des Bernardines (Devant les ateliers municipaux)</v>
      </c>
      <c r="RZ42" s="189" t="str">
        <f>IF(OR(RZ41="",RZ41="  &lt;/Document&gt;
&lt;/kml&gt;"),"",
IF(B42="","  &lt;/Document&gt;
&lt;/kml&gt;",
IF(TournéesCAV!Q82=""," ",
"    &lt;Placemark&gt;
      &lt;description&gt;&lt;![CDATA["&amp;B42&amp;"&lt;br&gt;&lt;br&gt;"&amp;RV42&amp;" CAV&lt;br&gt;&lt;br&gt;Présent sur "&amp;RW42&amp;" tournée(s)&lt;br&gt;&lt;br&gt;Taux de remplissage moyen "&amp;TEXT(RU42*1000,"0 %")&amp;"]]&gt;&lt;/description&gt;
      &lt;Style&gt;
        &lt;IconStyle&gt;
          &lt;color&gt;ff"&amp;
          DEC2HEX(0,2)&amp;
          DEC2HEX(
            IF(RU42&lt;=0.5,
               INT(255*(RU42*2)),
               255
            ),2)&amp;
          DEC2HEX(
            IF(RU42&lt;=0.5,
               255,
               INT(255*(1-(RU42-0.5)*2))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&lt;Point&gt;&lt;coordinates&gt;"&amp;R42&amp;","&amp;Q42&amp;",0&lt;/coordinates&gt;&lt;/Point&gt;
    &lt;/Placemark&gt;"
)))</f>
        <v xml:space="preserve">    &lt;Placemark&gt;
      &lt;description&gt;&lt;![CDATA[NOTRE-DAME-DE-BONDEVILLE - Rue des Bernardines (Devant les ateliers municipaux)&lt;br&gt;&lt;br&gt;1 CAV&lt;br&gt;&lt;br&gt;Présent sur 2 tournée(s)&lt;br&gt;&lt;br&gt;Taux de remplissage moyen 46%]]&gt;&lt;/description&gt;
      &lt;Style&gt;
        &lt;IconStyle&gt;
          &lt;color&gt;ff00EBFF&lt;/color&gt;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&lt;Point&gt;&lt;coordinates&gt;1.0424471,49.4907799,0&lt;/coordinates&gt;&lt;/Point&gt;
    &lt;/Placemark&gt;</v>
      </c>
    </row>
    <row r="43" spans="2:494" ht="15" hidden="1" customHeight="1" x14ac:dyDescent="0.35">
      <c r="B43" s="153" t="str">
        <f t="shared" si="17"/>
        <v>HAUTOT-SUR-SEINE - 8 rue de l'Eglise (Place Poullard)</v>
      </c>
      <c r="C43" s="154">
        <v>86</v>
      </c>
      <c r="D43" s="155"/>
      <c r="E43" s="155"/>
      <c r="F43" s="155"/>
      <c r="G43" s="155"/>
      <c r="H43" s="155"/>
      <c r="I43" s="155"/>
      <c r="J43" s="156"/>
      <c r="K43" s="157">
        <f t="shared" si="18"/>
        <v>1</v>
      </c>
      <c r="L43" s="157">
        <f t="shared" si="19"/>
        <v>1</v>
      </c>
      <c r="M43" s="158" t="s">
        <v>294</v>
      </c>
      <c r="N43" s="159" t="s">
        <v>295</v>
      </c>
      <c r="O43" s="159">
        <v>76113</v>
      </c>
      <c r="P43" s="159" t="s">
        <v>296</v>
      </c>
      <c r="Q43" s="159" t="s">
        <v>297</v>
      </c>
      <c r="R43" s="159" t="s">
        <v>298</v>
      </c>
      <c r="S43" s="159" t="s">
        <v>93</v>
      </c>
      <c r="T43" s="159" t="s">
        <v>94</v>
      </c>
      <c r="U43" s="159" t="s">
        <v>299</v>
      </c>
      <c r="V43" s="160" t="s">
        <v>96</v>
      </c>
      <c r="W43" s="161"/>
      <c r="X43" s="162"/>
      <c r="Y43" s="163"/>
      <c r="Z43" s="162"/>
      <c r="AA43" s="163"/>
      <c r="AB43" s="162"/>
      <c r="AC43" s="163">
        <v>2</v>
      </c>
      <c r="AD43" s="162"/>
      <c r="AE43" s="163"/>
      <c r="AF43" s="162"/>
      <c r="AG43" s="163"/>
      <c r="AH43" s="163"/>
      <c r="AI43" s="162"/>
      <c r="AJ43" s="163"/>
      <c r="AK43" s="162"/>
      <c r="AL43" s="163"/>
      <c r="AM43" s="162"/>
      <c r="AN43" s="163"/>
      <c r="AO43" s="162"/>
      <c r="AP43" s="164"/>
      <c r="AQ43" s="164"/>
      <c r="AR43" s="164"/>
      <c r="AS43" s="164"/>
      <c r="AT43" s="164"/>
      <c r="AU43" s="164"/>
      <c r="AV43" s="164"/>
      <c r="AW43" s="164"/>
      <c r="AX43" s="164"/>
      <c r="AY43" s="165"/>
      <c r="AZ43" s="41"/>
      <c r="BA43" s="190"/>
      <c r="BB43" s="191"/>
      <c r="BC43" s="191"/>
      <c r="BD43" s="191"/>
      <c r="BE43" s="191"/>
      <c r="BF43" s="191"/>
      <c r="BG43" s="191">
        <v>10</v>
      </c>
      <c r="BH43" s="191"/>
      <c r="BI43" s="191"/>
      <c r="BJ43" s="191"/>
      <c r="BK43" s="191"/>
      <c r="BL43" s="191"/>
      <c r="BM43" s="191"/>
      <c r="BN43" s="191">
        <v>50</v>
      </c>
      <c r="BO43" s="191"/>
      <c r="BP43" s="191"/>
      <c r="BQ43" s="191"/>
      <c r="BR43" s="191"/>
      <c r="BS43" s="191"/>
      <c r="BT43" s="191"/>
      <c r="BU43" s="191">
        <v>10</v>
      </c>
      <c r="BV43" s="191"/>
      <c r="BW43" s="191"/>
      <c r="BX43" s="191"/>
      <c r="BY43" s="191"/>
      <c r="BZ43" s="191"/>
      <c r="CA43" s="191"/>
      <c r="CB43" s="191">
        <v>10</v>
      </c>
      <c r="CC43" s="191"/>
      <c r="CD43" s="191"/>
      <c r="CE43" s="192"/>
      <c r="CF43" s="190"/>
      <c r="CG43" s="191"/>
      <c r="CH43" s="191"/>
      <c r="CI43" s="191">
        <v>100</v>
      </c>
      <c r="CJ43" s="191"/>
      <c r="CK43" s="191"/>
      <c r="CL43" s="191"/>
      <c r="CM43" s="191"/>
      <c r="CN43" s="191"/>
      <c r="CO43" s="191"/>
      <c r="CP43" s="191">
        <v>10</v>
      </c>
      <c r="CQ43" s="191"/>
      <c r="CR43" s="191"/>
      <c r="CS43" s="191"/>
      <c r="CT43" s="191"/>
      <c r="CU43" s="191"/>
      <c r="CV43" s="191"/>
      <c r="CW43" s="191"/>
      <c r="CX43" s="191"/>
      <c r="CY43" s="191"/>
      <c r="CZ43" s="191"/>
      <c r="DA43" s="191"/>
      <c r="DB43" s="191"/>
      <c r="DC43" s="191"/>
      <c r="DD43" s="191">
        <v>100</v>
      </c>
      <c r="DE43" s="191"/>
      <c r="DF43" s="191"/>
      <c r="DG43" s="191"/>
      <c r="DH43" s="193"/>
      <c r="DI43" s="194"/>
      <c r="DJ43" s="191"/>
      <c r="DK43" s="191"/>
      <c r="DL43" s="191">
        <v>50</v>
      </c>
      <c r="DM43" s="191"/>
      <c r="DN43" s="191"/>
      <c r="DO43" s="191"/>
      <c r="DP43" s="191"/>
      <c r="DQ43" s="191"/>
      <c r="DR43" s="191"/>
      <c r="DS43" s="191">
        <v>50</v>
      </c>
      <c r="DT43" s="191"/>
      <c r="DU43" s="191"/>
      <c r="DV43" s="191"/>
      <c r="DW43" s="191"/>
      <c r="DX43" s="191"/>
      <c r="DY43" s="191"/>
      <c r="DZ43" s="191">
        <v>50</v>
      </c>
      <c r="EA43" s="191"/>
      <c r="EB43" s="191"/>
      <c r="EC43" s="191"/>
      <c r="ED43" s="191"/>
      <c r="EE43" s="191"/>
      <c r="EF43" s="191"/>
      <c r="EG43" s="191">
        <v>50</v>
      </c>
      <c r="EH43" s="191"/>
      <c r="EI43" s="191"/>
      <c r="EJ43" s="191"/>
      <c r="EK43" s="191"/>
      <c r="EL43" s="191"/>
      <c r="EM43" s="192"/>
      <c r="EN43" s="190">
        <v>50</v>
      </c>
      <c r="EO43" s="191"/>
      <c r="EP43" s="191"/>
      <c r="EQ43" s="191"/>
      <c r="ER43" s="191"/>
      <c r="ES43" s="191"/>
      <c r="ET43" s="191"/>
      <c r="EU43" s="191">
        <v>50</v>
      </c>
      <c r="EV43" s="191"/>
      <c r="EW43" s="191"/>
      <c r="EX43" s="191"/>
      <c r="EY43" s="191"/>
      <c r="EZ43" s="191"/>
      <c r="FA43" s="191"/>
      <c r="FB43" s="191">
        <v>50</v>
      </c>
      <c r="FC43" s="191"/>
      <c r="FD43" s="191"/>
      <c r="FE43" s="191"/>
      <c r="FF43" s="191"/>
      <c r="FG43" s="191"/>
      <c r="FH43" s="191"/>
      <c r="FI43" s="191"/>
      <c r="FJ43" s="191"/>
      <c r="FK43" s="191">
        <v>50</v>
      </c>
      <c r="FL43" s="191"/>
      <c r="FM43" s="191"/>
      <c r="FN43" s="191"/>
      <c r="FO43" s="191"/>
      <c r="FP43" s="191">
        <v>50</v>
      </c>
      <c r="FQ43" s="193"/>
      <c r="FR43" s="194"/>
      <c r="FS43" s="191"/>
      <c r="FT43" s="191"/>
      <c r="FU43" s="191"/>
      <c r="FV43" s="191"/>
      <c r="FW43" s="191">
        <v>100</v>
      </c>
      <c r="FX43" s="191"/>
      <c r="FY43" s="191"/>
      <c r="FZ43" s="191"/>
      <c r="GA43" s="191"/>
      <c r="GB43" s="191"/>
      <c r="GC43" s="191"/>
      <c r="GD43" s="191">
        <v>100</v>
      </c>
      <c r="GE43" s="191"/>
      <c r="GF43" s="191"/>
      <c r="GG43" s="191"/>
      <c r="GH43" s="191"/>
      <c r="GI43" s="191"/>
      <c r="GJ43" s="191"/>
      <c r="GK43" s="191">
        <v>10</v>
      </c>
      <c r="GL43" s="191"/>
      <c r="GM43" s="191"/>
      <c r="GN43" s="191"/>
      <c r="GO43" s="191"/>
      <c r="GP43" s="191"/>
      <c r="GQ43" s="191"/>
      <c r="GR43" s="191">
        <v>50</v>
      </c>
      <c r="GS43" s="191"/>
      <c r="GT43" s="191"/>
      <c r="GU43" s="191"/>
      <c r="GV43" s="192"/>
      <c r="GW43" s="190"/>
      <c r="GX43" s="191"/>
      <c r="GY43" s="191">
        <v>10</v>
      </c>
      <c r="GZ43" s="191"/>
      <c r="HA43" s="191"/>
      <c r="HB43" s="191"/>
      <c r="HC43" s="191"/>
      <c r="HD43" s="191"/>
      <c r="HE43" s="191"/>
      <c r="HF43" s="191"/>
      <c r="HG43" s="191"/>
      <c r="HH43" s="191">
        <v>10</v>
      </c>
      <c r="HI43" s="191"/>
      <c r="HJ43" s="191"/>
      <c r="HK43" s="191"/>
      <c r="HL43" s="191"/>
      <c r="HM43" s="191"/>
      <c r="HN43" s="191"/>
      <c r="HO43" s="191"/>
      <c r="HP43" s="191">
        <v>50</v>
      </c>
      <c r="HQ43" s="191"/>
      <c r="HR43" s="191"/>
      <c r="HS43" s="191"/>
      <c r="HT43" s="191">
        <v>50</v>
      </c>
      <c r="HU43" s="191"/>
      <c r="HV43" s="191"/>
      <c r="HW43" s="191"/>
      <c r="HX43" s="191"/>
      <c r="HY43" s="191"/>
      <c r="HZ43" s="193"/>
      <c r="IA43" s="194">
        <v>50</v>
      </c>
      <c r="IB43" s="191"/>
      <c r="IC43" s="191"/>
      <c r="ID43" s="191"/>
      <c r="IE43" s="191"/>
      <c r="IF43" s="191"/>
      <c r="IG43" s="191"/>
      <c r="IH43" s="191">
        <v>10</v>
      </c>
      <c r="II43" s="191"/>
      <c r="IJ43" s="191"/>
      <c r="IK43" s="191"/>
      <c r="IL43" s="191"/>
      <c r="IM43" s="191"/>
      <c r="IN43" s="191"/>
      <c r="IO43" s="191"/>
      <c r="IP43" s="191">
        <v>100</v>
      </c>
      <c r="IQ43" s="191"/>
      <c r="IR43" s="191"/>
      <c r="IS43" s="191"/>
      <c r="IT43" s="191"/>
      <c r="IU43" s="191"/>
      <c r="IV43" s="191">
        <v>10</v>
      </c>
      <c r="IW43" s="191"/>
      <c r="IX43" s="191"/>
      <c r="IY43" s="191"/>
      <c r="IZ43" s="191"/>
      <c r="JA43" s="191"/>
      <c r="JB43" s="191"/>
      <c r="JC43" s="191"/>
      <c r="JD43" s="191"/>
      <c r="JE43" s="192">
        <v>100</v>
      </c>
      <c r="JF43" s="190"/>
      <c r="JG43" s="191"/>
      <c r="JH43" s="191"/>
      <c r="JI43" s="191"/>
      <c r="JJ43" s="191">
        <v>50</v>
      </c>
      <c r="JK43" s="191"/>
      <c r="JL43" s="191"/>
      <c r="JM43" s="191"/>
      <c r="JN43" s="191"/>
      <c r="JO43" s="191"/>
      <c r="JP43" s="191"/>
      <c r="JQ43" s="191">
        <v>10</v>
      </c>
      <c r="JR43" s="191"/>
      <c r="JS43" s="191"/>
      <c r="JT43" s="191"/>
      <c r="JU43" s="191"/>
      <c r="JV43" s="191"/>
      <c r="JW43" s="191"/>
      <c r="JX43" s="191"/>
      <c r="JY43" s="191"/>
      <c r="JZ43" s="191"/>
      <c r="KA43" s="191"/>
      <c r="KB43" s="191"/>
      <c r="KC43" s="191"/>
      <c r="KD43" s="191"/>
      <c r="KE43" s="191">
        <v>150</v>
      </c>
      <c r="KF43" s="191"/>
      <c r="KG43" s="191"/>
      <c r="KH43" s="191"/>
      <c r="KI43" s="191"/>
      <c r="KJ43" s="193"/>
      <c r="KK43" s="194"/>
      <c r="KL43" s="191">
        <v>10</v>
      </c>
      <c r="KM43" s="191"/>
      <c r="KN43" s="191"/>
      <c r="KO43" s="191"/>
      <c r="KP43" s="191"/>
      <c r="KQ43" s="191"/>
      <c r="KR43" s="191"/>
      <c r="KS43" s="191">
        <v>100</v>
      </c>
      <c r="KT43" s="191"/>
      <c r="KU43" s="191"/>
      <c r="KV43" s="191"/>
      <c r="KW43" s="191"/>
      <c r="KX43" s="191"/>
      <c r="KY43" s="191"/>
      <c r="KZ43" s="191">
        <v>150</v>
      </c>
      <c r="LA43" s="191"/>
      <c r="LB43" s="191"/>
      <c r="LC43" s="191"/>
      <c r="LD43" s="191"/>
      <c r="LE43" s="191"/>
      <c r="LF43" s="191"/>
      <c r="LG43" s="191">
        <v>10</v>
      </c>
      <c r="LH43" s="191"/>
      <c r="LI43" s="191"/>
      <c r="LJ43" s="191"/>
      <c r="LK43" s="191"/>
      <c r="LL43" s="191"/>
      <c r="LM43" s="191"/>
      <c r="LN43" s="192">
        <v>50</v>
      </c>
      <c r="LO43" s="190"/>
      <c r="LP43" s="191"/>
      <c r="LQ43" s="191"/>
      <c r="LR43" s="191"/>
      <c r="LS43" s="191"/>
      <c r="LT43" s="191"/>
      <c r="LU43" s="191">
        <v>50</v>
      </c>
      <c r="LV43" s="191"/>
      <c r="LW43" s="191"/>
      <c r="LX43" s="191"/>
      <c r="LY43" s="191"/>
      <c r="LZ43" s="191"/>
      <c r="MA43" s="191"/>
      <c r="MB43" s="191"/>
      <c r="MC43" s="191"/>
      <c r="MD43" s="191">
        <v>50</v>
      </c>
      <c r="ME43" s="191"/>
      <c r="MF43" s="191"/>
      <c r="MG43" s="191"/>
      <c r="MH43" s="191"/>
      <c r="MI43" s="191">
        <v>50</v>
      </c>
      <c r="MJ43" s="191"/>
      <c r="MK43" s="191"/>
      <c r="ML43" s="191"/>
      <c r="MM43" s="191"/>
      <c r="MN43" s="191"/>
      <c r="MO43" s="191"/>
      <c r="MP43" s="191">
        <v>50</v>
      </c>
      <c r="MQ43" s="191"/>
      <c r="MR43" s="191"/>
      <c r="MS43" s="193"/>
      <c r="MT43" s="194"/>
      <c r="MU43" s="191"/>
      <c r="MV43" s="191"/>
      <c r="MW43" s="191"/>
      <c r="MX43" s="191"/>
      <c r="MY43" s="191"/>
      <c r="MZ43" s="191"/>
      <c r="NA43" s="191"/>
      <c r="NB43" s="191"/>
      <c r="NC43" s="191"/>
      <c r="ND43" s="191"/>
      <c r="NE43" s="191">
        <v>100</v>
      </c>
      <c r="NF43" s="191"/>
      <c r="NG43" s="191"/>
      <c r="NH43" s="191"/>
      <c r="NI43" s="191"/>
      <c r="NJ43" s="191"/>
      <c r="NK43" s="191">
        <v>50</v>
      </c>
      <c r="NL43" s="191"/>
      <c r="NM43" s="191"/>
      <c r="NN43" s="191"/>
      <c r="NO43" s="191"/>
      <c r="NP43" s="191"/>
      <c r="NQ43" s="191"/>
      <c r="NR43" s="191">
        <v>10</v>
      </c>
      <c r="NS43" s="191"/>
      <c r="NT43" s="191"/>
      <c r="NU43" s="191"/>
      <c r="NV43" s="191"/>
      <c r="NW43" s="192"/>
      <c r="NX43" s="190"/>
      <c r="NY43" s="191">
        <v>100</v>
      </c>
      <c r="NZ43" s="191"/>
      <c r="OA43" s="191"/>
      <c r="OB43" s="191"/>
      <c r="OC43" s="191"/>
      <c r="OD43" s="191"/>
      <c r="OE43" s="191"/>
      <c r="OF43" s="191">
        <v>10</v>
      </c>
      <c r="OG43" s="191"/>
      <c r="OH43" s="191"/>
      <c r="OI43" s="191"/>
      <c r="OJ43" s="191"/>
      <c r="OK43" s="191"/>
      <c r="OL43" s="191"/>
      <c r="OM43" s="191"/>
      <c r="ON43" s="191"/>
      <c r="OO43" s="191"/>
      <c r="OP43" s="191"/>
      <c r="OQ43" s="191"/>
      <c r="OR43" s="191"/>
      <c r="OS43" s="191"/>
      <c r="OT43" s="191"/>
      <c r="OU43" s="191"/>
      <c r="OV43" s="191"/>
      <c r="OW43" s="191"/>
      <c r="OX43" s="191"/>
      <c r="OY43" s="191"/>
      <c r="OZ43" s="191"/>
      <c r="PA43" s="191"/>
      <c r="PB43" s="193"/>
      <c r="PC43" s="47"/>
      <c r="PD43" s="154" t="s">
        <v>97</v>
      </c>
      <c r="PE43" s="155" t="s">
        <v>98</v>
      </c>
      <c r="PF43" s="155" t="s">
        <v>98</v>
      </c>
      <c r="PG43" s="155" t="s">
        <v>98</v>
      </c>
      <c r="PH43" s="155" t="s">
        <v>98</v>
      </c>
      <c r="PI43" s="155" t="s">
        <v>98</v>
      </c>
      <c r="PJ43" s="155" t="s">
        <v>98</v>
      </c>
      <c r="PK43" s="155" t="s">
        <v>98</v>
      </c>
      <c r="PL43" s="155" t="s">
        <v>98</v>
      </c>
      <c r="PM43" s="155" t="s">
        <v>98</v>
      </c>
      <c r="PN43" s="155" t="s">
        <v>98</v>
      </c>
      <c r="PO43" s="156"/>
      <c r="PP43" s="156"/>
      <c r="PQ43" s="156"/>
      <c r="PR43" s="156"/>
      <c r="PS43" s="156"/>
      <c r="PT43" s="156"/>
      <c r="PU43" s="156"/>
      <c r="PV43" s="156"/>
      <c r="PW43" s="156"/>
      <c r="PX43" s="195"/>
      <c r="PY43" s="1"/>
      <c r="PZ43" s="196">
        <f t="shared" si="20"/>
        <v>80</v>
      </c>
      <c r="QA43" s="176">
        <f t="shared" si="21"/>
        <v>6.6738967214482353E-4</v>
      </c>
      <c r="QB43" s="177" t="str">
        <f t="shared" ca="1" si="22"/>
        <v>Attente…</v>
      </c>
      <c r="QC43" s="197">
        <f t="shared" si="23"/>
        <v>210</v>
      </c>
      <c r="QD43" s="179">
        <f t="shared" si="24"/>
        <v>1.9662921348314608E-3</v>
      </c>
      <c r="QE43" s="180" t="str">
        <f t="shared" ca="1" si="25"/>
        <v>Attente…</v>
      </c>
      <c r="QF43" s="196">
        <f t="shared" si="26"/>
        <v>200</v>
      </c>
      <c r="QG43" s="176">
        <f t="shared" si="27"/>
        <v>1.5926102882624622E-3</v>
      </c>
      <c r="QH43" s="177" t="str">
        <f t="shared" ca="1" si="28"/>
        <v>Attente…</v>
      </c>
      <c r="QI43" s="197">
        <f t="shared" si="29"/>
        <v>250</v>
      </c>
      <c r="QJ43" s="179">
        <f t="shared" si="30"/>
        <v>1.7534015991022584E-3</v>
      </c>
      <c r="QK43" s="180" t="str">
        <f t="shared" ca="1" si="31"/>
        <v>Attente…</v>
      </c>
      <c r="QL43" s="196">
        <f t="shared" si="32"/>
        <v>260</v>
      </c>
      <c r="QM43" s="176">
        <f t="shared" si="33"/>
        <v>1.9022534386889084E-3</v>
      </c>
      <c r="QN43" s="177" t="str">
        <f t="shared" ca="1" si="34"/>
        <v>Attente…</v>
      </c>
      <c r="QO43" s="197">
        <f t="shared" si="35"/>
        <v>120</v>
      </c>
      <c r="QP43" s="179">
        <f t="shared" si="36"/>
        <v>9.3948171925154627E-4</v>
      </c>
      <c r="QQ43" s="180" t="str">
        <f t="shared" ca="1" si="37"/>
        <v>Attente…</v>
      </c>
      <c r="QR43" s="196">
        <f t="shared" si="38"/>
        <v>270</v>
      </c>
      <c r="QS43" s="176">
        <f t="shared" si="39"/>
        <v>1.9437745221554299E-3</v>
      </c>
      <c r="QT43" s="177" t="str">
        <f t="shared" ca="1" si="40"/>
        <v>Attente…</v>
      </c>
      <c r="QU43" s="197">
        <f t="shared" si="41"/>
        <v>210</v>
      </c>
      <c r="QV43" s="179">
        <f t="shared" si="42"/>
        <v>1.4478764478764478E-3</v>
      </c>
      <c r="QW43" s="180" t="str">
        <f t="shared" ca="1" si="43"/>
        <v>Attente…</v>
      </c>
      <c r="QX43" s="196">
        <f t="shared" si="44"/>
        <v>320</v>
      </c>
      <c r="QY43" s="176">
        <f t="shared" si="45"/>
        <v>2.3351528065617792E-3</v>
      </c>
      <c r="QZ43" s="177" t="str">
        <f t="shared" ca="1" si="46"/>
        <v>Attente…</v>
      </c>
      <c r="RA43" s="197">
        <f t="shared" si="47"/>
        <v>200</v>
      </c>
      <c r="RB43" s="179">
        <f t="shared" si="48"/>
        <v>1.5648227838197324E-3</v>
      </c>
      <c r="RC43" s="180" t="str">
        <f t="shared" ca="1" si="49"/>
        <v>Attente…</v>
      </c>
      <c r="RD43" s="196">
        <f t="shared" si="50"/>
        <v>160</v>
      </c>
      <c r="RE43" s="176">
        <f t="shared" si="51"/>
        <v>1.5942606616181746E-3</v>
      </c>
      <c r="RF43" s="177" t="str">
        <f t="shared" ca="1" si="52"/>
        <v>Attente…</v>
      </c>
      <c r="RG43" s="197">
        <f t="shared" si="53"/>
        <v>110</v>
      </c>
      <c r="RH43" s="179">
        <f t="shared" si="54"/>
        <v>2.0231745447857274E-3</v>
      </c>
      <c r="RI43" s="198" t="str">
        <f t="shared" ca="1" si="55"/>
        <v>Attente…</v>
      </c>
      <c r="RJ43" s="199">
        <f t="shared" si="56"/>
        <v>490</v>
      </c>
      <c r="RK43" s="200" t="str">
        <f t="shared" ca="1" si="13"/>
        <v>Attente…</v>
      </c>
      <c r="RL43" s="199">
        <f t="shared" si="57"/>
        <v>630</v>
      </c>
      <c r="RM43" s="200" t="str">
        <f t="shared" ca="1" si="58"/>
        <v>Atttente…</v>
      </c>
      <c r="RN43" s="199">
        <f t="shared" si="59"/>
        <v>800</v>
      </c>
      <c r="RO43" s="200" t="str">
        <f t="shared" ca="1" si="14"/>
        <v>Attente…</v>
      </c>
      <c r="RP43" s="199">
        <f t="shared" si="60"/>
        <v>470</v>
      </c>
      <c r="RQ43" s="200" t="str">
        <f t="shared" ca="1" si="15"/>
        <v>Attente…</v>
      </c>
      <c r="RR43" s="201">
        <f t="shared" si="61"/>
        <v>2390</v>
      </c>
      <c r="RS43" s="202" t="str">
        <f t="shared" ca="1" si="16"/>
        <v>Attente…</v>
      </c>
      <c r="RT43" s="103"/>
      <c r="RU43" s="203">
        <f t="shared" si="62"/>
        <v>0.25978260869565217</v>
      </c>
      <c r="RV43" s="204">
        <f t="shared" si="65"/>
        <v>1</v>
      </c>
      <c r="RW43" s="204">
        <f t="shared" si="65"/>
        <v>1</v>
      </c>
      <c r="RX43" s="204">
        <f t="shared" si="63"/>
        <v>46</v>
      </c>
      <c r="RY43" s="205" t="str">
        <f t="shared" si="64"/>
        <v>HAUTOT-SUR-SEINE - 8 rue de l'Eglise (Place Poullard)</v>
      </c>
      <c r="RZ43" s="189" t="str">
        <f>IF(OR(RZ42="",RZ42="  &lt;/Document&gt;
&lt;/kml&gt;"),"",
IF(B43="","  &lt;/Document&gt;
&lt;/kml&gt;",
IF(TournéesCAV!Q43=""," ",
"    &lt;Placemark&gt;
      &lt;description&gt;&lt;![CDATA["&amp;B43&amp;"&lt;br&gt;&lt;br&gt;"&amp;RV43&amp;" CAV&lt;br&gt;&lt;br&gt;Présent sur "&amp;RW43&amp;" tournée(s)&lt;br&gt;&lt;br&gt;Taux de remplissage moyen "&amp;TEXT(RU43*1000,"0 %")&amp;"]]&gt;&lt;/description&gt;
      &lt;Style&gt;
        &lt;IconStyle&gt;
          &lt;color&gt;ff"&amp;
          DEC2HEX(0,2)&amp;
          DEC2HEX(
            IF(RU43&lt;=0.5,
               INT(255*(RU43*2)),
               255
            ),2)&amp;
          DEC2HEX(
            IF(RU43&lt;=0.5,
               255,
               INT(255*(1-(RU43-0.5)*2))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&lt;Point&gt;&lt;coordinates&gt;"&amp;R43&amp;","&amp;Q43&amp;",0&lt;/coordinates&gt;&lt;/Point&gt;
    &lt;/Placemark&gt;"
)))</f>
        <v xml:space="preserve">    &lt;Placemark&gt;
      &lt;description&gt;&lt;![CDATA[HAUTOT-SUR-SEINE - 8 rue de l'Eglise (Place Poullard)&lt;br&gt;&lt;br&gt;1 CAV&lt;br&gt;&lt;br&gt;Présent sur 1 tournée(s)&lt;br&gt;&lt;br&gt;Taux de remplissage moyen 26%]]&gt;&lt;/description&gt;
      &lt;Style&gt;
        &lt;IconStyle&gt;
          &lt;color&gt;ff0084FF&lt;/color&gt;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&lt;Point&gt;&lt;coordinates&gt;0.9783553,49.3603847,0&lt;/coordinates&gt;&lt;/Point&gt;
    &lt;/Placemark&gt;</v>
      </c>
    </row>
    <row r="44" spans="2:494" ht="15" hidden="1" customHeight="1" x14ac:dyDescent="0.35">
      <c r="B44" s="153" t="str">
        <f t="shared" si="17"/>
        <v>SAINT-JEAN-DU-CARDONNAY - Côte de la Valette (Déchetterie de Maromme - 8h30 /18h30)</v>
      </c>
      <c r="C44" s="154">
        <v>21</v>
      </c>
      <c r="D44" s="155"/>
      <c r="E44" s="155"/>
      <c r="F44" s="155"/>
      <c r="G44" s="155"/>
      <c r="H44" s="155"/>
      <c r="I44" s="155"/>
      <c r="J44" s="156"/>
      <c r="K44" s="157">
        <f t="shared" si="18"/>
        <v>1</v>
      </c>
      <c r="L44" s="157">
        <f t="shared" si="19"/>
        <v>2</v>
      </c>
      <c r="M44" s="158" t="s">
        <v>300</v>
      </c>
      <c r="N44" s="159" t="s">
        <v>301</v>
      </c>
      <c r="O44" s="159">
        <v>76150</v>
      </c>
      <c r="P44" s="159" t="s">
        <v>302</v>
      </c>
      <c r="Q44" s="159" t="s">
        <v>303</v>
      </c>
      <c r="R44" s="159" t="s">
        <v>304</v>
      </c>
      <c r="S44" s="159" t="s">
        <v>93</v>
      </c>
      <c r="T44" s="159" t="s">
        <v>159</v>
      </c>
      <c r="U44" s="159" t="s">
        <v>305</v>
      </c>
      <c r="V44" s="160" t="s">
        <v>96</v>
      </c>
      <c r="W44" s="161"/>
      <c r="X44" s="162"/>
      <c r="Y44" s="163"/>
      <c r="Z44" s="162"/>
      <c r="AA44" s="163"/>
      <c r="AB44" s="162"/>
      <c r="AC44" s="163"/>
      <c r="AD44" s="162"/>
      <c r="AE44" s="163"/>
      <c r="AF44" s="162">
        <v>8</v>
      </c>
      <c r="AG44" s="163"/>
      <c r="AH44" s="163"/>
      <c r="AI44" s="162">
        <v>13</v>
      </c>
      <c r="AJ44" s="163"/>
      <c r="AK44" s="162"/>
      <c r="AL44" s="163"/>
      <c r="AM44" s="162"/>
      <c r="AN44" s="163"/>
      <c r="AO44" s="162"/>
      <c r="AP44" s="164"/>
      <c r="AQ44" s="164"/>
      <c r="AR44" s="164"/>
      <c r="AS44" s="164"/>
      <c r="AT44" s="164"/>
      <c r="AU44" s="164"/>
      <c r="AV44" s="164"/>
      <c r="AW44" s="164"/>
      <c r="AX44" s="164"/>
      <c r="AY44" s="165"/>
      <c r="AZ44" s="41"/>
      <c r="BA44" s="190"/>
      <c r="BB44" s="191"/>
      <c r="BC44" s="191"/>
      <c r="BD44" s="191"/>
      <c r="BE44" s="191"/>
      <c r="BF44" s="191"/>
      <c r="BG44" s="191"/>
      <c r="BH44" s="191">
        <v>200</v>
      </c>
      <c r="BI44" s="191"/>
      <c r="BJ44" s="191">
        <v>50</v>
      </c>
      <c r="BK44" s="191"/>
      <c r="BL44" s="191"/>
      <c r="BM44" s="191"/>
      <c r="BN44" s="191"/>
      <c r="BO44" s="191">
        <v>150</v>
      </c>
      <c r="BP44" s="191"/>
      <c r="BQ44" s="191">
        <v>10</v>
      </c>
      <c r="BR44" s="191"/>
      <c r="BS44" s="191"/>
      <c r="BT44" s="191"/>
      <c r="BU44" s="191"/>
      <c r="BV44" s="191">
        <v>100</v>
      </c>
      <c r="BW44" s="191"/>
      <c r="BX44" s="191"/>
      <c r="BY44" s="191"/>
      <c r="BZ44" s="191"/>
      <c r="CA44" s="191"/>
      <c r="CB44" s="191"/>
      <c r="CC44" s="191">
        <v>100</v>
      </c>
      <c r="CD44" s="191"/>
      <c r="CE44" s="192">
        <v>100</v>
      </c>
      <c r="CF44" s="190"/>
      <c r="CG44" s="191"/>
      <c r="CH44" s="191"/>
      <c r="CI44" s="191"/>
      <c r="CJ44" s="191">
        <v>150</v>
      </c>
      <c r="CK44" s="191"/>
      <c r="CL44" s="191">
        <v>100</v>
      </c>
      <c r="CM44" s="191"/>
      <c r="CN44" s="191"/>
      <c r="CO44" s="191"/>
      <c r="CP44" s="191"/>
      <c r="CQ44" s="191">
        <v>200</v>
      </c>
      <c r="CR44" s="191"/>
      <c r="CS44" s="191">
        <v>50</v>
      </c>
      <c r="CT44" s="191"/>
      <c r="CU44" s="191"/>
      <c r="CV44" s="191"/>
      <c r="CW44" s="191"/>
      <c r="CX44" s="191">
        <v>150</v>
      </c>
      <c r="CY44" s="191"/>
      <c r="CZ44" s="191">
        <v>200</v>
      </c>
      <c r="DA44" s="191"/>
      <c r="DB44" s="191"/>
      <c r="DC44" s="191"/>
      <c r="DD44" s="191"/>
      <c r="DE44" s="191">
        <v>150</v>
      </c>
      <c r="DF44" s="191"/>
      <c r="DG44" s="191">
        <v>150</v>
      </c>
      <c r="DH44" s="193"/>
      <c r="DI44" s="194"/>
      <c r="DJ44" s="191"/>
      <c r="DK44" s="191"/>
      <c r="DL44" s="191"/>
      <c r="DM44" s="191"/>
      <c r="DN44" s="191">
        <v>150</v>
      </c>
      <c r="DO44" s="191">
        <v>10</v>
      </c>
      <c r="DP44" s="191"/>
      <c r="DQ44" s="191"/>
      <c r="DR44" s="191"/>
      <c r="DS44" s="191"/>
      <c r="DT44" s="191">
        <v>100</v>
      </c>
      <c r="DU44" s="191"/>
      <c r="DV44" s="191">
        <v>50</v>
      </c>
      <c r="DW44" s="191"/>
      <c r="DX44" s="191"/>
      <c r="DY44" s="191"/>
      <c r="DZ44" s="191"/>
      <c r="EA44" s="191">
        <v>200</v>
      </c>
      <c r="EB44" s="191"/>
      <c r="EC44" s="191">
        <v>200</v>
      </c>
      <c r="ED44" s="191"/>
      <c r="EE44" s="191"/>
      <c r="EF44" s="191"/>
      <c r="EG44" s="191"/>
      <c r="EH44" s="191">
        <v>200</v>
      </c>
      <c r="EI44" s="191"/>
      <c r="EJ44" s="191">
        <v>10</v>
      </c>
      <c r="EK44" s="191"/>
      <c r="EL44" s="191"/>
      <c r="EM44" s="192"/>
      <c r="EN44" s="190"/>
      <c r="EO44" s="191">
        <v>50</v>
      </c>
      <c r="EP44" s="191"/>
      <c r="EQ44" s="191">
        <v>150</v>
      </c>
      <c r="ER44" s="191"/>
      <c r="ES44" s="191"/>
      <c r="ET44" s="191"/>
      <c r="EU44" s="191"/>
      <c r="EV44" s="191">
        <v>50</v>
      </c>
      <c r="EW44" s="191"/>
      <c r="EX44" s="191">
        <v>100</v>
      </c>
      <c r="EY44" s="191"/>
      <c r="EZ44" s="191"/>
      <c r="FA44" s="191"/>
      <c r="FB44" s="191"/>
      <c r="FC44" s="191">
        <v>200</v>
      </c>
      <c r="FD44" s="191"/>
      <c r="FE44" s="191"/>
      <c r="FF44" s="191"/>
      <c r="FG44" s="191"/>
      <c r="FH44" s="191"/>
      <c r="FI44" s="191"/>
      <c r="FJ44" s="191"/>
      <c r="FK44" s="191">
        <v>200</v>
      </c>
      <c r="FL44" s="191">
        <v>50</v>
      </c>
      <c r="FM44" s="191"/>
      <c r="FN44" s="191"/>
      <c r="FO44" s="191"/>
      <c r="FP44" s="191"/>
      <c r="FQ44" s="193">
        <v>150</v>
      </c>
      <c r="FR44" s="194"/>
      <c r="FS44" s="191"/>
      <c r="FT44" s="191"/>
      <c r="FU44" s="191"/>
      <c r="FV44" s="191"/>
      <c r="FW44" s="191"/>
      <c r="FX44" s="191"/>
      <c r="FY44" s="191"/>
      <c r="FZ44" s="191"/>
      <c r="GA44" s="191"/>
      <c r="GB44" s="191"/>
      <c r="GC44" s="191"/>
      <c r="GD44" s="191"/>
      <c r="GE44" s="191"/>
      <c r="GF44" s="191"/>
      <c r="GG44" s="191">
        <v>100</v>
      </c>
      <c r="GH44" s="191"/>
      <c r="GI44" s="191"/>
      <c r="GJ44" s="191"/>
      <c r="GK44" s="191"/>
      <c r="GL44" s="191">
        <v>200</v>
      </c>
      <c r="GM44" s="191"/>
      <c r="GN44" s="191">
        <v>100</v>
      </c>
      <c r="GO44" s="191"/>
      <c r="GP44" s="191"/>
      <c r="GQ44" s="191"/>
      <c r="GR44" s="191"/>
      <c r="GS44" s="191">
        <v>200</v>
      </c>
      <c r="GT44" s="191"/>
      <c r="GU44" s="191">
        <v>100</v>
      </c>
      <c r="GV44" s="192"/>
      <c r="GW44" s="190"/>
      <c r="GX44" s="191"/>
      <c r="GY44" s="191"/>
      <c r="GZ44" s="191"/>
      <c r="HA44" s="191">
        <v>150</v>
      </c>
      <c r="HB44" s="191">
        <v>10</v>
      </c>
      <c r="HC44" s="191"/>
      <c r="HD44" s="191"/>
      <c r="HE44" s="191"/>
      <c r="HF44" s="191"/>
      <c r="HG44" s="191"/>
      <c r="HH44" s="191">
        <v>200</v>
      </c>
      <c r="HI44" s="191">
        <v>10</v>
      </c>
      <c r="HJ44" s="191"/>
      <c r="HK44" s="191"/>
      <c r="HL44" s="191"/>
      <c r="HM44" s="191"/>
      <c r="HN44" s="191">
        <v>100</v>
      </c>
      <c r="HO44" s="191">
        <v>10</v>
      </c>
      <c r="HP44" s="191"/>
      <c r="HQ44" s="191"/>
      <c r="HR44" s="191"/>
      <c r="HS44" s="191"/>
      <c r="HT44" s="191"/>
      <c r="HU44" s="191">
        <v>200</v>
      </c>
      <c r="HV44" s="191"/>
      <c r="HW44" s="191">
        <v>50</v>
      </c>
      <c r="HX44" s="191"/>
      <c r="HY44" s="191"/>
      <c r="HZ44" s="193"/>
      <c r="IA44" s="194"/>
      <c r="IB44" s="191"/>
      <c r="IC44" s="191"/>
      <c r="ID44" s="191">
        <v>200</v>
      </c>
      <c r="IE44" s="191"/>
      <c r="IF44" s="191"/>
      <c r="IG44" s="191"/>
      <c r="IH44" s="191"/>
      <c r="II44" s="191"/>
      <c r="IJ44" s="191"/>
      <c r="IK44" s="191">
        <v>100</v>
      </c>
      <c r="IL44" s="191"/>
      <c r="IM44" s="191"/>
      <c r="IN44" s="191"/>
      <c r="IO44" s="191"/>
      <c r="IP44" s="191"/>
      <c r="IQ44" s="191"/>
      <c r="IR44" s="191">
        <v>200</v>
      </c>
      <c r="IS44" s="191"/>
      <c r="IT44" s="191"/>
      <c r="IU44" s="191"/>
      <c r="IV44" s="191"/>
      <c r="IW44" s="191">
        <v>150</v>
      </c>
      <c r="IX44" s="191"/>
      <c r="IY44" s="191">
        <v>150</v>
      </c>
      <c r="IZ44" s="191"/>
      <c r="JA44" s="191"/>
      <c r="JB44" s="191"/>
      <c r="JC44" s="191"/>
      <c r="JD44" s="191">
        <v>200</v>
      </c>
      <c r="JE44" s="192"/>
      <c r="JF44" s="190">
        <v>150</v>
      </c>
      <c r="JG44" s="191"/>
      <c r="JH44" s="191"/>
      <c r="JI44" s="191"/>
      <c r="JJ44" s="191"/>
      <c r="JK44" s="191">
        <v>200</v>
      </c>
      <c r="JL44" s="191"/>
      <c r="JM44" s="191">
        <v>100</v>
      </c>
      <c r="JN44" s="191"/>
      <c r="JO44" s="191"/>
      <c r="JP44" s="191"/>
      <c r="JQ44" s="191"/>
      <c r="JR44" s="191">
        <v>150</v>
      </c>
      <c r="JS44" s="191">
        <v>50</v>
      </c>
      <c r="JT44" s="191"/>
      <c r="JU44" s="191"/>
      <c r="JV44" s="191"/>
      <c r="JW44" s="191"/>
      <c r="JX44" s="191"/>
      <c r="JY44" s="191">
        <v>100</v>
      </c>
      <c r="JZ44" s="191"/>
      <c r="KA44" s="191"/>
      <c r="KB44" s="191"/>
      <c r="KC44" s="191"/>
      <c r="KD44" s="191"/>
      <c r="KE44" s="191"/>
      <c r="KF44" s="191">
        <v>100</v>
      </c>
      <c r="KG44" s="191"/>
      <c r="KH44" s="191">
        <v>100</v>
      </c>
      <c r="KI44" s="191"/>
      <c r="KJ44" s="193"/>
      <c r="KK44" s="194"/>
      <c r="KL44" s="191"/>
      <c r="KM44" s="191">
        <v>200</v>
      </c>
      <c r="KN44" s="191">
        <v>100</v>
      </c>
      <c r="KO44" s="191">
        <v>10</v>
      </c>
      <c r="KP44" s="191"/>
      <c r="KQ44" s="191"/>
      <c r="KR44" s="191"/>
      <c r="KS44" s="191"/>
      <c r="KT44" s="191"/>
      <c r="KU44" s="191"/>
      <c r="KV44" s="191">
        <v>200</v>
      </c>
      <c r="KW44" s="191"/>
      <c r="KX44" s="191"/>
      <c r="KY44" s="191"/>
      <c r="KZ44" s="191"/>
      <c r="LA44" s="191">
        <v>200</v>
      </c>
      <c r="LB44" s="191"/>
      <c r="LC44" s="191">
        <v>100</v>
      </c>
      <c r="LD44" s="191"/>
      <c r="LE44" s="191"/>
      <c r="LF44" s="191"/>
      <c r="LG44" s="191"/>
      <c r="LH44" s="191"/>
      <c r="LI44" s="191"/>
      <c r="LJ44" s="191">
        <v>10</v>
      </c>
      <c r="LK44" s="191"/>
      <c r="LL44" s="191"/>
      <c r="LM44" s="191"/>
      <c r="LN44" s="192"/>
      <c r="LO44" s="190">
        <v>50</v>
      </c>
      <c r="LP44" s="191"/>
      <c r="LQ44" s="191">
        <v>200</v>
      </c>
      <c r="LR44" s="191"/>
      <c r="LS44" s="191"/>
      <c r="LT44" s="191"/>
      <c r="LU44" s="191"/>
      <c r="LV44" s="191">
        <v>100</v>
      </c>
      <c r="LW44" s="191"/>
      <c r="LX44" s="191">
        <v>100</v>
      </c>
      <c r="LY44" s="191"/>
      <c r="LZ44" s="191"/>
      <c r="MA44" s="191"/>
      <c r="MB44" s="191"/>
      <c r="MC44" s="191"/>
      <c r="MD44" s="191"/>
      <c r="ME44" s="191">
        <v>200</v>
      </c>
      <c r="MF44" s="191"/>
      <c r="MG44" s="191"/>
      <c r="MH44" s="191"/>
      <c r="MI44" s="191"/>
      <c r="MJ44" s="191">
        <v>200</v>
      </c>
      <c r="MK44" s="191"/>
      <c r="ML44" s="191">
        <v>50</v>
      </c>
      <c r="MM44" s="191"/>
      <c r="MN44" s="191"/>
      <c r="MO44" s="191"/>
      <c r="MP44" s="191"/>
      <c r="MQ44" s="191"/>
      <c r="MR44" s="191"/>
      <c r="MS44" s="193">
        <v>200</v>
      </c>
      <c r="MT44" s="194"/>
      <c r="MU44" s="191"/>
      <c r="MV44" s="191"/>
      <c r="MW44" s="191"/>
      <c r="MX44" s="191">
        <v>100</v>
      </c>
      <c r="MY44" s="191"/>
      <c r="MZ44" s="191">
        <v>100</v>
      </c>
      <c r="NA44" s="191"/>
      <c r="NB44" s="191"/>
      <c r="NC44" s="191"/>
      <c r="ND44" s="191"/>
      <c r="NE44" s="191"/>
      <c r="NF44" s="191">
        <v>150</v>
      </c>
      <c r="NG44" s="191">
        <v>10</v>
      </c>
      <c r="NH44" s="191"/>
      <c r="NI44" s="191"/>
      <c r="NJ44" s="191"/>
      <c r="NK44" s="191"/>
      <c r="NL44" s="191">
        <v>150</v>
      </c>
      <c r="NM44" s="191"/>
      <c r="NN44" s="191">
        <v>50</v>
      </c>
      <c r="NO44" s="191"/>
      <c r="NP44" s="191"/>
      <c r="NQ44" s="191"/>
      <c r="NR44" s="191"/>
      <c r="NS44" s="191"/>
      <c r="NT44" s="191"/>
      <c r="NU44" s="191">
        <v>100</v>
      </c>
      <c r="NV44" s="191"/>
      <c r="NW44" s="192"/>
      <c r="NX44" s="190"/>
      <c r="NY44" s="191"/>
      <c r="NZ44" s="191">
        <v>150</v>
      </c>
      <c r="OA44" s="191"/>
      <c r="OB44" s="191">
        <v>10</v>
      </c>
      <c r="OC44" s="191"/>
      <c r="OD44" s="191"/>
      <c r="OE44" s="191"/>
      <c r="OF44" s="191"/>
      <c r="OG44" s="191">
        <v>100</v>
      </c>
      <c r="OH44" s="191"/>
      <c r="OI44" s="191">
        <v>10</v>
      </c>
      <c r="OJ44" s="191"/>
      <c r="OK44" s="191"/>
      <c r="OL44" s="191"/>
      <c r="OM44" s="191"/>
      <c r="ON44" s="191"/>
      <c r="OO44" s="191"/>
      <c r="OP44" s="191"/>
      <c r="OQ44" s="191"/>
      <c r="OR44" s="191"/>
      <c r="OS44" s="191"/>
      <c r="OT44" s="191"/>
      <c r="OU44" s="191"/>
      <c r="OV44" s="191"/>
      <c r="OW44" s="191"/>
      <c r="OX44" s="191"/>
      <c r="OY44" s="191"/>
      <c r="OZ44" s="191"/>
      <c r="PA44" s="191"/>
      <c r="PB44" s="193"/>
      <c r="PC44" s="47"/>
      <c r="PD44" s="154" t="s">
        <v>97</v>
      </c>
      <c r="PE44" s="155" t="s">
        <v>97</v>
      </c>
      <c r="PF44" s="155" t="s">
        <v>98</v>
      </c>
      <c r="PG44" s="155" t="s">
        <v>98</v>
      </c>
      <c r="PH44" s="155" t="s">
        <v>98</v>
      </c>
      <c r="PI44" s="155" t="s">
        <v>98</v>
      </c>
      <c r="PJ44" s="155" t="s">
        <v>98</v>
      </c>
      <c r="PK44" s="155" t="s">
        <v>98</v>
      </c>
      <c r="PL44" s="155" t="s">
        <v>98</v>
      </c>
      <c r="PM44" s="155" t="s">
        <v>98</v>
      </c>
      <c r="PN44" s="155" t="s">
        <v>98</v>
      </c>
      <c r="PO44" s="156"/>
      <c r="PP44" s="156"/>
      <c r="PQ44" s="156"/>
      <c r="PR44" s="156"/>
      <c r="PS44" s="156"/>
      <c r="PT44" s="156"/>
      <c r="PU44" s="156"/>
      <c r="PV44" s="156"/>
      <c r="PW44" s="156"/>
      <c r="PX44" s="195"/>
      <c r="PY44" s="1"/>
      <c r="PZ44" s="196">
        <f t="shared" si="20"/>
        <v>710</v>
      </c>
      <c r="QA44" s="176">
        <f t="shared" si="21"/>
        <v>5.9230833402853095E-3</v>
      </c>
      <c r="QB44" s="177" t="str">
        <f t="shared" ca="1" si="22"/>
        <v>Attente…</v>
      </c>
      <c r="QC44" s="197">
        <f t="shared" si="23"/>
        <v>1150</v>
      </c>
      <c r="QD44" s="179">
        <f t="shared" si="24"/>
        <v>1.0767790262172285E-2</v>
      </c>
      <c r="QE44" s="180" t="str">
        <f t="shared" ca="1" si="25"/>
        <v>Attente…</v>
      </c>
      <c r="QF44" s="196">
        <f t="shared" si="26"/>
        <v>920</v>
      </c>
      <c r="QG44" s="176">
        <f t="shared" si="27"/>
        <v>7.326007326007326E-3</v>
      </c>
      <c r="QH44" s="177" t="str">
        <f t="shared" ca="1" si="28"/>
        <v>Attente…</v>
      </c>
      <c r="QI44" s="197">
        <f t="shared" si="29"/>
        <v>950</v>
      </c>
      <c r="QJ44" s="179">
        <f t="shared" si="30"/>
        <v>6.6629260765885823E-3</v>
      </c>
      <c r="QK44" s="180" t="str">
        <f t="shared" ca="1" si="31"/>
        <v>Attente…</v>
      </c>
      <c r="QL44" s="196">
        <f t="shared" si="32"/>
        <v>700</v>
      </c>
      <c r="QM44" s="176">
        <f t="shared" si="33"/>
        <v>5.1214515657009071E-3</v>
      </c>
      <c r="QN44" s="177" t="str">
        <f t="shared" ca="1" si="34"/>
        <v>Attente…</v>
      </c>
      <c r="QO44" s="197">
        <f t="shared" si="35"/>
        <v>730</v>
      </c>
      <c r="QP44" s="179">
        <f t="shared" si="36"/>
        <v>5.7151804587802398E-3</v>
      </c>
      <c r="QQ44" s="180" t="str">
        <f t="shared" ca="1" si="37"/>
        <v>Attente…</v>
      </c>
      <c r="QR44" s="196">
        <f t="shared" si="38"/>
        <v>1000</v>
      </c>
      <c r="QS44" s="176">
        <f t="shared" si="39"/>
        <v>7.1991648968719631E-3</v>
      </c>
      <c r="QT44" s="177" t="str">
        <f t="shared" ca="1" si="40"/>
        <v>Attente…</v>
      </c>
      <c r="QU44" s="197">
        <f t="shared" si="41"/>
        <v>950</v>
      </c>
      <c r="QV44" s="179">
        <f t="shared" si="42"/>
        <v>6.5499172642029787E-3</v>
      </c>
      <c r="QW44" s="180" t="str">
        <f t="shared" ca="1" si="43"/>
        <v>Attente…</v>
      </c>
      <c r="QX44" s="196">
        <f t="shared" si="44"/>
        <v>820</v>
      </c>
      <c r="QY44" s="176">
        <f t="shared" si="45"/>
        <v>5.9838290668145595E-3</v>
      </c>
      <c r="QZ44" s="177" t="str">
        <f t="shared" ca="1" si="46"/>
        <v>Attente…</v>
      </c>
      <c r="RA44" s="197">
        <f t="shared" si="47"/>
        <v>1100</v>
      </c>
      <c r="RB44" s="179">
        <f t="shared" si="48"/>
        <v>8.6065253110085282E-3</v>
      </c>
      <c r="RC44" s="180" t="str">
        <f t="shared" ca="1" si="49"/>
        <v>Attente…</v>
      </c>
      <c r="RD44" s="196">
        <f t="shared" si="50"/>
        <v>660</v>
      </c>
      <c r="RE44" s="176">
        <f t="shared" si="51"/>
        <v>6.5763252291749699E-3</v>
      </c>
      <c r="RF44" s="177" t="str">
        <f t="shared" ca="1" si="52"/>
        <v>Attente…</v>
      </c>
      <c r="RG44" s="197">
        <f t="shared" si="53"/>
        <v>270</v>
      </c>
      <c r="RH44" s="179">
        <f t="shared" si="54"/>
        <v>4.9659738826558766E-3</v>
      </c>
      <c r="RI44" s="198" t="str">
        <f t="shared" ca="1" si="55"/>
        <v>Attente…</v>
      </c>
      <c r="RJ44" s="199">
        <f t="shared" si="56"/>
        <v>2780</v>
      </c>
      <c r="RK44" s="200" t="str">
        <f t="shared" ca="1" si="13"/>
        <v>Attente…</v>
      </c>
      <c r="RL44" s="199">
        <f t="shared" si="57"/>
        <v>2380</v>
      </c>
      <c r="RM44" s="200" t="str">
        <f t="shared" ca="1" si="58"/>
        <v>Atttente…</v>
      </c>
      <c r="RN44" s="199">
        <f t="shared" si="59"/>
        <v>2770</v>
      </c>
      <c r="RO44" s="200" t="str">
        <f t="shared" ca="1" si="14"/>
        <v>Attente…</v>
      </c>
      <c r="RP44" s="199">
        <f t="shared" si="60"/>
        <v>2030</v>
      </c>
      <c r="RQ44" s="200" t="str">
        <f t="shared" ca="1" si="15"/>
        <v>Attente…</v>
      </c>
      <c r="RR44" s="201">
        <f t="shared" si="61"/>
        <v>9960</v>
      </c>
      <c r="RS44" s="202" t="str">
        <f t="shared" ca="1" si="16"/>
        <v>Attente…</v>
      </c>
      <c r="RT44" s="103"/>
      <c r="RU44" s="203">
        <f t="shared" si="62"/>
        <v>0.59285714285714286</v>
      </c>
      <c r="RV44" s="204">
        <f t="shared" si="65"/>
        <v>1</v>
      </c>
      <c r="RW44" s="204">
        <f t="shared" si="65"/>
        <v>2</v>
      </c>
      <c r="RX44" s="204">
        <f t="shared" si="63"/>
        <v>84</v>
      </c>
      <c r="RY44" s="205" t="str">
        <f t="shared" si="64"/>
        <v>SAINT-JEAN-DU-CARDONNAY - Côte de la Valette (Déchetterie de Maromme - 8h30 /18h30)</v>
      </c>
      <c r="RZ44" s="189" t="str">
        <f>IF(OR(RZ43="",RZ43="  &lt;/Document&gt;
&lt;/kml&gt;"),"",
IF(B44="","  &lt;/Document&gt;
&lt;/kml&gt;",
IF(TournéesCAV!Q37=""," ",
"    &lt;Placemark&gt;
      &lt;description&gt;&lt;![CDATA["&amp;B44&amp;"&lt;br&gt;&lt;br&gt;"&amp;RV44&amp;" CAV&lt;br&gt;&lt;br&gt;Présent sur "&amp;RW44&amp;" tournée(s)&lt;br&gt;&lt;br&gt;Taux de remplissage moyen "&amp;TEXT(RU44*1000,"0 %")&amp;"]]&gt;&lt;/description&gt;
      &lt;Style&gt;
        &lt;IconStyle&gt;
          &lt;color&gt;ff"&amp;
          DEC2HEX(0,2)&amp;
          DEC2HEX(
            IF(RU44&lt;=0.5,
               INT(255*(RU44*2)),
               255
            ),2)&amp;
          DEC2HEX(
            IF(RU44&lt;=0.5,
               255,
               INT(255*(1-(RU44-0.5)*2))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&lt;Point&gt;&lt;coordinates&gt;"&amp;R44&amp;","&amp;Q44&amp;",0&lt;/coordinates&gt;&lt;/Point&gt;
    &lt;/Placemark&gt;"
)))</f>
        <v xml:space="preserve">    &lt;Placemark&gt;
      &lt;description&gt;&lt;![CDATA[SAINT-JEAN-DU-CARDONNAY - Côte de la Valette (Déchetterie de Maromme - 8h30 /18h30)&lt;br&gt;&lt;br&gt;1 CAV&lt;br&gt;&lt;br&gt;Présent sur 2 tournée(s)&lt;br&gt;&lt;br&gt;Taux de remplissage moyen 59%]]&gt;&lt;/description&gt;
      &lt;Style&gt;
        &lt;IconStyle&gt;
          &lt;color&gt;ff00FFCF&lt;/color&gt;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&lt;Point&gt;&lt;coordinates&gt;1.0248914560668787,49.487386476098955,0&lt;/coordinates&gt;&lt;/Point&gt;
    &lt;/Placemark&gt;</v>
      </c>
    </row>
    <row r="45" spans="2:494" ht="15" hidden="1" customHeight="1" x14ac:dyDescent="0.35">
      <c r="B45" s="208" t="str">
        <f t="shared" si="17"/>
        <v>ROUEN - 64 Boulevard d'Orléans (En face du Coccinelle)</v>
      </c>
      <c r="C45" s="154"/>
      <c r="D45" s="155"/>
      <c r="E45" s="155"/>
      <c r="F45" s="155"/>
      <c r="G45" s="155"/>
      <c r="H45" s="155"/>
      <c r="I45" s="155"/>
      <c r="J45" s="156"/>
      <c r="K45" s="157">
        <f t="shared" si="18"/>
        <v>0</v>
      </c>
      <c r="L45" s="157">
        <f t="shared" si="19"/>
        <v>0</v>
      </c>
      <c r="M45" s="158" t="s">
        <v>306</v>
      </c>
      <c r="N45" s="159" t="s">
        <v>307</v>
      </c>
      <c r="O45" s="159">
        <v>76000</v>
      </c>
      <c r="P45" s="159" t="s">
        <v>90</v>
      </c>
      <c r="Q45" s="159"/>
      <c r="R45" s="159"/>
      <c r="S45" s="159" t="s">
        <v>93</v>
      </c>
      <c r="T45" s="159" t="s">
        <v>94</v>
      </c>
      <c r="U45" s="159" t="s">
        <v>308</v>
      </c>
      <c r="V45" s="160" t="s">
        <v>96</v>
      </c>
      <c r="W45" s="161"/>
      <c r="X45" s="162"/>
      <c r="Y45" s="163"/>
      <c r="Z45" s="162"/>
      <c r="AA45" s="163"/>
      <c r="AB45" s="162"/>
      <c r="AC45" s="163"/>
      <c r="AD45" s="162"/>
      <c r="AE45" s="163"/>
      <c r="AF45" s="162"/>
      <c r="AG45" s="163"/>
      <c r="AH45" s="163"/>
      <c r="AI45" s="162"/>
      <c r="AJ45" s="163"/>
      <c r="AK45" s="162"/>
      <c r="AL45" s="163"/>
      <c r="AM45" s="162"/>
      <c r="AN45" s="163"/>
      <c r="AO45" s="162"/>
      <c r="AP45" s="164"/>
      <c r="AQ45" s="164"/>
      <c r="AR45" s="164"/>
      <c r="AS45" s="164"/>
      <c r="AT45" s="164"/>
      <c r="AU45" s="164"/>
      <c r="AV45" s="164"/>
      <c r="AW45" s="164"/>
      <c r="AX45" s="164"/>
      <c r="AY45" s="165"/>
      <c r="AZ45" s="41"/>
      <c r="BA45" s="190"/>
      <c r="BB45" s="191">
        <v>150</v>
      </c>
      <c r="BC45" s="191"/>
      <c r="BD45" s="191"/>
      <c r="BE45" s="191"/>
      <c r="BF45" s="191">
        <v>10</v>
      </c>
      <c r="BG45" s="191"/>
      <c r="BH45" s="191"/>
      <c r="BI45" s="191">
        <v>10</v>
      </c>
      <c r="BJ45" s="191"/>
      <c r="BK45" s="191"/>
      <c r="BL45" s="191"/>
      <c r="BM45" s="191"/>
      <c r="BN45" s="191"/>
      <c r="BO45" s="191"/>
      <c r="BP45" s="191">
        <v>10</v>
      </c>
      <c r="BQ45" s="191"/>
      <c r="BR45" s="191"/>
      <c r="BS45" s="191"/>
      <c r="BT45" s="191">
        <v>50</v>
      </c>
      <c r="BU45" s="191"/>
      <c r="BV45" s="191"/>
      <c r="BW45" s="191">
        <v>50</v>
      </c>
      <c r="BX45" s="191"/>
      <c r="BY45" s="191"/>
      <c r="BZ45" s="191"/>
      <c r="CA45" s="191"/>
      <c r="CB45" s="191"/>
      <c r="CC45" s="191"/>
      <c r="CD45" s="191">
        <v>10</v>
      </c>
      <c r="CE45" s="192"/>
      <c r="CF45" s="190"/>
      <c r="CG45" s="191"/>
      <c r="CH45" s="191">
        <v>10</v>
      </c>
      <c r="CI45" s="191"/>
      <c r="CJ45" s="191"/>
      <c r="CK45" s="191">
        <v>50</v>
      </c>
      <c r="CL45" s="191"/>
      <c r="CM45" s="191"/>
      <c r="CN45" s="191"/>
      <c r="CO45" s="191">
        <v>50</v>
      </c>
      <c r="CP45" s="191"/>
      <c r="CQ45" s="191"/>
      <c r="CR45" s="191">
        <v>50</v>
      </c>
      <c r="CS45" s="191"/>
      <c r="CT45" s="191"/>
      <c r="CU45" s="191"/>
      <c r="CV45" s="191">
        <v>100</v>
      </c>
      <c r="CW45" s="191"/>
      <c r="CX45" s="191"/>
      <c r="CY45" s="191">
        <v>50</v>
      </c>
      <c r="CZ45" s="191"/>
      <c r="DA45" s="191"/>
      <c r="DB45" s="191"/>
      <c r="DC45" s="191">
        <v>10</v>
      </c>
      <c r="DD45" s="191"/>
      <c r="DE45" s="191"/>
      <c r="DF45" s="191">
        <v>50</v>
      </c>
      <c r="DG45" s="191"/>
      <c r="DH45" s="193"/>
      <c r="DI45" s="194"/>
      <c r="DJ45" s="191"/>
      <c r="DK45" s="191">
        <v>10</v>
      </c>
      <c r="DL45" s="191"/>
      <c r="DM45" s="191"/>
      <c r="DN45" s="191"/>
      <c r="DO45" s="191"/>
      <c r="DP45" s="191"/>
      <c r="DQ45" s="191"/>
      <c r="DR45" s="191"/>
      <c r="DS45" s="191"/>
      <c r="DT45" s="191"/>
      <c r="DU45" s="191"/>
      <c r="DV45" s="191"/>
      <c r="DW45" s="191"/>
      <c r="DX45" s="191"/>
      <c r="DY45" s="191">
        <v>50</v>
      </c>
      <c r="DZ45" s="191"/>
      <c r="EA45" s="191"/>
      <c r="EB45" s="191"/>
      <c r="EC45" s="191"/>
      <c r="ED45" s="191"/>
      <c r="EE45" s="191"/>
      <c r="EF45" s="191"/>
      <c r="EG45" s="191"/>
      <c r="EH45" s="191"/>
      <c r="EI45" s="191"/>
      <c r="EJ45" s="191"/>
      <c r="EK45" s="191"/>
      <c r="EL45" s="191"/>
      <c r="EM45" s="192"/>
      <c r="EN45" s="190"/>
      <c r="EO45" s="191"/>
      <c r="EP45" s="191"/>
      <c r="EQ45" s="191"/>
      <c r="ER45" s="191"/>
      <c r="ES45" s="191"/>
      <c r="ET45" s="191"/>
      <c r="EU45" s="191"/>
      <c r="EV45" s="191"/>
      <c r="EW45" s="191"/>
      <c r="EX45" s="191"/>
      <c r="EY45" s="191"/>
      <c r="EZ45" s="191"/>
      <c r="FA45" s="191"/>
      <c r="FB45" s="191"/>
      <c r="FC45" s="191"/>
      <c r="FD45" s="191"/>
      <c r="FE45" s="191"/>
      <c r="FF45" s="191"/>
      <c r="FG45" s="191"/>
      <c r="FH45" s="191"/>
      <c r="FI45" s="191"/>
      <c r="FJ45" s="191"/>
      <c r="FK45" s="191"/>
      <c r="FL45" s="191"/>
      <c r="FM45" s="191"/>
      <c r="FN45" s="191"/>
      <c r="FO45" s="191"/>
      <c r="FP45" s="191"/>
      <c r="FQ45" s="193"/>
      <c r="FR45" s="194"/>
      <c r="FS45" s="191"/>
      <c r="FT45" s="191"/>
      <c r="FU45" s="191"/>
      <c r="FV45" s="191"/>
      <c r="FW45" s="191"/>
      <c r="FX45" s="191"/>
      <c r="FY45" s="191"/>
      <c r="FZ45" s="191"/>
      <c r="GA45" s="191"/>
      <c r="GB45" s="191"/>
      <c r="GC45" s="191"/>
      <c r="GD45" s="191"/>
      <c r="GE45" s="191"/>
      <c r="GF45" s="191">
        <v>10</v>
      </c>
      <c r="GG45" s="191"/>
      <c r="GH45" s="191"/>
      <c r="GI45" s="191"/>
      <c r="GJ45" s="191"/>
      <c r="GK45" s="191"/>
      <c r="GL45" s="191"/>
      <c r="GM45" s="191"/>
      <c r="GN45" s="191"/>
      <c r="GO45" s="191"/>
      <c r="GP45" s="191"/>
      <c r="GQ45" s="191"/>
      <c r="GR45" s="191"/>
      <c r="GS45" s="191"/>
      <c r="GT45" s="191"/>
      <c r="GU45" s="191"/>
      <c r="GV45" s="192"/>
      <c r="GW45" s="190"/>
      <c r="GX45" s="191"/>
      <c r="GY45" s="191"/>
      <c r="GZ45" s="191"/>
      <c r="HA45" s="191"/>
      <c r="HB45" s="191"/>
      <c r="HC45" s="191"/>
      <c r="HD45" s="191"/>
      <c r="HE45" s="191"/>
      <c r="HF45" s="191"/>
      <c r="HG45" s="191"/>
      <c r="HH45" s="191"/>
      <c r="HI45" s="191"/>
      <c r="HJ45" s="191"/>
      <c r="HK45" s="191"/>
      <c r="HL45" s="191"/>
      <c r="HM45" s="191"/>
      <c r="HN45" s="191"/>
      <c r="HO45" s="191"/>
      <c r="HP45" s="191"/>
      <c r="HQ45" s="191"/>
      <c r="HR45" s="191"/>
      <c r="HS45" s="191"/>
      <c r="HT45" s="191"/>
      <c r="HU45" s="191"/>
      <c r="HV45" s="191"/>
      <c r="HW45" s="191"/>
      <c r="HX45" s="191"/>
      <c r="HY45" s="191"/>
      <c r="HZ45" s="193">
        <v>50</v>
      </c>
      <c r="IA45" s="194"/>
      <c r="IB45" s="191"/>
      <c r="IC45" s="191"/>
      <c r="ID45" s="191"/>
      <c r="IE45" s="191"/>
      <c r="IF45" s="191"/>
      <c r="IG45" s="191"/>
      <c r="IH45" s="191"/>
      <c r="II45" s="191"/>
      <c r="IJ45" s="191"/>
      <c r="IK45" s="191"/>
      <c r="IL45" s="191"/>
      <c r="IM45" s="191"/>
      <c r="IN45" s="191"/>
      <c r="IO45" s="191"/>
      <c r="IP45" s="191"/>
      <c r="IQ45" s="191"/>
      <c r="IR45" s="191"/>
      <c r="IS45" s="191"/>
      <c r="IT45" s="191"/>
      <c r="IU45" s="191"/>
      <c r="IV45" s="191"/>
      <c r="IW45" s="191"/>
      <c r="IX45" s="191"/>
      <c r="IY45" s="191"/>
      <c r="IZ45" s="191"/>
      <c r="JA45" s="191"/>
      <c r="JB45" s="191"/>
      <c r="JC45" s="191"/>
      <c r="JD45" s="191"/>
      <c r="JE45" s="192"/>
      <c r="JF45" s="190"/>
      <c r="JG45" s="191"/>
      <c r="JH45" s="191"/>
      <c r="JI45" s="191"/>
      <c r="JJ45" s="191"/>
      <c r="JK45" s="191"/>
      <c r="JL45" s="191">
        <v>50</v>
      </c>
      <c r="JM45" s="191"/>
      <c r="JN45" s="191"/>
      <c r="JO45" s="191"/>
      <c r="JP45" s="191"/>
      <c r="JQ45" s="191"/>
      <c r="JR45" s="191"/>
      <c r="JS45" s="191"/>
      <c r="JT45" s="191"/>
      <c r="JU45" s="191"/>
      <c r="JV45" s="191"/>
      <c r="JW45" s="191"/>
      <c r="JX45" s="191"/>
      <c r="JY45" s="191"/>
      <c r="JZ45" s="191"/>
      <c r="KA45" s="191"/>
      <c r="KB45" s="191"/>
      <c r="KC45" s="191"/>
      <c r="KD45" s="191"/>
      <c r="KE45" s="191"/>
      <c r="KF45" s="191"/>
      <c r="KG45" s="191"/>
      <c r="KH45" s="191"/>
      <c r="KI45" s="191"/>
      <c r="KJ45" s="193"/>
      <c r="KK45" s="194"/>
      <c r="KL45" s="191"/>
      <c r="KM45" s="191"/>
      <c r="KN45" s="191"/>
      <c r="KO45" s="191"/>
      <c r="KP45" s="191"/>
      <c r="KQ45" s="191"/>
      <c r="KR45" s="191"/>
      <c r="KS45" s="191"/>
      <c r="KT45" s="191"/>
      <c r="KU45" s="191"/>
      <c r="KV45" s="191"/>
      <c r="KW45" s="191"/>
      <c r="KX45" s="191"/>
      <c r="KY45" s="191"/>
      <c r="KZ45" s="191"/>
      <c r="LA45" s="191"/>
      <c r="LB45" s="191"/>
      <c r="LC45" s="191"/>
      <c r="LD45" s="191"/>
      <c r="LE45" s="191"/>
      <c r="LF45" s="191"/>
      <c r="LG45" s="191"/>
      <c r="LH45" s="191"/>
      <c r="LI45" s="191"/>
      <c r="LJ45" s="191"/>
      <c r="LK45" s="191"/>
      <c r="LL45" s="191"/>
      <c r="LM45" s="191"/>
      <c r="LN45" s="192"/>
      <c r="LO45" s="190"/>
      <c r="LP45" s="191"/>
      <c r="LQ45" s="191"/>
      <c r="LR45" s="191"/>
      <c r="LS45" s="191"/>
      <c r="LT45" s="191"/>
      <c r="LU45" s="191"/>
      <c r="LV45" s="191"/>
      <c r="LW45" s="191"/>
      <c r="LX45" s="191"/>
      <c r="LY45" s="191"/>
      <c r="LZ45" s="191"/>
      <c r="MA45" s="191"/>
      <c r="MB45" s="191"/>
      <c r="MC45" s="191"/>
      <c r="MD45" s="191"/>
      <c r="ME45" s="191"/>
      <c r="MF45" s="191"/>
      <c r="MG45" s="191"/>
      <c r="MH45" s="191"/>
      <c r="MI45" s="191"/>
      <c r="MJ45" s="191"/>
      <c r="MK45" s="191"/>
      <c r="ML45" s="191"/>
      <c r="MM45" s="191"/>
      <c r="MN45" s="191"/>
      <c r="MO45" s="191"/>
      <c r="MP45" s="191"/>
      <c r="MQ45" s="191"/>
      <c r="MR45" s="191"/>
      <c r="MS45" s="193"/>
      <c r="MT45" s="194"/>
      <c r="MU45" s="191"/>
      <c r="MV45" s="191"/>
      <c r="MW45" s="191"/>
      <c r="MX45" s="191"/>
      <c r="MY45" s="191"/>
      <c r="MZ45" s="191"/>
      <c r="NA45" s="191"/>
      <c r="NB45" s="191"/>
      <c r="NC45" s="191"/>
      <c r="ND45" s="191"/>
      <c r="NE45" s="191"/>
      <c r="NF45" s="191"/>
      <c r="NG45" s="191"/>
      <c r="NH45" s="191"/>
      <c r="NI45" s="191"/>
      <c r="NJ45" s="191"/>
      <c r="NK45" s="191"/>
      <c r="NL45" s="191"/>
      <c r="NM45" s="191"/>
      <c r="NN45" s="191"/>
      <c r="NO45" s="191"/>
      <c r="NP45" s="191"/>
      <c r="NQ45" s="191"/>
      <c r="NR45" s="191"/>
      <c r="NS45" s="191"/>
      <c r="NT45" s="191"/>
      <c r="NU45" s="191"/>
      <c r="NV45" s="191"/>
      <c r="NW45" s="192"/>
      <c r="NX45" s="190"/>
      <c r="NY45" s="191"/>
      <c r="NZ45" s="191"/>
      <c r="OA45" s="191"/>
      <c r="OB45" s="191"/>
      <c r="OC45" s="191"/>
      <c r="OD45" s="191"/>
      <c r="OE45" s="191"/>
      <c r="OF45" s="191"/>
      <c r="OG45" s="191"/>
      <c r="OH45" s="191"/>
      <c r="OI45" s="191"/>
      <c r="OJ45" s="191"/>
      <c r="OK45" s="191"/>
      <c r="OL45" s="191"/>
      <c r="OM45" s="191"/>
      <c r="ON45" s="191"/>
      <c r="OO45" s="191"/>
      <c r="OP45" s="191"/>
      <c r="OQ45" s="191"/>
      <c r="OR45" s="191"/>
      <c r="OS45" s="191"/>
      <c r="OT45" s="191"/>
      <c r="OU45" s="191"/>
      <c r="OV45" s="191"/>
      <c r="OW45" s="191"/>
      <c r="OX45" s="191"/>
      <c r="OY45" s="191"/>
      <c r="OZ45" s="191"/>
      <c r="PA45" s="191"/>
      <c r="PB45" s="193"/>
      <c r="PC45" s="47"/>
      <c r="PD45" s="154" t="s">
        <v>97</v>
      </c>
      <c r="PE45" s="155" t="s">
        <v>98</v>
      </c>
      <c r="PF45" s="155" t="s">
        <v>98</v>
      </c>
      <c r="PG45" s="155" t="s">
        <v>98</v>
      </c>
      <c r="PH45" s="155" t="s">
        <v>98</v>
      </c>
      <c r="PI45" s="155" t="s">
        <v>98</v>
      </c>
      <c r="PJ45" s="155" t="s">
        <v>98</v>
      </c>
      <c r="PK45" s="155" t="s">
        <v>98</v>
      </c>
      <c r="PL45" s="155" t="s">
        <v>98</v>
      </c>
      <c r="PM45" s="155" t="s">
        <v>98</v>
      </c>
      <c r="PN45" s="155" t="s">
        <v>98</v>
      </c>
      <c r="PO45" s="156"/>
      <c r="PP45" s="156"/>
      <c r="PQ45" s="156"/>
      <c r="PR45" s="156"/>
      <c r="PS45" s="156"/>
      <c r="PT45" s="156"/>
      <c r="PU45" s="156"/>
      <c r="PV45" s="156"/>
      <c r="PW45" s="156"/>
      <c r="PX45" s="195"/>
      <c r="PY45" s="1"/>
      <c r="PZ45" s="196">
        <f t="shared" si="20"/>
        <v>290</v>
      </c>
      <c r="QA45" s="176">
        <f t="shared" si="21"/>
        <v>2.4192875615249854E-3</v>
      </c>
      <c r="QB45" s="177" t="str">
        <f t="shared" ca="1" si="22"/>
        <v>Attente…</v>
      </c>
      <c r="QC45" s="197">
        <f t="shared" si="23"/>
        <v>370</v>
      </c>
      <c r="QD45" s="179">
        <f t="shared" si="24"/>
        <v>3.4644194756554307E-3</v>
      </c>
      <c r="QE45" s="180" t="str">
        <f t="shared" ca="1" si="25"/>
        <v>Attente…</v>
      </c>
      <c r="QF45" s="196">
        <f t="shared" si="26"/>
        <v>60</v>
      </c>
      <c r="QG45" s="176">
        <f t="shared" si="27"/>
        <v>4.7778308647873863E-4</v>
      </c>
      <c r="QH45" s="177" t="str">
        <f t="shared" ca="1" si="28"/>
        <v>Attente…</v>
      </c>
      <c r="QI45" s="197">
        <f t="shared" si="29"/>
        <v>0</v>
      </c>
      <c r="QJ45" s="179">
        <f t="shared" si="30"/>
        <v>0</v>
      </c>
      <c r="QK45" s="180" t="str">
        <f t="shared" ca="1" si="31"/>
        <v>Attente…</v>
      </c>
      <c r="QL45" s="196">
        <f t="shared" si="32"/>
        <v>10</v>
      </c>
      <c r="QM45" s="176">
        <f t="shared" si="33"/>
        <v>7.3163593795727246E-5</v>
      </c>
      <c r="QN45" s="177" t="str">
        <f t="shared" ca="1" si="34"/>
        <v>Attente…</v>
      </c>
      <c r="QO45" s="197">
        <f t="shared" si="35"/>
        <v>50</v>
      </c>
      <c r="QP45" s="179">
        <f t="shared" si="36"/>
        <v>3.9145071635481092E-4</v>
      </c>
      <c r="QQ45" s="180" t="str">
        <f t="shared" ca="1" si="37"/>
        <v>Attente…</v>
      </c>
      <c r="QR45" s="196">
        <f t="shared" si="38"/>
        <v>0</v>
      </c>
      <c r="QS45" s="176">
        <f t="shared" si="39"/>
        <v>0</v>
      </c>
      <c r="QT45" s="177" t="str">
        <f t="shared" ca="1" si="40"/>
        <v>Attente…</v>
      </c>
      <c r="QU45" s="197">
        <f t="shared" si="41"/>
        <v>50</v>
      </c>
      <c r="QV45" s="179">
        <f t="shared" si="42"/>
        <v>3.4473248758963045E-4</v>
      </c>
      <c r="QW45" s="180" t="str">
        <f t="shared" ca="1" si="43"/>
        <v>Attente…</v>
      </c>
      <c r="QX45" s="196">
        <f t="shared" si="44"/>
        <v>0</v>
      </c>
      <c r="QY45" s="176">
        <f t="shared" si="45"/>
        <v>0</v>
      </c>
      <c r="QZ45" s="177" t="str">
        <f t="shared" ca="1" si="46"/>
        <v>Attente…</v>
      </c>
      <c r="RA45" s="197">
        <f t="shared" si="47"/>
        <v>0</v>
      </c>
      <c r="RB45" s="179">
        <f t="shared" si="48"/>
        <v>0</v>
      </c>
      <c r="RC45" s="180" t="str">
        <f t="shared" ca="1" si="49"/>
        <v>Attente…</v>
      </c>
      <c r="RD45" s="196">
        <f t="shared" si="50"/>
        <v>0</v>
      </c>
      <c r="RE45" s="176">
        <f t="shared" si="51"/>
        <v>0</v>
      </c>
      <c r="RF45" s="177" t="str">
        <f t="shared" ca="1" si="52"/>
        <v>Attente…</v>
      </c>
      <c r="RG45" s="197">
        <f t="shared" si="53"/>
        <v>0</v>
      </c>
      <c r="RH45" s="179">
        <f t="shared" si="54"/>
        <v>0</v>
      </c>
      <c r="RI45" s="198" t="str">
        <f t="shared" ca="1" si="55"/>
        <v>Attente…</v>
      </c>
      <c r="RJ45" s="199">
        <f t="shared" si="56"/>
        <v>720</v>
      </c>
      <c r="RK45" s="200" t="str">
        <f t="shared" ca="1" si="13"/>
        <v>Attente…</v>
      </c>
      <c r="RL45" s="199">
        <f t="shared" si="57"/>
        <v>60</v>
      </c>
      <c r="RM45" s="200" t="str">
        <f t="shared" ca="1" si="58"/>
        <v>Atttente…</v>
      </c>
      <c r="RN45" s="199">
        <f t="shared" si="59"/>
        <v>50</v>
      </c>
      <c r="RO45" s="200" t="str">
        <f t="shared" ca="1" si="14"/>
        <v>Attente…</v>
      </c>
      <c r="RP45" s="199">
        <f t="shared" si="60"/>
        <v>0</v>
      </c>
      <c r="RQ45" s="200" t="str">
        <f t="shared" ca="1" si="15"/>
        <v>Attente…</v>
      </c>
      <c r="RR45" s="201">
        <f t="shared" si="61"/>
        <v>830</v>
      </c>
      <c r="RS45" s="202" t="str">
        <f t="shared" ca="1" si="16"/>
        <v>Attente…</v>
      </c>
      <c r="RT45" s="103"/>
      <c r="RU45" s="203" t="str">
        <f t="shared" si="62"/>
        <v/>
      </c>
      <c r="RV45" s="204">
        <f t="shared" si="65"/>
        <v>0</v>
      </c>
      <c r="RW45" s="204">
        <f t="shared" si="65"/>
        <v>0</v>
      </c>
      <c r="RX45" s="204">
        <f t="shared" si="63"/>
        <v>20</v>
      </c>
      <c r="RY45" s="205" t="str">
        <f t="shared" si="64"/>
        <v>ROUEN - 64 Boulevard d'Orléans (En face du Coccinelle)</v>
      </c>
      <c r="RZ45" s="189" t="str">
        <f>IF(OR(RZ44="",RZ44="  &lt;/Document&gt;
&lt;/kml&gt;"),"",
IF(B45="","  &lt;/Document&gt;
&lt;/kml&gt;",
IF(TournéesCAV!Q45=""," ",
"    &lt;Placemark&gt;
      &lt;description&gt;&lt;![CDATA["&amp;B45&amp;"&lt;br&gt;&lt;br&gt;"&amp;RV45&amp;" CAV&lt;br&gt;&lt;br&gt;Présent sur "&amp;RW45&amp;" tournée(s)&lt;br&gt;&lt;br&gt;Taux de remplissage moyen "&amp;TEXT(RU45*1000,"0 %")&amp;"]]&gt;&lt;/description&gt;
      &lt;Style&gt;
        &lt;IconStyle&gt;
          &lt;color&gt;ff"&amp;
          DEC2HEX(0,2)&amp;
          DEC2HEX(
            IF(RU45&lt;=0.5,
               INT(255*(RU45*2)),
               255
            ),2)&amp;
          DEC2HEX(
            IF(RU45&lt;=0.5,
               255,
               INT(255*(1-(RU45-0.5)*2))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&lt;Point&gt;&lt;coordinates&gt;"&amp;R45&amp;","&amp;Q45&amp;",0&lt;/coordinates&gt;&lt;/Point&gt;
    &lt;/Placemark&gt;"
)))</f>
        <v xml:space="preserve"> </v>
      </c>
    </row>
    <row r="46" spans="2:494" ht="15" hidden="1" customHeight="1" x14ac:dyDescent="0.35">
      <c r="B46" s="153" t="str">
        <f t="shared" si="17"/>
        <v>LE MESNIL-ESNARD - 3 Rue Gontran Pailhès (Carrefour Market)</v>
      </c>
      <c r="C46" s="154">
        <v>68</v>
      </c>
      <c r="D46" s="155">
        <v>75</v>
      </c>
      <c r="E46" s="155"/>
      <c r="F46" s="155"/>
      <c r="G46" s="155"/>
      <c r="H46" s="155"/>
      <c r="I46" s="155"/>
      <c r="J46" s="156"/>
      <c r="K46" s="157">
        <f t="shared" si="18"/>
        <v>2</v>
      </c>
      <c r="L46" s="157">
        <f t="shared" si="19"/>
        <v>3</v>
      </c>
      <c r="M46" s="158" t="s">
        <v>309</v>
      </c>
      <c r="N46" s="159" t="s">
        <v>310</v>
      </c>
      <c r="O46" s="159">
        <v>76240</v>
      </c>
      <c r="P46" s="159" t="s">
        <v>311</v>
      </c>
      <c r="Q46" s="159" t="s">
        <v>312</v>
      </c>
      <c r="R46" s="159" t="s">
        <v>313</v>
      </c>
      <c r="S46" s="159" t="s">
        <v>93</v>
      </c>
      <c r="T46" s="159" t="s">
        <v>110</v>
      </c>
      <c r="U46" s="159" t="s">
        <v>314</v>
      </c>
      <c r="V46" s="160" t="s">
        <v>96</v>
      </c>
      <c r="W46" s="161"/>
      <c r="X46" s="162"/>
      <c r="Y46" s="163"/>
      <c r="Z46" s="162"/>
      <c r="AA46" s="163"/>
      <c r="AB46" s="162"/>
      <c r="AC46" s="163"/>
      <c r="AD46" s="162">
        <v>4</v>
      </c>
      <c r="AE46" s="163">
        <v>4</v>
      </c>
      <c r="AF46" s="162">
        <v>9</v>
      </c>
      <c r="AG46" s="163"/>
      <c r="AH46" s="163"/>
      <c r="AI46" s="162"/>
      <c r="AJ46" s="163"/>
      <c r="AK46" s="162"/>
      <c r="AL46" s="163"/>
      <c r="AM46" s="162"/>
      <c r="AN46" s="163"/>
      <c r="AO46" s="162"/>
      <c r="AP46" s="164"/>
      <c r="AQ46" s="164"/>
      <c r="AR46" s="164"/>
      <c r="AS46" s="164"/>
      <c r="AT46" s="164"/>
      <c r="AU46" s="164"/>
      <c r="AV46" s="164"/>
      <c r="AW46" s="164"/>
      <c r="AX46" s="164"/>
      <c r="AY46" s="165"/>
      <c r="AZ46" s="41"/>
      <c r="BA46" s="190"/>
      <c r="BB46" s="191"/>
      <c r="BC46" s="191"/>
      <c r="BD46" s="191"/>
      <c r="BE46" s="191"/>
      <c r="BF46" s="191">
        <v>400</v>
      </c>
      <c r="BG46" s="191"/>
      <c r="BH46" s="191">
        <v>250</v>
      </c>
      <c r="BI46" s="191"/>
      <c r="BJ46" s="191">
        <v>160</v>
      </c>
      <c r="BK46" s="191"/>
      <c r="BL46" s="191"/>
      <c r="BM46" s="191">
        <v>100</v>
      </c>
      <c r="BN46" s="191"/>
      <c r="BO46" s="191">
        <v>160</v>
      </c>
      <c r="BP46" s="191"/>
      <c r="BQ46" s="191">
        <v>160</v>
      </c>
      <c r="BR46" s="191"/>
      <c r="BS46" s="191"/>
      <c r="BT46" s="191">
        <v>250</v>
      </c>
      <c r="BU46" s="191"/>
      <c r="BV46" s="191">
        <v>60</v>
      </c>
      <c r="BW46" s="191"/>
      <c r="BX46" s="191">
        <v>110</v>
      </c>
      <c r="BY46" s="191"/>
      <c r="BZ46" s="191"/>
      <c r="CA46" s="191">
        <v>200</v>
      </c>
      <c r="CB46" s="191"/>
      <c r="CC46" s="191">
        <v>100</v>
      </c>
      <c r="CD46" s="191"/>
      <c r="CE46" s="192">
        <v>110</v>
      </c>
      <c r="CF46" s="190"/>
      <c r="CG46" s="191"/>
      <c r="CH46" s="191">
        <v>150</v>
      </c>
      <c r="CI46" s="191"/>
      <c r="CJ46" s="191">
        <v>150</v>
      </c>
      <c r="CK46" s="191"/>
      <c r="CL46" s="191">
        <v>200</v>
      </c>
      <c r="CM46" s="191"/>
      <c r="CN46" s="191"/>
      <c r="CO46" s="191">
        <v>200</v>
      </c>
      <c r="CP46" s="191"/>
      <c r="CQ46" s="191">
        <v>160</v>
      </c>
      <c r="CR46" s="191"/>
      <c r="CS46" s="191">
        <v>100</v>
      </c>
      <c r="CT46" s="191"/>
      <c r="CU46" s="191"/>
      <c r="CV46" s="191">
        <v>250</v>
      </c>
      <c r="CW46" s="191"/>
      <c r="CX46" s="191">
        <v>160</v>
      </c>
      <c r="CY46" s="191"/>
      <c r="CZ46" s="191">
        <v>110</v>
      </c>
      <c r="DA46" s="191"/>
      <c r="DB46" s="191"/>
      <c r="DC46" s="191">
        <v>100</v>
      </c>
      <c r="DD46" s="191"/>
      <c r="DE46" s="191">
        <v>250</v>
      </c>
      <c r="DF46" s="191"/>
      <c r="DG46" s="191">
        <v>100</v>
      </c>
      <c r="DH46" s="193"/>
      <c r="DI46" s="194"/>
      <c r="DJ46" s="191"/>
      <c r="DK46" s="191">
        <v>100</v>
      </c>
      <c r="DL46" s="191"/>
      <c r="DM46" s="191">
        <v>160</v>
      </c>
      <c r="DN46" s="191"/>
      <c r="DO46" s="191">
        <v>160</v>
      </c>
      <c r="DP46" s="191"/>
      <c r="DQ46" s="191"/>
      <c r="DR46" s="191">
        <v>350</v>
      </c>
      <c r="DS46" s="191"/>
      <c r="DT46" s="191">
        <v>100</v>
      </c>
      <c r="DU46" s="191"/>
      <c r="DV46" s="191">
        <v>110</v>
      </c>
      <c r="DW46" s="191"/>
      <c r="DX46" s="191"/>
      <c r="DY46" s="191">
        <v>300</v>
      </c>
      <c r="DZ46" s="191"/>
      <c r="EA46" s="191">
        <v>150</v>
      </c>
      <c r="EB46" s="191"/>
      <c r="EC46" s="191">
        <v>150</v>
      </c>
      <c r="ED46" s="191"/>
      <c r="EE46" s="191"/>
      <c r="EF46" s="191">
        <v>300</v>
      </c>
      <c r="EG46" s="191"/>
      <c r="EH46" s="191">
        <v>60</v>
      </c>
      <c r="EI46" s="191"/>
      <c r="EJ46" s="191">
        <v>100</v>
      </c>
      <c r="EK46" s="191"/>
      <c r="EL46" s="191"/>
      <c r="EM46" s="192">
        <v>150</v>
      </c>
      <c r="EN46" s="190"/>
      <c r="EO46" s="191">
        <v>100</v>
      </c>
      <c r="EP46" s="191"/>
      <c r="EQ46" s="191">
        <v>60</v>
      </c>
      <c r="ER46" s="191"/>
      <c r="ES46" s="191"/>
      <c r="ET46" s="191">
        <v>250</v>
      </c>
      <c r="EU46" s="191"/>
      <c r="EV46" s="191">
        <v>210</v>
      </c>
      <c r="EW46" s="191"/>
      <c r="EX46" s="191">
        <v>250</v>
      </c>
      <c r="EY46" s="191"/>
      <c r="EZ46" s="191"/>
      <c r="FA46" s="191">
        <v>250</v>
      </c>
      <c r="FB46" s="191"/>
      <c r="FC46" s="191">
        <v>200</v>
      </c>
      <c r="FD46" s="191"/>
      <c r="FE46" s="191">
        <v>100</v>
      </c>
      <c r="FF46" s="191"/>
      <c r="FG46" s="191"/>
      <c r="FH46" s="191"/>
      <c r="FI46" s="191">
        <v>200</v>
      </c>
      <c r="FJ46" s="191"/>
      <c r="FK46" s="191">
        <v>110</v>
      </c>
      <c r="FL46" s="191"/>
      <c r="FM46" s="191"/>
      <c r="FN46" s="191"/>
      <c r="FO46" s="191">
        <v>350</v>
      </c>
      <c r="FP46" s="191"/>
      <c r="FQ46" s="193">
        <v>200</v>
      </c>
      <c r="FR46" s="194"/>
      <c r="FS46" s="191">
        <v>100</v>
      </c>
      <c r="FT46" s="191"/>
      <c r="FU46" s="191"/>
      <c r="FV46" s="191">
        <v>300</v>
      </c>
      <c r="FW46" s="191"/>
      <c r="FX46" s="191">
        <v>200</v>
      </c>
      <c r="FY46" s="191"/>
      <c r="FZ46" s="191">
        <v>300</v>
      </c>
      <c r="GA46" s="191"/>
      <c r="GB46" s="191"/>
      <c r="GC46" s="191">
        <v>250</v>
      </c>
      <c r="GD46" s="191"/>
      <c r="GE46" s="191">
        <v>100</v>
      </c>
      <c r="GF46" s="191"/>
      <c r="GG46" s="191">
        <v>200</v>
      </c>
      <c r="GH46" s="191"/>
      <c r="GI46" s="191"/>
      <c r="GJ46" s="191">
        <v>250</v>
      </c>
      <c r="GK46" s="191"/>
      <c r="GL46" s="191">
        <v>150</v>
      </c>
      <c r="GM46" s="191"/>
      <c r="GN46" s="191">
        <v>100</v>
      </c>
      <c r="GO46" s="191"/>
      <c r="GP46" s="191"/>
      <c r="GQ46" s="191">
        <v>250</v>
      </c>
      <c r="GR46" s="191"/>
      <c r="GS46" s="191">
        <v>150</v>
      </c>
      <c r="GT46" s="191"/>
      <c r="GU46" s="191">
        <v>200</v>
      </c>
      <c r="GV46" s="192"/>
      <c r="GW46" s="190"/>
      <c r="GX46" s="191">
        <v>250</v>
      </c>
      <c r="GY46" s="191"/>
      <c r="GZ46" s="191"/>
      <c r="HA46" s="191">
        <v>200</v>
      </c>
      <c r="HB46" s="191">
        <v>60</v>
      </c>
      <c r="HC46" s="191"/>
      <c r="HD46" s="191"/>
      <c r="HE46" s="191"/>
      <c r="HF46" s="191">
        <v>350</v>
      </c>
      <c r="HG46" s="191"/>
      <c r="HH46" s="191"/>
      <c r="HI46" s="191">
        <v>150</v>
      </c>
      <c r="HJ46" s="191"/>
      <c r="HK46" s="191"/>
      <c r="HL46" s="191">
        <v>200</v>
      </c>
      <c r="HM46" s="191"/>
      <c r="HN46" s="191">
        <v>100</v>
      </c>
      <c r="HO46" s="191"/>
      <c r="HP46" s="191">
        <v>300</v>
      </c>
      <c r="HQ46" s="191"/>
      <c r="HR46" s="191"/>
      <c r="HS46" s="191">
        <v>350</v>
      </c>
      <c r="HT46" s="191"/>
      <c r="HU46" s="191"/>
      <c r="HV46" s="191"/>
      <c r="HW46" s="191">
        <v>300</v>
      </c>
      <c r="HX46" s="191"/>
      <c r="HY46" s="191"/>
      <c r="HZ46" s="193">
        <v>200</v>
      </c>
      <c r="IA46" s="194"/>
      <c r="IB46" s="191">
        <v>100</v>
      </c>
      <c r="IC46" s="191"/>
      <c r="ID46" s="191">
        <v>150</v>
      </c>
      <c r="IE46" s="191"/>
      <c r="IF46" s="191"/>
      <c r="IG46" s="191">
        <v>250</v>
      </c>
      <c r="IH46" s="191"/>
      <c r="II46" s="191"/>
      <c r="IJ46" s="191"/>
      <c r="IK46" s="191">
        <v>350</v>
      </c>
      <c r="IL46" s="191"/>
      <c r="IM46" s="191"/>
      <c r="IN46" s="191">
        <v>400</v>
      </c>
      <c r="IO46" s="191"/>
      <c r="IP46" s="191"/>
      <c r="IQ46" s="191"/>
      <c r="IR46" s="191">
        <v>100</v>
      </c>
      <c r="IS46" s="191"/>
      <c r="IT46" s="191"/>
      <c r="IU46" s="191">
        <v>250</v>
      </c>
      <c r="IV46" s="191"/>
      <c r="IW46" s="191"/>
      <c r="IX46" s="191"/>
      <c r="IY46" s="191">
        <v>300</v>
      </c>
      <c r="IZ46" s="191"/>
      <c r="JA46" s="191"/>
      <c r="JB46" s="191">
        <v>300</v>
      </c>
      <c r="JC46" s="191"/>
      <c r="JD46" s="191">
        <v>200</v>
      </c>
      <c r="JE46" s="192"/>
      <c r="JF46" s="190">
        <v>100</v>
      </c>
      <c r="JG46" s="191"/>
      <c r="JH46" s="191"/>
      <c r="JI46" s="191">
        <v>350</v>
      </c>
      <c r="JJ46" s="191"/>
      <c r="JK46" s="191"/>
      <c r="JL46" s="191"/>
      <c r="JM46" s="191">
        <v>350</v>
      </c>
      <c r="JN46" s="191"/>
      <c r="JO46" s="191"/>
      <c r="JP46" s="191">
        <v>300</v>
      </c>
      <c r="JQ46" s="191"/>
      <c r="JR46" s="191">
        <v>150</v>
      </c>
      <c r="JS46" s="191"/>
      <c r="JT46" s="191"/>
      <c r="JU46" s="191"/>
      <c r="JV46" s="191"/>
      <c r="JW46" s="191">
        <v>350</v>
      </c>
      <c r="JX46" s="191"/>
      <c r="JY46" s="191">
        <v>200</v>
      </c>
      <c r="JZ46" s="191">
        <v>200</v>
      </c>
      <c r="KA46" s="191"/>
      <c r="KB46" s="191"/>
      <c r="KC46" s="191"/>
      <c r="KD46" s="191">
        <v>200</v>
      </c>
      <c r="KE46" s="191"/>
      <c r="KF46" s="191">
        <v>160</v>
      </c>
      <c r="KG46" s="191"/>
      <c r="KH46" s="191">
        <v>250</v>
      </c>
      <c r="KI46" s="191"/>
      <c r="KJ46" s="193"/>
      <c r="KK46" s="194">
        <v>300</v>
      </c>
      <c r="KL46" s="191"/>
      <c r="KM46" s="191">
        <v>250</v>
      </c>
      <c r="KN46" s="191"/>
      <c r="KO46" s="191">
        <v>110</v>
      </c>
      <c r="KP46" s="191"/>
      <c r="KQ46" s="191"/>
      <c r="KR46" s="191">
        <v>250</v>
      </c>
      <c r="KS46" s="191"/>
      <c r="KT46" s="191"/>
      <c r="KU46" s="191"/>
      <c r="KV46" s="191">
        <v>300</v>
      </c>
      <c r="KW46" s="191"/>
      <c r="KX46" s="191"/>
      <c r="KY46" s="191">
        <v>250</v>
      </c>
      <c r="KZ46" s="191"/>
      <c r="LA46" s="191">
        <v>110</v>
      </c>
      <c r="LB46" s="191"/>
      <c r="LC46" s="191">
        <v>150</v>
      </c>
      <c r="LD46" s="191"/>
      <c r="LE46" s="191"/>
      <c r="LF46" s="191">
        <v>350</v>
      </c>
      <c r="LG46" s="191"/>
      <c r="LH46" s="191">
        <v>250</v>
      </c>
      <c r="LI46" s="191"/>
      <c r="LJ46" s="191">
        <v>200</v>
      </c>
      <c r="LK46" s="191"/>
      <c r="LL46" s="191"/>
      <c r="LM46" s="191">
        <v>200</v>
      </c>
      <c r="LN46" s="192"/>
      <c r="LO46" s="190">
        <v>200</v>
      </c>
      <c r="LP46" s="191"/>
      <c r="LQ46" s="191">
        <v>100</v>
      </c>
      <c r="LR46" s="191"/>
      <c r="LS46" s="191"/>
      <c r="LT46" s="191">
        <v>350</v>
      </c>
      <c r="LU46" s="191"/>
      <c r="LV46" s="191">
        <v>100</v>
      </c>
      <c r="LW46" s="191"/>
      <c r="LX46" s="191">
        <v>150</v>
      </c>
      <c r="LY46" s="191"/>
      <c r="LZ46" s="191"/>
      <c r="MA46" s="191">
        <v>200</v>
      </c>
      <c r="MB46" s="191"/>
      <c r="MC46" s="191">
        <v>110</v>
      </c>
      <c r="MD46" s="191"/>
      <c r="ME46" s="191">
        <v>110</v>
      </c>
      <c r="MF46" s="191"/>
      <c r="MG46" s="191"/>
      <c r="MH46" s="191">
        <v>200</v>
      </c>
      <c r="MI46" s="191"/>
      <c r="MJ46" s="191">
        <v>150</v>
      </c>
      <c r="MK46" s="191"/>
      <c r="ML46" s="191">
        <v>100</v>
      </c>
      <c r="MM46" s="191"/>
      <c r="MN46" s="191"/>
      <c r="MO46" s="191">
        <v>200</v>
      </c>
      <c r="MP46" s="191"/>
      <c r="MQ46" s="191"/>
      <c r="MR46" s="191"/>
      <c r="MS46" s="193">
        <v>300</v>
      </c>
      <c r="MT46" s="194"/>
      <c r="MU46" s="191"/>
      <c r="MV46" s="191">
        <v>160</v>
      </c>
      <c r="MW46" s="191"/>
      <c r="MX46" s="191">
        <v>300</v>
      </c>
      <c r="MY46" s="191"/>
      <c r="MZ46" s="191">
        <v>200</v>
      </c>
      <c r="NA46" s="191"/>
      <c r="NB46" s="191"/>
      <c r="NC46" s="191">
        <v>300</v>
      </c>
      <c r="ND46" s="191"/>
      <c r="NE46" s="191"/>
      <c r="NF46" s="191">
        <v>250</v>
      </c>
      <c r="NG46" s="191">
        <v>60</v>
      </c>
      <c r="NH46" s="191"/>
      <c r="NI46" s="191"/>
      <c r="NJ46" s="191">
        <v>110</v>
      </c>
      <c r="NK46" s="191"/>
      <c r="NL46" s="191">
        <v>60</v>
      </c>
      <c r="NM46" s="191"/>
      <c r="NN46" s="191">
        <v>60</v>
      </c>
      <c r="NO46" s="191"/>
      <c r="NP46" s="191"/>
      <c r="NQ46" s="191">
        <v>200</v>
      </c>
      <c r="NR46" s="191"/>
      <c r="NS46" s="191"/>
      <c r="NT46" s="191"/>
      <c r="NU46" s="191">
        <v>200</v>
      </c>
      <c r="NV46" s="191"/>
      <c r="NW46" s="192"/>
      <c r="NX46" s="190">
        <v>150</v>
      </c>
      <c r="NY46" s="191"/>
      <c r="NZ46" s="191">
        <v>100</v>
      </c>
      <c r="OA46" s="191"/>
      <c r="OB46" s="191">
        <v>150</v>
      </c>
      <c r="OC46" s="191"/>
      <c r="OD46" s="191"/>
      <c r="OE46" s="191">
        <v>110</v>
      </c>
      <c r="OF46" s="191"/>
      <c r="OG46" s="191"/>
      <c r="OH46" s="191"/>
      <c r="OI46" s="191">
        <v>300</v>
      </c>
      <c r="OJ46" s="191"/>
      <c r="OK46" s="191"/>
      <c r="OL46" s="191"/>
      <c r="OM46" s="191"/>
      <c r="ON46" s="191"/>
      <c r="OO46" s="191"/>
      <c r="OP46" s="191"/>
      <c r="OQ46" s="191"/>
      <c r="OR46" s="191"/>
      <c r="OS46" s="191"/>
      <c r="OT46" s="191"/>
      <c r="OU46" s="191"/>
      <c r="OV46" s="191"/>
      <c r="OW46" s="191"/>
      <c r="OX46" s="191"/>
      <c r="OY46" s="191"/>
      <c r="OZ46" s="191"/>
      <c r="PA46" s="191"/>
      <c r="PB46" s="193"/>
      <c r="PC46" s="47"/>
      <c r="PD46" s="154" t="s">
        <v>97</v>
      </c>
      <c r="PE46" s="155" t="s">
        <v>98</v>
      </c>
      <c r="PF46" s="155" t="s">
        <v>98</v>
      </c>
      <c r="PG46" s="155" t="s">
        <v>98</v>
      </c>
      <c r="PH46" s="155" t="s">
        <v>98</v>
      </c>
      <c r="PI46" s="155" t="s">
        <v>98</v>
      </c>
      <c r="PJ46" s="155" t="s">
        <v>98</v>
      </c>
      <c r="PK46" s="155" t="s">
        <v>98</v>
      </c>
      <c r="PL46" s="155" t="s">
        <v>98</v>
      </c>
      <c r="PM46" s="155" t="s">
        <v>98</v>
      </c>
      <c r="PN46" s="155" t="s">
        <v>98</v>
      </c>
      <c r="PO46" s="156"/>
      <c r="PP46" s="156"/>
      <c r="PQ46" s="156"/>
      <c r="PR46" s="156"/>
      <c r="PS46" s="156"/>
      <c r="PT46" s="156"/>
      <c r="PU46" s="156"/>
      <c r="PV46" s="156"/>
      <c r="PW46" s="156"/>
      <c r="PX46" s="195"/>
      <c r="PY46" s="1"/>
      <c r="PZ46" s="196">
        <f t="shared" si="20"/>
        <v>2060</v>
      </c>
      <c r="QA46" s="176">
        <f t="shared" si="21"/>
        <v>1.7185284057729205E-2</v>
      </c>
      <c r="QB46" s="177" t="str">
        <f t="shared" ca="1" si="22"/>
        <v>Attente…</v>
      </c>
      <c r="QC46" s="197">
        <f t="shared" si="23"/>
        <v>1930</v>
      </c>
      <c r="QD46" s="179">
        <f t="shared" si="24"/>
        <v>1.8071161048689138E-2</v>
      </c>
      <c r="QE46" s="180" t="str">
        <f t="shared" ca="1" si="25"/>
        <v>Attente…</v>
      </c>
      <c r="QF46" s="196">
        <f t="shared" si="26"/>
        <v>2190</v>
      </c>
      <c r="QG46" s="176">
        <f t="shared" si="27"/>
        <v>1.743908265647396E-2</v>
      </c>
      <c r="QH46" s="177" t="str">
        <f t="shared" ca="1" si="28"/>
        <v>Attente…</v>
      </c>
      <c r="QI46" s="197">
        <f t="shared" si="29"/>
        <v>2280</v>
      </c>
      <c r="QJ46" s="179">
        <f t="shared" si="30"/>
        <v>1.5991022583812596E-2</v>
      </c>
      <c r="QK46" s="180" t="str">
        <f t="shared" ca="1" si="31"/>
        <v>Attente…</v>
      </c>
      <c r="QL46" s="196">
        <f t="shared" si="32"/>
        <v>2550</v>
      </c>
      <c r="QM46" s="176">
        <f t="shared" si="33"/>
        <v>1.8656716417910446E-2</v>
      </c>
      <c r="QN46" s="177" t="str">
        <f t="shared" ca="1" si="34"/>
        <v>Attente…</v>
      </c>
      <c r="QO46" s="197">
        <f t="shared" si="35"/>
        <v>2460</v>
      </c>
      <c r="QP46" s="179">
        <f t="shared" si="36"/>
        <v>1.9259375244656696E-2</v>
      </c>
      <c r="QQ46" s="180" t="str">
        <f t="shared" ca="1" si="37"/>
        <v>Attente…</v>
      </c>
      <c r="QR46" s="196">
        <f t="shared" si="38"/>
        <v>2400</v>
      </c>
      <c r="QS46" s="176">
        <f t="shared" si="39"/>
        <v>1.7277995752492711E-2</v>
      </c>
      <c r="QT46" s="177" t="str">
        <f t="shared" ca="1" si="40"/>
        <v>Attente…</v>
      </c>
      <c r="QU46" s="197">
        <f t="shared" si="41"/>
        <v>2610</v>
      </c>
      <c r="QV46" s="179">
        <f t="shared" si="42"/>
        <v>1.7995035852178709E-2</v>
      </c>
      <c r="QW46" s="180" t="str">
        <f t="shared" ca="1" si="43"/>
        <v>Attente…</v>
      </c>
      <c r="QX46" s="196">
        <f t="shared" si="44"/>
        <v>2720</v>
      </c>
      <c r="QY46" s="176">
        <f t="shared" si="45"/>
        <v>1.9848798855775125E-2</v>
      </c>
      <c r="QZ46" s="177" t="str">
        <f t="shared" ca="1" si="46"/>
        <v>Attente…</v>
      </c>
      <c r="RA46" s="197">
        <f t="shared" si="47"/>
        <v>2270</v>
      </c>
      <c r="RB46" s="179">
        <f t="shared" si="48"/>
        <v>1.7760738596353964E-2</v>
      </c>
      <c r="RC46" s="180" t="str">
        <f t="shared" ca="1" si="49"/>
        <v>Attente…</v>
      </c>
      <c r="RD46" s="196">
        <f t="shared" si="50"/>
        <v>1900</v>
      </c>
      <c r="RE46" s="176">
        <f t="shared" si="51"/>
        <v>1.8931845356715823E-2</v>
      </c>
      <c r="RF46" s="177" t="str">
        <f t="shared" ca="1" si="52"/>
        <v>Attente…</v>
      </c>
      <c r="RG46" s="197">
        <f t="shared" si="53"/>
        <v>810</v>
      </c>
      <c r="RH46" s="179">
        <f t="shared" si="54"/>
        <v>1.4897921647967629E-2</v>
      </c>
      <c r="RI46" s="198" t="str">
        <f t="shared" ca="1" si="55"/>
        <v>Attente…</v>
      </c>
      <c r="RJ46" s="199">
        <f t="shared" si="56"/>
        <v>6180</v>
      </c>
      <c r="RK46" s="200" t="str">
        <f t="shared" ca="1" si="13"/>
        <v>Attente…</v>
      </c>
      <c r="RL46" s="199">
        <f t="shared" si="57"/>
        <v>7290</v>
      </c>
      <c r="RM46" s="200" t="str">
        <f t="shared" ca="1" si="58"/>
        <v>Atttente…</v>
      </c>
      <c r="RN46" s="199">
        <f t="shared" si="59"/>
        <v>7730</v>
      </c>
      <c r="RO46" s="200" t="str">
        <f t="shared" ca="1" si="14"/>
        <v>Attente…</v>
      </c>
      <c r="RP46" s="199">
        <f t="shared" si="60"/>
        <v>4980</v>
      </c>
      <c r="RQ46" s="200" t="str">
        <f t="shared" ca="1" si="15"/>
        <v>Attente…</v>
      </c>
      <c r="RR46" s="201">
        <f t="shared" si="61"/>
        <v>26180</v>
      </c>
      <c r="RS46" s="202" t="str">
        <f t="shared" ca="1" si="16"/>
        <v>Attente…</v>
      </c>
      <c r="RT46" s="103"/>
      <c r="RU46" s="203">
        <f t="shared" si="62"/>
        <v>0.48481481481481481</v>
      </c>
      <c r="RV46" s="204">
        <f t="shared" si="65"/>
        <v>2</v>
      </c>
      <c r="RW46" s="204">
        <f t="shared" si="65"/>
        <v>3</v>
      </c>
      <c r="RX46" s="204">
        <f t="shared" si="63"/>
        <v>135</v>
      </c>
      <c r="RY46" s="205" t="str">
        <f t="shared" si="64"/>
        <v>LE MESNIL-ESNARD - 3 Rue Gontran Pailhès (Carrefour Market)</v>
      </c>
      <c r="RZ46" s="189" t="str">
        <f>IF(OR(RZ45="",RZ45="  &lt;/Document&gt;
&lt;/kml&gt;"),"",
IF(B46="","  &lt;/Document&gt;
&lt;/kml&gt;",
IF(TournéesCAV!Q38=""," ",
"    &lt;Placemark&gt;
      &lt;description&gt;&lt;![CDATA["&amp;B46&amp;"&lt;br&gt;&lt;br&gt;"&amp;RV46&amp;" CAV&lt;br&gt;&lt;br&gt;Présent sur "&amp;RW46&amp;" tournée(s)&lt;br&gt;&lt;br&gt;Taux de remplissage moyen "&amp;TEXT(RU46*1000,"0 %")&amp;"]]&gt;&lt;/description&gt;
      &lt;Style&gt;
        &lt;IconStyle&gt;
          &lt;color&gt;ff"&amp;
          DEC2HEX(0,2)&amp;
          DEC2HEX(
            IF(RU46&lt;=0.5,
               INT(255*(RU46*2)),
               255
            ),2)&amp;
          DEC2HEX(
            IF(RU46&lt;=0.5,
               255,
               INT(255*(1-(RU46-0.5)*2))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&lt;Point&gt;&lt;coordinates&gt;"&amp;R46&amp;","&amp;Q46&amp;",0&lt;/coordinates&gt;&lt;/Point&gt;
    &lt;/Placemark&gt;"
)))</f>
        <v xml:space="preserve">    &lt;Placemark&gt;
      &lt;description&gt;&lt;![CDATA[LE MESNIL-ESNARD - 3 Rue Gontran Pailhès (Carrefour Market)&lt;br&gt;&lt;br&gt;2 CAV&lt;br&gt;&lt;br&gt;Présent sur 3 tournée(s)&lt;br&gt;&lt;br&gt;Taux de remplissage moyen 48%]]&gt;&lt;/description&gt;
      &lt;Style&gt;
        &lt;IconStyle&gt;
          &lt;color&gt;ff00F7FF&lt;/color&gt;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&lt;Point&gt;&lt;coordinates&gt;1.1528802,49.4074142,0&lt;/coordinates&gt;&lt;/Point&gt;
    &lt;/Placemark&gt;</v>
      </c>
    </row>
    <row r="47" spans="2:494" ht="15" hidden="1" customHeight="1" x14ac:dyDescent="0.35">
      <c r="B47" s="153" t="str">
        <f t="shared" si="17"/>
        <v>BONSECOURS - 23 Rue Camille Saint Saens (Parking du Stade des Hautes Haies)</v>
      </c>
      <c r="C47" s="154">
        <v>39</v>
      </c>
      <c r="D47" s="155"/>
      <c r="E47" s="155"/>
      <c r="F47" s="155"/>
      <c r="G47" s="155"/>
      <c r="H47" s="155"/>
      <c r="I47" s="155"/>
      <c r="J47" s="156"/>
      <c r="K47" s="157">
        <f t="shared" si="18"/>
        <v>1</v>
      </c>
      <c r="L47" s="157">
        <f t="shared" si="19"/>
        <v>3</v>
      </c>
      <c r="M47" s="209" t="s">
        <v>315</v>
      </c>
      <c r="N47" s="159" t="s">
        <v>316</v>
      </c>
      <c r="O47" s="159">
        <v>76240</v>
      </c>
      <c r="P47" s="159" t="s">
        <v>317</v>
      </c>
      <c r="Q47" s="159" t="s">
        <v>318</v>
      </c>
      <c r="R47" s="159" t="s">
        <v>319</v>
      </c>
      <c r="S47" s="159" t="s">
        <v>93</v>
      </c>
      <c r="T47" s="159" t="s">
        <v>94</v>
      </c>
      <c r="U47" s="159" t="s">
        <v>320</v>
      </c>
      <c r="V47" s="160" t="s">
        <v>96</v>
      </c>
      <c r="W47" s="161"/>
      <c r="X47" s="162"/>
      <c r="Y47" s="163"/>
      <c r="Z47" s="162"/>
      <c r="AA47" s="163"/>
      <c r="AB47" s="162"/>
      <c r="AC47" s="163"/>
      <c r="AD47" s="162">
        <v>5</v>
      </c>
      <c r="AE47" s="163">
        <v>5</v>
      </c>
      <c r="AF47" s="162">
        <v>10</v>
      </c>
      <c r="AG47" s="163"/>
      <c r="AH47" s="163"/>
      <c r="AI47" s="162"/>
      <c r="AJ47" s="163"/>
      <c r="AK47" s="162"/>
      <c r="AL47" s="163"/>
      <c r="AM47" s="162"/>
      <c r="AN47" s="163"/>
      <c r="AO47" s="162"/>
      <c r="AP47" s="164"/>
      <c r="AQ47" s="164"/>
      <c r="AR47" s="164"/>
      <c r="AS47" s="164"/>
      <c r="AT47" s="164"/>
      <c r="AU47" s="164"/>
      <c r="AV47" s="164"/>
      <c r="AW47" s="164"/>
      <c r="AX47" s="164"/>
      <c r="AY47" s="165"/>
      <c r="AZ47" s="41"/>
      <c r="BA47" s="190"/>
      <c r="BB47" s="191"/>
      <c r="BC47" s="191"/>
      <c r="BD47" s="191"/>
      <c r="BE47" s="191"/>
      <c r="BF47" s="191">
        <v>200</v>
      </c>
      <c r="BG47" s="191"/>
      <c r="BH47" s="191">
        <v>50</v>
      </c>
      <c r="BI47" s="191"/>
      <c r="BJ47" s="191">
        <v>100</v>
      </c>
      <c r="BK47" s="191"/>
      <c r="BL47" s="191"/>
      <c r="BM47" s="191">
        <v>50</v>
      </c>
      <c r="BN47" s="191"/>
      <c r="BO47" s="191">
        <v>100</v>
      </c>
      <c r="BP47" s="191"/>
      <c r="BQ47" s="191">
        <v>100</v>
      </c>
      <c r="BR47" s="191"/>
      <c r="BS47" s="191"/>
      <c r="BT47" s="191">
        <v>100</v>
      </c>
      <c r="BU47" s="191"/>
      <c r="BV47" s="191">
        <v>10</v>
      </c>
      <c r="BW47" s="191"/>
      <c r="BX47" s="191">
        <v>10</v>
      </c>
      <c r="BY47" s="191"/>
      <c r="BZ47" s="191"/>
      <c r="CA47" s="191">
        <v>50</v>
      </c>
      <c r="CB47" s="191"/>
      <c r="CC47" s="191">
        <v>100</v>
      </c>
      <c r="CD47" s="191"/>
      <c r="CE47" s="192">
        <v>50</v>
      </c>
      <c r="CF47" s="190"/>
      <c r="CG47" s="191"/>
      <c r="CH47" s="191">
        <v>200</v>
      </c>
      <c r="CI47" s="191"/>
      <c r="CJ47" s="191">
        <v>100</v>
      </c>
      <c r="CK47" s="191"/>
      <c r="CL47" s="191">
        <v>100</v>
      </c>
      <c r="CM47" s="191"/>
      <c r="CN47" s="191"/>
      <c r="CO47" s="191">
        <v>150</v>
      </c>
      <c r="CP47" s="191"/>
      <c r="CQ47" s="191">
        <v>50</v>
      </c>
      <c r="CR47" s="191"/>
      <c r="CS47" s="191">
        <v>50</v>
      </c>
      <c r="CT47" s="191"/>
      <c r="CU47" s="191"/>
      <c r="CV47" s="191">
        <v>100</v>
      </c>
      <c r="CW47" s="191"/>
      <c r="CX47" s="191">
        <v>100</v>
      </c>
      <c r="CY47" s="191"/>
      <c r="CZ47" s="191">
        <v>100</v>
      </c>
      <c r="DA47" s="191"/>
      <c r="DB47" s="191"/>
      <c r="DC47" s="191">
        <v>100</v>
      </c>
      <c r="DD47" s="191"/>
      <c r="DE47" s="191">
        <v>150</v>
      </c>
      <c r="DF47" s="191"/>
      <c r="DG47" s="191">
        <v>100</v>
      </c>
      <c r="DH47" s="193"/>
      <c r="DI47" s="194"/>
      <c r="DJ47" s="191"/>
      <c r="DK47" s="191">
        <v>100</v>
      </c>
      <c r="DL47" s="191"/>
      <c r="DM47" s="191">
        <v>50</v>
      </c>
      <c r="DN47" s="191"/>
      <c r="DO47" s="191">
        <v>50</v>
      </c>
      <c r="DP47" s="191"/>
      <c r="DQ47" s="191"/>
      <c r="DR47" s="191">
        <v>150</v>
      </c>
      <c r="DS47" s="191"/>
      <c r="DT47" s="191">
        <v>50</v>
      </c>
      <c r="DU47" s="191"/>
      <c r="DV47" s="191">
        <v>100</v>
      </c>
      <c r="DW47" s="191"/>
      <c r="DX47" s="191"/>
      <c r="DY47" s="191">
        <v>150</v>
      </c>
      <c r="DZ47" s="191"/>
      <c r="EA47" s="191">
        <v>150</v>
      </c>
      <c r="EB47" s="191"/>
      <c r="EC47" s="191">
        <v>100</v>
      </c>
      <c r="ED47" s="191"/>
      <c r="EE47" s="191"/>
      <c r="EF47" s="191">
        <v>50</v>
      </c>
      <c r="EG47" s="191"/>
      <c r="EH47" s="191">
        <v>50</v>
      </c>
      <c r="EI47" s="191"/>
      <c r="EJ47" s="191">
        <v>100</v>
      </c>
      <c r="EK47" s="191"/>
      <c r="EL47" s="191"/>
      <c r="EM47" s="192">
        <v>150</v>
      </c>
      <c r="EN47" s="190"/>
      <c r="EO47" s="191">
        <v>50</v>
      </c>
      <c r="EP47" s="191"/>
      <c r="EQ47" s="191">
        <v>50</v>
      </c>
      <c r="ER47" s="191"/>
      <c r="ES47" s="191"/>
      <c r="ET47" s="191">
        <v>200</v>
      </c>
      <c r="EU47" s="191"/>
      <c r="EV47" s="191">
        <v>150</v>
      </c>
      <c r="EW47" s="191"/>
      <c r="EX47" s="191">
        <v>100</v>
      </c>
      <c r="EY47" s="191"/>
      <c r="EZ47" s="191"/>
      <c r="FA47" s="191">
        <v>150</v>
      </c>
      <c r="FB47" s="191"/>
      <c r="FC47" s="191">
        <v>100</v>
      </c>
      <c r="FD47" s="191"/>
      <c r="FE47" s="191">
        <v>100</v>
      </c>
      <c r="FF47" s="191"/>
      <c r="FG47" s="191"/>
      <c r="FH47" s="191"/>
      <c r="FI47" s="191">
        <v>200</v>
      </c>
      <c r="FJ47" s="191"/>
      <c r="FK47" s="191">
        <v>50</v>
      </c>
      <c r="FL47" s="191"/>
      <c r="FM47" s="191"/>
      <c r="FN47" s="191"/>
      <c r="FO47" s="191">
        <v>200</v>
      </c>
      <c r="FP47" s="191"/>
      <c r="FQ47" s="193">
        <v>100</v>
      </c>
      <c r="FR47" s="194"/>
      <c r="FS47" s="191">
        <v>50</v>
      </c>
      <c r="FT47" s="191"/>
      <c r="FU47" s="191"/>
      <c r="FV47" s="191">
        <v>100</v>
      </c>
      <c r="FW47" s="191"/>
      <c r="FX47" s="191">
        <v>150</v>
      </c>
      <c r="FY47" s="191"/>
      <c r="FZ47" s="191">
        <v>100</v>
      </c>
      <c r="GA47" s="191"/>
      <c r="GB47" s="191"/>
      <c r="GC47" s="191">
        <v>100</v>
      </c>
      <c r="GD47" s="191"/>
      <c r="GE47" s="191">
        <v>100</v>
      </c>
      <c r="GF47" s="191"/>
      <c r="GG47" s="191">
        <v>100</v>
      </c>
      <c r="GH47" s="191"/>
      <c r="GI47" s="191"/>
      <c r="GJ47" s="191">
        <v>150</v>
      </c>
      <c r="GK47" s="191"/>
      <c r="GL47" s="191">
        <v>50</v>
      </c>
      <c r="GM47" s="191"/>
      <c r="GN47" s="191">
        <v>100</v>
      </c>
      <c r="GO47" s="191"/>
      <c r="GP47" s="191"/>
      <c r="GQ47" s="191">
        <v>100</v>
      </c>
      <c r="GR47" s="191"/>
      <c r="GS47" s="191">
        <v>50</v>
      </c>
      <c r="GT47" s="191"/>
      <c r="GU47" s="191">
        <v>50</v>
      </c>
      <c r="GV47" s="192"/>
      <c r="GW47" s="190"/>
      <c r="GX47" s="191">
        <v>100</v>
      </c>
      <c r="GY47" s="191"/>
      <c r="GZ47" s="191"/>
      <c r="HA47" s="191">
        <v>100</v>
      </c>
      <c r="HB47" s="191">
        <v>50</v>
      </c>
      <c r="HC47" s="191"/>
      <c r="HD47" s="191"/>
      <c r="HE47" s="191"/>
      <c r="HF47" s="191">
        <v>100</v>
      </c>
      <c r="HG47" s="191"/>
      <c r="HH47" s="191">
        <v>100</v>
      </c>
      <c r="HI47" s="191">
        <v>10</v>
      </c>
      <c r="HJ47" s="191"/>
      <c r="HK47" s="191"/>
      <c r="HL47" s="191">
        <v>150</v>
      </c>
      <c r="HM47" s="191"/>
      <c r="HN47" s="191">
        <v>50</v>
      </c>
      <c r="HO47" s="191"/>
      <c r="HP47" s="191">
        <v>150</v>
      </c>
      <c r="HQ47" s="191"/>
      <c r="HR47" s="191"/>
      <c r="HS47" s="191">
        <v>200</v>
      </c>
      <c r="HT47" s="191"/>
      <c r="HU47" s="191"/>
      <c r="HV47" s="191"/>
      <c r="HW47" s="191">
        <v>150</v>
      </c>
      <c r="HX47" s="191"/>
      <c r="HY47" s="191"/>
      <c r="HZ47" s="193">
        <v>150</v>
      </c>
      <c r="IA47" s="194"/>
      <c r="IB47" s="191">
        <v>50</v>
      </c>
      <c r="IC47" s="191"/>
      <c r="ID47" s="191">
        <v>100</v>
      </c>
      <c r="IE47" s="191"/>
      <c r="IF47" s="191"/>
      <c r="IG47" s="191">
        <v>200</v>
      </c>
      <c r="IH47" s="191"/>
      <c r="II47" s="191"/>
      <c r="IJ47" s="191"/>
      <c r="IK47" s="191">
        <v>200</v>
      </c>
      <c r="IL47" s="191"/>
      <c r="IM47" s="191"/>
      <c r="IN47" s="191">
        <v>150</v>
      </c>
      <c r="IO47" s="191"/>
      <c r="IP47" s="191"/>
      <c r="IQ47" s="191"/>
      <c r="IR47" s="191">
        <v>50</v>
      </c>
      <c r="IS47" s="191"/>
      <c r="IT47" s="191"/>
      <c r="IU47" s="191">
        <v>150</v>
      </c>
      <c r="IV47" s="191"/>
      <c r="IW47" s="191"/>
      <c r="IX47" s="191"/>
      <c r="IY47" s="191">
        <v>150</v>
      </c>
      <c r="IZ47" s="191"/>
      <c r="JA47" s="191"/>
      <c r="JB47" s="191">
        <v>150</v>
      </c>
      <c r="JC47" s="191"/>
      <c r="JD47" s="191">
        <v>150</v>
      </c>
      <c r="JE47" s="192"/>
      <c r="JF47" s="190">
        <v>50</v>
      </c>
      <c r="JG47" s="191"/>
      <c r="JH47" s="191"/>
      <c r="JI47" s="191">
        <v>200</v>
      </c>
      <c r="JJ47" s="191"/>
      <c r="JK47" s="191"/>
      <c r="JL47" s="191"/>
      <c r="JM47" s="191">
        <v>200</v>
      </c>
      <c r="JN47" s="191"/>
      <c r="JO47" s="191"/>
      <c r="JP47" s="191">
        <v>150</v>
      </c>
      <c r="JQ47" s="191"/>
      <c r="JR47" s="191">
        <v>50</v>
      </c>
      <c r="JS47" s="191"/>
      <c r="JT47" s="191"/>
      <c r="JU47" s="191"/>
      <c r="JV47" s="191"/>
      <c r="JW47" s="191">
        <v>200</v>
      </c>
      <c r="JX47" s="191"/>
      <c r="JY47" s="191">
        <v>100</v>
      </c>
      <c r="JZ47" s="191">
        <v>150</v>
      </c>
      <c r="KA47" s="191"/>
      <c r="KB47" s="191"/>
      <c r="KC47" s="191"/>
      <c r="KD47" s="191">
        <v>100</v>
      </c>
      <c r="KE47" s="191"/>
      <c r="KF47" s="191">
        <v>100</v>
      </c>
      <c r="KG47" s="191"/>
      <c r="KH47" s="191">
        <v>100</v>
      </c>
      <c r="KI47" s="191"/>
      <c r="KJ47" s="193"/>
      <c r="KK47" s="194">
        <v>200</v>
      </c>
      <c r="KL47" s="191"/>
      <c r="KM47" s="191">
        <v>150</v>
      </c>
      <c r="KN47" s="191"/>
      <c r="KO47" s="191">
        <v>100</v>
      </c>
      <c r="KP47" s="191"/>
      <c r="KQ47" s="191"/>
      <c r="KR47" s="191">
        <v>150</v>
      </c>
      <c r="KS47" s="191"/>
      <c r="KT47" s="191"/>
      <c r="KU47" s="191"/>
      <c r="KV47" s="191">
        <v>150</v>
      </c>
      <c r="KW47" s="191"/>
      <c r="KX47" s="191"/>
      <c r="KY47" s="191"/>
      <c r="KZ47" s="191"/>
      <c r="LA47" s="191">
        <v>200</v>
      </c>
      <c r="LB47" s="191"/>
      <c r="LC47" s="191">
        <v>100</v>
      </c>
      <c r="LD47" s="191"/>
      <c r="LE47" s="191"/>
      <c r="LF47" s="191">
        <v>200</v>
      </c>
      <c r="LG47" s="191"/>
      <c r="LH47" s="191">
        <v>100</v>
      </c>
      <c r="LI47" s="191"/>
      <c r="LJ47" s="191">
        <v>100</v>
      </c>
      <c r="LK47" s="191"/>
      <c r="LL47" s="191"/>
      <c r="LM47" s="191">
        <v>150</v>
      </c>
      <c r="LN47" s="192"/>
      <c r="LO47" s="190">
        <v>150</v>
      </c>
      <c r="LP47" s="191"/>
      <c r="LQ47" s="191">
        <v>100</v>
      </c>
      <c r="LR47" s="191"/>
      <c r="LS47" s="191"/>
      <c r="LT47" s="191">
        <v>100</v>
      </c>
      <c r="LU47" s="191"/>
      <c r="LV47" s="191">
        <v>50</v>
      </c>
      <c r="LW47" s="191"/>
      <c r="LX47" s="191">
        <v>100</v>
      </c>
      <c r="LY47" s="191"/>
      <c r="LZ47" s="191"/>
      <c r="MA47" s="191">
        <v>100</v>
      </c>
      <c r="MB47" s="191"/>
      <c r="MC47" s="191">
        <v>100</v>
      </c>
      <c r="MD47" s="191"/>
      <c r="ME47" s="191">
        <v>50</v>
      </c>
      <c r="MF47" s="191"/>
      <c r="MG47" s="191"/>
      <c r="MH47" s="191">
        <v>150</v>
      </c>
      <c r="MI47" s="191"/>
      <c r="MJ47" s="191">
        <v>50</v>
      </c>
      <c r="MK47" s="191"/>
      <c r="ML47" s="191">
        <v>50</v>
      </c>
      <c r="MM47" s="191"/>
      <c r="MN47" s="191"/>
      <c r="MO47" s="191">
        <v>100</v>
      </c>
      <c r="MP47" s="191"/>
      <c r="MQ47" s="191"/>
      <c r="MR47" s="191"/>
      <c r="MS47" s="193">
        <v>150</v>
      </c>
      <c r="MT47" s="194"/>
      <c r="MU47" s="191"/>
      <c r="MV47" s="191">
        <v>200</v>
      </c>
      <c r="MW47" s="191"/>
      <c r="MX47" s="191">
        <v>100</v>
      </c>
      <c r="MY47" s="191"/>
      <c r="MZ47" s="191">
        <v>150</v>
      </c>
      <c r="NA47" s="191"/>
      <c r="NB47" s="191"/>
      <c r="NC47" s="191">
        <v>150</v>
      </c>
      <c r="ND47" s="191"/>
      <c r="NE47" s="191"/>
      <c r="NF47" s="191">
        <v>200</v>
      </c>
      <c r="NG47" s="191">
        <v>50</v>
      </c>
      <c r="NH47" s="191"/>
      <c r="NI47" s="191"/>
      <c r="NJ47" s="191">
        <v>100</v>
      </c>
      <c r="NK47" s="191"/>
      <c r="NL47" s="191">
        <v>100</v>
      </c>
      <c r="NM47" s="191"/>
      <c r="NN47" s="191">
        <v>50</v>
      </c>
      <c r="NO47" s="191"/>
      <c r="NP47" s="191"/>
      <c r="NQ47" s="191">
        <v>100</v>
      </c>
      <c r="NR47" s="191"/>
      <c r="NS47" s="191"/>
      <c r="NT47" s="191"/>
      <c r="NU47" s="191">
        <v>100</v>
      </c>
      <c r="NV47" s="191"/>
      <c r="NW47" s="192"/>
      <c r="NX47" s="190">
        <v>150</v>
      </c>
      <c r="NY47" s="191"/>
      <c r="NZ47" s="191">
        <v>100</v>
      </c>
      <c r="OA47" s="191"/>
      <c r="OB47" s="191">
        <v>50</v>
      </c>
      <c r="OC47" s="191"/>
      <c r="OD47" s="191"/>
      <c r="OE47" s="191">
        <v>100</v>
      </c>
      <c r="OF47" s="191"/>
      <c r="OG47" s="191"/>
      <c r="OH47" s="191"/>
      <c r="OI47" s="191">
        <v>100</v>
      </c>
      <c r="OJ47" s="191"/>
      <c r="OK47" s="191"/>
      <c r="OL47" s="191"/>
      <c r="OM47" s="191"/>
      <c r="ON47" s="191"/>
      <c r="OO47" s="191"/>
      <c r="OP47" s="191"/>
      <c r="OQ47" s="191"/>
      <c r="OR47" s="191"/>
      <c r="OS47" s="191"/>
      <c r="OT47" s="191"/>
      <c r="OU47" s="191"/>
      <c r="OV47" s="191"/>
      <c r="OW47" s="191"/>
      <c r="OX47" s="191"/>
      <c r="OY47" s="191"/>
      <c r="OZ47" s="191"/>
      <c r="PA47" s="191"/>
      <c r="PB47" s="193"/>
      <c r="PC47" s="47"/>
      <c r="PD47" s="154" t="s">
        <v>97</v>
      </c>
      <c r="PE47" s="155" t="s">
        <v>98</v>
      </c>
      <c r="PF47" s="155" t="s">
        <v>98</v>
      </c>
      <c r="PG47" s="155" t="s">
        <v>98</v>
      </c>
      <c r="PH47" s="155" t="s">
        <v>98</v>
      </c>
      <c r="PI47" s="155" t="s">
        <v>98</v>
      </c>
      <c r="PJ47" s="155" t="s">
        <v>98</v>
      </c>
      <c r="PK47" s="155" t="s">
        <v>98</v>
      </c>
      <c r="PL47" s="155" t="s">
        <v>98</v>
      </c>
      <c r="PM47" s="155" t="s">
        <v>98</v>
      </c>
      <c r="PN47" s="155" t="s">
        <v>98</v>
      </c>
      <c r="PO47" s="156"/>
      <c r="PP47" s="156"/>
      <c r="PQ47" s="156"/>
      <c r="PR47" s="156"/>
      <c r="PS47" s="156"/>
      <c r="PT47" s="156"/>
      <c r="PU47" s="156"/>
      <c r="PV47" s="156"/>
      <c r="PW47" s="156"/>
      <c r="PX47" s="195"/>
      <c r="PY47" s="1"/>
      <c r="PZ47" s="196">
        <f t="shared" si="20"/>
        <v>920</v>
      </c>
      <c r="QA47" s="176">
        <f t="shared" si="21"/>
        <v>7.6749812296654707E-3</v>
      </c>
      <c r="QB47" s="177" t="str">
        <f t="shared" ca="1" si="22"/>
        <v>Attente…</v>
      </c>
      <c r="QC47" s="197">
        <f t="shared" si="23"/>
        <v>1300</v>
      </c>
      <c r="QD47" s="179">
        <f t="shared" si="24"/>
        <v>1.2172284644194757E-2</v>
      </c>
      <c r="QE47" s="180" t="str">
        <f t="shared" ca="1" si="25"/>
        <v>Attente…</v>
      </c>
      <c r="QF47" s="196">
        <f t="shared" si="26"/>
        <v>1250</v>
      </c>
      <c r="QG47" s="176">
        <f t="shared" si="27"/>
        <v>9.9538143016403881E-3</v>
      </c>
      <c r="QH47" s="177" t="str">
        <f t="shared" ca="1" si="28"/>
        <v>Attente…</v>
      </c>
      <c r="QI47" s="197">
        <f t="shared" si="29"/>
        <v>1450</v>
      </c>
      <c r="QJ47" s="179">
        <f t="shared" si="30"/>
        <v>1.0169729274793099E-2</v>
      </c>
      <c r="QK47" s="180" t="str">
        <f t="shared" ca="1" si="31"/>
        <v>Attente…</v>
      </c>
      <c r="QL47" s="196">
        <f t="shared" si="32"/>
        <v>1200</v>
      </c>
      <c r="QM47" s="176">
        <f t="shared" si="33"/>
        <v>8.7796312554872698E-3</v>
      </c>
      <c r="QN47" s="177" t="str">
        <f t="shared" ca="1" si="34"/>
        <v>Attente…</v>
      </c>
      <c r="QO47" s="197">
        <f t="shared" si="35"/>
        <v>1310</v>
      </c>
      <c r="QP47" s="179">
        <f t="shared" si="36"/>
        <v>1.0256008768496047E-2</v>
      </c>
      <c r="QQ47" s="180" t="str">
        <f t="shared" ca="1" si="37"/>
        <v>Attente…</v>
      </c>
      <c r="QR47" s="196">
        <f t="shared" si="38"/>
        <v>1350</v>
      </c>
      <c r="QS47" s="176">
        <f t="shared" si="39"/>
        <v>9.7188726107771493E-3</v>
      </c>
      <c r="QT47" s="177" t="str">
        <f t="shared" ca="1" si="40"/>
        <v>Attente…</v>
      </c>
      <c r="QU47" s="197">
        <f t="shared" si="41"/>
        <v>1400</v>
      </c>
      <c r="QV47" s="179">
        <f t="shared" si="42"/>
        <v>9.6525096525096523E-3</v>
      </c>
      <c r="QW47" s="180" t="str">
        <f t="shared" ca="1" si="43"/>
        <v>Attente…</v>
      </c>
      <c r="QX47" s="196">
        <f t="shared" si="44"/>
        <v>1600</v>
      </c>
      <c r="QY47" s="176">
        <f t="shared" si="45"/>
        <v>1.1675764032808896E-2</v>
      </c>
      <c r="QZ47" s="177" t="str">
        <f t="shared" ca="1" si="46"/>
        <v>Attente…</v>
      </c>
      <c r="RA47" s="197">
        <f t="shared" si="47"/>
        <v>1250</v>
      </c>
      <c r="RB47" s="179">
        <f t="shared" si="48"/>
        <v>9.7801423988733271E-3</v>
      </c>
      <c r="RC47" s="180" t="str">
        <f t="shared" ca="1" si="49"/>
        <v>Attente…</v>
      </c>
      <c r="RD47" s="196">
        <f t="shared" si="50"/>
        <v>1300</v>
      </c>
      <c r="RE47" s="176">
        <f t="shared" si="51"/>
        <v>1.2953367875647668E-2</v>
      </c>
      <c r="RF47" s="177" t="str">
        <f t="shared" ca="1" si="52"/>
        <v>Attente…</v>
      </c>
      <c r="RG47" s="197">
        <f t="shared" si="53"/>
        <v>500</v>
      </c>
      <c r="RH47" s="179">
        <f t="shared" si="54"/>
        <v>9.1962479308442154E-3</v>
      </c>
      <c r="RI47" s="198" t="str">
        <f t="shared" ca="1" si="55"/>
        <v>Attente…</v>
      </c>
      <c r="RJ47" s="199">
        <f t="shared" si="56"/>
        <v>3470</v>
      </c>
      <c r="RK47" s="200" t="str">
        <f t="shared" ca="1" si="13"/>
        <v>Attente…</v>
      </c>
      <c r="RL47" s="199">
        <f t="shared" si="57"/>
        <v>3960</v>
      </c>
      <c r="RM47" s="200" t="str">
        <f t="shared" ca="1" si="58"/>
        <v>Atttente…</v>
      </c>
      <c r="RN47" s="199">
        <f t="shared" si="59"/>
        <v>4350</v>
      </c>
      <c r="RO47" s="200" t="str">
        <f t="shared" ca="1" si="14"/>
        <v>Attente…</v>
      </c>
      <c r="RP47" s="199">
        <f t="shared" si="60"/>
        <v>3050</v>
      </c>
      <c r="RQ47" s="200" t="str">
        <f t="shared" ca="1" si="15"/>
        <v>Attente…</v>
      </c>
      <c r="RR47" s="201">
        <f t="shared" si="61"/>
        <v>14830</v>
      </c>
      <c r="RS47" s="202" t="str">
        <f t="shared" ca="1" si="16"/>
        <v>Attente…</v>
      </c>
      <c r="RT47" s="103"/>
      <c r="RU47" s="203">
        <f t="shared" si="62"/>
        <v>0.54925925925925922</v>
      </c>
      <c r="RV47" s="204">
        <f t="shared" si="65"/>
        <v>1</v>
      </c>
      <c r="RW47" s="204">
        <f t="shared" si="65"/>
        <v>3</v>
      </c>
      <c r="RX47" s="204">
        <f t="shared" si="63"/>
        <v>135</v>
      </c>
      <c r="RY47" s="205" t="str">
        <f t="shared" si="64"/>
        <v>BONSECOURS - 23 Rue Camille Saint Saens (Parking du Stade des Hautes Haies)</v>
      </c>
      <c r="RZ47" s="189" t="str">
        <f>IF(OR(RZ46="",RZ46="  &lt;/Document&gt;
&lt;/kml&gt;"),"",
IF(B47="","  &lt;/Document&gt;
&lt;/kml&gt;",
IF(TournéesCAV!Q40=""," ",
"    &lt;Placemark&gt;
      &lt;description&gt;&lt;![CDATA["&amp;B47&amp;"&lt;br&gt;&lt;br&gt;"&amp;RV47&amp;" CAV&lt;br&gt;&lt;br&gt;Présent sur "&amp;RW47&amp;" tournée(s)&lt;br&gt;&lt;br&gt;Taux de remplissage moyen "&amp;TEXT(RU47*1000,"0 %")&amp;"]]&gt;&lt;/description&gt;
      &lt;Style&gt;
        &lt;IconStyle&gt;
          &lt;color&gt;ff"&amp;
          DEC2HEX(0,2)&amp;
          DEC2HEX(
            IF(RU47&lt;=0.5,
               INT(255*(RU47*2)),
               255
            ),2)&amp;
          DEC2HEX(
            IF(RU47&lt;=0.5,
               255,
               INT(255*(1-(RU47-0.5)*2))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&lt;Point&gt;&lt;coordinates&gt;"&amp;R47&amp;","&amp;Q47&amp;",0&lt;/coordinates&gt;&lt;/Point&gt;
    &lt;/Placemark&gt;"
)))</f>
        <v xml:space="preserve">    &lt;Placemark&gt;
      &lt;description&gt;&lt;![CDATA[BONSECOURS - 23 Rue Camille Saint Saens (Parking du Stade des Hautes Haies)&lt;br&gt;&lt;br&gt;1 CAV&lt;br&gt;&lt;br&gt;Présent sur 3 tournée(s)&lt;br&gt;&lt;br&gt;Taux de remplissage moyen 55%]]&gt;&lt;/description&gt;
      &lt;Style&gt;
        &lt;IconStyle&gt;
          &lt;color&gt;ff00FFE5&lt;/color&gt;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&lt;Point&gt;&lt;coordinates&gt;1.1299639,49.42201,0&lt;/coordinates&gt;&lt;/Point&gt;
    &lt;/Placemark&gt;</v>
      </c>
    </row>
    <row r="48" spans="2:494" ht="15" hidden="1" customHeight="1" x14ac:dyDescent="0.35">
      <c r="B48" s="153" t="str">
        <f t="shared" si="17"/>
        <v>LE MESNIL-ESNARD - 5 Rue des Perets (Parking de l'école)</v>
      </c>
      <c r="C48" s="154">
        <v>76</v>
      </c>
      <c r="D48" s="155">
        <v>67</v>
      </c>
      <c r="E48" s="155"/>
      <c r="F48" s="155"/>
      <c r="G48" s="155"/>
      <c r="H48" s="155"/>
      <c r="I48" s="155"/>
      <c r="J48" s="156"/>
      <c r="K48" s="157">
        <f t="shared" si="18"/>
        <v>2</v>
      </c>
      <c r="L48" s="157">
        <f t="shared" si="19"/>
        <v>3</v>
      </c>
      <c r="M48" s="158" t="s">
        <v>321</v>
      </c>
      <c r="N48" s="159" t="s">
        <v>322</v>
      </c>
      <c r="O48" s="159">
        <v>76240</v>
      </c>
      <c r="P48" s="159" t="s">
        <v>311</v>
      </c>
      <c r="Q48" s="159" t="s">
        <v>323</v>
      </c>
      <c r="R48" s="159" t="s">
        <v>324</v>
      </c>
      <c r="S48" s="159" t="s">
        <v>93</v>
      </c>
      <c r="T48" s="159" t="s">
        <v>94</v>
      </c>
      <c r="U48" s="159" t="s">
        <v>325</v>
      </c>
      <c r="V48" s="160" t="s">
        <v>96</v>
      </c>
      <c r="W48" s="161"/>
      <c r="X48" s="162"/>
      <c r="Y48" s="163"/>
      <c r="Z48" s="162"/>
      <c r="AA48" s="163"/>
      <c r="AB48" s="162"/>
      <c r="AC48" s="163"/>
      <c r="AD48" s="162">
        <v>6</v>
      </c>
      <c r="AE48" s="163">
        <v>6</v>
      </c>
      <c r="AF48" s="162">
        <v>11</v>
      </c>
      <c r="AG48" s="163"/>
      <c r="AH48" s="163"/>
      <c r="AI48" s="162"/>
      <c r="AJ48" s="163"/>
      <c r="AK48" s="162"/>
      <c r="AL48" s="163"/>
      <c r="AM48" s="162"/>
      <c r="AN48" s="163"/>
      <c r="AO48" s="162"/>
      <c r="AP48" s="164"/>
      <c r="AQ48" s="164"/>
      <c r="AR48" s="164"/>
      <c r="AS48" s="164"/>
      <c r="AT48" s="164"/>
      <c r="AU48" s="164"/>
      <c r="AV48" s="164"/>
      <c r="AW48" s="164"/>
      <c r="AX48" s="164"/>
      <c r="AY48" s="165"/>
      <c r="AZ48" s="41"/>
      <c r="BA48" s="190"/>
      <c r="BB48" s="191"/>
      <c r="BC48" s="191"/>
      <c r="BD48" s="191"/>
      <c r="BE48" s="191"/>
      <c r="BF48" s="191">
        <v>400</v>
      </c>
      <c r="BG48" s="191"/>
      <c r="BH48" s="191">
        <v>150</v>
      </c>
      <c r="BI48" s="191"/>
      <c r="BJ48" s="191">
        <v>60</v>
      </c>
      <c r="BK48" s="191"/>
      <c r="BL48" s="191"/>
      <c r="BM48" s="191">
        <v>110</v>
      </c>
      <c r="BN48" s="191"/>
      <c r="BO48" s="191">
        <v>60</v>
      </c>
      <c r="BP48" s="191"/>
      <c r="BQ48" s="191">
        <v>150</v>
      </c>
      <c r="BR48" s="191"/>
      <c r="BS48" s="191"/>
      <c r="BT48" s="191">
        <v>150</v>
      </c>
      <c r="BU48" s="191"/>
      <c r="BV48" s="191">
        <v>100</v>
      </c>
      <c r="BW48" s="191"/>
      <c r="BX48" s="191">
        <v>110</v>
      </c>
      <c r="BY48" s="191"/>
      <c r="BZ48" s="191"/>
      <c r="CA48" s="191">
        <v>150</v>
      </c>
      <c r="CB48" s="191"/>
      <c r="CC48" s="191">
        <v>100</v>
      </c>
      <c r="CD48" s="191"/>
      <c r="CE48" s="192">
        <v>150</v>
      </c>
      <c r="CF48" s="190"/>
      <c r="CG48" s="191"/>
      <c r="CH48" s="191">
        <v>250</v>
      </c>
      <c r="CI48" s="191"/>
      <c r="CJ48" s="191">
        <v>200</v>
      </c>
      <c r="CK48" s="191"/>
      <c r="CL48" s="191">
        <v>110</v>
      </c>
      <c r="CM48" s="191"/>
      <c r="CN48" s="191"/>
      <c r="CO48" s="191">
        <v>100</v>
      </c>
      <c r="CP48" s="191"/>
      <c r="CQ48" s="191">
        <v>60</v>
      </c>
      <c r="CR48" s="191"/>
      <c r="CS48" s="191">
        <v>60</v>
      </c>
      <c r="CT48" s="191"/>
      <c r="CU48" s="191"/>
      <c r="CV48" s="191">
        <v>150</v>
      </c>
      <c r="CW48" s="191"/>
      <c r="CX48" s="191">
        <v>160</v>
      </c>
      <c r="CY48" s="191"/>
      <c r="CZ48" s="191">
        <v>200</v>
      </c>
      <c r="DA48" s="191"/>
      <c r="DB48" s="191"/>
      <c r="DC48" s="191">
        <v>200</v>
      </c>
      <c r="DD48" s="191"/>
      <c r="DE48" s="191">
        <v>250</v>
      </c>
      <c r="DF48" s="191"/>
      <c r="DG48" s="191">
        <v>60</v>
      </c>
      <c r="DH48" s="193"/>
      <c r="DI48" s="194"/>
      <c r="DJ48" s="191"/>
      <c r="DK48" s="191">
        <v>200</v>
      </c>
      <c r="DL48" s="191"/>
      <c r="DM48" s="191">
        <v>100</v>
      </c>
      <c r="DN48" s="191"/>
      <c r="DO48" s="191">
        <v>160</v>
      </c>
      <c r="DP48" s="191"/>
      <c r="DQ48" s="191"/>
      <c r="DR48" s="191">
        <v>200</v>
      </c>
      <c r="DS48" s="191"/>
      <c r="DT48" s="191">
        <v>60</v>
      </c>
      <c r="DU48" s="191"/>
      <c r="DV48" s="191">
        <v>110</v>
      </c>
      <c r="DW48" s="191"/>
      <c r="DX48" s="191"/>
      <c r="DY48" s="191">
        <v>300</v>
      </c>
      <c r="DZ48" s="191"/>
      <c r="EA48" s="191">
        <v>150</v>
      </c>
      <c r="EB48" s="191"/>
      <c r="EC48" s="191">
        <v>150</v>
      </c>
      <c r="ED48" s="191"/>
      <c r="EE48" s="191"/>
      <c r="EF48" s="191">
        <v>200</v>
      </c>
      <c r="EG48" s="191"/>
      <c r="EH48" s="191">
        <v>60</v>
      </c>
      <c r="EI48" s="191"/>
      <c r="EJ48" s="191">
        <v>60</v>
      </c>
      <c r="EK48" s="191"/>
      <c r="EL48" s="191"/>
      <c r="EM48" s="192">
        <v>150</v>
      </c>
      <c r="EN48" s="190"/>
      <c r="EO48" s="191">
        <v>100</v>
      </c>
      <c r="EP48" s="191"/>
      <c r="EQ48" s="191">
        <v>60</v>
      </c>
      <c r="ER48" s="191"/>
      <c r="ES48" s="191"/>
      <c r="ET48" s="191">
        <v>250</v>
      </c>
      <c r="EU48" s="191"/>
      <c r="EV48" s="191">
        <v>110</v>
      </c>
      <c r="EW48" s="191"/>
      <c r="EX48" s="191">
        <v>60</v>
      </c>
      <c r="EY48" s="191"/>
      <c r="EZ48" s="191"/>
      <c r="FA48" s="191">
        <v>210</v>
      </c>
      <c r="FB48" s="191"/>
      <c r="FC48" s="191">
        <v>110</v>
      </c>
      <c r="FD48" s="191"/>
      <c r="FE48" s="191">
        <v>110</v>
      </c>
      <c r="FF48" s="191"/>
      <c r="FG48" s="191"/>
      <c r="FH48" s="191"/>
      <c r="FI48" s="191">
        <v>350</v>
      </c>
      <c r="FJ48" s="191"/>
      <c r="FK48" s="191">
        <v>60</v>
      </c>
      <c r="FL48" s="191"/>
      <c r="FM48" s="191"/>
      <c r="FN48" s="191"/>
      <c r="FO48" s="191">
        <v>250</v>
      </c>
      <c r="FP48" s="191"/>
      <c r="FQ48" s="193">
        <v>200</v>
      </c>
      <c r="FR48" s="194"/>
      <c r="FS48" s="191">
        <v>150</v>
      </c>
      <c r="FT48" s="191"/>
      <c r="FU48" s="191"/>
      <c r="FV48" s="191">
        <v>300</v>
      </c>
      <c r="FW48" s="191"/>
      <c r="FX48" s="191">
        <v>200</v>
      </c>
      <c r="FY48" s="191"/>
      <c r="FZ48" s="191">
        <v>250</v>
      </c>
      <c r="GA48" s="191"/>
      <c r="GB48" s="191"/>
      <c r="GC48" s="191">
        <v>200</v>
      </c>
      <c r="GD48" s="191"/>
      <c r="GE48" s="191">
        <v>100</v>
      </c>
      <c r="GF48" s="191"/>
      <c r="GG48" s="191">
        <v>110</v>
      </c>
      <c r="GH48" s="191"/>
      <c r="GI48" s="191"/>
      <c r="GJ48" s="191">
        <v>300</v>
      </c>
      <c r="GK48" s="191"/>
      <c r="GL48" s="191">
        <v>110</v>
      </c>
      <c r="GM48" s="191"/>
      <c r="GN48" s="191">
        <v>110</v>
      </c>
      <c r="GO48" s="191"/>
      <c r="GP48" s="191"/>
      <c r="GQ48" s="191">
        <v>400</v>
      </c>
      <c r="GR48" s="191"/>
      <c r="GS48" s="191">
        <v>150</v>
      </c>
      <c r="GT48" s="191"/>
      <c r="GU48" s="191">
        <v>100</v>
      </c>
      <c r="GV48" s="192"/>
      <c r="GW48" s="190"/>
      <c r="GX48" s="191">
        <v>250</v>
      </c>
      <c r="GY48" s="191"/>
      <c r="GZ48" s="191"/>
      <c r="HA48" s="191">
        <v>150</v>
      </c>
      <c r="HB48" s="191">
        <v>60</v>
      </c>
      <c r="HC48" s="191"/>
      <c r="HD48" s="191"/>
      <c r="HE48" s="191"/>
      <c r="HF48" s="191">
        <v>350</v>
      </c>
      <c r="HG48" s="191"/>
      <c r="HH48" s="191">
        <v>60</v>
      </c>
      <c r="HI48" s="191">
        <v>20</v>
      </c>
      <c r="HJ48" s="191"/>
      <c r="HK48" s="191"/>
      <c r="HL48" s="191">
        <v>150</v>
      </c>
      <c r="HM48" s="191"/>
      <c r="HN48" s="191">
        <v>150</v>
      </c>
      <c r="HO48" s="191"/>
      <c r="HP48" s="191">
        <v>60</v>
      </c>
      <c r="HQ48" s="191"/>
      <c r="HR48" s="191"/>
      <c r="HS48" s="191">
        <v>250</v>
      </c>
      <c r="HT48" s="191"/>
      <c r="HU48" s="191"/>
      <c r="HV48" s="191"/>
      <c r="HW48" s="191">
        <v>250</v>
      </c>
      <c r="HX48" s="191"/>
      <c r="HY48" s="191"/>
      <c r="HZ48" s="193">
        <v>250</v>
      </c>
      <c r="IA48" s="194"/>
      <c r="IB48" s="191">
        <v>20</v>
      </c>
      <c r="IC48" s="191"/>
      <c r="ID48" s="191">
        <v>150</v>
      </c>
      <c r="IE48" s="191"/>
      <c r="IF48" s="191"/>
      <c r="IG48" s="191">
        <v>300</v>
      </c>
      <c r="IH48" s="191"/>
      <c r="II48" s="191"/>
      <c r="IJ48" s="191"/>
      <c r="IK48" s="191">
        <v>300</v>
      </c>
      <c r="IL48" s="191"/>
      <c r="IM48" s="191"/>
      <c r="IN48" s="191">
        <v>200</v>
      </c>
      <c r="IO48" s="191"/>
      <c r="IP48" s="191"/>
      <c r="IQ48" s="191"/>
      <c r="IR48" s="191">
        <v>200</v>
      </c>
      <c r="IS48" s="191"/>
      <c r="IT48" s="191"/>
      <c r="IU48" s="191">
        <v>200</v>
      </c>
      <c r="IV48" s="191"/>
      <c r="IW48" s="191"/>
      <c r="IX48" s="191"/>
      <c r="IY48" s="191">
        <v>50</v>
      </c>
      <c r="IZ48" s="191"/>
      <c r="JA48" s="191"/>
      <c r="JB48" s="191">
        <v>400</v>
      </c>
      <c r="JC48" s="191"/>
      <c r="JD48" s="191">
        <v>250</v>
      </c>
      <c r="JE48" s="192"/>
      <c r="JF48" s="190">
        <v>100</v>
      </c>
      <c r="JG48" s="191"/>
      <c r="JH48" s="191"/>
      <c r="JI48" s="191">
        <v>300</v>
      </c>
      <c r="JJ48" s="191"/>
      <c r="JK48" s="191"/>
      <c r="JL48" s="191"/>
      <c r="JM48" s="191">
        <v>250</v>
      </c>
      <c r="JN48" s="191"/>
      <c r="JO48" s="191"/>
      <c r="JP48" s="191">
        <v>150</v>
      </c>
      <c r="JQ48" s="191"/>
      <c r="JR48" s="191">
        <v>150</v>
      </c>
      <c r="JS48" s="191"/>
      <c r="JT48" s="191"/>
      <c r="JU48" s="191"/>
      <c r="JV48" s="191"/>
      <c r="JW48" s="191">
        <v>350</v>
      </c>
      <c r="JX48" s="191"/>
      <c r="JY48" s="191">
        <v>100</v>
      </c>
      <c r="JZ48" s="191">
        <v>300</v>
      </c>
      <c r="KA48" s="191"/>
      <c r="KB48" s="191"/>
      <c r="KC48" s="191"/>
      <c r="KD48" s="191">
        <v>200</v>
      </c>
      <c r="KE48" s="191"/>
      <c r="KF48" s="191">
        <v>160</v>
      </c>
      <c r="KG48" s="191"/>
      <c r="KH48" s="191">
        <v>250</v>
      </c>
      <c r="KI48" s="191"/>
      <c r="KJ48" s="193"/>
      <c r="KK48" s="194">
        <v>350</v>
      </c>
      <c r="KL48" s="191"/>
      <c r="KM48" s="191">
        <v>100</v>
      </c>
      <c r="KN48" s="191"/>
      <c r="KO48" s="191">
        <v>110</v>
      </c>
      <c r="KP48" s="191"/>
      <c r="KQ48" s="191"/>
      <c r="KR48" s="191">
        <v>250</v>
      </c>
      <c r="KS48" s="191"/>
      <c r="KT48" s="191"/>
      <c r="KU48" s="191"/>
      <c r="KV48" s="191">
        <v>250</v>
      </c>
      <c r="KW48" s="191"/>
      <c r="KX48" s="191"/>
      <c r="KY48" s="191">
        <v>350</v>
      </c>
      <c r="KZ48" s="191"/>
      <c r="LA48" s="191">
        <v>200</v>
      </c>
      <c r="LB48" s="191"/>
      <c r="LC48" s="191">
        <v>110</v>
      </c>
      <c r="LD48" s="191"/>
      <c r="LE48" s="191"/>
      <c r="LF48" s="191">
        <v>250</v>
      </c>
      <c r="LG48" s="191"/>
      <c r="LH48" s="191">
        <v>250</v>
      </c>
      <c r="LI48" s="191"/>
      <c r="LJ48" s="191">
        <v>160</v>
      </c>
      <c r="LK48" s="191"/>
      <c r="LL48" s="191"/>
      <c r="LM48" s="191">
        <v>250</v>
      </c>
      <c r="LN48" s="192"/>
      <c r="LO48" s="190">
        <v>200</v>
      </c>
      <c r="LP48" s="191"/>
      <c r="LQ48" s="191">
        <v>200</v>
      </c>
      <c r="LR48" s="191"/>
      <c r="LS48" s="191"/>
      <c r="LT48" s="191">
        <v>300</v>
      </c>
      <c r="LU48" s="191"/>
      <c r="LV48" s="191">
        <v>100</v>
      </c>
      <c r="LW48" s="191"/>
      <c r="LX48" s="191">
        <v>150</v>
      </c>
      <c r="LY48" s="191"/>
      <c r="LZ48" s="191"/>
      <c r="MA48" s="191">
        <v>250</v>
      </c>
      <c r="MB48" s="191"/>
      <c r="MC48" s="191">
        <v>150</v>
      </c>
      <c r="MD48" s="191"/>
      <c r="ME48" s="191">
        <v>110</v>
      </c>
      <c r="MF48" s="191"/>
      <c r="MG48" s="191"/>
      <c r="MH48" s="191">
        <v>300</v>
      </c>
      <c r="MI48" s="191"/>
      <c r="MJ48" s="191">
        <v>60</v>
      </c>
      <c r="MK48" s="191"/>
      <c r="ML48" s="191">
        <v>150</v>
      </c>
      <c r="MM48" s="191"/>
      <c r="MN48" s="191"/>
      <c r="MO48" s="191">
        <v>200</v>
      </c>
      <c r="MP48" s="191"/>
      <c r="MQ48" s="191"/>
      <c r="MR48" s="191"/>
      <c r="MS48" s="193">
        <v>300</v>
      </c>
      <c r="MT48" s="194"/>
      <c r="MU48" s="191"/>
      <c r="MV48" s="191">
        <v>200</v>
      </c>
      <c r="MW48" s="191"/>
      <c r="MX48" s="191">
        <v>110</v>
      </c>
      <c r="MY48" s="191"/>
      <c r="MZ48" s="191">
        <v>160</v>
      </c>
      <c r="NA48" s="191"/>
      <c r="NB48" s="191"/>
      <c r="NC48" s="191">
        <v>300</v>
      </c>
      <c r="ND48" s="191"/>
      <c r="NE48" s="191"/>
      <c r="NF48" s="191">
        <v>150</v>
      </c>
      <c r="NG48" s="191">
        <v>110</v>
      </c>
      <c r="NH48" s="191"/>
      <c r="NI48" s="191"/>
      <c r="NJ48" s="191">
        <v>250</v>
      </c>
      <c r="NK48" s="191"/>
      <c r="NL48" s="191">
        <v>100</v>
      </c>
      <c r="NM48" s="191"/>
      <c r="NN48" s="191">
        <v>150</v>
      </c>
      <c r="NO48" s="191"/>
      <c r="NP48" s="191"/>
      <c r="NQ48" s="191">
        <v>250</v>
      </c>
      <c r="NR48" s="191"/>
      <c r="NS48" s="191"/>
      <c r="NT48" s="191"/>
      <c r="NU48" s="191">
        <v>150</v>
      </c>
      <c r="NV48" s="191"/>
      <c r="NW48" s="192"/>
      <c r="NX48" s="190">
        <v>50</v>
      </c>
      <c r="NY48" s="191"/>
      <c r="NZ48" s="191">
        <v>50</v>
      </c>
      <c r="OA48" s="191"/>
      <c r="OB48" s="191">
        <v>60</v>
      </c>
      <c r="OC48" s="191"/>
      <c r="OD48" s="191"/>
      <c r="OE48" s="191">
        <v>100</v>
      </c>
      <c r="OF48" s="191"/>
      <c r="OG48" s="191"/>
      <c r="OH48" s="191"/>
      <c r="OI48" s="191">
        <v>100</v>
      </c>
      <c r="OJ48" s="191"/>
      <c r="OK48" s="191"/>
      <c r="OL48" s="191"/>
      <c r="OM48" s="191"/>
      <c r="ON48" s="191"/>
      <c r="OO48" s="191"/>
      <c r="OP48" s="191"/>
      <c r="OQ48" s="191"/>
      <c r="OR48" s="191"/>
      <c r="OS48" s="191"/>
      <c r="OT48" s="191"/>
      <c r="OU48" s="191"/>
      <c r="OV48" s="191"/>
      <c r="OW48" s="191"/>
      <c r="OX48" s="191"/>
      <c r="OY48" s="191"/>
      <c r="OZ48" s="191"/>
      <c r="PA48" s="191"/>
      <c r="PB48" s="193"/>
      <c r="PC48" s="47"/>
      <c r="PD48" s="154" t="s">
        <v>97</v>
      </c>
      <c r="PE48" s="155" t="s">
        <v>98</v>
      </c>
      <c r="PF48" s="155" t="s">
        <v>98</v>
      </c>
      <c r="PG48" s="155" t="s">
        <v>98</v>
      </c>
      <c r="PH48" s="155" t="s">
        <v>98</v>
      </c>
      <c r="PI48" s="155" t="s">
        <v>98</v>
      </c>
      <c r="PJ48" s="155" t="s">
        <v>98</v>
      </c>
      <c r="PK48" s="155" t="s">
        <v>98</v>
      </c>
      <c r="PL48" s="155" t="s">
        <v>98</v>
      </c>
      <c r="PM48" s="155" t="s">
        <v>98</v>
      </c>
      <c r="PN48" s="155" t="s">
        <v>98</v>
      </c>
      <c r="PO48" s="156"/>
      <c r="PP48" s="156"/>
      <c r="PQ48" s="156"/>
      <c r="PR48" s="156"/>
      <c r="PS48" s="156"/>
      <c r="PT48" s="156"/>
      <c r="PU48" s="156"/>
      <c r="PV48" s="156"/>
      <c r="PW48" s="156"/>
      <c r="PX48" s="195"/>
      <c r="PY48" s="1"/>
      <c r="PZ48" s="196">
        <f t="shared" si="20"/>
        <v>1690</v>
      </c>
      <c r="QA48" s="176">
        <f t="shared" si="21"/>
        <v>1.4098606824059398E-2</v>
      </c>
      <c r="QB48" s="177" t="str">
        <f t="shared" ca="1" si="22"/>
        <v>Attente…</v>
      </c>
      <c r="QC48" s="197">
        <f t="shared" si="23"/>
        <v>1800</v>
      </c>
      <c r="QD48" s="179">
        <f t="shared" si="24"/>
        <v>1.6853932584269662E-2</v>
      </c>
      <c r="QE48" s="180" t="str">
        <f t="shared" ca="1" si="25"/>
        <v>Attente…</v>
      </c>
      <c r="QF48" s="196">
        <f t="shared" si="26"/>
        <v>1900</v>
      </c>
      <c r="QG48" s="176">
        <f t="shared" si="27"/>
        <v>1.512979773849339E-2</v>
      </c>
      <c r="QH48" s="177" t="str">
        <f t="shared" ca="1" si="28"/>
        <v>Attente…</v>
      </c>
      <c r="QI48" s="197">
        <f t="shared" si="29"/>
        <v>1870</v>
      </c>
      <c r="QJ48" s="179">
        <f t="shared" si="30"/>
        <v>1.3115443961284893E-2</v>
      </c>
      <c r="QK48" s="180" t="str">
        <f t="shared" ca="1" si="31"/>
        <v>Attente…</v>
      </c>
      <c r="QL48" s="196">
        <f t="shared" si="32"/>
        <v>2480</v>
      </c>
      <c r="QM48" s="176">
        <f t="shared" si="33"/>
        <v>1.8144571261340357E-2</v>
      </c>
      <c r="QN48" s="177" t="str">
        <f t="shared" ca="1" si="34"/>
        <v>Attente…</v>
      </c>
      <c r="QO48" s="197">
        <f t="shared" si="35"/>
        <v>2000</v>
      </c>
      <c r="QP48" s="179">
        <f t="shared" si="36"/>
        <v>1.5658028654192437E-2</v>
      </c>
      <c r="QQ48" s="180" t="str">
        <f t="shared" ca="1" si="37"/>
        <v>Attente…</v>
      </c>
      <c r="QR48" s="196">
        <f t="shared" si="38"/>
        <v>2070</v>
      </c>
      <c r="QS48" s="176">
        <f t="shared" si="39"/>
        <v>1.4902271336524962E-2</v>
      </c>
      <c r="QT48" s="177" t="str">
        <f t="shared" ca="1" si="40"/>
        <v>Attente…</v>
      </c>
      <c r="QU48" s="197">
        <f t="shared" si="41"/>
        <v>2310</v>
      </c>
      <c r="QV48" s="179">
        <f t="shared" si="42"/>
        <v>1.5926640926640926E-2</v>
      </c>
      <c r="QW48" s="180" t="str">
        <f t="shared" ca="1" si="43"/>
        <v>Attente…</v>
      </c>
      <c r="QX48" s="196">
        <f t="shared" si="44"/>
        <v>2630</v>
      </c>
      <c r="QY48" s="176">
        <f t="shared" si="45"/>
        <v>1.9192037128929626E-2</v>
      </c>
      <c r="QZ48" s="177" t="str">
        <f t="shared" ca="1" si="46"/>
        <v>Attente…</v>
      </c>
      <c r="RA48" s="197">
        <f t="shared" si="47"/>
        <v>2470</v>
      </c>
      <c r="RB48" s="179">
        <f t="shared" si="48"/>
        <v>1.9325561380173696E-2</v>
      </c>
      <c r="RC48" s="180" t="str">
        <f t="shared" ca="1" si="49"/>
        <v>Attente…</v>
      </c>
      <c r="RD48" s="196">
        <f t="shared" si="50"/>
        <v>1930</v>
      </c>
      <c r="RE48" s="176">
        <f t="shared" si="51"/>
        <v>1.9230769230769232E-2</v>
      </c>
      <c r="RF48" s="177" t="str">
        <f t="shared" ca="1" si="52"/>
        <v>Attente…</v>
      </c>
      <c r="RG48" s="197">
        <f t="shared" si="53"/>
        <v>360</v>
      </c>
      <c r="RH48" s="179">
        <f t="shared" si="54"/>
        <v>6.6212985102078355E-3</v>
      </c>
      <c r="RI48" s="198" t="str">
        <f t="shared" ca="1" si="55"/>
        <v>Attente…</v>
      </c>
      <c r="RJ48" s="199">
        <f t="shared" si="56"/>
        <v>5390</v>
      </c>
      <c r="RK48" s="200" t="str">
        <f t="shared" ca="1" si="13"/>
        <v>Attente…</v>
      </c>
      <c r="RL48" s="199">
        <f t="shared" si="57"/>
        <v>6350</v>
      </c>
      <c r="RM48" s="200" t="str">
        <f t="shared" ca="1" si="58"/>
        <v>Atttente…</v>
      </c>
      <c r="RN48" s="199">
        <f t="shared" si="59"/>
        <v>7010</v>
      </c>
      <c r="RO48" s="200" t="str">
        <f t="shared" ca="1" si="14"/>
        <v>Attente…</v>
      </c>
      <c r="RP48" s="199">
        <f t="shared" si="60"/>
        <v>4760</v>
      </c>
      <c r="RQ48" s="200" t="str">
        <f t="shared" ca="1" si="15"/>
        <v>Attente…</v>
      </c>
      <c r="RR48" s="201">
        <f t="shared" si="61"/>
        <v>23510</v>
      </c>
      <c r="RS48" s="202" t="str">
        <f t="shared" ca="1" si="16"/>
        <v>Attente…</v>
      </c>
      <c r="RT48" s="103"/>
      <c r="RU48" s="203">
        <f t="shared" si="62"/>
        <v>0.43216911764705884</v>
      </c>
      <c r="RV48" s="204">
        <f t="shared" si="65"/>
        <v>2</v>
      </c>
      <c r="RW48" s="204">
        <f t="shared" si="65"/>
        <v>3</v>
      </c>
      <c r="RX48" s="204">
        <f t="shared" si="63"/>
        <v>136</v>
      </c>
      <c r="RY48" s="205" t="str">
        <f t="shared" si="64"/>
        <v>LE MESNIL-ESNARD - 5 Rue des Perets (Parking de l'école)</v>
      </c>
      <c r="RZ48" s="189" t="str">
        <f>IF(OR(RZ47="",RZ47="  &lt;/Document&gt;
&lt;/kml&gt;"),"",
IF(B48="","  &lt;/Document&gt;
&lt;/kml&gt;",
IF(TournéesCAV!Q46=""," ",
"    &lt;Placemark&gt;
      &lt;description&gt;&lt;![CDATA["&amp;B48&amp;"&lt;br&gt;&lt;br&gt;"&amp;RV48&amp;" CAV&lt;br&gt;&lt;br&gt;Présent sur "&amp;RW48&amp;" tournée(s)&lt;br&gt;&lt;br&gt;Taux de remplissage moyen "&amp;TEXT(RU48*1000,"0 %")&amp;"]]&gt;&lt;/description&gt;
      &lt;Style&gt;
        &lt;IconStyle&gt;
          &lt;color&gt;ff"&amp;
          DEC2HEX(0,2)&amp;
          DEC2HEX(
            IF(RU48&lt;=0.5,
               INT(255*(RU48*2)),
               255
            ),2)&amp;
          DEC2HEX(
            IF(RU48&lt;=0.5,
               255,
               INT(255*(1-(RU48-0.5)*2))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&lt;Point&gt;&lt;coordinates&gt;"&amp;R48&amp;","&amp;Q48&amp;",0&lt;/coordinates&gt;&lt;/Point&gt;
    &lt;/Placemark&gt;"
)))</f>
        <v xml:space="preserve">    &lt;Placemark&gt;
      &lt;description&gt;&lt;![CDATA[LE MESNIL-ESNARD - 5 Rue des Perets (Parking de l'école)&lt;br&gt;&lt;br&gt;2 CAV&lt;br&gt;&lt;br&gt;Présent sur 3 tournée(s)&lt;br&gt;&lt;br&gt;Taux de remplissage moyen 43%]]&gt;&lt;/description&gt;
      &lt;Style&gt;
        &lt;IconStyle&gt;
          &lt;color&gt;ff00DCFF&lt;/color&gt;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&lt;Point&gt;&lt;coordinates&gt;1.134608,49.411191,0&lt;/coordinates&gt;&lt;/Point&gt;
    &lt;/Placemark&gt;</v>
      </c>
    </row>
    <row r="49" spans="2:494" ht="15" hidden="1" customHeight="1" x14ac:dyDescent="0.35">
      <c r="B49" s="153" t="str">
        <f t="shared" si="17"/>
        <v>SAHURS - 3 Rue du Bas (Parking Place Maurice Alexandre)</v>
      </c>
      <c r="C49" s="154">
        <v>4</v>
      </c>
      <c r="D49" s="155"/>
      <c r="E49" s="155"/>
      <c r="F49" s="155"/>
      <c r="G49" s="155"/>
      <c r="H49" s="155"/>
      <c r="I49" s="155"/>
      <c r="J49" s="156"/>
      <c r="K49" s="157">
        <f t="shared" si="18"/>
        <v>1</v>
      </c>
      <c r="L49" s="157">
        <f t="shared" si="19"/>
        <v>1</v>
      </c>
      <c r="M49" s="158" t="s">
        <v>326</v>
      </c>
      <c r="N49" s="159" t="s">
        <v>327</v>
      </c>
      <c r="O49" s="159">
        <v>76113</v>
      </c>
      <c r="P49" s="159" t="s">
        <v>328</v>
      </c>
      <c r="Q49" s="159" t="s">
        <v>329</v>
      </c>
      <c r="R49" s="159" t="s">
        <v>330</v>
      </c>
      <c r="S49" s="159" t="s">
        <v>93</v>
      </c>
      <c r="T49" s="159" t="s">
        <v>94</v>
      </c>
      <c r="U49" s="159" t="s">
        <v>331</v>
      </c>
      <c r="V49" s="160" t="s">
        <v>96</v>
      </c>
      <c r="W49" s="161"/>
      <c r="X49" s="162"/>
      <c r="Y49" s="163"/>
      <c r="Z49" s="162"/>
      <c r="AA49" s="163"/>
      <c r="AB49" s="162"/>
      <c r="AC49" s="163">
        <v>3</v>
      </c>
      <c r="AD49" s="162"/>
      <c r="AE49" s="163"/>
      <c r="AF49" s="162"/>
      <c r="AG49" s="163"/>
      <c r="AH49" s="163"/>
      <c r="AI49" s="162"/>
      <c r="AJ49" s="163"/>
      <c r="AK49" s="162"/>
      <c r="AL49" s="163"/>
      <c r="AM49" s="162"/>
      <c r="AN49" s="163"/>
      <c r="AO49" s="162"/>
      <c r="AP49" s="164"/>
      <c r="AQ49" s="164"/>
      <c r="AR49" s="164"/>
      <c r="AS49" s="164"/>
      <c r="AT49" s="164"/>
      <c r="AU49" s="164"/>
      <c r="AV49" s="164"/>
      <c r="AW49" s="164"/>
      <c r="AX49" s="164"/>
      <c r="AY49" s="165"/>
      <c r="AZ49" s="41"/>
      <c r="BA49" s="190"/>
      <c r="BB49" s="191"/>
      <c r="BC49" s="191"/>
      <c r="BD49" s="191"/>
      <c r="BE49" s="191"/>
      <c r="BF49" s="191"/>
      <c r="BG49" s="191">
        <v>50</v>
      </c>
      <c r="BH49" s="191"/>
      <c r="BI49" s="191"/>
      <c r="BJ49" s="191"/>
      <c r="BK49" s="191"/>
      <c r="BL49" s="191"/>
      <c r="BM49" s="191"/>
      <c r="BN49" s="191">
        <v>50</v>
      </c>
      <c r="BO49" s="191"/>
      <c r="BP49" s="191"/>
      <c r="BQ49" s="191"/>
      <c r="BR49" s="191"/>
      <c r="BS49" s="191"/>
      <c r="BT49" s="191"/>
      <c r="BU49" s="191">
        <v>100</v>
      </c>
      <c r="BV49" s="191"/>
      <c r="BW49" s="191"/>
      <c r="BX49" s="191"/>
      <c r="BY49" s="191"/>
      <c r="BZ49" s="191"/>
      <c r="CA49" s="191"/>
      <c r="CB49" s="191">
        <v>150</v>
      </c>
      <c r="CC49" s="191"/>
      <c r="CD49" s="191"/>
      <c r="CE49" s="192"/>
      <c r="CF49" s="190"/>
      <c r="CG49" s="191"/>
      <c r="CH49" s="191"/>
      <c r="CI49" s="191">
        <v>50</v>
      </c>
      <c r="CJ49" s="191"/>
      <c r="CK49" s="191"/>
      <c r="CL49" s="191"/>
      <c r="CM49" s="191"/>
      <c r="CN49" s="191"/>
      <c r="CO49" s="191"/>
      <c r="CP49" s="191">
        <v>50</v>
      </c>
      <c r="CQ49" s="191"/>
      <c r="CR49" s="191"/>
      <c r="CS49" s="191"/>
      <c r="CT49" s="191"/>
      <c r="CU49" s="191"/>
      <c r="CV49" s="191"/>
      <c r="CW49" s="191"/>
      <c r="CX49" s="191"/>
      <c r="CY49" s="191"/>
      <c r="CZ49" s="191"/>
      <c r="DA49" s="191"/>
      <c r="DB49" s="191"/>
      <c r="DC49" s="191"/>
      <c r="DD49" s="191">
        <v>150</v>
      </c>
      <c r="DE49" s="191"/>
      <c r="DF49" s="191"/>
      <c r="DG49" s="191"/>
      <c r="DH49" s="193"/>
      <c r="DI49" s="194"/>
      <c r="DJ49" s="191"/>
      <c r="DK49" s="191"/>
      <c r="DL49" s="191">
        <v>150</v>
      </c>
      <c r="DM49" s="191"/>
      <c r="DN49" s="191"/>
      <c r="DO49" s="191"/>
      <c r="DP49" s="191"/>
      <c r="DQ49" s="191"/>
      <c r="DR49" s="191"/>
      <c r="DS49" s="191">
        <v>100</v>
      </c>
      <c r="DT49" s="191"/>
      <c r="DU49" s="191"/>
      <c r="DV49" s="191"/>
      <c r="DW49" s="191"/>
      <c r="DX49" s="191"/>
      <c r="DY49" s="191"/>
      <c r="DZ49" s="191">
        <v>150</v>
      </c>
      <c r="EA49" s="191"/>
      <c r="EB49" s="191"/>
      <c r="EC49" s="191"/>
      <c r="ED49" s="191"/>
      <c r="EE49" s="191"/>
      <c r="EF49" s="191"/>
      <c r="EG49" s="191">
        <v>100</v>
      </c>
      <c r="EH49" s="191"/>
      <c r="EI49" s="191"/>
      <c r="EJ49" s="191"/>
      <c r="EK49" s="191"/>
      <c r="EL49" s="191"/>
      <c r="EM49" s="192"/>
      <c r="EN49" s="190">
        <v>50</v>
      </c>
      <c r="EO49" s="191"/>
      <c r="EP49" s="191"/>
      <c r="EQ49" s="191"/>
      <c r="ER49" s="191"/>
      <c r="ES49" s="191"/>
      <c r="ET49" s="191"/>
      <c r="EU49" s="191">
        <v>100</v>
      </c>
      <c r="EV49" s="191"/>
      <c r="EW49" s="191"/>
      <c r="EX49" s="191"/>
      <c r="EY49" s="191"/>
      <c r="EZ49" s="191"/>
      <c r="FA49" s="191"/>
      <c r="FB49" s="191">
        <v>100</v>
      </c>
      <c r="FC49" s="191"/>
      <c r="FD49" s="191"/>
      <c r="FE49" s="191"/>
      <c r="FF49" s="191"/>
      <c r="FG49" s="191"/>
      <c r="FH49" s="191"/>
      <c r="FI49" s="191"/>
      <c r="FJ49" s="191"/>
      <c r="FK49" s="191">
        <v>100</v>
      </c>
      <c r="FL49" s="191"/>
      <c r="FM49" s="191"/>
      <c r="FN49" s="191"/>
      <c r="FO49" s="191"/>
      <c r="FP49" s="191">
        <v>150</v>
      </c>
      <c r="FQ49" s="193"/>
      <c r="FR49" s="194"/>
      <c r="FS49" s="191"/>
      <c r="FT49" s="191"/>
      <c r="FU49" s="191"/>
      <c r="FV49" s="191"/>
      <c r="FW49" s="191">
        <v>100</v>
      </c>
      <c r="FX49" s="191"/>
      <c r="FY49" s="191"/>
      <c r="FZ49" s="191"/>
      <c r="GA49" s="191"/>
      <c r="GB49" s="191"/>
      <c r="GC49" s="191"/>
      <c r="GD49" s="191">
        <v>150</v>
      </c>
      <c r="GE49" s="191"/>
      <c r="GF49" s="191"/>
      <c r="GG49" s="191"/>
      <c r="GH49" s="191"/>
      <c r="GI49" s="191"/>
      <c r="GJ49" s="191"/>
      <c r="GK49" s="191">
        <v>100</v>
      </c>
      <c r="GL49" s="191"/>
      <c r="GM49" s="191"/>
      <c r="GN49" s="191"/>
      <c r="GO49" s="191"/>
      <c r="GP49" s="191"/>
      <c r="GQ49" s="191"/>
      <c r="GR49" s="191">
        <v>100</v>
      </c>
      <c r="GS49" s="191"/>
      <c r="GT49" s="191"/>
      <c r="GU49" s="191"/>
      <c r="GV49" s="192"/>
      <c r="GW49" s="190"/>
      <c r="GX49" s="191"/>
      <c r="GY49" s="191">
        <v>50</v>
      </c>
      <c r="GZ49" s="191"/>
      <c r="HA49" s="191"/>
      <c r="HB49" s="191"/>
      <c r="HC49" s="191"/>
      <c r="HD49" s="191"/>
      <c r="HE49" s="191"/>
      <c r="HF49" s="191"/>
      <c r="HG49" s="191"/>
      <c r="HH49" s="191">
        <v>100</v>
      </c>
      <c r="HI49" s="191"/>
      <c r="HJ49" s="191"/>
      <c r="HK49" s="191"/>
      <c r="HL49" s="191"/>
      <c r="HM49" s="191"/>
      <c r="HN49" s="191"/>
      <c r="HO49" s="191"/>
      <c r="HP49" s="191">
        <v>150</v>
      </c>
      <c r="HQ49" s="191"/>
      <c r="HR49" s="191"/>
      <c r="HS49" s="191"/>
      <c r="HT49" s="191">
        <v>100</v>
      </c>
      <c r="HU49" s="191"/>
      <c r="HV49" s="191"/>
      <c r="HW49" s="191"/>
      <c r="HX49" s="191"/>
      <c r="HY49" s="191"/>
      <c r="HZ49" s="193"/>
      <c r="IA49" s="194">
        <v>10</v>
      </c>
      <c r="IB49" s="191"/>
      <c r="IC49" s="191"/>
      <c r="ID49" s="191"/>
      <c r="IE49" s="191"/>
      <c r="IF49" s="191"/>
      <c r="IG49" s="191"/>
      <c r="IH49" s="191">
        <v>50</v>
      </c>
      <c r="II49" s="191"/>
      <c r="IJ49" s="191"/>
      <c r="IK49" s="191"/>
      <c r="IL49" s="191"/>
      <c r="IM49" s="191"/>
      <c r="IN49" s="191"/>
      <c r="IO49" s="191"/>
      <c r="IP49" s="191">
        <v>100</v>
      </c>
      <c r="IQ49" s="191"/>
      <c r="IR49" s="191"/>
      <c r="IS49" s="191"/>
      <c r="IT49" s="191"/>
      <c r="IU49" s="191"/>
      <c r="IV49" s="191">
        <v>50</v>
      </c>
      <c r="IW49" s="191"/>
      <c r="IX49" s="191"/>
      <c r="IY49" s="191"/>
      <c r="IZ49" s="191"/>
      <c r="JA49" s="191"/>
      <c r="JB49" s="191"/>
      <c r="JC49" s="191"/>
      <c r="JD49" s="191"/>
      <c r="JE49" s="192">
        <v>150</v>
      </c>
      <c r="JF49" s="190"/>
      <c r="JG49" s="191"/>
      <c r="JH49" s="191"/>
      <c r="JI49" s="191"/>
      <c r="JJ49" s="191">
        <v>100</v>
      </c>
      <c r="JK49" s="191"/>
      <c r="JL49" s="191"/>
      <c r="JM49" s="191"/>
      <c r="JN49" s="191"/>
      <c r="JO49" s="191"/>
      <c r="JP49" s="191"/>
      <c r="JQ49" s="191">
        <v>10</v>
      </c>
      <c r="JR49" s="191"/>
      <c r="JS49" s="191"/>
      <c r="JT49" s="191"/>
      <c r="JU49" s="191"/>
      <c r="JV49" s="191"/>
      <c r="JW49" s="191"/>
      <c r="JX49" s="191"/>
      <c r="JY49" s="191"/>
      <c r="JZ49" s="191"/>
      <c r="KA49" s="191"/>
      <c r="KB49" s="191"/>
      <c r="KC49" s="191"/>
      <c r="KD49" s="191"/>
      <c r="KE49" s="191">
        <v>150</v>
      </c>
      <c r="KF49" s="191"/>
      <c r="KG49" s="191"/>
      <c r="KH49" s="191"/>
      <c r="KI49" s="191"/>
      <c r="KJ49" s="193"/>
      <c r="KK49" s="194"/>
      <c r="KL49" s="191">
        <v>150</v>
      </c>
      <c r="KM49" s="191"/>
      <c r="KN49" s="191"/>
      <c r="KO49" s="191"/>
      <c r="KP49" s="191"/>
      <c r="KQ49" s="191"/>
      <c r="KR49" s="191"/>
      <c r="KS49" s="191">
        <v>50</v>
      </c>
      <c r="KT49" s="191"/>
      <c r="KU49" s="191"/>
      <c r="KV49" s="191"/>
      <c r="KW49" s="191"/>
      <c r="KX49" s="191"/>
      <c r="KY49" s="191"/>
      <c r="KZ49" s="191">
        <v>50</v>
      </c>
      <c r="LA49" s="191"/>
      <c r="LB49" s="191"/>
      <c r="LC49" s="191"/>
      <c r="LD49" s="191"/>
      <c r="LE49" s="191"/>
      <c r="LF49" s="191"/>
      <c r="LG49" s="191">
        <v>50</v>
      </c>
      <c r="LH49" s="191"/>
      <c r="LI49" s="191"/>
      <c r="LJ49" s="191"/>
      <c r="LK49" s="191"/>
      <c r="LL49" s="191"/>
      <c r="LM49" s="191"/>
      <c r="LN49" s="192">
        <v>100</v>
      </c>
      <c r="LO49" s="190"/>
      <c r="LP49" s="191"/>
      <c r="LQ49" s="191"/>
      <c r="LR49" s="191"/>
      <c r="LS49" s="191"/>
      <c r="LT49" s="191"/>
      <c r="LU49" s="191">
        <v>100</v>
      </c>
      <c r="LV49" s="191"/>
      <c r="LW49" s="191"/>
      <c r="LX49" s="191"/>
      <c r="LY49" s="191"/>
      <c r="LZ49" s="191"/>
      <c r="MA49" s="191"/>
      <c r="MB49" s="191"/>
      <c r="MC49" s="191"/>
      <c r="MD49" s="191">
        <v>100</v>
      </c>
      <c r="ME49" s="191"/>
      <c r="MF49" s="191"/>
      <c r="MG49" s="191"/>
      <c r="MH49" s="191"/>
      <c r="MI49" s="191">
        <v>100</v>
      </c>
      <c r="MJ49" s="191"/>
      <c r="MK49" s="191"/>
      <c r="ML49" s="191"/>
      <c r="MM49" s="191"/>
      <c r="MN49" s="191"/>
      <c r="MO49" s="191"/>
      <c r="MP49" s="191">
        <v>100</v>
      </c>
      <c r="MQ49" s="191"/>
      <c r="MR49" s="191"/>
      <c r="MS49" s="193"/>
      <c r="MT49" s="194"/>
      <c r="MU49" s="191"/>
      <c r="MV49" s="191"/>
      <c r="MW49" s="191"/>
      <c r="MX49" s="191"/>
      <c r="MY49" s="191"/>
      <c r="MZ49" s="191"/>
      <c r="NA49" s="191"/>
      <c r="NB49" s="191"/>
      <c r="NC49" s="191"/>
      <c r="ND49" s="191"/>
      <c r="NE49" s="191">
        <v>150</v>
      </c>
      <c r="NF49" s="191"/>
      <c r="NG49" s="191"/>
      <c r="NH49" s="191"/>
      <c r="NI49" s="191"/>
      <c r="NJ49" s="191"/>
      <c r="NK49" s="191">
        <v>50</v>
      </c>
      <c r="NL49" s="191"/>
      <c r="NM49" s="191"/>
      <c r="NN49" s="191"/>
      <c r="NO49" s="191"/>
      <c r="NP49" s="191"/>
      <c r="NQ49" s="191"/>
      <c r="NR49" s="191">
        <v>50</v>
      </c>
      <c r="NS49" s="191"/>
      <c r="NT49" s="191"/>
      <c r="NU49" s="191"/>
      <c r="NV49" s="191"/>
      <c r="NW49" s="192"/>
      <c r="NX49" s="190"/>
      <c r="NY49" s="191">
        <v>100</v>
      </c>
      <c r="NZ49" s="191"/>
      <c r="OA49" s="191"/>
      <c r="OB49" s="191"/>
      <c r="OC49" s="191"/>
      <c r="OD49" s="191"/>
      <c r="OE49" s="191"/>
      <c r="OF49" s="191">
        <v>50</v>
      </c>
      <c r="OG49" s="191"/>
      <c r="OH49" s="191"/>
      <c r="OI49" s="191"/>
      <c r="OJ49" s="191"/>
      <c r="OK49" s="191"/>
      <c r="OL49" s="191"/>
      <c r="OM49" s="191"/>
      <c r="ON49" s="191"/>
      <c r="OO49" s="191"/>
      <c r="OP49" s="191"/>
      <c r="OQ49" s="191"/>
      <c r="OR49" s="191"/>
      <c r="OS49" s="191"/>
      <c r="OT49" s="191"/>
      <c r="OU49" s="191"/>
      <c r="OV49" s="191"/>
      <c r="OW49" s="191"/>
      <c r="OX49" s="191"/>
      <c r="OY49" s="191"/>
      <c r="OZ49" s="191"/>
      <c r="PA49" s="191"/>
      <c r="PB49" s="193"/>
      <c r="PC49" s="47"/>
      <c r="PD49" s="154" t="s">
        <v>97</v>
      </c>
      <c r="PE49" s="155" t="s">
        <v>98</v>
      </c>
      <c r="PF49" s="155" t="s">
        <v>98</v>
      </c>
      <c r="PG49" s="155" t="s">
        <v>98</v>
      </c>
      <c r="PH49" s="155" t="s">
        <v>98</v>
      </c>
      <c r="PI49" s="155" t="s">
        <v>98</v>
      </c>
      <c r="PJ49" s="155" t="s">
        <v>98</v>
      </c>
      <c r="PK49" s="155" t="s">
        <v>98</v>
      </c>
      <c r="PL49" s="155" t="s">
        <v>98</v>
      </c>
      <c r="PM49" s="155" t="s">
        <v>98</v>
      </c>
      <c r="PN49" s="155" t="s">
        <v>98</v>
      </c>
      <c r="PO49" s="156"/>
      <c r="PP49" s="156"/>
      <c r="PQ49" s="156"/>
      <c r="PR49" s="156"/>
      <c r="PS49" s="156"/>
      <c r="PT49" s="156"/>
      <c r="PU49" s="156"/>
      <c r="PV49" s="156"/>
      <c r="PW49" s="156"/>
      <c r="PX49" s="195"/>
      <c r="PY49" s="1"/>
      <c r="PZ49" s="196">
        <f t="shared" si="20"/>
        <v>350</v>
      </c>
      <c r="QA49" s="176">
        <f t="shared" si="21"/>
        <v>2.9198298156336033E-3</v>
      </c>
      <c r="QB49" s="177" t="str">
        <f t="shared" ca="1" si="22"/>
        <v>Attente…</v>
      </c>
      <c r="QC49" s="197">
        <f t="shared" si="23"/>
        <v>250</v>
      </c>
      <c r="QD49" s="179">
        <f t="shared" si="24"/>
        <v>2.3408239700374533E-3</v>
      </c>
      <c r="QE49" s="180" t="str">
        <f t="shared" ca="1" si="25"/>
        <v>Attente…</v>
      </c>
      <c r="QF49" s="196">
        <f t="shared" si="26"/>
        <v>500</v>
      </c>
      <c r="QG49" s="176">
        <f t="shared" si="27"/>
        <v>3.9815257206561551E-3</v>
      </c>
      <c r="QH49" s="177" t="str">
        <f t="shared" ca="1" si="28"/>
        <v>Attente…</v>
      </c>
      <c r="QI49" s="197">
        <f t="shared" si="29"/>
        <v>500</v>
      </c>
      <c r="QJ49" s="179">
        <f t="shared" si="30"/>
        <v>3.5068031982045168E-3</v>
      </c>
      <c r="QK49" s="180" t="str">
        <f t="shared" ca="1" si="31"/>
        <v>Attente…</v>
      </c>
      <c r="QL49" s="196">
        <f t="shared" si="32"/>
        <v>450</v>
      </c>
      <c r="QM49" s="176">
        <f t="shared" si="33"/>
        <v>3.2923617208077262E-3</v>
      </c>
      <c r="QN49" s="177" t="str">
        <f t="shared" ca="1" si="34"/>
        <v>Attente…</v>
      </c>
      <c r="QO49" s="197">
        <f t="shared" si="35"/>
        <v>400</v>
      </c>
      <c r="QP49" s="179">
        <f t="shared" si="36"/>
        <v>3.1316057308384874E-3</v>
      </c>
      <c r="QQ49" s="180" t="str">
        <f t="shared" ca="1" si="37"/>
        <v>Attente…</v>
      </c>
      <c r="QR49" s="196">
        <f t="shared" si="38"/>
        <v>360</v>
      </c>
      <c r="QS49" s="176">
        <f t="shared" si="39"/>
        <v>2.5916993628739065E-3</v>
      </c>
      <c r="QT49" s="177" t="str">
        <f t="shared" ca="1" si="40"/>
        <v>Attente…</v>
      </c>
      <c r="QU49" s="197">
        <f t="shared" si="41"/>
        <v>260</v>
      </c>
      <c r="QV49" s="179">
        <f t="shared" si="42"/>
        <v>1.7926089354660783E-3</v>
      </c>
      <c r="QW49" s="180" t="str">
        <f t="shared" ca="1" si="43"/>
        <v>Attente…</v>
      </c>
      <c r="QX49" s="196">
        <f t="shared" si="44"/>
        <v>400</v>
      </c>
      <c r="QY49" s="176">
        <f t="shared" si="45"/>
        <v>2.918941008202224E-3</v>
      </c>
      <c r="QZ49" s="177" t="str">
        <f t="shared" ca="1" si="46"/>
        <v>Attente…</v>
      </c>
      <c r="RA49" s="197">
        <f t="shared" si="47"/>
        <v>400</v>
      </c>
      <c r="RB49" s="179">
        <f t="shared" si="48"/>
        <v>3.1296455676394649E-3</v>
      </c>
      <c r="RC49" s="180" t="str">
        <f t="shared" ca="1" si="49"/>
        <v>Attente…</v>
      </c>
      <c r="RD49" s="196">
        <f t="shared" si="50"/>
        <v>250</v>
      </c>
      <c r="RE49" s="176">
        <f t="shared" si="51"/>
        <v>2.4910322837783977E-3</v>
      </c>
      <c r="RF49" s="177" t="str">
        <f t="shared" ca="1" si="52"/>
        <v>Attente…</v>
      </c>
      <c r="RG49" s="197">
        <f t="shared" si="53"/>
        <v>150</v>
      </c>
      <c r="RH49" s="179">
        <f t="shared" si="54"/>
        <v>2.7588743792532648E-3</v>
      </c>
      <c r="RI49" s="198" t="str">
        <f t="shared" ca="1" si="55"/>
        <v>Attente…</v>
      </c>
      <c r="RJ49" s="199">
        <f t="shared" si="56"/>
        <v>1100</v>
      </c>
      <c r="RK49" s="200" t="str">
        <f t="shared" ca="1" si="13"/>
        <v>Attente…</v>
      </c>
      <c r="RL49" s="199">
        <f t="shared" si="57"/>
        <v>1350</v>
      </c>
      <c r="RM49" s="200" t="str">
        <f t="shared" ca="1" si="58"/>
        <v>Atttente…</v>
      </c>
      <c r="RN49" s="199">
        <f t="shared" si="59"/>
        <v>1020</v>
      </c>
      <c r="RO49" s="200" t="str">
        <f t="shared" ca="1" si="14"/>
        <v>Attente…</v>
      </c>
      <c r="RP49" s="199">
        <f t="shared" si="60"/>
        <v>800</v>
      </c>
      <c r="RQ49" s="200" t="str">
        <f t="shared" ca="1" si="15"/>
        <v>Attente…</v>
      </c>
      <c r="RR49" s="201">
        <f t="shared" si="61"/>
        <v>4270</v>
      </c>
      <c r="RS49" s="202" t="str">
        <f t="shared" ca="1" si="16"/>
        <v>Attente…</v>
      </c>
      <c r="RT49" s="103"/>
      <c r="RU49" s="203">
        <f t="shared" si="62"/>
        <v>0.46413043478260868</v>
      </c>
      <c r="RV49" s="204">
        <f t="shared" si="65"/>
        <v>1</v>
      </c>
      <c r="RW49" s="204">
        <f t="shared" si="65"/>
        <v>1</v>
      </c>
      <c r="RX49" s="204">
        <f t="shared" si="63"/>
        <v>46</v>
      </c>
      <c r="RY49" s="205" t="str">
        <f t="shared" si="64"/>
        <v>SAHURS - 3 Rue du Bas (Parking Place Maurice Alexandre)</v>
      </c>
      <c r="RZ49" s="189" t="str">
        <f>IF(OR(RZ48="",RZ48="  &lt;/Document&gt;
&lt;/kml&gt;"),"",
IF(B49="","  &lt;/Document&gt;
&lt;/kml&gt;",
IF(TournéesCAV!Q49=""," ",
"    &lt;Placemark&gt;
      &lt;description&gt;&lt;![CDATA["&amp;B49&amp;"&lt;br&gt;&lt;br&gt;"&amp;RV49&amp;" CAV&lt;br&gt;&lt;br&gt;Présent sur "&amp;RW49&amp;" tournée(s)&lt;br&gt;&lt;br&gt;Taux de remplissage moyen "&amp;TEXT(RU49*1000,"0 %")&amp;"]]&gt;&lt;/description&gt;
      &lt;Style&gt;
        &lt;IconStyle&gt;
          &lt;color&gt;ff"&amp;
          DEC2HEX(0,2)&amp;
          DEC2HEX(
            IF(RU49&lt;=0.5,
               INT(255*(RU49*2)),
               255
            ),2)&amp;
          DEC2HEX(
            IF(RU49&lt;=0.5,
               255,
               INT(255*(1-(RU49-0.5)*2))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&lt;Point&gt;&lt;coordinates&gt;"&amp;R49&amp;","&amp;Q49&amp;",0&lt;/coordinates&gt;&lt;/Point&gt;
    &lt;/Placemark&gt;"
)))</f>
        <v xml:space="preserve">    &lt;Placemark&gt;
      &lt;description&gt;&lt;![CDATA[SAHURS - 3 Rue du Bas (Parking Place Maurice Alexandre)&lt;br&gt;&lt;br&gt;1 CAV&lt;br&gt;&lt;br&gt;Présent sur 1 tournée(s)&lt;br&gt;&lt;br&gt;Taux de remplissage moyen 46%]]&gt;&lt;/description&gt;
      &lt;Style&gt;
        &lt;IconStyle&gt;
          &lt;color&gt;ff00ECFF&lt;/color&gt;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&lt;Point&gt;&lt;coordinates&gt;0.943662,49.357756,0&lt;/coordinates&gt;&lt;/Point&gt;
    &lt;/Placemark&gt;</v>
      </c>
    </row>
    <row r="50" spans="2:494" ht="15" hidden="1" customHeight="1" x14ac:dyDescent="0.35">
      <c r="B50" s="153" t="str">
        <f t="shared" si="17"/>
        <v>ROUEN - 1 Quai du Pré aux loups (Dechetterie - 8h30 / 18h30)</v>
      </c>
      <c r="C50" s="154">
        <v>18</v>
      </c>
      <c r="D50" s="155">
        <v>42</v>
      </c>
      <c r="E50" s="155">
        <v>150</v>
      </c>
      <c r="F50" s="155"/>
      <c r="G50" s="155"/>
      <c r="H50" s="155"/>
      <c r="I50" s="155"/>
      <c r="J50" s="156"/>
      <c r="K50" s="157">
        <f t="shared" si="18"/>
        <v>3</v>
      </c>
      <c r="L50" s="157">
        <f t="shared" si="19"/>
        <v>3</v>
      </c>
      <c r="M50" s="158" t="s">
        <v>332</v>
      </c>
      <c r="N50" s="159" t="s">
        <v>333</v>
      </c>
      <c r="O50" s="159">
        <v>76000</v>
      </c>
      <c r="P50" s="159" t="s">
        <v>90</v>
      </c>
      <c r="Q50" s="159" t="s">
        <v>334</v>
      </c>
      <c r="R50" s="159" t="s">
        <v>335</v>
      </c>
      <c r="S50" s="159" t="s">
        <v>93</v>
      </c>
      <c r="T50" s="159" t="s">
        <v>159</v>
      </c>
      <c r="U50" s="159" t="s">
        <v>336</v>
      </c>
      <c r="V50" s="160" t="s">
        <v>96</v>
      </c>
      <c r="W50" s="161"/>
      <c r="X50" s="162"/>
      <c r="Y50" s="163"/>
      <c r="Z50" s="162"/>
      <c r="AA50" s="163"/>
      <c r="AB50" s="162"/>
      <c r="AC50" s="163"/>
      <c r="AD50" s="162">
        <v>9</v>
      </c>
      <c r="AE50" s="163">
        <v>9</v>
      </c>
      <c r="AF50" s="162">
        <v>12</v>
      </c>
      <c r="AG50" s="163"/>
      <c r="AH50" s="163"/>
      <c r="AI50" s="162"/>
      <c r="AJ50" s="163"/>
      <c r="AK50" s="162"/>
      <c r="AL50" s="163"/>
      <c r="AM50" s="162"/>
      <c r="AN50" s="163"/>
      <c r="AO50" s="162"/>
      <c r="AP50" s="164"/>
      <c r="AQ50" s="164"/>
      <c r="AR50" s="164"/>
      <c r="AS50" s="164"/>
      <c r="AT50" s="164"/>
      <c r="AU50" s="164"/>
      <c r="AV50" s="164"/>
      <c r="AW50" s="164"/>
      <c r="AX50" s="164"/>
      <c r="AY50" s="165"/>
      <c r="AZ50" s="41"/>
      <c r="BA50" s="190"/>
      <c r="BB50" s="191"/>
      <c r="BC50" s="191">
        <v>600</v>
      </c>
      <c r="BD50" s="191"/>
      <c r="BE50" s="191"/>
      <c r="BF50" s="191">
        <v>400</v>
      </c>
      <c r="BG50" s="191"/>
      <c r="BH50" s="191">
        <v>110</v>
      </c>
      <c r="BI50" s="191"/>
      <c r="BJ50" s="191">
        <v>150</v>
      </c>
      <c r="BK50" s="191"/>
      <c r="BL50" s="191"/>
      <c r="BM50" s="191">
        <v>350</v>
      </c>
      <c r="BN50" s="191"/>
      <c r="BO50" s="191">
        <v>120</v>
      </c>
      <c r="BP50" s="191"/>
      <c r="BQ50" s="191"/>
      <c r="BR50" s="191"/>
      <c r="BS50" s="191"/>
      <c r="BT50" s="191">
        <v>450</v>
      </c>
      <c r="BU50" s="191"/>
      <c r="BV50" s="191">
        <v>210</v>
      </c>
      <c r="BW50" s="191"/>
      <c r="BX50" s="191">
        <v>30</v>
      </c>
      <c r="BY50" s="191"/>
      <c r="BZ50" s="191"/>
      <c r="CA50" s="191">
        <v>300</v>
      </c>
      <c r="CB50" s="191"/>
      <c r="CC50" s="191">
        <v>70</v>
      </c>
      <c r="CD50" s="191"/>
      <c r="CE50" s="192">
        <v>210</v>
      </c>
      <c r="CF50" s="190"/>
      <c r="CG50" s="191"/>
      <c r="CH50" s="191">
        <v>600</v>
      </c>
      <c r="CI50" s="191"/>
      <c r="CJ50" s="191">
        <v>210</v>
      </c>
      <c r="CK50" s="191"/>
      <c r="CL50" s="191">
        <v>160</v>
      </c>
      <c r="CM50" s="191"/>
      <c r="CN50" s="191"/>
      <c r="CO50" s="191">
        <v>300</v>
      </c>
      <c r="CP50" s="191"/>
      <c r="CQ50" s="191">
        <v>260</v>
      </c>
      <c r="CR50" s="191"/>
      <c r="CS50" s="191">
        <v>110</v>
      </c>
      <c r="CT50" s="191"/>
      <c r="CU50" s="191"/>
      <c r="CV50" s="191">
        <v>400</v>
      </c>
      <c r="CW50" s="191"/>
      <c r="CX50" s="191">
        <v>400</v>
      </c>
      <c r="CY50" s="191"/>
      <c r="CZ50" s="191">
        <v>160</v>
      </c>
      <c r="DA50" s="191"/>
      <c r="DB50" s="191"/>
      <c r="DC50" s="191">
        <v>400</v>
      </c>
      <c r="DD50" s="191"/>
      <c r="DE50" s="191">
        <v>350</v>
      </c>
      <c r="DF50" s="191"/>
      <c r="DG50" s="191">
        <v>70</v>
      </c>
      <c r="DH50" s="193"/>
      <c r="DI50" s="194"/>
      <c r="DJ50" s="191"/>
      <c r="DK50" s="191">
        <v>410</v>
      </c>
      <c r="DL50" s="191"/>
      <c r="DM50" s="191">
        <v>410</v>
      </c>
      <c r="DN50" s="191"/>
      <c r="DO50" s="191">
        <v>170</v>
      </c>
      <c r="DP50" s="191"/>
      <c r="DQ50" s="191"/>
      <c r="DR50" s="191">
        <v>450</v>
      </c>
      <c r="DS50" s="191"/>
      <c r="DT50" s="191">
        <v>70</v>
      </c>
      <c r="DU50" s="191"/>
      <c r="DV50" s="191">
        <v>260</v>
      </c>
      <c r="DW50" s="191"/>
      <c r="DX50" s="191"/>
      <c r="DY50" s="191">
        <v>500</v>
      </c>
      <c r="DZ50" s="191"/>
      <c r="EA50" s="191">
        <v>260</v>
      </c>
      <c r="EB50" s="191"/>
      <c r="EC50" s="191">
        <v>210</v>
      </c>
      <c r="ED50" s="191"/>
      <c r="EE50" s="191"/>
      <c r="EF50" s="191">
        <v>350</v>
      </c>
      <c r="EG50" s="191"/>
      <c r="EH50" s="191">
        <v>70</v>
      </c>
      <c r="EI50" s="191"/>
      <c r="EJ50" s="191">
        <v>110</v>
      </c>
      <c r="EK50" s="191"/>
      <c r="EL50" s="191"/>
      <c r="EM50" s="192">
        <v>350</v>
      </c>
      <c r="EN50" s="190"/>
      <c r="EO50" s="191">
        <v>70</v>
      </c>
      <c r="EP50" s="191"/>
      <c r="EQ50" s="191">
        <v>210</v>
      </c>
      <c r="ER50" s="191"/>
      <c r="ES50" s="191"/>
      <c r="ET50" s="191">
        <v>400</v>
      </c>
      <c r="EU50" s="191"/>
      <c r="EV50" s="191">
        <v>260</v>
      </c>
      <c r="EW50" s="191"/>
      <c r="EX50" s="191">
        <v>210</v>
      </c>
      <c r="EY50" s="191"/>
      <c r="EZ50" s="191"/>
      <c r="FA50" s="191">
        <v>600</v>
      </c>
      <c r="FB50" s="191"/>
      <c r="FC50" s="191">
        <v>260</v>
      </c>
      <c r="FD50" s="191"/>
      <c r="FE50" s="191">
        <v>210</v>
      </c>
      <c r="FF50" s="191"/>
      <c r="FG50" s="191"/>
      <c r="FH50" s="191"/>
      <c r="FI50" s="191">
        <v>500</v>
      </c>
      <c r="FJ50" s="191"/>
      <c r="FK50" s="191">
        <v>70</v>
      </c>
      <c r="FL50" s="191"/>
      <c r="FM50" s="191"/>
      <c r="FN50" s="191"/>
      <c r="FO50" s="191">
        <v>500</v>
      </c>
      <c r="FP50" s="191"/>
      <c r="FQ50" s="193">
        <v>250</v>
      </c>
      <c r="FR50" s="194"/>
      <c r="FS50" s="191">
        <v>160</v>
      </c>
      <c r="FT50" s="191"/>
      <c r="FU50" s="191"/>
      <c r="FV50" s="191">
        <v>600</v>
      </c>
      <c r="FW50" s="191"/>
      <c r="FX50" s="191">
        <v>150</v>
      </c>
      <c r="FY50" s="191"/>
      <c r="FZ50" s="191">
        <v>300</v>
      </c>
      <c r="GA50" s="191"/>
      <c r="GB50" s="191"/>
      <c r="GC50" s="191">
        <v>450</v>
      </c>
      <c r="GD50" s="191"/>
      <c r="GE50" s="191">
        <v>250</v>
      </c>
      <c r="GF50" s="191"/>
      <c r="GG50" s="191">
        <v>120</v>
      </c>
      <c r="GH50" s="191"/>
      <c r="GI50" s="191"/>
      <c r="GJ50" s="191">
        <v>350</v>
      </c>
      <c r="GK50" s="191"/>
      <c r="GL50" s="191">
        <v>160</v>
      </c>
      <c r="GM50" s="191"/>
      <c r="GN50" s="191">
        <v>160</v>
      </c>
      <c r="GO50" s="191"/>
      <c r="GP50" s="191"/>
      <c r="GQ50" s="191">
        <v>450</v>
      </c>
      <c r="GR50" s="191"/>
      <c r="GS50" s="191">
        <v>70</v>
      </c>
      <c r="GT50" s="191"/>
      <c r="GU50" s="191">
        <v>70</v>
      </c>
      <c r="GV50" s="192"/>
      <c r="GW50" s="190"/>
      <c r="GX50" s="191">
        <v>600</v>
      </c>
      <c r="GY50" s="191"/>
      <c r="GZ50" s="191"/>
      <c r="HA50" s="191">
        <v>200</v>
      </c>
      <c r="HB50" s="191">
        <v>110</v>
      </c>
      <c r="HC50" s="191"/>
      <c r="HD50" s="191"/>
      <c r="HE50" s="191"/>
      <c r="HF50" s="191">
        <v>600</v>
      </c>
      <c r="HG50" s="191"/>
      <c r="HH50" s="191">
        <v>60</v>
      </c>
      <c r="HI50" s="191">
        <v>110</v>
      </c>
      <c r="HJ50" s="191"/>
      <c r="HK50" s="191"/>
      <c r="HL50" s="191">
        <v>600</v>
      </c>
      <c r="HM50" s="191"/>
      <c r="HN50" s="191">
        <v>300</v>
      </c>
      <c r="HO50" s="191"/>
      <c r="HP50" s="191">
        <v>260</v>
      </c>
      <c r="HQ50" s="191"/>
      <c r="HR50" s="191"/>
      <c r="HS50" s="191">
        <v>400</v>
      </c>
      <c r="HT50" s="191"/>
      <c r="HU50" s="191">
        <v>150</v>
      </c>
      <c r="HV50" s="191"/>
      <c r="HW50" s="191">
        <v>120</v>
      </c>
      <c r="HX50" s="191"/>
      <c r="HY50" s="191"/>
      <c r="HZ50" s="193">
        <v>500</v>
      </c>
      <c r="IA50" s="194"/>
      <c r="IB50" s="191">
        <v>160</v>
      </c>
      <c r="IC50" s="191"/>
      <c r="ID50" s="191">
        <v>160</v>
      </c>
      <c r="IE50" s="191"/>
      <c r="IF50" s="191"/>
      <c r="IG50" s="191">
        <v>350</v>
      </c>
      <c r="IH50" s="191"/>
      <c r="II50" s="191">
        <v>120</v>
      </c>
      <c r="IJ50" s="191"/>
      <c r="IK50" s="191">
        <v>220</v>
      </c>
      <c r="IL50" s="191"/>
      <c r="IM50" s="191"/>
      <c r="IN50" s="191">
        <v>600</v>
      </c>
      <c r="IO50" s="191"/>
      <c r="IP50" s="191"/>
      <c r="IQ50" s="191"/>
      <c r="IR50" s="191">
        <v>600</v>
      </c>
      <c r="IS50" s="191"/>
      <c r="IT50" s="191"/>
      <c r="IU50" s="191">
        <v>400</v>
      </c>
      <c r="IV50" s="191"/>
      <c r="IW50" s="191">
        <v>300</v>
      </c>
      <c r="IX50" s="191"/>
      <c r="IY50" s="191">
        <v>300</v>
      </c>
      <c r="IZ50" s="191"/>
      <c r="JA50" s="191"/>
      <c r="JB50" s="191">
        <v>600</v>
      </c>
      <c r="JC50" s="191"/>
      <c r="JD50" s="191">
        <v>200</v>
      </c>
      <c r="JE50" s="192"/>
      <c r="JF50" s="190">
        <v>150</v>
      </c>
      <c r="JG50" s="191"/>
      <c r="JH50" s="191"/>
      <c r="JI50" s="191">
        <v>600</v>
      </c>
      <c r="JJ50" s="191"/>
      <c r="JK50" s="191">
        <v>300</v>
      </c>
      <c r="JL50" s="191"/>
      <c r="JM50" s="191">
        <v>400</v>
      </c>
      <c r="JN50" s="191"/>
      <c r="JO50" s="191"/>
      <c r="JP50" s="191">
        <v>550</v>
      </c>
      <c r="JQ50" s="191"/>
      <c r="JR50" s="191">
        <v>450</v>
      </c>
      <c r="JS50" s="191"/>
      <c r="JT50" s="191"/>
      <c r="JU50" s="191"/>
      <c r="JV50" s="191"/>
      <c r="JW50" s="191">
        <v>600</v>
      </c>
      <c r="JX50" s="191"/>
      <c r="JY50" s="191">
        <v>200</v>
      </c>
      <c r="JZ50" s="191">
        <v>450</v>
      </c>
      <c r="KA50" s="191"/>
      <c r="KB50" s="191"/>
      <c r="KC50" s="191"/>
      <c r="KD50" s="191">
        <v>500</v>
      </c>
      <c r="KE50" s="191"/>
      <c r="KF50" s="191">
        <v>310</v>
      </c>
      <c r="KG50" s="191"/>
      <c r="KH50" s="191">
        <v>260</v>
      </c>
      <c r="KI50" s="191"/>
      <c r="KJ50" s="193"/>
      <c r="KK50" s="194">
        <v>600</v>
      </c>
      <c r="KL50" s="191"/>
      <c r="KM50" s="191">
        <v>210</v>
      </c>
      <c r="KN50" s="191"/>
      <c r="KO50" s="191">
        <v>250</v>
      </c>
      <c r="KP50" s="191"/>
      <c r="KQ50" s="191"/>
      <c r="KR50" s="191">
        <v>600</v>
      </c>
      <c r="KS50" s="191"/>
      <c r="KT50" s="191"/>
      <c r="KU50" s="191"/>
      <c r="KV50" s="191">
        <v>210</v>
      </c>
      <c r="KW50" s="191"/>
      <c r="KX50" s="191"/>
      <c r="KY50" s="191">
        <v>400</v>
      </c>
      <c r="KZ50" s="191"/>
      <c r="LA50" s="191">
        <v>170</v>
      </c>
      <c r="LB50" s="191"/>
      <c r="LC50" s="191">
        <v>70</v>
      </c>
      <c r="LD50" s="191"/>
      <c r="LE50" s="191"/>
      <c r="LF50" s="191">
        <v>600</v>
      </c>
      <c r="LG50" s="191"/>
      <c r="LH50" s="191">
        <v>250</v>
      </c>
      <c r="LI50" s="191"/>
      <c r="LJ50" s="191">
        <v>110</v>
      </c>
      <c r="LK50" s="191"/>
      <c r="LL50" s="191"/>
      <c r="LM50" s="191">
        <v>450</v>
      </c>
      <c r="LN50" s="192"/>
      <c r="LO50" s="190">
        <v>200</v>
      </c>
      <c r="LP50" s="191"/>
      <c r="LQ50" s="191">
        <v>210</v>
      </c>
      <c r="LR50" s="191"/>
      <c r="LS50" s="191"/>
      <c r="LT50" s="191">
        <v>310</v>
      </c>
      <c r="LU50" s="191"/>
      <c r="LV50" s="191">
        <v>150</v>
      </c>
      <c r="LW50" s="191"/>
      <c r="LX50" s="191">
        <v>160</v>
      </c>
      <c r="LY50" s="191"/>
      <c r="LZ50" s="191"/>
      <c r="MA50" s="191">
        <v>300</v>
      </c>
      <c r="MB50" s="191"/>
      <c r="MC50" s="191">
        <v>150</v>
      </c>
      <c r="MD50" s="191"/>
      <c r="ME50" s="191">
        <v>250</v>
      </c>
      <c r="MF50" s="191"/>
      <c r="MG50" s="191"/>
      <c r="MH50" s="191">
        <v>550</v>
      </c>
      <c r="MI50" s="191"/>
      <c r="MJ50" s="191">
        <v>160</v>
      </c>
      <c r="MK50" s="191"/>
      <c r="ML50" s="191">
        <v>110</v>
      </c>
      <c r="MM50" s="191"/>
      <c r="MN50" s="191"/>
      <c r="MO50" s="191">
        <v>250</v>
      </c>
      <c r="MP50" s="191"/>
      <c r="MQ50" s="191"/>
      <c r="MR50" s="191"/>
      <c r="MS50" s="193">
        <v>160</v>
      </c>
      <c r="MT50" s="194"/>
      <c r="MU50" s="191"/>
      <c r="MV50" s="191">
        <v>350</v>
      </c>
      <c r="MW50" s="191"/>
      <c r="MX50" s="191">
        <v>110</v>
      </c>
      <c r="MY50" s="191"/>
      <c r="MZ50" s="191">
        <v>120</v>
      </c>
      <c r="NA50" s="191"/>
      <c r="NB50" s="191"/>
      <c r="NC50" s="191">
        <v>550</v>
      </c>
      <c r="ND50" s="191"/>
      <c r="NE50" s="191"/>
      <c r="NF50" s="191">
        <v>410</v>
      </c>
      <c r="NG50" s="191">
        <v>110</v>
      </c>
      <c r="NH50" s="191"/>
      <c r="NI50" s="191"/>
      <c r="NJ50" s="191">
        <v>350</v>
      </c>
      <c r="NK50" s="191"/>
      <c r="NL50" s="191">
        <v>200</v>
      </c>
      <c r="NM50" s="191"/>
      <c r="NN50" s="191">
        <v>70</v>
      </c>
      <c r="NO50" s="191"/>
      <c r="NP50" s="191"/>
      <c r="NQ50" s="191">
        <v>260</v>
      </c>
      <c r="NR50" s="191"/>
      <c r="NS50" s="191">
        <v>250</v>
      </c>
      <c r="NT50" s="191"/>
      <c r="NU50" s="191">
        <v>300</v>
      </c>
      <c r="NV50" s="191"/>
      <c r="NW50" s="192"/>
      <c r="NX50" s="190">
        <v>250</v>
      </c>
      <c r="NY50" s="191"/>
      <c r="NZ50" s="191">
        <v>150</v>
      </c>
      <c r="OA50" s="191"/>
      <c r="OB50" s="191">
        <v>350</v>
      </c>
      <c r="OC50" s="191"/>
      <c r="OD50" s="191"/>
      <c r="OE50" s="191">
        <v>350</v>
      </c>
      <c r="OF50" s="191"/>
      <c r="OG50" s="191"/>
      <c r="OH50" s="191"/>
      <c r="OI50" s="191">
        <v>70</v>
      </c>
      <c r="OJ50" s="191"/>
      <c r="OK50" s="191"/>
      <c r="OL50" s="191"/>
      <c r="OM50" s="191"/>
      <c r="ON50" s="191"/>
      <c r="OO50" s="191"/>
      <c r="OP50" s="191"/>
      <c r="OQ50" s="191"/>
      <c r="OR50" s="191"/>
      <c r="OS50" s="191"/>
      <c r="OT50" s="191"/>
      <c r="OU50" s="191"/>
      <c r="OV50" s="191"/>
      <c r="OW50" s="191"/>
      <c r="OX50" s="191"/>
      <c r="OY50" s="191"/>
      <c r="OZ50" s="191"/>
      <c r="PA50" s="191"/>
      <c r="PB50" s="193"/>
      <c r="PC50" s="47"/>
      <c r="PD50" s="154" t="s">
        <v>97</v>
      </c>
      <c r="PE50" s="155" t="s">
        <v>97</v>
      </c>
      <c r="PF50" s="155" t="s">
        <v>98</v>
      </c>
      <c r="PG50" s="155" t="s">
        <v>98</v>
      </c>
      <c r="PH50" s="155" t="s">
        <v>98</v>
      </c>
      <c r="PI50" s="155" t="s">
        <v>98</v>
      </c>
      <c r="PJ50" s="155" t="s">
        <v>98</v>
      </c>
      <c r="PK50" s="155" t="s">
        <v>98</v>
      </c>
      <c r="PL50" s="155" t="s">
        <v>98</v>
      </c>
      <c r="PM50" s="155" t="s">
        <v>98</v>
      </c>
      <c r="PN50" s="155" t="s">
        <v>98</v>
      </c>
      <c r="PO50" s="156"/>
      <c r="PP50" s="156"/>
      <c r="PQ50" s="156"/>
      <c r="PR50" s="156"/>
      <c r="PS50" s="156"/>
      <c r="PT50" s="156"/>
      <c r="PU50" s="156"/>
      <c r="PV50" s="156"/>
      <c r="PW50" s="156"/>
      <c r="PX50" s="195"/>
      <c r="PY50" s="1"/>
      <c r="PZ50" s="196">
        <f t="shared" si="20"/>
        <v>3000</v>
      </c>
      <c r="QA50" s="176">
        <f t="shared" si="21"/>
        <v>2.5027112705430885E-2</v>
      </c>
      <c r="QB50" s="177" t="str">
        <f t="shared" ca="1" si="22"/>
        <v>Attente…</v>
      </c>
      <c r="QC50" s="197">
        <f t="shared" si="23"/>
        <v>3420</v>
      </c>
      <c r="QD50" s="179">
        <f t="shared" si="24"/>
        <v>3.2022471910112357E-2</v>
      </c>
      <c r="QE50" s="180" t="str">
        <f t="shared" ca="1" si="25"/>
        <v>Attente…</v>
      </c>
      <c r="QF50" s="196">
        <f t="shared" si="26"/>
        <v>3620</v>
      </c>
      <c r="QG50" s="176">
        <f t="shared" si="27"/>
        <v>2.8826246217550564E-2</v>
      </c>
      <c r="QH50" s="177" t="str">
        <f t="shared" ca="1" si="28"/>
        <v>Attente…</v>
      </c>
      <c r="QI50" s="197">
        <f t="shared" si="29"/>
        <v>3540</v>
      </c>
      <c r="QJ50" s="179">
        <f t="shared" si="30"/>
        <v>2.4828166643287977E-2</v>
      </c>
      <c r="QK50" s="180" t="str">
        <f t="shared" ca="1" si="31"/>
        <v>Attente…</v>
      </c>
      <c r="QL50" s="196">
        <f t="shared" si="32"/>
        <v>3290</v>
      </c>
      <c r="QM50" s="176">
        <f t="shared" si="33"/>
        <v>2.4070822358794264E-2</v>
      </c>
      <c r="QN50" s="177" t="str">
        <f t="shared" ca="1" si="34"/>
        <v>Attente…</v>
      </c>
      <c r="QO50" s="197">
        <f t="shared" si="35"/>
        <v>4010</v>
      </c>
      <c r="QP50" s="179">
        <f t="shared" si="36"/>
        <v>3.1394347451655834E-2</v>
      </c>
      <c r="QQ50" s="180" t="str">
        <f t="shared" ca="1" si="37"/>
        <v>Attente…</v>
      </c>
      <c r="QR50" s="196">
        <f t="shared" si="38"/>
        <v>4010</v>
      </c>
      <c r="QS50" s="176">
        <f t="shared" si="39"/>
        <v>2.8868651236456572E-2</v>
      </c>
      <c r="QT50" s="177" t="str">
        <f t="shared" ca="1" si="40"/>
        <v>Attente…</v>
      </c>
      <c r="QU50" s="197">
        <f t="shared" si="41"/>
        <v>4770</v>
      </c>
      <c r="QV50" s="179">
        <f t="shared" si="42"/>
        <v>3.2887479316050745E-2</v>
      </c>
      <c r="QW50" s="180" t="str">
        <f t="shared" ca="1" si="43"/>
        <v>Attente…</v>
      </c>
      <c r="QX50" s="196">
        <f t="shared" si="44"/>
        <v>3920</v>
      </c>
      <c r="QY50" s="176">
        <f t="shared" si="45"/>
        <v>2.8605621880381796E-2</v>
      </c>
      <c r="QZ50" s="177" t="str">
        <f t="shared" ca="1" si="46"/>
        <v>Attente…</v>
      </c>
      <c r="RA50" s="197">
        <f t="shared" si="47"/>
        <v>2960</v>
      </c>
      <c r="RB50" s="179">
        <f t="shared" si="48"/>
        <v>2.3159377200532041E-2</v>
      </c>
      <c r="RC50" s="180" t="str">
        <f t="shared" ca="1" si="49"/>
        <v>Attente…</v>
      </c>
      <c r="RD50" s="196">
        <f t="shared" si="50"/>
        <v>3080</v>
      </c>
      <c r="RE50" s="176">
        <f t="shared" si="51"/>
        <v>3.0689517736149859E-2</v>
      </c>
      <c r="RF50" s="177" t="str">
        <f t="shared" ca="1" si="52"/>
        <v>Attente…</v>
      </c>
      <c r="RG50" s="197">
        <f t="shared" si="53"/>
        <v>1170</v>
      </c>
      <c r="RH50" s="179">
        <f t="shared" si="54"/>
        <v>2.1519220158175464E-2</v>
      </c>
      <c r="RI50" s="198" t="str">
        <f t="shared" ca="1" si="55"/>
        <v>Attente…</v>
      </c>
      <c r="RJ50" s="199">
        <f t="shared" si="56"/>
        <v>10040</v>
      </c>
      <c r="RK50" s="200" t="str">
        <f t="shared" ca="1" si="13"/>
        <v>Attente…</v>
      </c>
      <c r="RL50" s="199">
        <f t="shared" si="57"/>
        <v>10840</v>
      </c>
      <c r="RM50" s="200" t="str">
        <f t="shared" ca="1" si="58"/>
        <v>Atttente…</v>
      </c>
      <c r="RN50" s="199">
        <f t="shared" si="59"/>
        <v>12700</v>
      </c>
      <c r="RO50" s="200" t="str">
        <f t="shared" ca="1" si="14"/>
        <v>Attente…</v>
      </c>
      <c r="RP50" s="199">
        <f t="shared" si="60"/>
        <v>7210</v>
      </c>
      <c r="RQ50" s="200" t="str">
        <f t="shared" ca="1" si="15"/>
        <v>Attente…</v>
      </c>
      <c r="RR50" s="201">
        <f t="shared" si="61"/>
        <v>40790</v>
      </c>
      <c r="RS50" s="202" t="str">
        <f t="shared" ca="1" si="16"/>
        <v>Attente…</v>
      </c>
      <c r="RT50" s="103"/>
      <c r="RU50" s="203">
        <f t="shared" si="62"/>
        <v>0.48215130023640662</v>
      </c>
      <c r="RV50" s="204">
        <f t="shared" si="65"/>
        <v>3</v>
      </c>
      <c r="RW50" s="204">
        <f t="shared" si="65"/>
        <v>3</v>
      </c>
      <c r="RX50" s="204">
        <f t="shared" si="63"/>
        <v>141</v>
      </c>
      <c r="RY50" s="205" t="str">
        <f t="shared" si="64"/>
        <v>ROUEN - 1 Quai du Pré aux loups (Dechetterie - 8h30 / 18h30)</v>
      </c>
      <c r="RZ50" s="189" t="str">
        <f>IF(OR(RZ49="",RZ49="  &lt;/Document&gt;
&lt;/kml&gt;"),"",
IF(B50="","  &lt;/Document&gt;
&lt;/kml&gt;",
IF(TournéesCAV!Q47=""," ",
"    &lt;Placemark&gt;
      &lt;description&gt;&lt;![CDATA["&amp;B50&amp;"&lt;br&gt;&lt;br&gt;"&amp;RV50&amp;" CAV&lt;br&gt;&lt;br&gt;Présent sur "&amp;RW50&amp;" tournée(s)&lt;br&gt;&lt;br&gt;Taux de remplissage moyen "&amp;TEXT(RU50*1000,"0 %")&amp;"]]&gt;&lt;/description&gt;
      &lt;Style&gt;
        &lt;IconStyle&gt;
          &lt;color&gt;ff"&amp;
          DEC2HEX(0,2)&amp;
          DEC2HEX(
            IF(RU50&lt;=0.5,
               INT(255*(RU50*2)),
               255
            ),2)&amp;
          DEC2HEX(
            IF(RU50&lt;=0.5,
               255,
               INT(255*(1-(RU50-0.5)*2))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&lt;Point&gt;&lt;coordinates&gt;"&amp;R50&amp;","&amp;Q50&amp;",0&lt;/coordinates&gt;&lt;/Point&gt;
    &lt;/Placemark&gt;"
)))</f>
        <v xml:space="preserve">    &lt;Placemark&gt;
      &lt;description&gt;&lt;![CDATA[ROUEN - 1 Quai du Pré aux loups (Dechetterie - 8h30 / 18h30)&lt;br&gt;&lt;br&gt;3 CAV&lt;br&gt;&lt;br&gt;Présent sur 3 tournée(s)&lt;br&gt;&lt;br&gt;Taux de remplissage moyen 48%]]&gt;&lt;/description&gt;
      &lt;Style&gt;
        &lt;IconStyle&gt;
          &lt;color&gt;ff00F5FF&lt;/color&gt;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&lt;Point&gt;&lt;coordinates&gt;1.1034501640708916,49.434978814830345,0&lt;/coordinates&gt;&lt;/Point&gt;
    &lt;/Placemark&gt;</v>
      </c>
    </row>
    <row r="51" spans="2:494" ht="15" hidden="1" customHeight="1" x14ac:dyDescent="0.35">
      <c r="B51" s="153" t="str">
        <f t="shared" si="17"/>
        <v>SAINT-PIERRE-DE-MANNEVILLE - 15 Route de Sahurs (Parking près de la mairie)</v>
      </c>
      <c r="C51" s="154">
        <v>3</v>
      </c>
      <c r="D51" s="155"/>
      <c r="E51" s="155"/>
      <c r="F51" s="155"/>
      <c r="G51" s="155"/>
      <c r="H51" s="155"/>
      <c r="I51" s="155"/>
      <c r="J51" s="156"/>
      <c r="K51" s="157">
        <f t="shared" si="18"/>
        <v>1</v>
      </c>
      <c r="L51" s="157">
        <f t="shared" si="19"/>
        <v>1</v>
      </c>
      <c r="M51" s="158" t="s">
        <v>337</v>
      </c>
      <c r="N51" s="159" t="s">
        <v>338</v>
      </c>
      <c r="O51" s="159">
        <v>76113</v>
      </c>
      <c r="P51" s="159" t="s">
        <v>339</v>
      </c>
      <c r="Q51" s="159" t="s">
        <v>340</v>
      </c>
      <c r="R51" s="159" t="s">
        <v>341</v>
      </c>
      <c r="S51" s="159" t="s">
        <v>93</v>
      </c>
      <c r="T51" s="159" t="s">
        <v>94</v>
      </c>
      <c r="U51" s="159" t="s">
        <v>342</v>
      </c>
      <c r="V51" s="160" t="s">
        <v>96</v>
      </c>
      <c r="W51" s="161"/>
      <c r="X51" s="162"/>
      <c r="Y51" s="163"/>
      <c r="Z51" s="162"/>
      <c r="AA51" s="163"/>
      <c r="AB51" s="162"/>
      <c r="AC51" s="163">
        <v>4</v>
      </c>
      <c r="AD51" s="162"/>
      <c r="AE51" s="163"/>
      <c r="AF51" s="162"/>
      <c r="AG51" s="163"/>
      <c r="AH51" s="163"/>
      <c r="AI51" s="162"/>
      <c r="AJ51" s="163"/>
      <c r="AK51" s="162"/>
      <c r="AL51" s="163"/>
      <c r="AM51" s="162"/>
      <c r="AN51" s="163"/>
      <c r="AO51" s="162"/>
      <c r="AP51" s="164"/>
      <c r="AQ51" s="164"/>
      <c r="AR51" s="164"/>
      <c r="AS51" s="164"/>
      <c r="AT51" s="164"/>
      <c r="AU51" s="164"/>
      <c r="AV51" s="164"/>
      <c r="AW51" s="164"/>
      <c r="AX51" s="164"/>
      <c r="AY51" s="165"/>
      <c r="AZ51" s="41"/>
      <c r="BA51" s="190"/>
      <c r="BB51" s="191"/>
      <c r="BC51" s="191"/>
      <c r="BD51" s="191"/>
      <c r="BE51" s="191"/>
      <c r="BF51" s="191"/>
      <c r="BG51" s="191">
        <v>10</v>
      </c>
      <c r="BH51" s="191"/>
      <c r="BI51" s="191"/>
      <c r="BJ51" s="191"/>
      <c r="BK51" s="191"/>
      <c r="BL51" s="191"/>
      <c r="BM51" s="191"/>
      <c r="BN51" s="191">
        <v>50</v>
      </c>
      <c r="BO51" s="191"/>
      <c r="BP51" s="191"/>
      <c r="BQ51" s="191"/>
      <c r="BR51" s="191"/>
      <c r="BS51" s="191"/>
      <c r="BT51" s="191"/>
      <c r="BU51" s="191">
        <v>50</v>
      </c>
      <c r="BV51" s="191"/>
      <c r="BW51" s="191"/>
      <c r="BX51" s="191"/>
      <c r="BY51" s="191"/>
      <c r="BZ51" s="191"/>
      <c r="CA51" s="191"/>
      <c r="CB51" s="191">
        <v>100</v>
      </c>
      <c r="CC51" s="191"/>
      <c r="CD51" s="191"/>
      <c r="CE51" s="192"/>
      <c r="CF51" s="190"/>
      <c r="CG51" s="191"/>
      <c r="CH51" s="191"/>
      <c r="CI51" s="191">
        <v>50</v>
      </c>
      <c r="CJ51" s="191"/>
      <c r="CK51" s="191"/>
      <c r="CL51" s="191"/>
      <c r="CM51" s="191"/>
      <c r="CN51" s="191"/>
      <c r="CO51" s="191"/>
      <c r="CP51" s="191">
        <v>100</v>
      </c>
      <c r="CQ51" s="191"/>
      <c r="CR51" s="191"/>
      <c r="CS51" s="191"/>
      <c r="CT51" s="191"/>
      <c r="CU51" s="191"/>
      <c r="CV51" s="191"/>
      <c r="CW51" s="191"/>
      <c r="CX51" s="191"/>
      <c r="CY51" s="191"/>
      <c r="CZ51" s="191"/>
      <c r="DA51" s="191"/>
      <c r="DB51" s="191"/>
      <c r="DC51" s="191"/>
      <c r="DD51" s="191">
        <v>200</v>
      </c>
      <c r="DE51" s="191"/>
      <c r="DF51" s="191"/>
      <c r="DG51" s="191"/>
      <c r="DH51" s="193"/>
      <c r="DI51" s="194"/>
      <c r="DJ51" s="191"/>
      <c r="DK51" s="191"/>
      <c r="DL51" s="191">
        <v>150</v>
      </c>
      <c r="DM51" s="191"/>
      <c r="DN51" s="191"/>
      <c r="DO51" s="191"/>
      <c r="DP51" s="191"/>
      <c r="DQ51" s="191"/>
      <c r="DR51" s="191"/>
      <c r="DS51" s="191">
        <v>50</v>
      </c>
      <c r="DT51" s="191"/>
      <c r="DU51" s="191"/>
      <c r="DV51" s="191"/>
      <c r="DW51" s="191"/>
      <c r="DX51" s="191"/>
      <c r="DY51" s="191"/>
      <c r="DZ51" s="191">
        <v>100</v>
      </c>
      <c r="EA51" s="191"/>
      <c r="EB51" s="191"/>
      <c r="EC51" s="191"/>
      <c r="ED51" s="191"/>
      <c r="EE51" s="191"/>
      <c r="EF51" s="191"/>
      <c r="EG51" s="191">
        <v>100</v>
      </c>
      <c r="EH51" s="191"/>
      <c r="EI51" s="191"/>
      <c r="EJ51" s="191"/>
      <c r="EK51" s="191"/>
      <c r="EL51" s="191"/>
      <c r="EM51" s="192"/>
      <c r="EN51" s="190">
        <v>100</v>
      </c>
      <c r="EO51" s="191"/>
      <c r="EP51" s="191"/>
      <c r="EQ51" s="191"/>
      <c r="ER51" s="191"/>
      <c r="ES51" s="191"/>
      <c r="ET51" s="191"/>
      <c r="EU51" s="191">
        <v>50</v>
      </c>
      <c r="EV51" s="191"/>
      <c r="EW51" s="191"/>
      <c r="EX51" s="191"/>
      <c r="EY51" s="191"/>
      <c r="EZ51" s="191"/>
      <c r="FA51" s="191"/>
      <c r="FB51" s="191">
        <v>100</v>
      </c>
      <c r="FC51" s="191"/>
      <c r="FD51" s="191"/>
      <c r="FE51" s="191"/>
      <c r="FF51" s="191"/>
      <c r="FG51" s="191"/>
      <c r="FH51" s="191"/>
      <c r="FI51" s="191"/>
      <c r="FJ51" s="191"/>
      <c r="FK51" s="191">
        <v>150</v>
      </c>
      <c r="FL51" s="191"/>
      <c r="FM51" s="191"/>
      <c r="FN51" s="191"/>
      <c r="FO51" s="191"/>
      <c r="FP51" s="191">
        <v>100</v>
      </c>
      <c r="FQ51" s="193"/>
      <c r="FR51" s="194"/>
      <c r="FS51" s="191"/>
      <c r="FT51" s="191"/>
      <c r="FU51" s="191"/>
      <c r="FV51" s="191"/>
      <c r="FW51" s="191">
        <v>100</v>
      </c>
      <c r="FX51" s="191"/>
      <c r="FY51" s="191"/>
      <c r="FZ51" s="191"/>
      <c r="GA51" s="191"/>
      <c r="GB51" s="191"/>
      <c r="GC51" s="191"/>
      <c r="GD51" s="191">
        <v>100</v>
      </c>
      <c r="GE51" s="191"/>
      <c r="GF51" s="191"/>
      <c r="GG51" s="191"/>
      <c r="GH51" s="191"/>
      <c r="GI51" s="191"/>
      <c r="GJ51" s="191"/>
      <c r="GK51" s="191">
        <v>50</v>
      </c>
      <c r="GL51" s="191"/>
      <c r="GM51" s="191"/>
      <c r="GN51" s="191"/>
      <c r="GO51" s="191"/>
      <c r="GP51" s="191"/>
      <c r="GQ51" s="191"/>
      <c r="GR51" s="191">
        <v>50</v>
      </c>
      <c r="GS51" s="191"/>
      <c r="GT51" s="191"/>
      <c r="GU51" s="191"/>
      <c r="GV51" s="192"/>
      <c r="GW51" s="190"/>
      <c r="GX51" s="191"/>
      <c r="GY51" s="191">
        <v>50</v>
      </c>
      <c r="GZ51" s="191"/>
      <c r="HA51" s="191"/>
      <c r="HB51" s="191"/>
      <c r="HC51" s="191"/>
      <c r="HD51" s="191"/>
      <c r="HE51" s="191"/>
      <c r="HF51" s="191"/>
      <c r="HG51" s="191"/>
      <c r="HH51" s="191">
        <v>50</v>
      </c>
      <c r="HI51" s="191"/>
      <c r="HJ51" s="191"/>
      <c r="HK51" s="191"/>
      <c r="HL51" s="191"/>
      <c r="HM51" s="191"/>
      <c r="HN51" s="191"/>
      <c r="HO51" s="191"/>
      <c r="HP51" s="191">
        <v>100</v>
      </c>
      <c r="HQ51" s="191"/>
      <c r="HR51" s="191"/>
      <c r="HS51" s="191"/>
      <c r="HT51" s="191">
        <v>50</v>
      </c>
      <c r="HU51" s="191"/>
      <c r="HV51" s="191"/>
      <c r="HW51" s="191"/>
      <c r="HX51" s="191"/>
      <c r="HY51" s="191"/>
      <c r="HZ51" s="193"/>
      <c r="IA51" s="194">
        <v>50</v>
      </c>
      <c r="IB51" s="191"/>
      <c r="IC51" s="191"/>
      <c r="ID51" s="191"/>
      <c r="IE51" s="191"/>
      <c r="IF51" s="191"/>
      <c r="IG51" s="191"/>
      <c r="IH51" s="191">
        <v>50</v>
      </c>
      <c r="II51" s="191"/>
      <c r="IJ51" s="191"/>
      <c r="IK51" s="191"/>
      <c r="IL51" s="191"/>
      <c r="IM51" s="191"/>
      <c r="IN51" s="191"/>
      <c r="IO51" s="191"/>
      <c r="IP51" s="191">
        <v>100</v>
      </c>
      <c r="IQ51" s="191"/>
      <c r="IR51" s="191"/>
      <c r="IS51" s="191"/>
      <c r="IT51" s="191"/>
      <c r="IU51" s="191"/>
      <c r="IV51" s="191">
        <v>100</v>
      </c>
      <c r="IW51" s="191"/>
      <c r="IX51" s="191"/>
      <c r="IY51" s="191"/>
      <c r="IZ51" s="191"/>
      <c r="JA51" s="191"/>
      <c r="JB51" s="191"/>
      <c r="JC51" s="191"/>
      <c r="JD51" s="191"/>
      <c r="JE51" s="192">
        <v>100</v>
      </c>
      <c r="JF51" s="190"/>
      <c r="JG51" s="191"/>
      <c r="JH51" s="191"/>
      <c r="JI51" s="191"/>
      <c r="JJ51" s="191">
        <v>50</v>
      </c>
      <c r="JK51" s="191"/>
      <c r="JL51" s="191"/>
      <c r="JM51" s="191"/>
      <c r="JN51" s="191"/>
      <c r="JO51" s="191"/>
      <c r="JP51" s="191"/>
      <c r="JQ51" s="191">
        <v>50</v>
      </c>
      <c r="JR51" s="191"/>
      <c r="JS51" s="191"/>
      <c r="JT51" s="191"/>
      <c r="JU51" s="191"/>
      <c r="JV51" s="191"/>
      <c r="JW51" s="191"/>
      <c r="JX51" s="191"/>
      <c r="JY51" s="191"/>
      <c r="JZ51" s="191"/>
      <c r="KA51" s="191"/>
      <c r="KB51" s="191"/>
      <c r="KC51" s="191"/>
      <c r="KD51" s="191"/>
      <c r="KE51" s="191">
        <v>150</v>
      </c>
      <c r="KF51" s="191"/>
      <c r="KG51" s="191"/>
      <c r="KH51" s="191"/>
      <c r="KI51" s="191"/>
      <c r="KJ51" s="193"/>
      <c r="KK51" s="194"/>
      <c r="KL51" s="191">
        <v>50</v>
      </c>
      <c r="KM51" s="191"/>
      <c r="KN51" s="191"/>
      <c r="KO51" s="191"/>
      <c r="KP51" s="191"/>
      <c r="KQ51" s="191"/>
      <c r="KR51" s="191"/>
      <c r="KS51" s="191">
        <v>150</v>
      </c>
      <c r="KT51" s="191"/>
      <c r="KU51" s="191"/>
      <c r="KV51" s="191"/>
      <c r="KW51" s="191"/>
      <c r="KX51" s="191"/>
      <c r="KY51" s="191"/>
      <c r="KZ51" s="191">
        <v>50</v>
      </c>
      <c r="LA51" s="191"/>
      <c r="LB51" s="191"/>
      <c r="LC51" s="191"/>
      <c r="LD51" s="191"/>
      <c r="LE51" s="191"/>
      <c r="LF51" s="191"/>
      <c r="LG51" s="191">
        <v>50</v>
      </c>
      <c r="LH51" s="191"/>
      <c r="LI51" s="191"/>
      <c r="LJ51" s="191"/>
      <c r="LK51" s="191"/>
      <c r="LL51" s="191"/>
      <c r="LM51" s="191"/>
      <c r="LN51" s="192">
        <v>100</v>
      </c>
      <c r="LO51" s="190"/>
      <c r="LP51" s="191"/>
      <c r="LQ51" s="191"/>
      <c r="LR51" s="191"/>
      <c r="LS51" s="191"/>
      <c r="LT51" s="191"/>
      <c r="LU51" s="191">
        <v>50</v>
      </c>
      <c r="LV51" s="191"/>
      <c r="LW51" s="191"/>
      <c r="LX51" s="191"/>
      <c r="LY51" s="191"/>
      <c r="LZ51" s="191"/>
      <c r="MA51" s="191"/>
      <c r="MB51" s="191"/>
      <c r="MC51" s="191"/>
      <c r="MD51" s="191">
        <v>150</v>
      </c>
      <c r="ME51" s="191"/>
      <c r="MF51" s="191"/>
      <c r="MG51" s="191"/>
      <c r="MH51" s="191"/>
      <c r="MI51" s="191">
        <v>50</v>
      </c>
      <c r="MJ51" s="191"/>
      <c r="MK51" s="191"/>
      <c r="ML51" s="191"/>
      <c r="MM51" s="191"/>
      <c r="MN51" s="191"/>
      <c r="MO51" s="191"/>
      <c r="MP51" s="191">
        <v>50</v>
      </c>
      <c r="MQ51" s="191"/>
      <c r="MR51" s="191"/>
      <c r="MS51" s="193"/>
      <c r="MT51" s="194"/>
      <c r="MU51" s="191"/>
      <c r="MV51" s="191"/>
      <c r="MW51" s="191"/>
      <c r="MX51" s="191"/>
      <c r="MY51" s="191"/>
      <c r="MZ51" s="191"/>
      <c r="NA51" s="191"/>
      <c r="NB51" s="191"/>
      <c r="NC51" s="191"/>
      <c r="ND51" s="191"/>
      <c r="NE51" s="191">
        <v>100</v>
      </c>
      <c r="NF51" s="191"/>
      <c r="NG51" s="191"/>
      <c r="NH51" s="191"/>
      <c r="NI51" s="191"/>
      <c r="NJ51" s="191"/>
      <c r="NK51" s="191">
        <v>100</v>
      </c>
      <c r="NL51" s="191"/>
      <c r="NM51" s="191"/>
      <c r="NN51" s="191"/>
      <c r="NO51" s="191"/>
      <c r="NP51" s="191"/>
      <c r="NQ51" s="191"/>
      <c r="NR51" s="191">
        <v>50</v>
      </c>
      <c r="NS51" s="191"/>
      <c r="NT51" s="191"/>
      <c r="NU51" s="191"/>
      <c r="NV51" s="191"/>
      <c r="NW51" s="192"/>
      <c r="NX51" s="190"/>
      <c r="NY51" s="191">
        <v>10</v>
      </c>
      <c r="NZ51" s="191"/>
      <c r="OA51" s="191"/>
      <c r="OB51" s="191"/>
      <c r="OC51" s="191"/>
      <c r="OD51" s="191"/>
      <c r="OE51" s="191"/>
      <c r="OF51" s="191">
        <v>50</v>
      </c>
      <c r="OG51" s="191"/>
      <c r="OH51" s="191"/>
      <c r="OI51" s="191"/>
      <c r="OJ51" s="191"/>
      <c r="OK51" s="191"/>
      <c r="OL51" s="191"/>
      <c r="OM51" s="191"/>
      <c r="ON51" s="191"/>
      <c r="OO51" s="191"/>
      <c r="OP51" s="191"/>
      <c r="OQ51" s="191"/>
      <c r="OR51" s="191"/>
      <c r="OS51" s="191"/>
      <c r="OT51" s="191"/>
      <c r="OU51" s="191"/>
      <c r="OV51" s="191"/>
      <c r="OW51" s="191"/>
      <c r="OX51" s="191"/>
      <c r="OY51" s="191"/>
      <c r="OZ51" s="191"/>
      <c r="PA51" s="191"/>
      <c r="PB51" s="193"/>
      <c r="PC51" s="47"/>
      <c r="PD51" s="154" t="s">
        <v>97</v>
      </c>
      <c r="PE51" s="155" t="s">
        <v>98</v>
      </c>
      <c r="PF51" s="155" t="s">
        <v>98</v>
      </c>
      <c r="PG51" s="155" t="s">
        <v>98</v>
      </c>
      <c r="PH51" s="155" t="s">
        <v>98</v>
      </c>
      <c r="PI51" s="155" t="s">
        <v>98</v>
      </c>
      <c r="PJ51" s="155" t="s">
        <v>98</v>
      </c>
      <c r="PK51" s="155" t="s">
        <v>98</v>
      </c>
      <c r="PL51" s="155" t="s">
        <v>98</v>
      </c>
      <c r="PM51" s="155" t="s">
        <v>98</v>
      </c>
      <c r="PN51" s="155" t="s">
        <v>98</v>
      </c>
      <c r="PO51" s="156"/>
      <c r="PP51" s="156"/>
      <c r="PQ51" s="156"/>
      <c r="PR51" s="156"/>
      <c r="PS51" s="156"/>
      <c r="PT51" s="156"/>
      <c r="PU51" s="156"/>
      <c r="PV51" s="156"/>
      <c r="PW51" s="156"/>
      <c r="PX51" s="195"/>
      <c r="PY51" s="1"/>
      <c r="PZ51" s="196">
        <f t="shared" si="20"/>
        <v>210</v>
      </c>
      <c r="QA51" s="176">
        <f t="shared" si="21"/>
        <v>1.7518978893801618E-3</v>
      </c>
      <c r="QB51" s="177" t="str">
        <f t="shared" ca="1" si="22"/>
        <v>Attente…</v>
      </c>
      <c r="QC51" s="197">
        <f t="shared" si="23"/>
        <v>350</v>
      </c>
      <c r="QD51" s="179">
        <f t="shared" si="24"/>
        <v>3.2771535580524347E-3</v>
      </c>
      <c r="QE51" s="180" t="str">
        <f t="shared" ca="1" si="25"/>
        <v>Attente…</v>
      </c>
      <c r="QF51" s="196">
        <f t="shared" si="26"/>
        <v>400</v>
      </c>
      <c r="QG51" s="176">
        <f t="shared" si="27"/>
        <v>3.1852205765249245E-3</v>
      </c>
      <c r="QH51" s="177" t="str">
        <f t="shared" ca="1" si="28"/>
        <v>Attente…</v>
      </c>
      <c r="QI51" s="197">
        <f t="shared" si="29"/>
        <v>500</v>
      </c>
      <c r="QJ51" s="179">
        <f t="shared" si="30"/>
        <v>3.5068031982045168E-3</v>
      </c>
      <c r="QK51" s="180" t="str">
        <f t="shared" ca="1" si="31"/>
        <v>Attente…</v>
      </c>
      <c r="QL51" s="196">
        <f t="shared" si="32"/>
        <v>300</v>
      </c>
      <c r="QM51" s="176">
        <f t="shared" si="33"/>
        <v>2.1949078138718174E-3</v>
      </c>
      <c r="QN51" s="177" t="str">
        <f t="shared" ca="1" si="34"/>
        <v>Attente…</v>
      </c>
      <c r="QO51" s="197">
        <f t="shared" si="35"/>
        <v>250</v>
      </c>
      <c r="QP51" s="179">
        <f t="shared" si="36"/>
        <v>1.9572535817740547E-3</v>
      </c>
      <c r="QQ51" s="180" t="str">
        <f t="shared" ca="1" si="37"/>
        <v>Attente…</v>
      </c>
      <c r="QR51" s="196">
        <f t="shared" si="38"/>
        <v>400</v>
      </c>
      <c r="QS51" s="176">
        <f t="shared" si="39"/>
        <v>2.8796659587487852E-3</v>
      </c>
      <c r="QT51" s="177" t="str">
        <f t="shared" ca="1" si="40"/>
        <v>Attente…</v>
      </c>
      <c r="QU51" s="197">
        <f t="shared" si="41"/>
        <v>250</v>
      </c>
      <c r="QV51" s="179">
        <f t="shared" si="42"/>
        <v>1.7236624379481523E-3</v>
      </c>
      <c r="QW51" s="180" t="str">
        <f t="shared" ca="1" si="43"/>
        <v>Attente…</v>
      </c>
      <c r="QX51" s="196">
        <f t="shared" si="44"/>
        <v>400</v>
      </c>
      <c r="QY51" s="176">
        <f t="shared" si="45"/>
        <v>2.918941008202224E-3</v>
      </c>
      <c r="QZ51" s="177" t="str">
        <f t="shared" ca="1" si="46"/>
        <v>Attente…</v>
      </c>
      <c r="RA51" s="197">
        <f t="shared" si="47"/>
        <v>300</v>
      </c>
      <c r="RB51" s="179">
        <f t="shared" si="48"/>
        <v>2.3472341757295985E-3</v>
      </c>
      <c r="RC51" s="180" t="str">
        <f t="shared" ca="1" si="49"/>
        <v>Attente…</v>
      </c>
      <c r="RD51" s="196">
        <f t="shared" si="50"/>
        <v>250</v>
      </c>
      <c r="RE51" s="176">
        <f t="shared" si="51"/>
        <v>2.4910322837783977E-3</v>
      </c>
      <c r="RF51" s="177" t="str">
        <f t="shared" ca="1" si="52"/>
        <v>Attente…</v>
      </c>
      <c r="RG51" s="197">
        <f t="shared" si="53"/>
        <v>60</v>
      </c>
      <c r="RH51" s="179">
        <f t="shared" si="54"/>
        <v>1.1035497517013059E-3</v>
      </c>
      <c r="RI51" s="198" t="str">
        <f t="shared" ca="1" si="55"/>
        <v>Attente…</v>
      </c>
      <c r="RJ51" s="199">
        <f t="shared" si="56"/>
        <v>960</v>
      </c>
      <c r="RK51" s="200" t="str">
        <f t="shared" ca="1" si="13"/>
        <v>Attente…</v>
      </c>
      <c r="RL51" s="199">
        <f t="shared" si="57"/>
        <v>1050</v>
      </c>
      <c r="RM51" s="200" t="str">
        <f t="shared" ca="1" si="58"/>
        <v>Atttente…</v>
      </c>
      <c r="RN51" s="199">
        <f t="shared" si="59"/>
        <v>1050</v>
      </c>
      <c r="RO51" s="200" t="str">
        <f t="shared" ca="1" si="14"/>
        <v>Attente…</v>
      </c>
      <c r="RP51" s="199">
        <f t="shared" si="60"/>
        <v>610</v>
      </c>
      <c r="RQ51" s="200" t="str">
        <f t="shared" ca="1" si="15"/>
        <v>Attente…</v>
      </c>
      <c r="RR51" s="201">
        <f t="shared" si="61"/>
        <v>3670</v>
      </c>
      <c r="RS51" s="202" t="str">
        <f t="shared" ca="1" si="16"/>
        <v>Attente…</v>
      </c>
      <c r="RT51" s="103"/>
      <c r="RU51" s="203">
        <f t="shared" si="62"/>
        <v>0.39891304347826084</v>
      </c>
      <c r="RV51" s="204">
        <f t="shared" si="65"/>
        <v>1</v>
      </c>
      <c r="RW51" s="204">
        <f t="shared" si="65"/>
        <v>1</v>
      </c>
      <c r="RX51" s="204">
        <f t="shared" si="63"/>
        <v>46</v>
      </c>
      <c r="RY51" s="205" t="str">
        <f t="shared" si="64"/>
        <v>SAINT-PIERRE-DE-MANNEVILLE - 15 Route de Sahurs (Parking près de la mairie)</v>
      </c>
      <c r="RZ51" s="189" t="str">
        <f>IF(OR(RZ50="",RZ50="  &lt;/Document&gt;
&lt;/kml&gt;"),"",
IF(B51="","  &lt;/Document&gt;
&lt;/kml&gt;",
IF(TournéesCAV!Q51=""," ",
"    &lt;Placemark&gt;
      &lt;description&gt;&lt;![CDATA["&amp;B51&amp;"&lt;br&gt;&lt;br&gt;"&amp;RV51&amp;" CAV&lt;br&gt;&lt;br&gt;Présent sur "&amp;RW51&amp;" tournée(s)&lt;br&gt;&lt;br&gt;Taux de remplissage moyen "&amp;TEXT(RU51*1000,"0 %")&amp;"]]&gt;&lt;/description&gt;
      &lt;Style&gt;
        &lt;IconStyle&gt;
          &lt;color&gt;ff"&amp;
          DEC2HEX(0,2)&amp;
          DEC2HEX(
            IF(RU51&lt;=0.5,
               INT(255*(RU51*2)),
               255
            ),2)&amp;
          DEC2HEX(
            IF(RU51&lt;=0.5,
               255,
               INT(255*(1-(RU51-0.5)*2))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&lt;Point&gt;&lt;coordinates&gt;"&amp;R51&amp;","&amp;Q51&amp;",0&lt;/coordinates&gt;&lt;/Point&gt;
    &lt;/Placemark&gt;"
)))</f>
        <v xml:space="preserve">    &lt;Placemark&gt;
      &lt;description&gt;&lt;![CDATA[SAINT-PIERRE-DE-MANNEVILLE - 15 Route de Sahurs (Parking près de la mairie)&lt;br&gt;&lt;br&gt;1 CAV&lt;br&gt;&lt;br&gt;Présent sur 1 tournée(s)&lt;br&gt;&lt;br&gt;Taux de remplissage moyen 40%]]&gt;&lt;/description&gt;
      &lt;Style&gt;
        &lt;IconStyle&gt;
          &lt;color&gt;ff00CBFF&lt;/color&gt;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&lt;Point&gt;&lt;coordinates&gt;0.9316159,49.390736,0&lt;/coordinates&gt;&lt;/Point&gt;
    &lt;/Placemark&gt;</v>
      </c>
    </row>
    <row r="52" spans="2:494" ht="15" hidden="1" customHeight="1" x14ac:dyDescent="0.35">
      <c r="B52" s="153" t="str">
        <f t="shared" si="17"/>
        <v>SOTTEVILLE-SOUS-LE-VAL - 2 Chemin des devises (Croisement avec Rue des canadiens)</v>
      </c>
      <c r="C52" s="154" t="s">
        <v>104</v>
      </c>
      <c r="D52" s="155"/>
      <c r="E52" s="155"/>
      <c r="F52" s="155"/>
      <c r="G52" s="155"/>
      <c r="H52" s="155"/>
      <c r="I52" s="155"/>
      <c r="J52" s="156"/>
      <c r="K52" s="157">
        <f t="shared" si="18"/>
        <v>1</v>
      </c>
      <c r="L52" s="157">
        <f t="shared" si="19"/>
        <v>1</v>
      </c>
      <c r="M52" s="158" t="s">
        <v>343</v>
      </c>
      <c r="N52" s="159" t="s">
        <v>344</v>
      </c>
      <c r="O52" s="159">
        <v>76410</v>
      </c>
      <c r="P52" s="159" t="s">
        <v>345</v>
      </c>
      <c r="Q52" s="159" t="s">
        <v>346</v>
      </c>
      <c r="R52" s="159" t="s">
        <v>347</v>
      </c>
      <c r="S52" s="159" t="s">
        <v>93</v>
      </c>
      <c r="T52" s="159" t="s">
        <v>94</v>
      </c>
      <c r="U52" s="159" t="s">
        <v>348</v>
      </c>
      <c r="V52" s="160" t="s">
        <v>123</v>
      </c>
      <c r="W52" s="161"/>
      <c r="X52" s="162"/>
      <c r="Y52" s="163"/>
      <c r="Z52" s="162"/>
      <c r="AA52" s="163"/>
      <c r="AB52" s="162"/>
      <c r="AC52" s="163"/>
      <c r="AD52" s="162"/>
      <c r="AE52" s="163"/>
      <c r="AF52" s="162"/>
      <c r="AG52" s="163"/>
      <c r="AH52" s="163"/>
      <c r="AI52" s="162"/>
      <c r="AJ52" s="163"/>
      <c r="AK52" s="162"/>
      <c r="AL52" s="163"/>
      <c r="AM52" s="162"/>
      <c r="AN52" s="163"/>
      <c r="AO52" s="162">
        <v>5</v>
      </c>
      <c r="AP52" s="164"/>
      <c r="AQ52" s="164"/>
      <c r="AR52" s="164"/>
      <c r="AS52" s="164"/>
      <c r="AT52" s="164"/>
      <c r="AU52" s="164"/>
      <c r="AV52" s="164"/>
      <c r="AW52" s="164"/>
      <c r="AX52" s="164"/>
      <c r="AY52" s="165"/>
      <c r="AZ52" s="41"/>
      <c r="BA52" s="190"/>
      <c r="BB52" s="191">
        <v>100</v>
      </c>
      <c r="BC52" s="191"/>
      <c r="BD52" s="191"/>
      <c r="BE52" s="191"/>
      <c r="BF52" s="191"/>
      <c r="BG52" s="191"/>
      <c r="BH52" s="191">
        <v>50</v>
      </c>
      <c r="BI52" s="191"/>
      <c r="BJ52" s="191"/>
      <c r="BK52" s="191"/>
      <c r="BL52" s="191"/>
      <c r="BM52" s="191"/>
      <c r="BN52" s="191"/>
      <c r="BO52" s="191">
        <v>50</v>
      </c>
      <c r="BP52" s="191"/>
      <c r="BQ52" s="191"/>
      <c r="BR52" s="191"/>
      <c r="BS52" s="191"/>
      <c r="BT52" s="191"/>
      <c r="BU52" s="191"/>
      <c r="BV52" s="191">
        <v>100</v>
      </c>
      <c r="BW52" s="191"/>
      <c r="BX52" s="191"/>
      <c r="BY52" s="191"/>
      <c r="BZ52" s="191"/>
      <c r="CA52" s="191"/>
      <c r="CB52" s="191"/>
      <c r="CC52" s="191">
        <v>50</v>
      </c>
      <c r="CD52" s="191"/>
      <c r="CE52" s="192"/>
      <c r="CF52" s="190"/>
      <c r="CG52" s="191"/>
      <c r="CH52" s="191"/>
      <c r="CI52" s="191"/>
      <c r="CJ52" s="191">
        <v>50</v>
      </c>
      <c r="CK52" s="191"/>
      <c r="CL52" s="191"/>
      <c r="CM52" s="191"/>
      <c r="CN52" s="191"/>
      <c r="CO52" s="191"/>
      <c r="CP52" s="191"/>
      <c r="CQ52" s="191">
        <v>10</v>
      </c>
      <c r="CR52" s="191"/>
      <c r="CS52" s="191"/>
      <c r="CT52" s="191"/>
      <c r="CU52" s="191"/>
      <c r="CV52" s="191"/>
      <c r="CW52" s="191"/>
      <c r="CX52" s="191">
        <v>50</v>
      </c>
      <c r="CY52" s="191"/>
      <c r="CZ52" s="191"/>
      <c r="DA52" s="191"/>
      <c r="DB52" s="191"/>
      <c r="DC52" s="191"/>
      <c r="DD52" s="191"/>
      <c r="DE52" s="191">
        <v>50</v>
      </c>
      <c r="DF52" s="191"/>
      <c r="DG52" s="191"/>
      <c r="DH52" s="193"/>
      <c r="DI52" s="194"/>
      <c r="DJ52" s="191"/>
      <c r="DK52" s="191"/>
      <c r="DL52" s="191"/>
      <c r="DM52" s="191">
        <v>100</v>
      </c>
      <c r="DN52" s="191"/>
      <c r="DO52" s="191"/>
      <c r="DP52" s="191"/>
      <c r="DQ52" s="191"/>
      <c r="DR52" s="191"/>
      <c r="DS52" s="191"/>
      <c r="DT52" s="191">
        <v>100</v>
      </c>
      <c r="DU52" s="191"/>
      <c r="DV52" s="191"/>
      <c r="DW52" s="191"/>
      <c r="DX52" s="191"/>
      <c r="DY52" s="191"/>
      <c r="DZ52" s="191"/>
      <c r="EA52" s="191">
        <v>150</v>
      </c>
      <c r="EB52" s="191"/>
      <c r="EC52" s="191"/>
      <c r="ED52" s="191"/>
      <c r="EE52" s="191"/>
      <c r="EF52" s="191"/>
      <c r="EG52" s="191"/>
      <c r="EH52" s="191">
        <v>100</v>
      </c>
      <c r="EI52" s="191"/>
      <c r="EJ52" s="191"/>
      <c r="EK52" s="191"/>
      <c r="EL52" s="191"/>
      <c r="EM52" s="192"/>
      <c r="EN52" s="190"/>
      <c r="EO52" s="191">
        <v>100</v>
      </c>
      <c r="EP52" s="191"/>
      <c r="EQ52" s="191"/>
      <c r="ER52" s="191"/>
      <c r="ES52" s="191"/>
      <c r="ET52" s="191"/>
      <c r="EU52" s="191"/>
      <c r="EV52" s="191">
        <v>200</v>
      </c>
      <c r="EW52" s="191"/>
      <c r="EX52" s="191"/>
      <c r="EY52" s="191"/>
      <c r="EZ52" s="191"/>
      <c r="FA52" s="191"/>
      <c r="FB52" s="191"/>
      <c r="FC52" s="191">
        <v>100</v>
      </c>
      <c r="FD52" s="191"/>
      <c r="FE52" s="191"/>
      <c r="FF52" s="191"/>
      <c r="FG52" s="191"/>
      <c r="FH52" s="191"/>
      <c r="FI52" s="191"/>
      <c r="FJ52" s="191">
        <v>150</v>
      </c>
      <c r="FK52" s="191"/>
      <c r="FL52" s="191"/>
      <c r="FM52" s="191"/>
      <c r="FN52" s="191"/>
      <c r="FO52" s="191"/>
      <c r="FP52" s="191"/>
      <c r="FQ52" s="193">
        <v>50</v>
      </c>
      <c r="FR52" s="194"/>
      <c r="FS52" s="191"/>
      <c r="FT52" s="191"/>
      <c r="FU52" s="191"/>
      <c r="FV52" s="191"/>
      <c r="FW52" s="191"/>
      <c r="FX52" s="191">
        <v>100</v>
      </c>
      <c r="FY52" s="191"/>
      <c r="FZ52" s="191"/>
      <c r="GA52" s="191"/>
      <c r="GB52" s="191"/>
      <c r="GC52" s="191"/>
      <c r="GD52" s="191"/>
      <c r="GE52" s="191">
        <v>150</v>
      </c>
      <c r="GF52" s="191"/>
      <c r="GG52" s="191"/>
      <c r="GH52" s="191"/>
      <c r="GI52" s="191"/>
      <c r="GJ52" s="191"/>
      <c r="GK52" s="191"/>
      <c r="GL52" s="191">
        <v>50</v>
      </c>
      <c r="GM52" s="191"/>
      <c r="GN52" s="191"/>
      <c r="GO52" s="191"/>
      <c r="GP52" s="191"/>
      <c r="GQ52" s="191"/>
      <c r="GR52" s="191"/>
      <c r="GS52" s="191">
        <v>10</v>
      </c>
      <c r="GT52" s="191"/>
      <c r="GU52" s="191"/>
      <c r="GV52" s="192"/>
      <c r="GW52" s="190"/>
      <c r="GX52" s="191"/>
      <c r="GY52" s="191"/>
      <c r="GZ52" s="191">
        <v>100</v>
      </c>
      <c r="HA52" s="191"/>
      <c r="HB52" s="191"/>
      <c r="HC52" s="191"/>
      <c r="HD52" s="191"/>
      <c r="HE52" s="191"/>
      <c r="HF52" s="191"/>
      <c r="HG52" s="191"/>
      <c r="HH52" s="191"/>
      <c r="HI52" s="191"/>
      <c r="HJ52" s="191"/>
      <c r="HK52" s="191"/>
      <c r="HL52" s="191"/>
      <c r="HM52" s="191"/>
      <c r="HN52" s="191">
        <v>50</v>
      </c>
      <c r="HO52" s="191"/>
      <c r="HP52" s="191"/>
      <c r="HQ52" s="191"/>
      <c r="HR52" s="191"/>
      <c r="HS52" s="191"/>
      <c r="HT52" s="191"/>
      <c r="HU52" s="191">
        <v>50</v>
      </c>
      <c r="HV52" s="191"/>
      <c r="HW52" s="191"/>
      <c r="HX52" s="191"/>
      <c r="HY52" s="191"/>
      <c r="HZ52" s="193"/>
      <c r="IA52" s="194"/>
      <c r="IB52" s="191">
        <v>10</v>
      </c>
      <c r="IC52" s="191"/>
      <c r="ID52" s="191"/>
      <c r="IE52" s="191"/>
      <c r="IF52" s="191"/>
      <c r="IG52" s="191"/>
      <c r="IH52" s="191"/>
      <c r="II52" s="191">
        <v>50</v>
      </c>
      <c r="IJ52" s="191"/>
      <c r="IK52" s="191"/>
      <c r="IL52" s="191"/>
      <c r="IM52" s="191"/>
      <c r="IN52" s="191"/>
      <c r="IO52" s="191"/>
      <c r="IP52" s="191"/>
      <c r="IQ52" s="191">
        <v>150</v>
      </c>
      <c r="IR52" s="191"/>
      <c r="IS52" s="191"/>
      <c r="IT52" s="191"/>
      <c r="IU52" s="191"/>
      <c r="IV52" s="191"/>
      <c r="IW52" s="191"/>
      <c r="IX52" s="191">
        <v>150</v>
      </c>
      <c r="IY52" s="191"/>
      <c r="IZ52" s="191"/>
      <c r="JA52" s="191"/>
      <c r="JB52" s="191"/>
      <c r="JC52" s="191"/>
      <c r="JD52" s="191">
        <v>100</v>
      </c>
      <c r="JE52" s="192"/>
      <c r="JF52" s="190"/>
      <c r="JG52" s="191"/>
      <c r="JH52" s="191"/>
      <c r="JI52" s="191"/>
      <c r="JJ52" s="191"/>
      <c r="JK52" s="191">
        <v>50</v>
      </c>
      <c r="JL52" s="191"/>
      <c r="JM52" s="191"/>
      <c r="JN52" s="191"/>
      <c r="JO52" s="191"/>
      <c r="JP52" s="191"/>
      <c r="JQ52" s="191"/>
      <c r="JR52" s="191"/>
      <c r="JS52" s="191">
        <v>50</v>
      </c>
      <c r="JT52" s="191"/>
      <c r="JU52" s="191"/>
      <c r="JV52" s="191"/>
      <c r="JW52" s="191"/>
      <c r="JX52" s="191"/>
      <c r="JY52" s="191">
        <v>10</v>
      </c>
      <c r="JZ52" s="191"/>
      <c r="KA52" s="191"/>
      <c r="KB52" s="191"/>
      <c r="KC52" s="191"/>
      <c r="KD52" s="191"/>
      <c r="KE52" s="191"/>
      <c r="KF52" s="191"/>
      <c r="KG52" s="191">
        <v>150</v>
      </c>
      <c r="KH52" s="191"/>
      <c r="KI52" s="191"/>
      <c r="KJ52" s="193"/>
      <c r="KK52" s="194"/>
      <c r="KL52" s="191"/>
      <c r="KM52" s="191">
        <v>50</v>
      </c>
      <c r="KN52" s="191"/>
      <c r="KO52" s="191"/>
      <c r="KP52" s="191"/>
      <c r="KQ52" s="191"/>
      <c r="KR52" s="191"/>
      <c r="KS52" s="191"/>
      <c r="KT52" s="191"/>
      <c r="KU52" s="191">
        <v>50</v>
      </c>
      <c r="KV52" s="191"/>
      <c r="KW52" s="191"/>
      <c r="KX52" s="191"/>
      <c r="KY52" s="191"/>
      <c r="KZ52" s="191"/>
      <c r="LA52" s="191">
        <v>10</v>
      </c>
      <c r="LB52" s="191"/>
      <c r="LC52" s="191"/>
      <c r="LD52" s="191"/>
      <c r="LE52" s="191"/>
      <c r="LF52" s="191"/>
      <c r="LG52" s="191"/>
      <c r="LH52" s="191">
        <v>100</v>
      </c>
      <c r="LI52" s="191"/>
      <c r="LJ52" s="191"/>
      <c r="LK52" s="191"/>
      <c r="LL52" s="191"/>
      <c r="LM52" s="191"/>
      <c r="LN52" s="192"/>
      <c r="LO52" s="190">
        <v>100</v>
      </c>
      <c r="LP52" s="191"/>
      <c r="LQ52" s="191"/>
      <c r="LR52" s="191"/>
      <c r="LS52" s="191"/>
      <c r="LT52" s="191"/>
      <c r="LU52" s="191"/>
      <c r="LV52" s="191">
        <v>10</v>
      </c>
      <c r="LW52" s="191"/>
      <c r="LX52" s="191"/>
      <c r="LY52" s="191"/>
      <c r="LZ52" s="191"/>
      <c r="MA52" s="191"/>
      <c r="MB52" s="191"/>
      <c r="MC52" s="191">
        <v>50</v>
      </c>
      <c r="MD52" s="191"/>
      <c r="ME52" s="191"/>
      <c r="MF52" s="191"/>
      <c r="MG52" s="191"/>
      <c r="MH52" s="191"/>
      <c r="MI52" s="191"/>
      <c r="MJ52" s="191">
        <v>10</v>
      </c>
      <c r="MK52" s="191"/>
      <c r="ML52" s="191"/>
      <c r="MM52" s="191"/>
      <c r="MN52" s="191"/>
      <c r="MO52" s="191"/>
      <c r="MP52" s="191"/>
      <c r="MQ52" s="191">
        <v>100</v>
      </c>
      <c r="MR52" s="191"/>
      <c r="MS52" s="193"/>
      <c r="MT52" s="194"/>
      <c r="MU52" s="191"/>
      <c r="MV52" s="191"/>
      <c r="MW52" s="191"/>
      <c r="MX52" s="191">
        <v>10</v>
      </c>
      <c r="MY52" s="191"/>
      <c r="MZ52" s="191"/>
      <c r="NA52" s="191"/>
      <c r="NB52" s="191"/>
      <c r="NC52" s="191"/>
      <c r="ND52" s="191"/>
      <c r="NE52" s="191"/>
      <c r="NF52" s="191"/>
      <c r="NG52" s="191"/>
      <c r="NH52" s="191"/>
      <c r="NI52" s="191"/>
      <c r="NJ52" s="191"/>
      <c r="NK52" s="191"/>
      <c r="NL52" s="191"/>
      <c r="NM52" s="191">
        <v>50</v>
      </c>
      <c r="NN52" s="191"/>
      <c r="NO52" s="191"/>
      <c r="NP52" s="191"/>
      <c r="NQ52" s="191"/>
      <c r="NR52" s="191"/>
      <c r="NS52" s="191">
        <v>100</v>
      </c>
      <c r="NT52" s="191"/>
      <c r="NU52" s="191"/>
      <c r="NV52" s="191"/>
      <c r="NW52" s="192"/>
      <c r="NX52" s="190"/>
      <c r="NY52" s="191"/>
      <c r="NZ52" s="191">
        <v>10</v>
      </c>
      <c r="OA52" s="191"/>
      <c r="OB52" s="191"/>
      <c r="OC52" s="191"/>
      <c r="OD52" s="191"/>
      <c r="OE52" s="191"/>
      <c r="OF52" s="191"/>
      <c r="OG52" s="191">
        <v>50</v>
      </c>
      <c r="OH52" s="191"/>
      <c r="OI52" s="191"/>
      <c r="OJ52" s="191"/>
      <c r="OK52" s="191"/>
      <c r="OL52" s="191"/>
      <c r="OM52" s="191"/>
      <c r="ON52" s="191">
        <v>100</v>
      </c>
      <c r="OO52" s="191"/>
      <c r="OP52" s="191"/>
      <c r="OQ52" s="191"/>
      <c r="OR52" s="191"/>
      <c r="OS52" s="191"/>
      <c r="OT52" s="191"/>
      <c r="OU52" s="191"/>
      <c r="OV52" s="191"/>
      <c r="OW52" s="191"/>
      <c r="OX52" s="191"/>
      <c r="OY52" s="191"/>
      <c r="OZ52" s="191"/>
      <c r="PA52" s="191"/>
      <c r="PB52" s="193"/>
      <c r="PC52" s="47"/>
      <c r="PD52" s="154" t="s">
        <v>97</v>
      </c>
      <c r="PE52" s="155" t="s">
        <v>98</v>
      </c>
      <c r="PF52" s="155" t="s">
        <v>98</v>
      </c>
      <c r="PG52" s="155" t="s">
        <v>97</v>
      </c>
      <c r="PH52" s="155" t="s">
        <v>98</v>
      </c>
      <c r="PI52" s="155" t="s">
        <v>98</v>
      </c>
      <c r="PJ52" s="155" t="s">
        <v>98</v>
      </c>
      <c r="PK52" s="155" t="s">
        <v>98</v>
      </c>
      <c r="PL52" s="155" t="s">
        <v>98</v>
      </c>
      <c r="PM52" s="155" t="s">
        <v>98</v>
      </c>
      <c r="PN52" s="155" t="s">
        <v>98</v>
      </c>
      <c r="PO52" s="156"/>
      <c r="PP52" s="156"/>
      <c r="PQ52" s="156"/>
      <c r="PR52" s="156"/>
      <c r="PS52" s="156"/>
      <c r="PT52" s="156"/>
      <c r="PU52" s="156"/>
      <c r="PV52" s="156"/>
      <c r="PW52" s="156"/>
      <c r="PX52" s="195"/>
      <c r="PY52" s="1"/>
      <c r="PZ52" s="196">
        <f t="shared" si="20"/>
        <v>350</v>
      </c>
      <c r="QA52" s="176">
        <f t="shared" si="21"/>
        <v>2.9198298156336033E-3</v>
      </c>
      <c r="QB52" s="177" t="str">
        <f t="shared" ca="1" si="22"/>
        <v>Attente…</v>
      </c>
      <c r="QC52" s="197">
        <f t="shared" si="23"/>
        <v>160</v>
      </c>
      <c r="QD52" s="179">
        <f t="shared" si="24"/>
        <v>1.4981273408239701E-3</v>
      </c>
      <c r="QE52" s="180" t="str">
        <f t="shared" ca="1" si="25"/>
        <v>Attente…</v>
      </c>
      <c r="QF52" s="196">
        <f t="shared" si="26"/>
        <v>450</v>
      </c>
      <c r="QG52" s="176">
        <f t="shared" si="27"/>
        <v>3.58337314859054E-3</v>
      </c>
      <c r="QH52" s="177" t="str">
        <f t="shared" ca="1" si="28"/>
        <v>Attente…</v>
      </c>
      <c r="QI52" s="197">
        <f t="shared" si="29"/>
        <v>600</v>
      </c>
      <c r="QJ52" s="179">
        <f t="shared" si="30"/>
        <v>4.2081638378454198E-3</v>
      </c>
      <c r="QK52" s="180" t="str">
        <f t="shared" ca="1" si="31"/>
        <v>Attente…</v>
      </c>
      <c r="QL52" s="196">
        <f t="shared" si="32"/>
        <v>310</v>
      </c>
      <c r="QM52" s="176">
        <f t="shared" si="33"/>
        <v>2.2680714076675447E-3</v>
      </c>
      <c r="QN52" s="177" t="str">
        <f t="shared" ca="1" si="34"/>
        <v>Attente…</v>
      </c>
      <c r="QO52" s="197">
        <f t="shared" si="35"/>
        <v>200</v>
      </c>
      <c r="QP52" s="179">
        <f t="shared" si="36"/>
        <v>1.5658028654192437E-3</v>
      </c>
      <c r="QQ52" s="180" t="str">
        <f t="shared" ca="1" si="37"/>
        <v>Attente…</v>
      </c>
      <c r="QR52" s="196">
        <f t="shared" si="38"/>
        <v>460</v>
      </c>
      <c r="QS52" s="176">
        <f t="shared" si="39"/>
        <v>3.3116158525611028E-3</v>
      </c>
      <c r="QT52" s="177" t="str">
        <f t="shared" ca="1" si="40"/>
        <v>Attente…</v>
      </c>
      <c r="QU52" s="197">
        <f t="shared" si="41"/>
        <v>260</v>
      </c>
      <c r="QV52" s="179">
        <f t="shared" si="42"/>
        <v>1.7926089354660783E-3</v>
      </c>
      <c r="QW52" s="180" t="str">
        <f t="shared" ca="1" si="43"/>
        <v>Attente…</v>
      </c>
      <c r="QX52" s="196">
        <f t="shared" si="44"/>
        <v>210</v>
      </c>
      <c r="QY52" s="176">
        <f t="shared" si="45"/>
        <v>1.5324440293061677E-3</v>
      </c>
      <c r="QZ52" s="177" t="str">
        <f t="shared" ca="1" si="46"/>
        <v>Attente…</v>
      </c>
      <c r="RA52" s="197">
        <f t="shared" si="47"/>
        <v>270</v>
      </c>
      <c r="RB52" s="179">
        <f t="shared" si="48"/>
        <v>2.1125107581566388E-3</v>
      </c>
      <c r="RC52" s="180" t="str">
        <f t="shared" ca="1" si="49"/>
        <v>Attente…</v>
      </c>
      <c r="RD52" s="196">
        <f t="shared" si="50"/>
        <v>160</v>
      </c>
      <c r="RE52" s="176">
        <f t="shared" si="51"/>
        <v>1.5942606616181746E-3</v>
      </c>
      <c r="RF52" s="177" t="str">
        <f t="shared" ca="1" si="52"/>
        <v>Attente…</v>
      </c>
      <c r="RG52" s="197">
        <f t="shared" si="53"/>
        <v>160</v>
      </c>
      <c r="RH52" s="179">
        <f t="shared" si="54"/>
        <v>2.9427993378701488E-3</v>
      </c>
      <c r="RI52" s="198" t="str">
        <f t="shared" ca="1" si="55"/>
        <v>Attente…</v>
      </c>
      <c r="RJ52" s="199">
        <f t="shared" si="56"/>
        <v>960</v>
      </c>
      <c r="RK52" s="200" t="str">
        <f t="shared" ca="1" si="13"/>
        <v>Attente…</v>
      </c>
      <c r="RL52" s="199">
        <f t="shared" si="57"/>
        <v>1110</v>
      </c>
      <c r="RM52" s="200" t="str">
        <f t="shared" ca="1" si="58"/>
        <v>Atttente…</v>
      </c>
      <c r="RN52" s="199">
        <f t="shared" si="59"/>
        <v>930</v>
      </c>
      <c r="RO52" s="200" t="str">
        <f t="shared" ca="1" si="14"/>
        <v>Attente…</v>
      </c>
      <c r="RP52" s="199">
        <f t="shared" si="60"/>
        <v>590</v>
      </c>
      <c r="RQ52" s="200" t="str">
        <f t="shared" ca="1" si="15"/>
        <v>Attente…</v>
      </c>
      <c r="RR52" s="201">
        <f t="shared" si="61"/>
        <v>3590</v>
      </c>
      <c r="RS52" s="202" t="str">
        <f t="shared" ca="1" si="16"/>
        <v>Attente…</v>
      </c>
      <c r="RT52" s="103"/>
      <c r="RU52" s="203">
        <f t="shared" si="62"/>
        <v>0.3663265306122449</v>
      </c>
      <c r="RV52" s="204">
        <f t="shared" si="65"/>
        <v>1</v>
      </c>
      <c r="RW52" s="204">
        <f t="shared" si="65"/>
        <v>1</v>
      </c>
      <c r="RX52" s="204">
        <f t="shared" si="63"/>
        <v>49</v>
      </c>
      <c r="RY52" s="205" t="str">
        <f t="shared" si="64"/>
        <v>SOTTEVILLE-SOUS-LE-VAL - 2 Chemin des devises (Croisement avec Rue des canadiens)</v>
      </c>
      <c r="RZ52" s="189" t="str">
        <f>IF(OR(RZ51="",RZ51="  &lt;/Document&gt;
&lt;/kml&gt;"),"",
IF(B52="","  &lt;/Document&gt;
&lt;/kml&gt;",
IF(TournéesCAV!Q52=""," ",
"    &lt;Placemark&gt;
      &lt;description&gt;&lt;![CDATA["&amp;B52&amp;"&lt;br&gt;&lt;br&gt;"&amp;RV52&amp;" CAV&lt;br&gt;&lt;br&gt;Présent sur "&amp;RW52&amp;" tournée(s)&lt;br&gt;&lt;br&gt;Taux de remplissage moyen "&amp;TEXT(RU52*1000,"0 %")&amp;"]]&gt;&lt;/description&gt;
      &lt;Style&gt;
        &lt;IconStyle&gt;
          &lt;color&gt;ff"&amp;
          DEC2HEX(0,2)&amp;
          DEC2HEX(
            IF(RU52&lt;=0.5,
               INT(255*(RU52*2)),
               255
            ),2)&amp;
          DEC2HEX(
            IF(RU52&lt;=0.5,
               255,
               INT(255*(1-(RU52-0.5)*2))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&lt;Point&gt;&lt;coordinates&gt;"&amp;R52&amp;","&amp;Q52&amp;",0&lt;/coordinates&gt;&lt;/Point&gt;
    &lt;/Placemark&gt;"
)))</f>
        <v xml:space="preserve">    &lt;Placemark&gt;
      &lt;description&gt;&lt;![CDATA[SOTTEVILLE-SOUS-LE-VAL - 2 Chemin des devises (Croisement avec Rue des canadiens)&lt;br&gt;&lt;br&gt;1 CAV&lt;br&gt;&lt;br&gt;Présent sur 1 tournée(s)&lt;br&gt;&lt;br&gt;Taux de remplissage moyen 37%]]&gt;&lt;/description&gt;
      &lt;Style&gt;
        &lt;IconStyle&gt;
          &lt;color&gt;ff00BAFF&lt;/color&gt;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&lt;Point&gt;&lt;coordinates&gt;1.1233006,49.3183323,0&lt;/coordinates&gt;&lt;/Point&gt;
    &lt;/Placemark&gt;</v>
      </c>
    </row>
    <row r="53" spans="2:494" ht="15" hidden="1" customHeight="1" x14ac:dyDescent="0.35">
      <c r="B53" s="153" t="str">
        <f t="shared" si="17"/>
        <v>QUEVILLON - 31 Route de Belaitre (Parking Verger et Gite de Belaitre)</v>
      </c>
      <c r="C53" s="154">
        <v>34</v>
      </c>
      <c r="D53" s="155"/>
      <c r="E53" s="155"/>
      <c r="F53" s="155"/>
      <c r="G53" s="155"/>
      <c r="H53" s="155"/>
      <c r="I53" s="155"/>
      <c r="J53" s="156"/>
      <c r="K53" s="157">
        <f t="shared" si="18"/>
        <v>1</v>
      </c>
      <c r="L53" s="157">
        <f t="shared" si="19"/>
        <v>1</v>
      </c>
      <c r="M53" s="158" t="s">
        <v>349</v>
      </c>
      <c r="N53" s="159" t="s">
        <v>350</v>
      </c>
      <c r="O53" s="159">
        <v>76840</v>
      </c>
      <c r="P53" s="159" t="s">
        <v>351</v>
      </c>
      <c r="Q53" s="159" t="s">
        <v>352</v>
      </c>
      <c r="R53" s="159" t="s">
        <v>353</v>
      </c>
      <c r="S53" s="159" t="s">
        <v>93</v>
      </c>
      <c r="T53" s="159" t="s">
        <v>94</v>
      </c>
      <c r="U53" s="159" t="s">
        <v>354</v>
      </c>
      <c r="V53" s="160" t="s">
        <v>96</v>
      </c>
      <c r="W53" s="161"/>
      <c r="X53" s="162"/>
      <c r="Y53" s="163"/>
      <c r="Z53" s="162"/>
      <c r="AA53" s="163"/>
      <c r="AB53" s="162"/>
      <c r="AC53" s="163">
        <v>5</v>
      </c>
      <c r="AD53" s="162"/>
      <c r="AE53" s="163"/>
      <c r="AF53" s="162"/>
      <c r="AG53" s="163"/>
      <c r="AH53" s="163"/>
      <c r="AI53" s="162"/>
      <c r="AJ53" s="163"/>
      <c r="AK53" s="162"/>
      <c r="AL53" s="163"/>
      <c r="AM53" s="162"/>
      <c r="AN53" s="163"/>
      <c r="AO53" s="162"/>
      <c r="AP53" s="164"/>
      <c r="AQ53" s="164"/>
      <c r="AR53" s="164"/>
      <c r="AS53" s="164"/>
      <c r="AT53" s="164"/>
      <c r="AU53" s="164"/>
      <c r="AV53" s="164"/>
      <c r="AW53" s="164"/>
      <c r="AX53" s="164"/>
      <c r="AY53" s="165"/>
      <c r="AZ53" s="41"/>
      <c r="BA53" s="190"/>
      <c r="BB53" s="191"/>
      <c r="BC53" s="191"/>
      <c r="BD53" s="191"/>
      <c r="BE53" s="191"/>
      <c r="BF53" s="191"/>
      <c r="BG53" s="191">
        <v>50</v>
      </c>
      <c r="BH53" s="191"/>
      <c r="BI53" s="191"/>
      <c r="BJ53" s="191"/>
      <c r="BK53" s="191"/>
      <c r="BL53" s="191"/>
      <c r="BM53" s="191"/>
      <c r="BN53" s="191">
        <v>50</v>
      </c>
      <c r="BO53" s="191"/>
      <c r="BP53" s="191"/>
      <c r="BQ53" s="191"/>
      <c r="BR53" s="191"/>
      <c r="BS53" s="191"/>
      <c r="BT53" s="191"/>
      <c r="BU53" s="191">
        <v>50</v>
      </c>
      <c r="BV53" s="191"/>
      <c r="BW53" s="191"/>
      <c r="BX53" s="191"/>
      <c r="BY53" s="191"/>
      <c r="BZ53" s="191"/>
      <c r="CA53" s="191"/>
      <c r="CB53" s="191">
        <v>10</v>
      </c>
      <c r="CC53" s="191"/>
      <c r="CD53" s="191"/>
      <c r="CE53" s="192"/>
      <c r="CF53" s="190"/>
      <c r="CG53" s="191"/>
      <c r="CH53" s="191"/>
      <c r="CI53" s="191">
        <v>100</v>
      </c>
      <c r="CJ53" s="191"/>
      <c r="CK53" s="191"/>
      <c r="CL53" s="191"/>
      <c r="CM53" s="191"/>
      <c r="CN53" s="191"/>
      <c r="CO53" s="191"/>
      <c r="CP53" s="191">
        <v>10</v>
      </c>
      <c r="CQ53" s="191"/>
      <c r="CR53" s="191"/>
      <c r="CS53" s="191"/>
      <c r="CT53" s="191"/>
      <c r="CU53" s="191"/>
      <c r="CV53" s="191"/>
      <c r="CW53" s="191"/>
      <c r="CX53" s="191"/>
      <c r="CY53" s="191"/>
      <c r="CZ53" s="191"/>
      <c r="DA53" s="191"/>
      <c r="DB53" s="191"/>
      <c r="DC53" s="191"/>
      <c r="DD53" s="191">
        <v>50</v>
      </c>
      <c r="DE53" s="191"/>
      <c r="DF53" s="191"/>
      <c r="DG53" s="191"/>
      <c r="DH53" s="193"/>
      <c r="DI53" s="194"/>
      <c r="DJ53" s="191"/>
      <c r="DK53" s="191"/>
      <c r="DL53" s="191">
        <v>100</v>
      </c>
      <c r="DM53" s="191"/>
      <c r="DN53" s="191"/>
      <c r="DO53" s="191"/>
      <c r="DP53" s="191"/>
      <c r="DQ53" s="191"/>
      <c r="DR53" s="191"/>
      <c r="DS53" s="191">
        <v>10</v>
      </c>
      <c r="DT53" s="191"/>
      <c r="DU53" s="191"/>
      <c r="DV53" s="191"/>
      <c r="DW53" s="191"/>
      <c r="DX53" s="191"/>
      <c r="DY53" s="191"/>
      <c r="DZ53" s="191">
        <v>50</v>
      </c>
      <c r="EA53" s="191"/>
      <c r="EB53" s="191"/>
      <c r="EC53" s="191"/>
      <c r="ED53" s="191"/>
      <c r="EE53" s="191"/>
      <c r="EF53" s="191"/>
      <c r="EG53" s="191">
        <v>100</v>
      </c>
      <c r="EH53" s="191"/>
      <c r="EI53" s="191"/>
      <c r="EJ53" s="191"/>
      <c r="EK53" s="191"/>
      <c r="EL53" s="191"/>
      <c r="EM53" s="192"/>
      <c r="EN53" s="190"/>
      <c r="EO53" s="191"/>
      <c r="EP53" s="191"/>
      <c r="EQ53" s="191"/>
      <c r="ER53" s="191"/>
      <c r="ES53" s="191"/>
      <c r="ET53" s="191"/>
      <c r="EU53" s="191"/>
      <c r="EV53" s="191"/>
      <c r="EW53" s="191"/>
      <c r="EX53" s="191"/>
      <c r="EY53" s="191"/>
      <c r="EZ53" s="191"/>
      <c r="FA53" s="191"/>
      <c r="FB53" s="191"/>
      <c r="FC53" s="191"/>
      <c r="FD53" s="191"/>
      <c r="FE53" s="191"/>
      <c r="FF53" s="191"/>
      <c r="FG53" s="191"/>
      <c r="FH53" s="191"/>
      <c r="FI53" s="191"/>
      <c r="FJ53" s="191"/>
      <c r="FK53" s="191">
        <v>50</v>
      </c>
      <c r="FL53" s="191"/>
      <c r="FM53" s="191"/>
      <c r="FN53" s="191"/>
      <c r="FO53" s="191"/>
      <c r="FP53" s="191"/>
      <c r="FQ53" s="193"/>
      <c r="FR53" s="194"/>
      <c r="FS53" s="191"/>
      <c r="FT53" s="191"/>
      <c r="FU53" s="191"/>
      <c r="FV53" s="191"/>
      <c r="FW53" s="191">
        <v>100</v>
      </c>
      <c r="FX53" s="191"/>
      <c r="FY53" s="191"/>
      <c r="FZ53" s="191"/>
      <c r="GA53" s="191"/>
      <c r="GB53" s="191"/>
      <c r="GC53" s="191"/>
      <c r="GD53" s="191">
        <v>10</v>
      </c>
      <c r="GE53" s="191"/>
      <c r="GF53" s="191"/>
      <c r="GG53" s="191"/>
      <c r="GH53" s="191"/>
      <c r="GI53" s="191"/>
      <c r="GJ53" s="191"/>
      <c r="GK53" s="191">
        <v>50</v>
      </c>
      <c r="GL53" s="191"/>
      <c r="GM53" s="191"/>
      <c r="GN53" s="191"/>
      <c r="GO53" s="191"/>
      <c r="GP53" s="191"/>
      <c r="GQ53" s="191"/>
      <c r="GR53" s="191">
        <v>50</v>
      </c>
      <c r="GS53" s="191"/>
      <c r="GT53" s="191"/>
      <c r="GU53" s="191"/>
      <c r="GV53" s="192"/>
      <c r="GW53" s="190"/>
      <c r="GX53" s="191"/>
      <c r="GY53" s="191">
        <v>50</v>
      </c>
      <c r="GZ53" s="191"/>
      <c r="HA53" s="191"/>
      <c r="HB53" s="191"/>
      <c r="HC53" s="191"/>
      <c r="HD53" s="191"/>
      <c r="HE53" s="191"/>
      <c r="HF53" s="191"/>
      <c r="HG53" s="191"/>
      <c r="HH53" s="191">
        <v>50</v>
      </c>
      <c r="HI53" s="191"/>
      <c r="HJ53" s="191"/>
      <c r="HK53" s="191"/>
      <c r="HL53" s="191"/>
      <c r="HM53" s="191"/>
      <c r="HN53" s="191"/>
      <c r="HO53" s="191"/>
      <c r="HP53" s="191">
        <v>50</v>
      </c>
      <c r="HQ53" s="191"/>
      <c r="HR53" s="191"/>
      <c r="HS53" s="191"/>
      <c r="HT53" s="191">
        <v>10</v>
      </c>
      <c r="HU53" s="191"/>
      <c r="HV53" s="191"/>
      <c r="HW53" s="191"/>
      <c r="HX53" s="191"/>
      <c r="HY53" s="191"/>
      <c r="HZ53" s="193"/>
      <c r="IA53" s="194">
        <v>50</v>
      </c>
      <c r="IB53" s="191"/>
      <c r="IC53" s="191"/>
      <c r="ID53" s="191"/>
      <c r="IE53" s="191"/>
      <c r="IF53" s="191"/>
      <c r="IG53" s="191"/>
      <c r="IH53" s="191">
        <v>10</v>
      </c>
      <c r="II53" s="191"/>
      <c r="IJ53" s="191"/>
      <c r="IK53" s="191"/>
      <c r="IL53" s="191"/>
      <c r="IM53" s="191"/>
      <c r="IN53" s="191"/>
      <c r="IO53" s="191"/>
      <c r="IP53" s="191">
        <v>50</v>
      </c>
      <c r="IQ53" s="191"/>
      <c r="IR53" s="191"/>
      <c r="IS53" s="191"/>
      <c r="IT53" s="191"/>
      <c r="IU53" s="191"/>
      <c r="IV53" s="191">
        <v>10</v>
      </c>
      <c r="IW53" s="191"/>
      <c r="IX53" s="191"/>
      <c r="IY53" s="191"/>
      <c r="IZ53" s="191"/>
      <c r="JA53" s="191"/>
      <c r="JB53" s="191"/>
      <c r="JC53" s="191"/>
      <c r="JD53" s="191"/>
      <c r="JE53" s="192">
        <v>100</v>
      </c>
      <c r="JF53" s="190"/>
      <c r="JG53" s="191"/>
      <c r="JH53" s="191"/>
      <c r="JI53" s="191"/>
      <c r="JJ53" s="191">
        <v>10</v>
      </c>
      <c r="JK53" s="191"/>
      <c r="JL53" s="191"/>
      <c r="JM53" s="191"/>
      <c r="JN53" s="191"/>
      <c r="JO53" s="191"/>
      <c r="JP53" s="191"/>
      <c r="JQ53" s="191">
        <v>10</v>
      </c>
      <c r="JR53" s="191"/>
      <c r="JS53" s="191"/>
      <c r="JT53" s="191"/>
      <c r="JU53" s="191"/>
      <c r="JV53" s="191"/>
      <c r="JW53" s="191"/>
      <c r="JX53" s="191"/>
      <c r="JY53" s="191"/>
      <c r="JZ53" s="191"/>
      <c r="KA53" s="191"/>
      <c r="KB53" s="191"/>
      <c r="KC53" s="191"/>
      <c r="KD53" s="191"/>
      <c r="KE53" s="191">
        <v>150</v>
      </c>
      <c r="KF53" s="191"/>
      <c r="KG53" s="191"/>
      <c r="KH53" s="191"/>
      <c r="KI53" s="191"/>
      <c r="KJ53" s="193"/>
      <c r="KK53" s="194"/>
      <c r="KL53" s="191">
        <v>10</v>
      </c>
      <c r="KM53" s="191"/>
      <c r="KN53" s="191"/>
      <c r="KO53" s="191"/>
      <c r="KP53" s="191"/>
      <c r="KQ53" s="191"/>
      <c r="KR53" s="191"/>
      <c r="KS53" s="191">
        <v>100</v>
      </c>
      <c r="KT53" s="191"/>
      <c r="KU53" s="191"/>
      <c r="KV53" s="191"/>
      <c r="KW53" s="191"/>
      <c r="KX53" s="191"/>
      <c r="KY53" s="191"/>
      <c r="KZ53" s="191">
        <v>150</v>
      </c>
      <c r="LA53" s="191"/>
      <c r="LB53" s="191"/>
      <c r="LC53" s="191"/>
      <c r="LD53" s="191"/>
      <c r="LE53" s="191"/>
      <c r="LF53" s="191"/>
      <c r="LG53" s="191">
        <v>50</v>
      </c>
      <c r="LH53" s="191"/>
      <c r="LI53" s="191"/>
      <c r="LJ53" s="191"/>
      <c r="LK53" s="191"/>
      <c r="LL53" s="191"/>
      <c r="LM53" s="191"/>
      <c r="LN53" s="192">
        <v>50</v>
      </c>
      <c r="LO53" s="190"/>
      <c r="LP53" s="191"/>
      <c r="LQ53" s="191"/>
      <c r="LR53" s="191"/>
      <c r="LS53" s="191"/>
      <c r="LT53" s="191"/>
      <c r="LU53" s="191">
        <v>50</v>
      </c>
      <c r="LV53" s="191"/>
      <c r="LW53" s="191"/>
      <c r="LX53" s="191"/>
      <c r="LY53" s="191"/>
      <c r="LZ53" s="191"/>
      <c r="MA53" s="191"/>
      <c r="MB53" s="191"/>
      <c r="MC53" s="191"/>
      <c r="MD53" s="191">
        <v>50</v>
      </c>
      <c r="ME53" s="191"/>
      <c r="MF53" s="191"/>
      <c r="MG53" s="191"/>
      <c r="MH53" s="191"/>
      <c r="MI53" s="191">
        <v>50</v>
      </c>
      <c r="MJ53" s="191"/>
      <c r="MK53" s="191"/>
      <c r="ML53" s="191"/>
      <c r="MM53" s="191"/>
      <c r="MN53" s="191"/>
      <c r="MO53" s="191"/>
      <c r="MP53" s="191">
        <v>100</v>
      </c>
      <c r="MQ53" s="191"/>
      <c r="MR53" s="191"/>
      <c r="MS53" s="193"/>
      <c r="MT53" s="194"/>
      <c r="MU53" s="191"/>
      <c r="MV53" s="191"/>
      <c r="MW53" s="191"/>
      <c r="MX53" s="191"/>
      <c r="MY53" s="191"/>
      <c r="MZ53" s="191"/>
      <c r="NA53" s="191"/>
      <c r="NB53" s="191"/>
      <c r="NC53" s="191"/>
      <c r="ND53" s="191"/>
      <c r="NE53" s="191">
        <v>10</v>
      </c>
      <c r="NF53" s="191"/>
      <c r="NG53" s="191"/>
      <c r="NH53" s="191"/>
      <c r="NI53" s="191"/>
      <c r="NJ53" s="191"/>
      <c r="NK53" s="191">
        <v>10</v>
      </c>
      <c r="NL53" s="191"/>
      <c r="NM53" s="191"/>
      <c r="NN53" s="191"/>
      <c r="NO53" s="191"/>
      <c r="NP53" s="191"/>
      <c r="NQ53" s="191"/>
      <c r="NR53" s="191">
        <v>10</v>
      </c>
      <c r="NS53" s="191"/>
      <c r="NT53" s="191"/>
      <c r="NU53" s="191"/>
      <c r="NV53" s="191"/>
      <c r="NW53" s="192"/>
      <c r="NX53" s="190"/>
      <c r="NY53" s="191">
        <v>10</v>
      </c>
      <c r="NZ53" s="191"/>
      <c r="OA53" s="191"/>
      <c r="OB53" s="191"/>
      <c r="OC53" s="191"/>
      <c r="OD53" s="191"/>
      <c r="OE53" s="191"/>
      <c r="OF53" s="191">
        <v>50</v>
      </c>
      <c r="OG53" s="191"/>
      <c r="OH53" s="191"/>
      <c r="OI53" s="191"/>
      <c r="OJ53" s="191"/>
      <c r="OK53" s="191"/>
      <c r="OL53" s="191"/>
      <c r="OM53" s="191"/>
      <c r="ON53" s="191"/>
      <c r="OO53" s="191"/>
      <c r="OP53" s="191"/>
      <c r="OQ53" s="191"/>
      <c r="OR53" s="191"/>
      <c r="OS53" s="191"/>
      <c r="OT53" s="191"/>
      <c r="OU53" s="191"/>
      <c r="OV53" s="191"/>
      <c r="OW53" s="191"/>
      <c r="OX53" s="191"/>
      <c r="OY53" s="191"/>
      <c r="OZ53" s="191"/>
      <c r="PA53" s="191"/>
      <c r="PB53" s="193"/>
      <c r="PC53" s="47"/>
      <c r="PD53" s="154" t="s">
        <v>97</v>
      </c>
      <c r="PE53" s="155" t="s">
        <v>98</v>
      </c>
      <c r="PF53" s="155" t="s">
        <v>98</v>
      </c>
      <c r="PG53" s="155" t="s">
        <v>98</v>
      </c>
      <c r="PH53" s="155" t="s">
        <v>98</v>
      </c>
      <c r="PI53" s="155" t="s">
        <v>98</v>
      </c>
      <c r="PJ53" s="155" t="s">
        <v>98</v>
      </c>
      <c r="PK53" s="155" t="s">
        <v>98</v>
      </c>
      <c r="PL53" s="155" t="s">
        <v>98</v>
      </c>
      <c r="PM53" s="155" t="s">
        <v>98</v>
      </c>
      <c r="PN53" s="155" t="s">
        <v>98</v>
      </c>
      <c r="PO53" s="156"/>
      <c r="PP53" s="156"/>
      <c r="PQ53" s="156"/>
      <c r="PR53" s="156"/>
      <c r="PS53" s="156"/>
      <c r="PT53" s="156"/>
      <c r="PU53" s="156"/>
      <c r="PV53" s="156"/>
      <c r="PW53" s="156"/>
      <c r="PX53" s="195"/>
      <c r="PY53" s="1"/>
      <c r="PZ53" s="196">
        <f t="shared" si="20"/>
        <v>160</v>
      </c>
      <c r="QA53" s="176">
        <f t="shared" si="21"/>
        <v>1.3347793442896471E-3</v>
      </c>
      <c r="QB53" s="177" t="str">
        <f t="shared" ca="1" si="22"/>
        <v>Attente…</v>
      </c>
      <c r="QC53" s="197">
        <f t="shared" si="23"/>
        <v>160</v>
      </c>
      <c r="QD53" s="179">
        <f t="shared" si="24"/>
        <v>1.4981273408239701E-3</v>
      </c>
      <c r="QE53" s="180" t="str">
        <f t="shared" ca="1" si="25"/>
        <v>Attente…</v>
      </c>
      <c r="QF53" s="196">
        <f t="shared" si="26"/>
        <v>260</v>
      </c>
      <c r="QG53" s="176">
        <f t="shared" si="27"/>
        <v>2.070393374741201E-3</v>
      </c>
      <c r="QH53" s="177" t="str">
        <f t="shared" ca="1" si="28"/>
        <v>Attente…</v>
      </c>
      <c r="QI53" s="197">
        <f t="shared" si="29"/>
        <v>50</v>
      </c>
      <c r="QJ53" s="179">
        <f t="shared" si="30"/>
        <v>3.5068031982045167E-4</v>
      </c>
      <c r="QK53" s="180" t="str">
        <f t="shared" ca="1" si="31"/>
        <v>Attente…</v>
      </c>
      <c r="QL53" s="196">
        <f t="shared" si="32"/>
        <v>210</v>
      </c>
      <c r="QM53" s="176">
        <f t="shared" si="33"/>
        <v>1.5364354697102723E-3</v>
      </c>
      <c r="QN53" s="177" t="str">
        <f t="shared" ca="1" si="34"/>
        <v>Attente…</v>
      </c>
      <c r="QO53" s="197">
        <f t="shared" si="35"/>
        <v>160</v>
      </c>
      <c r="QP53" s="179">
        <f t="shared" si="36"/>
        <v>1.252642292335395E-3</v>
      </c>
      <c r="QQ53" s="180" t="str">
        <f t="shared" ca="1" si="37"/>
        <v>Attente…</v>
      </c>
      <c r="QR53" s="196">
        <f t="shared" si="38"/>
        <v>220</v>
      </c>
      <c r="QS53" s="176">
        <f t="shared" si="39"/>
        <v>1.5838162773118317E-3</v>
      </c>
      <c r="QT53" s="177" t="str">
        <f t="shared" ca="1" si="40"/>
        <v>Attente…</v>
      </c>
      <c r="QU53" s="197">
        <f t="shared" si="41"/>
        <v>170</v>
      </c>
      <c r="QV53" s="179">
        <f t="shared" si="42"/>
        <v>1.1720904578047435E-3</v>
      </c>
      <c r="QW53" s="180" t="str">
        <f t="shared" ca="1" si="43"/>
        <v>Attente…</v>
      </c>
      <c r="QX53" s="196">
        <f t="shared" si="44"/>
        <v>360</v>
      </c>
      <c r="QY53" s="176">
        <f t="shared" si="45"/>
        <v>2.6270469073820016E-3</v>
      </c>
      <c r="QZ53" s="177" t="str">
        <f t="shared" ca="1" si="46"/>
        <v>Attente…</v>
      </c>
      <c r="RA53" s="197">
        <f t="shared" si="47"/>
        <v>250</v>
      </c>
      <c r="RB53" s="179">
        <f t="shared" si="48"/>
        <v>1.9560284797746656E-3</v>
      </c>
      <c r="RC53" s="180" t="str">
        <f t="shared" ca="1" si="49"/>
        <v>Attente…</v>
      </c>
      <c r="RD53" s="196">
        <f t="shared" si="50"/>
        <v>30</v>
      </c>
      <c r="RE53" s="176">
        <f t="shared" si="51"/>
        <v>2.9892387405340771E-4</v>
      </c>
      <c r="RF53" s="177" t="str">
        <f t="shared" ca="1" si="52"/>
        <v>Attente…</v>
      </c>
      <c r="RG53" s="197">
        <f t="shared" si="53"/>
        <v>60</v>
      </c>
      <c r="RH53" s="179">
        <f t="shared" si="54"/>
        <v>1.1035497517013059E-3</v>
      </c>
      <c r="RI53" s="198" t="str">
        <f t="shared" ca="1" si="55"/>
        <v>Attente…</v>
      </c>
      <c r="RJ53" s="199">
        <f t="shared" si="56"/>
        <v>580</v>
      </c>
      <c r="RK53" s="200" t="str">
        <f t="shared" ca="1" si="13"/>
        <v>Attente…</v>
      </c>
      <c r="RL53" s="199">
        <f t="shared" si="57"/>
        <v>420</v>
      </c>
      <c r="RM53" s="200" t="str">
        <f t="shared" ca="1" si="58"/>
        <v>Atttente…</v>
      </c>
      <c r="RN53" s="199">
        <f t="shared" si="59"/>
        <v>750</v>
      </c>
      <c r="RO53" s="200" t="str">
        <f t="shared" ca="1" si="14"/>
        <v>Attente…</v>
      </c>
      <c r="RP53" s="199">
        <f t="shared" si="60"/>
        <v>340</v>
      </c>
      <c r="RQ53" s="200" t="str">
        <f t="shared" ca="1" si="15"/>
        <v>Attente…</v>
      </c>
      <c r="RR53" s="201">
        <f t="shared" si="61"/>
        <v>2090</v>
      </c>
      <c r="RS53" s="202" t="str">
        <f t="shared" ca="1" si="16"/>
        <v>Attente…</v>
      </c>
      <c r="RT53" s="103"/>
      <c r="RU53" s="203">
        <f t="shared" si="62"/>
        <v>0.24880952380952379</v>
      </c>
      <c r="RV53" s="204">
        <f t="shared" si="65"/>
        <v>1</v>
      </c>
      <c r="RW53" s="204">
        <f t="shared" si="65"/>
        <v>1</v>
      </c>
      <c r="RX53" s="204">
        <f t="shared" si="63"/>
        <v>42</v>
      </c>
      <c r="RY53" s="205" t="str">
        <f t="shared" si="64"/>
        <v>QUEVILLON - 31 Route de Belaitre (Parking Verger et Gite de Belaitre)</v>
      </c>
      <c r="RZ53" s="189" t="str">
        <f>IF(OR(RZ52="",RZ52="  &lt;/Document&gt;
&lt;/kml&gt;"),"",
IF(B53="","  &lt;/Document&gt;
&lt;/kml&gt;",
IF(TournéesCAV!Q53=""," ",
"    &lt;Placemark&gt;
      &lt;description&gt;&lt;![CDATA["&amp;B53&amp;"&lt;br&gt;&lt;br&gt;"&amp;RV53&amp;" CAV&lt;br&gt;&lt;br&gt;Présent sur "&amp;RW53&amp;" tournée(s)&lt;br&gt;&lt;br&gt;Taux de remplissage moyen "&amp;TEXT(RU53*1000,"0 %")&amp;"]]&gt;&lt;/description&gt;
      &lt;Style&gt;
        &lt;IconStyle&gt;
          &lt;color&gt;ff"&amp;
          DEC2HEX(0,2)&amp;
          DEC2HEX(
            IF(RU53&lt;=0.5,
               INT(255*(RU53*2)),
               255
            ),2)&amp;
          DEC2HEX(
            IF(RU53&lt;=0.5,
               255,
               INT(255*(1-(RU53-0.5)*2))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&lt;Point&gt;&lt;coordinates&gt;"&amp;R53&amp;","&amp;Q53&amp;",0&lt;/coordinates&gt;&lt;/Point&gt;
    &lt;/Placemark&gt;"
)))</f>
        <v xml:space="preserve">    &lt;Placemark&gt;
      &lt;description&gt;&lt;![CDATA[QUEVILLON - 31 Route de Belaitre (Parking Verger et Gite de Belaitre)&lt;br&gt;&lt;br&gt;1 CAV&lt;br&gt;&lt;br&gt;Présent sur 1 tournée(s)&lt;br&gt;&lt;br&gt;Taux de remplissage moyen 25%]]&gt;&lt;/description&gt;
      &lt;Style&gt;
        &lt;IconStyle&gt;
          &lt;color&gt;ff007EFF&lt;/color&gt;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&lt;Point&gt;&lt;coordinates&gt;0.955078,49.424576,0&lt;/coordinates&gt;&lt;/Point&gt;
    &lt;/Placemark&gt;</v>
      </c>
    </row>
    <row r="54" spans="2:494" ht="15" hidden="1" customHeight="1" x14ac:dyDescent="0.35">
      <c r="B54" s="153" t="str">
        <f t="shared" si="17"/>
        <v>SAINT-MARTIN-DE-BOSCHERVILLE - 62 Route de l'Abbaye (Au fond du parking)</v>
      </c>
      <c r="C54" s="154">
        <v>30</v>
      </c>
      <c r="D54" s="155"/>
      <c r="E54" s="155"/>
      <c r="F54" s="155"/>
      <c r="G54" s="155"/>
      <c r="H54" s="155"/>
      <c r="I54" s="155"/>
      <c r="J54" s="156"/>
      <c r="K54" s="157">
        <f t="shared" si="18"/>
        <v>1</v>
      </c>
      <c r="L54" s="157">
        <f t="shared" si="19"/>
        <v>1</v>
      </c>
      <c r="M54" s="158" t="s">
        <v>355</v>
      </c>
      <c r="N54" s="159" t="s">
        <v>356</v>
      </c>
      <c r="O54" s="159">
        <v>76840</v>
      </c>
      <c r="P54" s="159" t="s">
        <v>357</v>
      </c>
      <c r="Q54" s="159" t="s">
        <v>358</v>
      </c>
      <c r="R54" s="159" t="s">
        <v>359</v>
      </c>
      <c r="S54" s="159" t="s">
        <v>93</v>
      </c>
      <c r="T54" s="159" t="s">
        <v>94</v>
      </c>
      <c r="U54" s="159" t="s">
        <v>360</v>
      </c>
      <c r="V54" s="160" t="s">
        <v>96</v>
      </c>
      <c r="W54" s="161"/>
      <c r="X54" s="162"/>
      <c r="Y54" s="163"/>
      <c r="Z54" s="162"/>
      <c r="AA54" s="163"/>
      <c r="AB54" s="162"/>
      <c r="AC54" s="163">
        <v>6</v>
      </c>
      <c r="AD54" s="162"/>
      <c r="AE54" s="163"/>
      <c r="AF54" s="162"/>
      <c r="AG54" s="163"/>
      <c r="AH54" s="163"/>
      <c r="AI54" s="162"/>
      <c r="AJ54" s="163"/>
      <c r="AK54" s="162"/>
      <c r="AL54" s="163"/>
      <c r="AM54" s="162"/>
      <c r="AN54" s="163"/>
      <c r="AO54" s="162"/>
      <c r="AP54" s="164"/>
      <c r="AQ54" s="164"/>
      <c r="AR54" s="164"/>
      <c r="AS54" s="164"/>
      <c r="AT54" s="164"/>
      <c r="AU54" s="164"/>
      <c r="AV54" s="164"/>
      <c r="AW54" s="164"/>
      <c r="AX54" s="164"/>
      <c r="AY54" s="165"/>
      <c r="AZ54" s="41"/>
      <c r="BA54" s="190"/>
      <c r="BB54" s="191"/>
      <c r="BC54" s="191"/>
      <c r="BD54" s="191"/>
      <c r="BE54" s="191"/>
      <c r="BF54" s="191"/>
      <c r="BG54" s="191">
        <v>200</v>
      </c>
      <c r="BH54" s="191"/>
      <c r="BI54" s="191"/>
      <c r="BJ54" s="191"/>
      <c r="BK54" s="191"/>
      <c r="BL54" s="191"/>
      <c r="BM54" s="191"/>
      <c r="BN54" s="191">
        <v>200</v>
      </c>
      <c r="BO54" s="191"/>
      <c r="BP54" s="191"/>
      <c r="BQ54" s="191"/>
      <c r="BR54" s="191"/>
      <c r="BS54" s="191"/>
      <c r="BT54" s="191"/>
      <c r="BU54" s="191">
        <v>50</v>
      </c>
      <c r="BV54" s="191"/>
      <c r="BW54" s="191"/>
      <c r="BX54" s="191"/>
      <c r="BY54" s="191"/>
      <c r="BZ54" s="191"/>
      <c r="CA54" s="191"/>
      <c r="CB54" s="191">
        <v>150</v>
      </c>
      <c r="CC54" s="191"/>
      <c r="CD54" s="191"/>
      <c r="CE54" s="192"/>
      <c r="CF54" s="190"/>
      <c r="CG54" s="191"/>
      <c r="CH54" s="191"/>
      <c r="CI54" s="191">
        <v>100</v>
      </c>
      <c r="CJ54" s="191"/>
      <c r="CK54" s="191"/>
      <c r="CL54" s="191"/>
      <c r="CM54" s="191"/>
      <c r="CN54" s="191"/>
      <c r="CO54" s="191"/>
      <c r="CP54" s="191">
        <v>100</v>
      </c>
      <c r="CQ54" s="191"/>
      <c r="CR54" s="191"/>
      <c r="CS54" s="191"/>
      <c r="CT54" s="191"/>
      <c r="CU54" s="191"/>
      <c r="CV54" s="191"/>
      <c r="CW54" s="191"/>
      <c r="CX54" s="191"/>
      <c r="CY54" s="191"/>
      <c r="CZ54" s="191"/>
      <c r="DA54" s="191"/>
      <c r="DB54" s="191"/>
      <c r="DC54" s="191"/>
      <c r="DD54" s="191">
        <v>100</v>
      </c>
      <c r="DE54" s="191"/>
      <c r="DF54" s="191"/>
      <c r="DG54" s="191"/>
      <c r="DH54" s="193"/>
      <c r="DI54" s="194"/>
      <c r="DJ54" s="191"/>
      <c r="DK54" s="191"/>
      <c r="DL54" s="191">
        <v>100</v>
      </c>
      <c r="DM54" s="191"/>
      <c r="DN54" s="191"/>
      <c r="DO54" s="191"/>
      <c r="DP54" s="191"/>
      <c r="DQ54" s="191"/>
      <c r="DR54" s="191"/>
      <c r="DS54" s="191">
        <v>50</v>
      </c>
      <c r="DT54" s="191"/>
      <c r="DU54" s="191"/>
      <c r="DV54" s="191"/>
      <c r="DW54" s="191"/>
      <c r="DX54" s="191"/>
      <c r="DY54" s="191"/>
      <c r="DZ54" s="191">
        <v>100</v>
      </c>
      <c r="EA54" s="191"/>
      <c r="EB54" s="191"/>
      <c r="EC54" s="191"/>
      <c r="ED54" s="191"/>
      <c r="EE54" s="191"/>
      <c r="EF54" s="191"/>
      <c r="EG54" s="191">
        <v>100</v>
      </c>
      <c r="EH54" s="191"/>
      <c r="EI54" s="191"/>
      <c r="EJ54" s="191"/>
      <c r="EK54" s="191"/>
      <c r="EL54" s="191"/>
      <c r="EM54" s="192"/>
      <c r="EN54" s="190">
        <v>100</v>
      </c>
      <c r="EO54" s="191"/>
      <c r="EP54" s="191"/>
      <c r="EQ54" s="191"/>
      <c r="ER54" s="191"/>
      <c r="ES54" s="191"/>
      <c r="ET54" s="191"/>
      <c r="EU54" s="191">
        <v>200</v>
      </c>
      <c r="EV54" s="191"/>
      <c r="EW54" s="191"/>
      <c r="EX54" s="191"/>
      <c r="EY54" s="191"/>
      <c r="EZ54" s="191"/>
      <c r="FA54" s="191"/>
      <c r="FB54" s="191">
        <v>150</v>
      </c>
      <c r="FC54" s="191"/>
      <c r="FD54" s="191"/>
      <c r="FE54" s="191"/>
      <c r="FF54" s="191"/>
      <c r="FG54" s="191"/>
      <c r="FH54" s="191"/>
      <c r="FI54" s="191"/>
      <c r="FJ54" s="191"/>
      <c r="FK54" s="191">
        <v>150</v>
      </c>
      <c r="FL54" s="191"/>
      <c r="FM54" s="191"/>
      <c r="FN54" s="191"/>
      <c r="FO54" s="191"/>
      <c r="FP54" s="191"/>
      <c r="FQ54" s="193"/>
      <c r="FR54" s="194"/>
      <c r="FS54" s="191"/>
      <c r="FT54" s="191"/>
      <c r="FU54" s="191"/>
      <c r="FV54" s="191"/>
      <c r="FW54" s="191">
        <v>150</v>
      </c>
      <c r="FX54" s="191"/>
      <c r="FY54" s="191"/>
      <c r="FZ54" s="191"/>
      <c r="GA54" s="191"/>
      <c r="GB54" s="191"/>
      <c r="GC54" s="191"/>
      <c r="GD54" s="191">
        <v>150</v>
      </c>
      <c r="GE54" s="191"/>
      <c r="GF54" s="191"/>
      <c r="GG54" s="191"/>
      <c r="GH54" s="191"/>
      <c r="GI54" s="191"/>
      <c r="GJ54" s="191"/>
      <c r="GK54" s="191">
        <v>50</v>
      </c>
      <c r="GL54" s="191"/>
      <c r="GM54" s="191"/>
      <c r="GN54" s="191"/>
      <c r="GO54" s="191"/>
      <c r="GP54" s="191"/>
      <c r="GQ54" s="191"/>
      <c r="GR54" s="191">
        <v>100</v>
      </c>
      <c r="GS54" s="191"/>
      <c r="GT54" s="191"/>
      <c r="GU54" s="191"/>
      <c r="GV54" s="192"/>
      <c r="GW54" s="190"/>
      <c r="GX54" s="191"/>
      <c r="GY54" s="191">
        <v>150</v>
      </c>
      <c r="GZ54" s="191"/>
      <c r="HA54" s="191"/>
      <c r="HB54" s="191"/>
      <c r="HC54" s="191"/>
      <c r="HD54" s="191"/>
      <c r="HE54" s="191"/>
      <c r="HF54" s="191"/>
      <c r="HG54" s="191"/>
      <c r="HH54" s="191">
        <v>150</v>
      </c>
      <c r="HI54" s="191"/>
      <c r="HJ54" s="191"/>
      <c r="HK54" s="191"/>
      <c r="HL54" s="191"/>
      <c r="HM54" s="191"/>
      <c r="HN54" s="191"/>
      <c r="HO54" s="191"/>
      <c r="HP54" s="191">
        <v>100</v>
      </c>
      <c r="HQ54" s="191"/>
      <c r="HR54" s="191"/>
      <c r="HS54" s="191"/>
      <c r="HT54" s="191">
        <v>50</v>
      </c>
      <c r="HU54" s="191"/>
      <c r="HV54" s="191"/>
      <c r="HW54" s="191"/>
      <c r="HX54" s="191"/>
      <c r="HY54" s="191"/>
      <c r="HZ54" s="193"/>
      <c r="IA54" s="194">
        <v>100</v>
      </c>
      <c r="IB54" s="191"/>
      <c r="IC54" s="191"/>
      <c r="ID54" s="191"/>
      <c r="IE54" s="191"/>
      <c r="IF54" s="191"/>
      <c r="IG54" s="191"/>
      <c r="IH54" s="191">
        <v>50</v>
      </c>
      <c r="II54" s="191"/>
      <c r="IJ54" s="191"/>
      <c r="IK54" s="191"/>
      <c r="IL54" s="191"/>
      <c r="IM54" s="191"/>
      <c r="IN54" s="191"/>
      <c r="IO54" s="191"/>
      <c r="IP54" s="191">
        <v>100</v>
      </c>
      <c r="IQ54" s="191"/>
      <c r="IR54" s="191"/>
      <c r="IS54" s="191"/>
      <c r="IT54" s="191"/>
      <c r="IU54" s="191"/>
      <c r="IV54" s="191">
        <v>100</v>
      </c>
      <c r="IW54" s="191"/>
      <c r="IX54" s="191"/>
      <c r="IY54" s="191"/>
      <c r="IZ54" s="191"/>
      <c r="JA54" s="191"/>
      <c r="JB54" s="191"/>
      <c r="JC54" s="191"/>
      <c r="JD54" s="191"/>
      <c r="JE54" s="192">
        <v>150</v>
      </c>
      <c r="JF54" s="190"/>
      <c r="JG54" s="191"/>
      <c r="JH54" s="191"/>
      <c r="JI54" s="191"/>
      <c r="JJ54" s="191">
        <v>100</v>
      </c>
      <c r="JK54" s="191"/>
      <c r="JL54" s="191"/>
      <c r="JM54" s="191"/>
      <c r="JN54" s="191"/>
      <c r="JO54" s="191"/>
      <c r="JP54" s="191"/>
      <c r="JQ54" s="191">
        <v>150</v>
      </c>
      <c r="JR54" s="191"/>
      <c r="JS54" s="191"/>
      <c r="JT54" s="191"/>
      <c r="JU54" s="191"/>
      <c r="JV54" s="191"/>
      <c r="JW54" s="191"/>
      <c r="JX54" s="191"/>
      <c r="JY54" s="191"/>
      <c r="JZ54" s="191"/>
      <c r="KA54" s="191"/>
      <c r="KB54" s="191"/>
      <c r="KC54" s="191"/>
      <c r="KD54" s="191"/>
      <c r="KE54" s="191">
        <v>200</v>
      </c>
      <c r="KF54" s="191"/>
      <c r="KG54" s="191"/>
      <c r="KH54" s="191"/>
      <c r="KI54" s="191"/>
      <c r="KJ54" s="193"/>
      <c r="KK54" s="194"/>
      <c r="KL54" s="191">
        <v>100</v>
      </c>
      <c r="KM54" s="191"/>
      <c r="KN54" s="191"/>
      <c r="KO54" s="191"/>
      <c r="KP54" s="191"/>
      <c r="KQ54" s="191"/>
      <c r="KR54" s="191"/>
      <c r="KS54" s="191">
        <v>100</v>
      </c>
      <c r="KT54" s="191"/>
      <c r="KU54" s="191"/>
      <c r="KV54" s="191"/>
      <c r="KW54" s="191"/>
      <c r="KX54" s="191"/>
      <c r="KY54" s="191"/>
      <c r="KZ54" s="191">
        <v>50</v>
      </c>
      <c r="LA54" s="191"/>
      <c r="LB54" s="191"/>
      <c r="LC54" s="191"/>
      <c r="LD54" s="191"/>
      <c r="LE54" s="191"/>
      <c r="LF54" s="191"/>
      <c r="LG54" s="191">
        <v>150</v>
      </c>
      <c r="LH54" s="191"/>
      <c r="LI54" s="191"/>
      <c r="LJ54" s="191"/>
      <c r="LK54" s="191"/>
      <c r="LL54" s="191"/>
      <c r="LM54" s="191"/>
      <c r="LN54" s="192">
        <v>100</v>
      </c>
      <c r="LO54" s="190"/>
      <c r="LP54" s="191"/>
      <c r="LQ54" s="191"/>
      <c r="LR54" s="191"/>
      <c r="LS54" s="191"/>
      <c r="LT54" s="191"/>
      <c r="LU54" s="191">
        <v>150</v>
      </c>
      <c r="LV54" s="191"/>
      <c r="LW54" s="191"/>
      <c r="LX54" s="191"/>
      <c r="LY54" s="191"/>
      <c r="LZ54" s="191"/>
      <c r="MA54" s="191"/>
      <c r="MB54" s="191"/>
      <c r="MC54" s="191"/>
      <c r="MD54" s="191">
        <v>150</v>
      </c>
      <c r="ME54" s="191"/>
      <c r="MF54" s="191"/>
      <c r="MG54" s="191"/>
      <c r="MH54" s="191"/>
      <c r="MI54" s="191">
        <v>10</v>
      </c>
      <c r="MJ54" s="191"/>
      <c r="MK54" s="191"/>
      <c r="ML54" s="191"/>
      <c r="MM54" s="191"/>
      <c r="MN54" s="191"/>
      <c r="MO54" s="191"/>
      <c r="MP54" s="191">
        <v>100</v>
      </c>
      <c r="MQ54" s="191"/>
      <c r="MR54" s="191"/>
      <c r="MS54" s="193"/>
      <c r="MT54" s="194"/>
      <c r="MU54" s="191"/>
      <c r="MV54" s="191"/>
      <c r="MW54" s="191"/>
      <c r="MX54" s="191"/>
      <c r="MY54" s="191"/>
      <c r="MZ54" s="191"/>
      <c r="NA54" s="191"/>
      <c r="NB54" s="191"/>
      <c r="NC54" s="191"/>
      <c r="ND54" s="191"/>
      <c r="NE54" s="191">
        <v>150</v>
      </c>
      <c r="NF54" s="191"/>
      <c r="NG54" s="191"/>
      <c r="NH54" s="191"/>
      <c r="NI54" s="191"/>
      <c r="NJ54" s="191"/>
      <c r="NK54" s="191">
        <v>100</v>
      </c>
      <c r="NL54" s="191"/>
      <c r="NM54" s="191"/>
      <c r="NN54" s="191"/>
      <c r="NO54" s="191"/>
      <c r="NP54" s="191"/>
      <c r="NQ54" s="191"/>
      <c r="NR54" s="191">
        <v>100</v>
      </c>
      <c r="NS54" s="191"/>
      <c r="NT54" s="191"/>
      <c r="NU54" s="191"/>
      <c r="NV54" s="191"/>
      <c r="NW54" s="192"/>
      <c r="NX54" s="190"/>
      <c r="NY54" s="191">
        <v>200</v>
      </c>
      <c r="NZ54" s="191"/>
      <c r="OA54" s="191"/>
      <c r="OB54" s="191"/>
      <c r="OC54" s="191"/>
      <c r="OD54" s="191"/>
      <c r="OE54" s="191"/>
      <c r="OF54" s="191">
        <v>100</v>
      </c>
      <c r="OG54" s="191"/>
      <c r="OH54" s="191"/>
      <c r="OI54" s="191"/>
      <c r="OJ54" s="191"/>
      <c r="OK54" s="191"/>
      <c r="OL54" s="191"/>
      <c r="OM54" s="191">
        <v>50</v>
      </c>
      <c r="ON54" s="191"/>
      <c r="OO54" s="191"/>
      <c r="OP54" s="191"/>
      <c r="OQ54" s="191"/>
      <c r="OR54" s="191"/>
      <c r="OS54" s="191"/>
      <c r="OT54" s="191"/>
      <c r="OU54" s="191"/>
      <c r="OV54" s="191"/>
      <c r="OW54" s="191"/>
      <c r="OX54" s="191"/>
      <c r="OY54" s="191"/>
      <c r="OZ54" s="191"/>
      <c r="PA54" s="191"/>
      <c r="PB54" s="193"/>
      <c r="PC54" s="47"/>
      <c r="PD54" s="154" t="s">
        <v>97</v>
      </c>
      <c r="PE54" s="155" t="s">
        <v>98</v>
      </c>
      <c r="PF54" s="155" t="s">
        <v>98</v>
      </c>
      <c r="PG54" s="155" t="s">
        <v>98</v>
      </c>
      <c r="PH54" s="155" t="s">
        <v>98</v>
      </c>
      <c r="PI54" s="155" t="s">
        <v>98</v>
      </c>
      <c r="PJ54" s="155" t="s">
        <v>98</v>
      </c>
      <c r="PK54" s="155" t="s">
        <v>98</v>
      </c>
      <c r="PL54" s="155" t="s">
        <v>98</v>
      </c>
      <c r="PM54" s="155" t="s">
        <v>98</v>
      </c>
      <c r="PN54" s="155" t="s">
        <v>98</v>
      </c>
      <c r="PO54" s="156"/>
      <c r="PP54" s="156"/>
      <c r="PQ54" s="156"/>
      <c r="PR54" s="156"/>
      <c r="PS54" s="156"/>
      <c r="PT54" s="156"/>
      <c r="PU54" s="156"/>
      <c r="PV54" s="156"/>
      <c r="PW54" s="156"/>
      <c r="PX54" s="195"/>
      <c r="PY54" s="1"/>
      <c r="PZ54" s="196">
        <f t="shared" si="20"/>
        <v>600</v>
      </c>
      <c r="QA54" s="176">
        <f t="shared" si="21"/>
        <v>5.0054225410861766E-3</v>
      </c>
      <c r="QB54" s="177" t="str">
        <f t="shared" ca="1" si="22"/>
        <v>Attente…</v>
      </c>
      <c r="QC54" s="197">
        <f t="shared" si="23"/>
        <v>300</v>
      </c>
      <c r="QD54" s="179">
        <f t="shared" si="24"/>
        <v>2.8089887640449437E-3</v>
      </c>
      <c r="QE54" s="180" t="str">
        <f t="shared" ca="1" si="25"/>
        <v>Attente…</v>
      </c>
      <c r="QF54" s="196">
        <f t="shared" si="26"/>
        <v>350</v>
      </c>
      <c r="QG54" s="176">
        <f t="shared" si="27"/>
        <v>2.787068004459309E-3</v>
      </c>
      <c r="QH54" s="177" t="str">
        <f t="shared" ca="1" si="28"/>
        <v>Attente…</v>
      </c>
      <c r="QI54" s="197">
        <f t="shared" si="29"/>
        <v>600</v>
      </c>
      <c r="QJ54" s="179">
        <f t="shared" si="30"/>
        <v>4.2081638378454198E-3</v>
      </c>
      <c r="QK54" s="180" t="str">
        <f t="shared" ca="1" si="31"/>
        <v>Attente…</v>
      </c>
      <c r="QL54" s="196">
        <f t="shared" si="32"/>
        <v>450</v>
      </c>
      <c r="QM54" s="176">
        <f t="shared" si="33"/>
        <v>3.2923617208077262E-3</v>
      </c>
      <c r="QN54" s="177" t="str">
        <f t="shared" ca="1" si="34"/>
        <v>Attente…</v>
      </c>
      <c r="QO54" s="197">
        <f t="shared" si="35"/>
        <v>450</v>
      </c>
      <c r="QP54" s="179">
        <f t="shared" si="36"/>
        <v>3.5230564471932986E-3</v>
      </c>
      <c r="QQ54" s="180" t="str">
        <f t="shared" ca="1" si="37"/>
        <v>Attente…</v>
      </c>
      <c r="QR54" s="196">
        <f t="shared" si="38"/>
        <v>500</v>
      </c>
      <c r="QS54" s="176">
        <f t="shared" si="39"/>
        <v>3.5995824484359815E-3</v>
      </c>
      <c r="QT54" s="177" t="str">
        <f t="shared" ca="1" si="40"/>
        <v>Attente…</v>
      </c>
      <c r="QU54" s="197">
        <f t="shared" si="41"/>
        <v>450</v>
      </c>
      <c r="QV54" s="179">
        <f t="shared" si="42"/>
        <v>3.1025923883066741E-3</v>
      </c>
      <c r="QW54" s="180" t="str">
        <f t="shared" ca="1" si="43"/>
        <v>Attente…</v>
      </c>
      <c r="QX54" s="196">
        <f t="shared" si="44"/>
        <v>500</v>
      </c>
      <c r="QY54" s="176">
        <f t="shared" si="45"/>
        <v>3.6486762602527803E-3</v>
      </c>
      <c r="QZ54" s="177" t="str">
        <f t="shared" ca="1" si="46"/>
        <v>Attente…</v>
      </c>
      <c r="RA54" s="197">
        <f t="shared" si="47"/>
        <v>410</v>
      </c>
      <c r="RB54" s="179">
        <f t="shared" si="48"/>
        <v>3.2078867068304514E-3</v>
      </c>
      <c r="RC54" s="180" t="str">
        <f t="shared" ca="1" si="49"/>
        <v>Attente…</v>
      </c>
      <c r="RD54" s="196">
        <f t="shared" si="50"/>
        <v>350</v>
      </c>
      <c r="RE54" s="176">
        <f t="shared" si="51"/>
        <v>3.4874451972897571E-3</v>
      </c>
      <c r="RF54" s="177" t="str">
        <f t="shared" ca="1" si="52"/>
        <v>Attente…</v>
      </c>
      <c r="RG54" s="197">
        <f t="shared" si="53"/>
        <v>350</v>
      </c>
      <c r="RH54" s="179">
        <f t="shared" si="54"/>
        <v>6.4373735515909506E-3</v>
      </c>
      <c r="RI54" s="198" t="str">
        <f t="shared" ca="1" si="55"/>
        <v>Attente…</v>
      </c>
      <c r="RJ54" s="199">
        <f t="shared" si="56"/>
        <v>1250</v>
      </c>
      <c r="RK54" s="200" t="str">
        <f t="shared" ca="1" si="13"/>
        <v>Attente…</v>
      </c>
      <c r="RL54" s="199">
        <f t="shared" si="57"/>
        <v>1500</v>
      </c>
      <c r="RM54" s="200" t="str">
        <f t="shared" ca="1" si="58"/>
        <v>Atttente…</v>
      </c>
      <c r="RN54" s="199">
        <f t="shared" si="59"/>
        <v>1450</v>
      </c>
      <c r="RO54" s="200" t="str">
        <f t="shared" ca="1" si="14"/>
        <v>Attente…</v>
      </c>
      <c r="RP54" s="199">
        <f t="shared" si="60"/>
        <v>1110</v>
      </c>
      <c r="RQ54" s="200" t="str">
        <f t="shared" ca="1" si="15"/>
        <v>Attente…</v>
      </c>
      <c r="RR54" s="201">
        <f t="shared" si="61"/>
        <v>5310</v>
      </c>
      <c r="RS54" s="202" t="str">
        <f t="shared" ca="1" si="16"/>
        <v>Attente…</v>
      </c>
      <c r="RT54" s="103"/>
      <c r="RU54" s="203">
        <f t="shared" si="62"/>
        <v>0.57717391304347831</v>
      </c>
      <c r="RV54" s="204">
        <f t="shared" si="65"/>
        <v>1</v>
      </c>
      <c r="RW54" s="204">
        <f t="shared" si="65"/>
        <v>1</v>
      </c>
      <c r="RX54" s="204">
        <f t="shared" si="63"/>
        <v>46</v>
      </c>
      <c r="RY54" s="205" t="str">
        <f t="shared" si="64"/>
        <v>SAINT-MARTIN-DE-BOSCHERVILLE - 62 Route de l'Abbaye (Au fond du parking)</v>
      </c>
      <c r="RZ54" s="189" t="str">
        <f>IF(OR(RZ53="",RZ53="  &lt;/Document&gt;
&lt;/kml&gt;"),"",
IF(B54="","  &lt;/Document&gt;
&lt;/kml&gt;",
IF(TournéesCAV!Q54=""," ",
"    &lt;Placemark&gt;
      &lt;description&gt;&lt;![CDATA["&amp;B54&amp;"&lt;br&gt;&lt;br&gt;"&amp;RV54&amp;" CAV&lt;br&gt;&lt;br&gt;Présent sur "&amp;RW54&amp;" tournée(s)&lt;br&gt;&lt;br&gt;Taux de remplissage moyen "&amp;TEXT(RU54*1000,"0 %")&amp;"]]&gt;&lt;/description&gt;
      &lt;Style&gt;
        &lt;IconStyle&gt;
          &lt;color&gt;ff"&amp;
          DEC2HEX(0,2)&amp;
          DEC2HEX(
            IF(RU54&lt;=0.5,
               INT(255*(RU54*2)),
               255
            ),2)&amp;
          DEC2HEX(
            IF(RU54&lt;=0.5,
               255,
               INT(255*(1-(RU54-0.5)*2))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&lt;Point&gt;&lt;coordinates&gt;"&amp;R54&amp;","&amp;Q54&amp;",0&lt;/coordinates&gt;&lt;/Point&gt;
    &lt;/Placemark&gt;"
)))</f>
        <v xml:space="preserve">    &lt;Placemark&gt;
      &lt;description&gt;&lt;![CDATA[SAINT-MARTIN-DE-BOSCHERVILLE - 62 Route de l'Abbaye (Au fond du parking)&lt;br&gt;&lt;br&gt;1 CAV&lt;br&gt;&lt;br&gt;Présent sur 1 tournée(s)&lt;br&gt;&lt;br&gt;Taux de remplissage moyen 58%]]&gt;&lt;/description&gt;
      &lt;Style&gt;
        &lt;IconStyle&gt;
          &lt;color&gt;ff00FFD7&lt;/color&gt;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&lt;Point&gt;&lt;coordinates&gt;0.9677917,49.4486164,0&lt;/coordinates&gt;&lt;/Point&gt;
    &lt;/Placemark&gt;</v>
      </c>
    </row>
    <row r="55" spans="2:494" ht="15" hidden="1" customHeight="1" x14ac:dyDescent="0.35">
      <c r="B55" s="153" t="str">
        <f t="shared" si="17"/>
        <v>LE PETIT-QUEVILLY - 132 rue du Président Kennedy (Croisement rue de la République)</v>
      </c>
      <c r="C55" s="154">
        <v>142</v>
      </c>
      <c r="D55" s="155"/>
      <c r="E55" s="155"/>
      <c r="F55" s="155"/>
      <c r="G55" s="155"/>
      <c r="H55" s="155"/>
      <c r="I55" s="155"/>
      <c r="J55" s="156"/>
      <c r="K55" s="157">
        <f t="shared" si="18"/>
        <v>1</v>
      </c>
      <c r="L55" s="157">
        <f t="shared" si="19"/>
        <v>2</v>
      </c>
      <c r="M55" s="158" t="s">
        <v>361</v>
      </c>
      <c r="N55" s="159" t="s">
        <v>362</v>
      </c>
      <c r="O55" s="159">
        <v>76140</v>
      </c>
      <c r="P55" s="159" t="s">
        <v>169</v>
      </c>
      <c r="Q55" s="159" t="s">
        <v>363</v>
      </c>
      <c r="R55" s="159" t="s">
        <v>364</v>
      </c>
      <c r="S55" s="159" t="s">
        <v>93</v>
      </c>
      <c r="T55" s="159" t="s">
        <v>94</v>
      </c>
      <c r="U55" s="159" t="s">
        <v>365</v>
      </c>
      <c r="V55" s="160" t="s">
        <v>96</v>
      </c>
      <c r="W55" s="161"/>
      <c r="X55" s="162"/>
      <c r="Y55" s="163">
        <v>3</v>
      </c>
      <c r="Z55" s="162">
        <v>3</v>
      </c>
      <c r="AA55" s="163"/>
      <c r="AB55" s="162"/>
      <c r="AC55" s="163"/>
      <c r="AD55" s="162"/>
      <c r="AE55" s="163"/>
      <c r="AF55" s="162"/>
      <c r="AG55" s="163"/>
      <c r="AH55" s="163"/>
      <c r="AI55" s="162"/>
      <c r="AJ55" s="163"/>
      <c r="AK55" s="162"/>
      <c r="AL55" s="163"/>
      <c r="AM55" s="162"/>
      <c r="AN55" s="163"/>
      <c r="AO55" s="162"/>
      <c r="AP55" s="164"/>
      <c r="AQ55" s="164"/>
      <c r="AR55" s="164"/>
      <c r="AS55" s="164"/>
      <c r="AT55" s="164"/>
      <c r="AU55" s="164"/>
      <c r="AV55" s="164"/>
      <c r="AW55" s="164"/>
      <c r="AX55" s="164"/>
      <c r="AY55" s="165"/>
      <c r="AZ55" s="41"/>
      <c r="BA55" s="190"/>
      <c r="BB55" s="191">
        <v>100</v>
      </c>
      <c r="BC55" s="191"/>
      <c r="BD55" s="191"/>
      <c r="BE55" s="191"/>
      <c r="BF55" s="191"/>
      <c r="BG55" s="191"/>
      <c r="BH55" s="191"/>
      <c r="BI55" s="191">
        <v>150</v>
      </c>
      <c r="BJ55" s="191"/>
      <c r="BK55" s="191"/>
      <c r="BL55" s="191"/>
      <c r="BM55" s="191"/>
      <c r="BN55" s="191"/>
      <c r="BO55" s="191"/>
      <c r="BP55" s="191">
        <v>50</v>
      </c>
      <c r="BQ55" s="191"/>
      <c r="BR55" s="191"/>
      <c r="BS55" s="191"/>
      <c r="BT55" s="191">
        <v>200</v>
      </c>
      <c r="BU55" s="191"/>
      <c r="BV55" s="191"/>
      <c r="BW55" s="191">
        <v>50</v>
      </c>
      <c r="BX55" s="191"/>
      <c r="BY55" s="191"/>
      <c r="BZ55" s="191"/>
      <c r="CA55" s="191"/>
      <c r="CB55" s="191"/>
      <c r="CC55" s="191"/>
      <c r="CD55" s="191">
        <v>50</v>
      </c>
      <c r="CE55" s="192"/>
      <c r="CF55" s="190"/>
      <c r="CG55" s="191"/>
      <c r="CH55" s="191">
        <v>100</v>
      </c>
      <c r="CI55" s="191"/>
      <c r="CJ55" s="191"/>
      <c r="CK55" s="191">
        <v>50</v>
      </c>
      <c r="CL55" s="191"/>
      <c r="CM55" s="191"/>
      <c r="CN55" s="191"/>
      <c r="CO55" s="191">
        <v>100</v>
      </c>
      <c r="CP55" s="191"/>
      <c r="CQ55" s="191"/>
      <c r="CR55" s="191">
        <v>50</v>
      </c>
      <c r="CS55" s="191"/>
      <c r="CT55" s="191"/>
      <c r="CU55" s="191"/>
      <c r="CV55" s="191">
        <v>150</v>
      </c>
      <c r="CW55" s="191"/>
      <c r="CX55" s="191"/>
      <c r="CY55" s="191">
        <v>150</v>
      </c>
      <c r="CZ55" s="191"/>
      <c r="DA55" s="191"/>
      <c r="DB55" s="191"/>
      <c r="DC55" s="191">
        <v>100</v>
      </c>
      <c r="DD55" s="191"/>
      <c r="DE55" s="191"/>
      <c r="DF55" s="191">
        <v>50</v>
      </c>
      <c r="DG55" s="191"/>
      <c r="DH55" s="193"/>
      <c r="DI55" s="194"/>
      <c r="DJ55" s="191"/>
      <c r="DK55" s="191">
        <v>150</v>
      </c>
      <c r="DL55" s="191"/>
      <c r="DM55" s="191"/>
      <c r="DN55" s="191">
        <v>150</v>
      </c>
      <c r="DO55" s="191"/>
      <c r="DP55" s="191"/>
      <c r="DQ55" s="191"/>
      <c r="DR55" s="191">
        <v>100</v>
      </c>
      <c r="DS55" s="191"/>
      <c r="DT55" s="191"/>
      <c r="DU55" s="191">
        <v>100</v>
      </c>
      <c r="DV55" s="191"/>
      <c r="DW55" s="191"/>
      <c r="DX55" s="191"/>
      <c r="DY55" s="191">
        <v>50</v>
      </c>
      <c r="DZ55" s="191"/>
      <c r="EA55" s="191"/>
      <c r="EB55" s="191">
        <v>100</v>
      </c>
      <c r="EC55" s="191"/>
      <c r="ED55" s="191"/>
      <c r="EE55" s="191"/>
      <c r="EF55" s="191">
        <v>200</v>
      </c>
      <c r="EG55" s="191"/>
      <c r="EH55" s="191"/>
      <c r="EI55" s="191">
        <v>50</v>
      </c>
      <c r="EJ55" s="191"/>
      <c r="EK55" s="191"/>
      <c r="EL55" s="191"/>
      <c r="EM55" s="192">
        <v>50</v>
      </c>
      <c r="EN55" s="190"/>
      <c r="EO55" s="191"/>
      <c r="EP55" s="191">
        <v>50</v>
      </c>
      <c r="EQ55" s="191"/>
      <c r="ER55" s="191"/>
      <c r="ES55" s="191"/>
      <c r="ET55" s="191">
        <v>200</v>
      </c>
      <c r="EU55" s="191"/>
      <c r="EV55" s="191"/>
      <c r="EW55" s="191">
        <v>50</v>
      </c>
      <c r="EX55" s="191"/>
      <c r="EY55" s="191"/>
      <c r="EZ55" s="191"/>
      <c r="FA55" s="191">
        <v>150</v>
      </c>
      <c r="FB55" s="191"/>
      <c r="FC55" s="191"/>
      <c r="FD55" s="191">
        <v>50</v>
      </c>
      <c r="FE55" s="191"/>
      <c r="FF55" s="191"/>
      <c r="FG55" s="191"/>
      <c r="FH55" s="191"/>
      <c r="FI55" s="191">
        <v>200</v>
      </c>
      <c r="FJ55" s="191"/>
      <c r="FK55" s="191"/>
      <c r="FL55" s="191"/>
      <c r="FM55" s="191"/>
      <c r="FN55" s="191"/>
      <c r="FO55" s="191"/>
      <c r="FP55" s="191"/>
      <c r="FQ55" s="193"/>
      <c r="FR55" s="194"/>
      <c r="FS55" s="191"/>
      <c r="FT55" s="191"/>
      <c r="FU55" s="191"/>
      <c r="FV55" s="191">
        <v>100</v>
      </c>
      <c r="FW55" s="191"/>
      <c r="FX55" s="191"/>
      <c r="FY55" s="191"/>
      <c r="FZ55" s="191"/>
      <c r="GA55" s="191"/>
      <c r="GB55" s="191"/>
      <c r="GC55" s="191">
        <v>200</v>
      </c>
      <c r="GD55" s="191"/>
      <c r="GE55" s="191"/>
      <c r="GF55" s="191">
        <v>150</v>
      </c>
      <c r="GG55" s="191"/>
      <c r="GH55" s="191"/>
      <c r="GI55" s="191"/>
      <c r="GJ55" s="191">
        <v>200</v>
      </c>
      <c r="GK55" s="191"/>
      <c r="GL55" s="191"/>
      <c r="GM55" s="191">
        <v>50</v>
      </c>
      <c r="GN55" s="191"/>
      <c r="GO55" s="191"/>
      <c r="GP55" s="191"/>
      <c r="GQ55" s="191">
        <v>150</v>
      </c>
      <c r="GR55" s="191"/>
      <c r="GS55" s="191"/>
      <c r="GT55" s="191"/>
      <c r="GU55" s="191"/>
      <c r="GV55" s="192"/>
      <c r="GW55" s="190"/>
      <c r="GX55" s="191"/>
      <c r="GY55" s="191"/>
      <c r="GZ55" s="191"/>
      <c r="HA55" s="191">
        <v>200</v>
      </c>
      <c r="HB55" s="191"/>
      <c r="HC55" s="191"/>
      <c r="HD55" s="191"/>
      <c r="HE55" s="191"/>
      <c r="HF55" s="191"/>
      <c r="HG55" s="191">
        <v>10</v>
      </c>
      <c r="HH55" s="191"/>
      <c r="HI55" s="191"/>
      <c r="HJ55" s="191"/>
      <c r="HK55" s="191"/>
      <c r="HL55" s="191">
        <v>200</v>
      </c>
      <c r="HM55" s="191"/>
      <c r="HN55" s="191"/>
      <c r="HO55" s="191"/>
      <c r="HP55" s="191"/>
      <c r="HQ55" s="191"/>
      <c r="HR55" s="191"/>
      <c r="HS55" s="191"/>
      <c r="HT55" s="191"/>
      <c r="HU55" s="191"/>
      <c r="HV55" s="191">
        <v>150</v>
      </c>
      <c r="HW55" s="191"/>
      <c r="HX55" s="191"/>
      <c r="HY55" s="191"/>
      <c r="HZ55" s="193">
        <v>100</v>
      </c>
      <c r="IA55" s="194"/>
      <c r="IB55" s="191"/>
      <c r="IC55" s="191">
        <v>50</v>
      </c>
      <c r="ID55" s="191"/>
      <c r="IE55" s="191"/>
      <c r="IF55" s="191"/>
      <c r="IG55" s="191">
        <v>100</v>
      </c>
      <c r="IH55" s="191"/>
      <c r="II55" s="191"/>
      <c r="IJ55" s="191">
        <v>100</v>
      </c>
      <c r="IK55" s="191"/>
      <c r="IL55" s="191"/>
      <c r="IM55" s="191"/>
      <c r="IN55" s="191">
        <v>200</v>
      </c>
      <c r="IO55" s="191"/>
      <c r="IP55" s="191"/>
      <c r="IQ55" s="191"/>
      <c r="IR55" s="191"/>
      <c r="IS55" s="191"/>
      <c r="IT55" s="191"/>
      <c r="IU55" s="191">
        <v>150</v>
      </c>
      <c r="IV55" s="191"/>
      <c r="IW55" s="191"/>
      <c r="IX55" s="191">
        <v>100</v>
      </c>
      <c r="IY55" s="191"/>
      <c r="IZ55" s="191"/>
      <c r="JA55" s="191"/>
      <c r="JB55" s="191"/>
      <c r="JC55" s="191"/>
      <c r="JD55" s="191"/>
      <c r="JE55" s="192">
        <v>10</v>
      </c>
      <c r="JF55" s="190"/>
      <c r="JG55" s="191"/>
      <c r="JH55" s="191"/>
      <c r="JI55" s="191">
        <v>200</v>
      </c>
      <c r="JJ55" s="191"/>
      <c r="JK55" s="191"/>
      <c r="JL55" s="191">
        <v>50</v>
      </c>
      <c r="JM55" s="191"/>
      <c r="JN55" s="191"/>
      <c r="JO55" s="191"/>
      <c r="JP55" s="191"/>
      <c r="JQ55" s="191"/>
      <c r="JR55" s="191">
        <v>200</v>
      </c>
      <c r="JS55" s="191"/>
      <c r="JT55" s="191"/>
      <c r="JU55" s="191"/>
      <c r="JV55" s="191"/>
      <c r="JW55" s="191">
        <v>10</v>
      </c>
      <c r="JX55" s="191"/>
      <c r="JY55" s="191"/>
      <c r="JZ55" s="191">
        <v>150</v>
      </c>
      <c r="KA55" s="191"/>
      <c r="KB55" s="191"/>
      <c r="KC55" s="191"/>
      <c r="KD55" s="191"/>
      <c r="KE55" s="191"/>
      <c r="KF55" s="191">
        <v>200</v>
      </c>
      <c r="KG55" s="191">
        <v>50</v>
      </c>
      <c r="KH55" s="191"/>
      <c r="KI55" s="191"/>
      <c r="KJ55" s="193"/>
      <c r="KK55" s="194">
        <v>100</v>
      </c>
      <c r="KL55" s="191"/>
      <c r="KM55" s="191"/>
      <c r="KN55" s="191">
        <v>10</v>
      </c>
      <c r="KO55" s="191"/>
      <c r="KP55" s="191"/>
      <c r="KQ55" s="191"/>
      <c r="KR55" s="191"/>
      <c r="KS55" s="191"/>
      <c r="KT55" s="191"/>
      <c r="KU55" s="191"/>
      <c r="KV55" s="191"/>
      <c r="KW55" s="191"/>
      <c r="KX55" s="191"/>
      <c r="KY55" s="191">
        <v>200</v>
      </c>
      <c r="KZ55" s="191"/>
      <c r="LA55" s="191"/>
      <c r="LB55" s="191">
        <v>150</v>
      </c>
      <c r="LC55" s="191"/>
      <c r="LD55" s="191"/>
      <c r="LE55" s="191"/>
      <c r="LF55" s="191">
        <v>100</v>
      </c>
      <c r="LG55" s="191"/>
      <c r="LH55" s="191"/>
      <c r="LI55" s="191">
        <v>50</v>
      </c>
      <c r="LJ55" s="191"/>
      <c r="LK55" s="191"/>
      <c r="LL55" s="191"/>
      <c r="LM55" s="191"/>
      <c r="LN55" s="192"/>
      <c r="LO55" s="190"/>
      <c r="LP55" s="191">
        <v>200</v>
      </c>
      <c r="LQ55" s="191"/>
      <c r="LR55" s="191"/>
      <c r="LS55" s="191"/>
      <c r="LT55" s="191">
        <v>100</v>
      </c>
      <c r="LU55" s="191"/>
      <c r="LV55" s="191"/>
      <c r="LW55" s="191">
        <v>150</v>
      </c>
      <c r="LX55" s="191"/>
      <c r="LY55" s="191"/>
      <c r="LZ55" s="191"/>
      <c r="MA55" s="191">
        <v>100</v>
      </c>
      <c r="MB55" s="191"/>
      <c r="MC55" s="191"/>
      <c r="MD55" s="191">
        <v>50</v>
      </c>
      <c r="ME55" s="191"/>
      <c r="MF55" s="191"/>
      <c r="MG55" s="191"/>
      <c r="MH55" s="191">
        <v>100</v>
      </c>
      <c r="MI55" s="191"/>
      <c r="MJ55" s="191"/>
      <c r="MK55" s="191">
        <v>10</v>
      </c>
      <c r="ML55" s="191"/>
      <c r="MM55" s="191"/>
      <c r="MN55" s="191"/>
      <c r="MO55" s="191">
        <v>150</v>
      </c>
      <c r="MP55" s="191"/>
      <c r="MQ55" s="191"/>
      <c r="MR55" s="191">
        <v>100</v>
      </c>
      <c r="MS55" s="193"/>
      <c r="MT55" s="194"/>
      <c r="MU55" s="191"/>
      <c r="MV55" s="191">
        <v>100</v>
      </c>
      <c r="MW55" s="191"/>
      <c r="MX55" s="191"/>
      <c r="MY55" s="191">
        <v>50</v>
      </c>
      <c r="MZ55" s="191"/>
      <c r="NA55" s="191"/>
      <c r="NB55" s="191"/>
      <c r="NC55" s="191">
        <v>150</v>
      </c>
      <c r="ND55" s="191"/>
      <c r="NE55" s="191"/>
      <c r="NF55" s="191"/>
      <c r="NG55" s="191"/>
      <c r="NH55" s="191"/>
      <c r="NI55" s="191"/>
      <c r="NJ55" s="191">
        <v>100</v>
      </c>
      <c r="NK55" s="191"/>
      <c r="NL55" s="191"/>
      <c r="NM55" s="191"/>
      <c r="NN55" s="191"/>
      <c r="NO55" s="191"/>
      <c r="NP55" s="191"/>
      <c r="NQ55" s="191">
        <v>100</v>
      </c>
      <c r="NR55" s="191"/>
      <c r="NS55" s="191"/>
      <c r="NT55" s="191">
        <v>50</v>
      </c>
      <c r="NU55" s="191"/>
      <c r="NV55" s="191"/>
      <c r="NW55" s="192"/>
      <c r="NX55" s="190">
        <v>50</v>
      </c>
      <c r="NY55" s="191"/>
      <c r="NZ55" s="191"/>
      <c r="OA55" s="191">
        <v>50</v>
      </c>
      <c r="OB55" s="191"/>
      <c r="OC55" s="191"/>
      <c r="OD55" s="191"/>
      <c r="OE55" s="191">
        <v>50</v>
      </c>
      <c r="OF55" s="191"/>
      <c r="OG55" s="191"/>
      <c r="OH55" s="191">
        <v>50</v>
      </c>
      <c r="OI55" s="191"/>
      <c r="OJ55" s="191"/>
      <c r="OK55" s="191"/>
      <c r="OL55" s="191">
        <v>150</v>
      </c>
      <c r="OM55" s="191"/>
      <c r="ON55" s="191"/>
      <c r="OO55" s="191">
        <v>50</v>
      </c>
      <c r="OP55" s="191"/>
      <c r="OQ55" s="191"/>
      <c r="OR55" s="191"/>
      <c r="OS55" s="191"/>
      <c r="OT55" s="191"/>
      <c r="OU55" s="191"/>
      <c r="OV55" s="191"/>
      <c r="OW55" s="191"/>
      <c r="OX55" s="191"/>
      <c r="OY55" s="191"/>
      <c r="OZ55" s="191"/>
      <c r="PA55" s="191"/>
      <c r="PB55" s="193"/>
      <c r="PC55" s="47"/>
      <c r="PD55" s="154" t="s">
        <v>97</v>
      </c>
      <c r="PE55" s="155" t="s">
        <v>98</v>
      </c>
      <c r="PF55" s="155" t="s">
        <v>98</v>
      </c>
      <c r="PG55" s="155" t="s">
        <v>98</v>
      </c>
      <c r="PH55" s="155" t="s">
        <v>98</v>
      </c>
      <c r="PI55" s="155" t="s">
        <v>98</v>
      </c>
      <c r="PJ55" s="155" t="s">
        <v>98</v>
      </c>
      <c r="PK55" s="155" t="s">
        <v>98</v>
      </c>
      <c r="PL55" s="155" t="s">
        <v>98</v>
      </c>
      <c r="PM55" s="155" t="s">
        <v>98</v>
      </c>
      <c r="PN55" s="155" t="s">
        <v>98</v>
      </c>
      <c r="PO55" s="156"/>
      <c r="PP55" s="156"/>
      <c r="PQ55" s="156"/>
      <c r="PR55" s="156"/>
      <c r="PS55" s="156"/>
      <c r="PT55" s="156"/>
      <c r="PU55" s="156"/>
      <c r="PV55" s="156"/>
      <c r="PW55" s="156"/>
      <c r="PX55" s="195"/>
      <c r="PY55" s="1"/>
      <c r="PZ55" s="196">
        <f t="shared" si="20"/>
        <v>600</v>
      </c>
      <c r="QA55" s="176">
        <f t="shared" si="21"/>
        <v>5.0054225410861766E-3</v>
      </c>
      <c r="QB55" s="177" t="str">
        <f t="shared" ca="1" si="22"/>
        <v>Attente…</v>
      </c>
      <c r="QC55" s="197">
        <f t="shared" si="23"/>
        <v>750</v>
      </c>
      <c r="QD55" s="179">
        <f t="shared" si="24"/>
        <v>7.0224719101123594E-3</v>
      </c>
      <c r="QE55" s="180" t="str">
        <f t="shared" ca="1" si="25"/>
        <v>Attente…</v>
      </c>
      <c r="QF55" s="196">
        <f t="shared" si="26"/>
        <v>950</v>
      </c>
      <c r="QG55" s="176">
        <f t="shared" si="27"/>
        <v>7.564898869246695E-3</v>
      </c>
      <c r="QH55" s="177" t="str">
        <f t="shared" ca="1" si="28"/>
        <v>Attente…</v>
      </c>
      <c r="QI55" s="197">
        <f t="shared" si="29"/>
        <v>700</v>
      </c>
      <c r="QJ55" s="179">
        <f t="shared" si="30"/>
        <v>4.9095244774863232E-3</v>
      </c>
      <c r="QK55" s="180" t="str">
        <f t="shared" ca="1" si="31"/>
        <v>Attente…</v>
      </c>
      <c r="QL55" s="196">
        <f t="shared" si="32"/>
        <v>850</v>
      </c>
      <c r="QM55" s="176">
        <f t="shared" si="33"/>
        <v>6.2189054726368162E-3</v>
      </c>
      <c r="QN55" s="177" t="str">
        <f t="shared" ca="1" si="34"/>
        <v>Attente…</v>
      </c>
      <c r="QO55" s="197">
        <f t="shared" si="35"/>
        <v>660</v>
      </c>
      <c r="QP55" s="179">
        <f t="shared" si="36"/>
        <v>5.1671494558835039E-3</v>
      </c>
      <c r="QQ55" s="180" t="str">
        <f t="shared" ca="1" si="37"/>
        <v>Attente…</v>
      </c>
      <c r="QR55" s="196">
        <f t="shared" si="38"/>
        <v>710</v>
      </c>
      <c r="QS55" s="176">
        <f t="shared" si="39"/>
        <v>5.1114070767790936E-3</v>
      </c>
      <c r="QT55" s="177" t="str">
        <f t="shared" ca="1" si="40"/>
        <v>Attente…</v>
      </c>
      <c r="QU55" s="197">
        <f t="shared" si="41"/>
        <v>860</v>
      </c>
      <c r="QV55" s="179">
        <f t="shared" si="42"/>
        <v>5.9293987865416441E-3</v>
      </c>
      <c r="QW55" s="180" t="str">
        <f t="shared" ca="1" si="43"/>
        <v>Attente…</v>
      </c>
      <c r="QX55" s="196">
        <f t="shared" si="44"/>
        <v>610</v>
      </c>
      <c r="QY55" s="176">
        <f t="shared" si="45"/>
        <v>4.4513850375083918E-3</v>
      </c>
      <c r="QZ55" s="177" t="str">
        <f t="shared" ca="1" si="46"/>
        <v>Attente…</v>
      </c>
      <c r="RA55" s="197">
        <f t="shared" si="47"/>
        <v>960</v>
      </c>
      <c r="RB55" s="179">
        <f t="shared" si="48"/>
        <v>7.511149362334716E-3</v>
      </c>
      <c r="RC55" s="180" t="str">
        <f t="shared" ca="1" si="49"/>
        <v>Attente…</v>
      </c>
      <c r="RD55" s="196">
        <f t="shared" si="50"/>
        <v>550</v>
      </c>
      <c r="RE55" s="176">
        <f t="shared" si="51"/>
        <v>5.4802710243124749E-3</v>
      </c>
      <c r="RF55" s="177" t="str">
        <f t="shared" ca="1" si="52"/>
        <v>Attente…</v>
      </c>
      <c r="RG55" s="197">
        <f t="shared" si="53"/>
        <v>400</v>
      </c>
      <c r="RH55" s="179">
        <f t="shared" si="54"/>
        <v>7.3569983446753725E-3</v>
      </c>
      <c r="RI55" s="198" t="str">
        <f t="shared" ca="1" si="55"/>
        <v>Attente…</v>
      </c>
      <c r="RJ55" s="199">
        <f t="shared" si="56"/>
        <v>2300</v>
      </c>
      <c r="RK55" s="200" t="str">
        <f t="shared" ca="1" si="13"/>
        <v>Attente…</v>
      </c>
      <c r="RL55" s="199">
        <f t="shared" si="57"/>
        <v>2210</v>
      </c>
      <c r="RM55" s="200" t="str">
        <f t="shared" ca="1" si="58"/>
        <v>Atttente…</v>
      </c>
      <c r="RN55" s="199">
        <f t="shared" si="59"/>
        <v>2180</v>
      </c>
      <c r="RO55" s="200" t="str">
        <f t="shared" ca="1" si="14"/>
        <v>Attente…</v>
      </c>
      <c r="RP55" s="199">
        <f t="shared" si="60"/>
        <v>1910</v>
      </c>
      <c r="RQ55" s="200" t="str">
        <f t="shared" ca="1" si="15"/>
        <v>Attente…</v>
      </c>
      <c r="RR55" s="201">
        <f t="shared" si="61"/>
        <v>8600</v>
      </c>
      <c r="RS55" s="202" t="str">
        <f t="shared" ca="1" si="16"/>
        <v>Attente…</v>
      </c>
      <c r="RT55" s="103"/>
      <c r="RU55" s="203">
        <f t="shared" si="62"/>
        <v>0.53086419753086422</v>
      </c>
      <c r="RV55" s="204">
        <f t="shared" si="65"/>
        <v>1</v>
      </c>
      <c r="RW55" s="204">
        <f t="shared" si="65"/>
        <v>2</v>
      </c>
      <c r="RX55" s="204">
        <f t="shared" si="63"/>
        <v>81</v>
      </c>
      <c r="RY55" s="205" t="str">
        <f t="shared" si="64"/>
        <v>LE PETIT-QUEVILLY - 132 rue du Président Kennedy (Croisement rue de la République)</v>
      </c>
      <c r="RZ55" s="189" t="str">
        <f>IF(OR(RZ54="",RZ54="  &lt;/Document&gt;
&lt;/kml&gt;"),"",
IF(B55="","  &lt;/Document&gt;
&lt;/kml&gt;",
IF(TournéesCAV!Q55=""," ",
"    &lt;Placemark&gt;
      &lt;description&gt;&lt;![CDATA["&amp;B55&amp;"&lt;br&gt;&lt;br&gt;"&amp;RV55&amp;" CAV&lt;br&gt;&lt;br&gt;Présent sur "&amp;RW55&amp;" tournée(s)&lt;br&gt;&lt;br&gt;Taux de remplissage moyen "&amp;TEXT(RU55*1000,"0 %")&amp;"]]&gt;&lt;/description&gt;
      &lt;Style&gt;
        &lt;IconStyle&gt;
          &lt;color&gt;ff"&amp;
          DEC2HEX(0,2)&amp;
          DEC2HEX(
            IF(RU55&lt;=0.5,
               INT(255*(RU55*2)),
               255
            ),2)&amp;
          DEC2HEX(
            IF(RU55&lt;=0.5,
               255,
               INT(255*(1-(RU55-0.5)*2))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&lt;Point&gt;&lt;coordinates&gt;"&amp;R55&amp;","&amp;Q55&amp;",0&lt;/coordinates&gt;&lt;/Point&gt;
    &lt;/Placemark&gt;"
)))</f>
        <v xml:space="preserve">    &lt;Placemark&gt;
      &lt;description&gt;&lt;![CDATA[LE PETIT-QUEVILLY - 132 rue du Président Kennedy (Croisement rue de la République)&lt;br&gt;&lt;br&gt;1 CAV&lt;br&gt;&lt;br&gt;Présent sur 2 tournée(s)&lt;br&gt;&lt;br&gt;Taux de remplissage moyen 53%]]&gt;&lt;/description&gt;
      &lt;Style&gt;
        &lt;IconStyle&gt;
          &lt;color&gt;ff00FFEF&lt;/color&gt;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&lt;Point&gt;&lt;coordinates&gt;1.0670571,49.4316933,0&lt;/coordinates&gt;&lt;/Point&gt;
    &lt;/Placemark&gt;</v>
      </c>
    </row>
    <row r="56" spans="2:494" ht="15" hidden="1" customHeight="1" x14ac:dyDescent="0.35">
      <c r="B56" s="153" t="str">
        <f t="shared" si="17"/>
        <v>INCARVILLE - 19 Rue des Prés (Parking Leclerc)</v>
      </c>
      <c r="C56" s="154" t="s">
        <v>104</v>
      </c>
      <c r="D56" s="155" t="s">
        <v>104</v>
      </c>
      <c r="E56" s="155"/>
      <c r="F56" s="155"/>
      <c r="G56" s="155"/>
      <c r="H56" s="155"/>
      <c r="I56" s="155"/>
      <c r="J56" s="156"/>
      <c r="K56" s="157">
        <f t="shared" si="18"/>
        <v>2</v>
      </c>
      <c r="L56" s="157">
        <f t="shared" si="19"/>
        <v>1</v>
      </c>
      <c r="M56" s="158" t="s">
        <v>366</v>
      </c>
      <c r="N56" s="159" t="s">
        <v>367</v>
      </c>
      <c r="O56" s="159">
        <v>27400</v>
      </c>
      <c r="P56" s="159" t="s">
        <v>368</v>
      </c>
      <c r="Q56" s="159" t="s">
        <v>369</v>
      </c>
      <c r="R56" s="159" t="s">
        <v>370</v>
      </c>
      <c r="S56" s="159"/>
      <c r="T56" s="159" t="s">
        <v>110</v>
      </c>
      <c r="U56" s="159" t="s">
        <v>371</v>
      </c>
      <c r="V56" s="160" t="s">
        <v>21</v>
      </c>
      <c r="W56" s="161"/>
      <c r="X56" s="162"/>
      <c r="Y56" s="163"/>
      <c r="Z56" s="162"/>
      <c r="AA56" s="163"/>
      <c r="AB56" s="162"/>
      <c r="AC56" s="163"/>
      <c r="AD56" s="162"/>
      <c r="AE56" s="163"/>
      <c r="AF56" s="162"/>
      <c r="AG56" s="163"/>
      <c r="AH56" s="163"/>
      <c r="AI56" s="162"/>
      <c r="AJ56" s="163"/>
      <c r="AK56" s="162"/>
      <c r="AL56" s="163">
        <v>1</v>
      </c>
      <c r="AM56" s="162"/>
      <c r="AN56" s="163"/>
      <c r="AO56" s="162"/>
      <c r="AP56" s="164"/>
      <c r="AQ56" s="164"/>
      <c r="AR56" s="164"/>
      <c r="AS56" s="164"/>
      <c r="AT56" s="164"/>
      <c r="AU56" s="164"/>
      <c r="AV56" s="164"/>
      <c r="AW56" s="164"/>
      <c r="AX56" s="164"/>
      <c r="AY56" s="165"/>
      <c r="AZ56" s="41"/>
      <c r="BA56" s="190"/>
      <c r="BB56" s="191"/>
      <c r="BC56" s="191"/>
      <c r="BD56" s="191"/>
      <c r="BE56" s="191"/>
      <c r="BF56" s="191"/>
      <c r="BG56" s="191"/>
      <c r="BH56" s="191">
        <v>150</v>
      </c>
      <c r="BI56" s="191"/>
      <c r="BJ56" s="191"/>
      <c r="BK56" s="191"/>
      <c r="BL56" s="191"/>
      <c r="BM56" s="191"/>
      <c r="BN56" s="191"/>
      <c r="BO56" s="191">
        <v>150</v>
      </c>
      <c r="BP56" s="191"/>
      <c r="BQ56" s="191"/>
      <c r="BR56" s="191"/>
      <c r="BS56" s="191"/>
      <c r="BT56" s="191"/>
      <c r="BU56" s="191"/>
      <c r="BV56" s="191">
        <v>20</v>
      </c>
      <c r="BW56" s="191"/>
      <c r="BX56" s="191"/>
      <c r="BY56" s="191"/>
      <c r="BZ56" s="191"/>
      <c r="CA56" s="191"/>
      <c r="CB56" s="191"/>
      <c r="CC56" s="191">
        <v>60</v>
      </c>
      <c r="CD56" s="191"/>
      <c r="CE56" s="192"/>
      <c r="CF56" s="190"/>
      <c r="CG56" s="191"/>
      <c r="CH56" s="191"/>
      <c r="CI56" s="191"/>
      <c r="CJ56" s="191">
        <v>60</v>
      </c>
      <c r="CK56" s="191"/>
      <c r="CL56" s="191"/>
      <c r="CM56" s="191"/>
      <c r="CN56" s="191"/>
      <c r="CO56" s="191"/>
      <c r="CP56" s="191"/>
      <c r="CQ56" s="191">
        <v>60</v>
      </c>
      <c r="CR56" s="191"/>
      <c r="CS56" s="191"/>
      <c r="CT56" s="191"/>
      <c r="CU56" s="191"/>
      <c r="CV56" s="191"/>
      <c r="CW56" s="191"/>
      <c r="CX56" s="191">
        <v>110</v>
      </c>
      <c r="CY56" s="191"/>
      <c r="CZ56" s="191"/>
      <c r="DA56" s="191"/>
      <c r="DB56" s="191"/>
      <c r="DC56" s="191"/>
      <c r="DD56" s="191"/>
      <c r="DE56" s="191">
        <v>20</v>
      </c>
      <c r="DF56" s="191"/>
      <c r="DG56" s="191"/>
      <c r="DH56" s="193"/>
      <c r="DI56" s="194"/>
      <c r="DJ56" s="191"/>
      <c r="DK56" s="191"/>
      <c r="DL56" s="191"/>
      <c r="DM56" s="191">
        <v>60</v>
      </c>
      <c r="DN56" s="191"/>
      <c r="DO56" s="191"/>
      <c r="DP56" s="191"/>
      <c r="DQ56" s="191"/>
      <c r="DR56" s="191"/>
      <c r="DS56" s="191"/>
      <c r="DT56" s="191">
        <v>100</v>
      </c>
      <c r="DU56" s="191"/>
      <c r="DV56" s="191"/>
      <c r="DW56" s="191"/>
      <c r="DX56" s="191"/>
      <c r="DY56" s="191"/>
      <c r="DZ56" s="191"/>
      <c r="EA56" s="191"/>
      <c r="EB56" s="191"/>
      <c r="EC56" s="191"/>
      <c r="ED56" s="191"/>
      <c r="EE56" s="191"/>
      <c r="EF56" s="191"/>
      <c r="EG56" s="191"/>
      <c r="EH56" s="191">
        <v>200</v>
      </c>
      <c r="EI56" s="191"/>
      <c r="EJ56" s="191"/>
      <c r="EK56" s="191"/>
      <c r="EL56" s="191"/>
      <c r="EM56" s="192"/>
      <c r="EN56" s="190"/>
      <c r="EO56" s="191">
        <v>150</v>
      </c>
      <c r="EP56" s="191"/>
      <c r="EQ56" s="191"/>
      <c r="ER56" s="191"/>
      <c r="ES56" s="191"/>
      <c r="ET56" s="191"/>
      <c r="EU56" s="191"/>
      <c r="EV56" s="191"/>
      <c r="EW56" s="191"/>
      <c r="EX56" s="191"/>
      <c r="EY56" s="191"/>
      <c r="EZ56" s="191"/>
      <c r="FA56" s="191"/>
      <c r="FB56" s="191"/>
      <c r="FC56" s="191">
        <v>300</v>
      </c>
      <c r="FD56" s="191"/>
      <c r="FE56" s="191"/>
      <c r="FF56" s="191"/>
      <c r="FG56" s="191"/>
      <c r="FH56" s="191"/>
      <c r="FI56" s="191"/>
      <c r="FJ56" s="191"/>
      <c r="FK56" s="191"/>
      <c r="FL56" s="191">
        <v>150</v>
      </c>
      <c r="FM56" s="191"/>
      <c r="FN56" s="191"/>
      <c r="FO56" s="191"/>
      <c r="FP56" s="191"/>
      <c r="FQ56" s="193"/>
      <c r="FR56" s="194"/>
      <c r="FS56" s="191"/>
      <c r="FT56" s="191"/>
      <c r="FU56" s="191"/>
      <c r="FV56" s="191"/>
      <c r="FW56" s="191"/>
      <c r="FX56" s="191">
        <v>350</v>
      </c>
      <c r="FY56" s="191"/>
      <c r="FZ56" s="191"/>
      <c r="GA56" s="191"/>
      <c r="GB56" s="191"/>
      <c r="GC56" s="191"/>
      <c r="GD56" s="191"/>
      <c r="GE56" s="191"/>
      <c r="GF56" s="191"/>
      <c r="GG56" s="191"/>
      <c r="GH56" s="191"/>
      <c r="GI56" s="191"/>
      <c r="GJ56" s="191"/>
      <c r="GK56" s="191"/>
      <c r="GL56" s="191">
        <v>110</v>
      </c>
      <c r="GM56" s="191"/>
      <c r="GN56" s="191"/>
      <c r="GO56" s="191"/>
      <c r="GP56" s="191"/>
      <c r="GQ56" s="191"/>
      <c r="GR56" s="191"/>
      <c r="GS56" s="191"/>
      <c r="GT56" s="191"/>
      <c r="GU56" s="191"/>
      <c r="GV56" s="192"/>
      <c r="GW56" s="190"/>
      <c r="GX56" s="191"/>
      <c r="GY56" s="191"/>
      <c r="GZ56" s="191">
        <v>150</v>
      </c>
      <c r="HA56" s="191"/>
      <c r="HB56" s="191"/>
      <c r="HC56" s="191"/>
      <c r="HD56" s="191"/>
      <c r="HE56" s="191"/>
      <c r="HF56" s="191"/>
      <c r="HG56" s="191"/>
      <c r="HH56" s="191"/>
      <c r="HI56" s="191"/>
      <c r="HJ56" s="191"/>
      <c r="HK56" s="191"/>
      <c r="HL56" s="191"/>
      <c r="HM56" s="191"/>
      <c r="HN56" s="191"/>
      <c r="HO56" s="191"/>
      <c r="HP56" s="191"/>
      <c r="HQ56" s="191"/>
      <c r="HR56" s="191"/>
      <c r="HS56" s="191"/>
      <c r="HT56" s="191"/>
      <c r="HU56" s="191">
        <v>150</v>
      </c>
      <c r="HV56" s="191"/>
      <c r="HW56" s="191"/>
      <c r="HX56" s="191"/>
      <c r="HY56" s="191"/>
      <c r="HZ56" s="193"/>
      <c r="IA56" s="194"/>
      <c r="IB56" s="191">
        <v>100</v>
      </c>
      <c r="IC56" s="191"/>
      <c r="ID56" s="191"/>
      <c r="IE56" s="191"/>
      <c r="IF56" s="191"/>
      <c r="IG56" s="191"/>
      <c r="IH56" s="191"/>
      <c r="II56" s="191">
        <v>20</v>
      </c>
      <c r="IJ56" s="191"/>
      <c r="IK56" s="191"/>
      <c r="IL56" s="191"/>
      <c r="IM56" s="191"/>
      <c r="IN56" s="191"/>
      <c r="IO56" s="191"/>
      <c r="IP56" s="191"/>
      <c r="IQ56" s="191"/>
      <c r="IR56" s="191"/>
      <c r="IS56" s="191"/>
      <c r="IT56" s="191"/>
      <c r="IU56" s="191"/>
      <c r="IV56" s="191"/>
      <c r="IW56" s="191">
        <v>200</v>
      </c>
      <c r="IX56" s="191"/>
      <c r="IY56" s="191"/>
      <c r="IZ56" s="191"/>
      <c r="JA56" s="191"/>
      <c r="JB56" s="191"/>
      <c r="JC56" s="191"/>
      <c r="JD56" s="191"/>
      <c r="JE56" s="192"/>
      <c r="JF56" s="190"/>
      <c r="JG56" s="191"/>
      <c r="JH56" s="191"/>
      <c r="JI56" s="191"/>
      <c r="JJ56" s="191"/>
      <c r="JK56" s="191">
        <v>200</v>
      </c>
      <c r="JL56" s="191"/>
      <c r="JM56" s="191"/>
      <c r="JN56" s="191"/>
      <c r="JO56" s="191"/>
      <c r="JP56" s="191"/>
      <c r="JQ56" s="191"/>
      <c r="JR56" s="191">
        <v>100</v>
      </c>
      <c r="JS56" s="191"/>
      <c r="JT56" s="191"/>
      <c r="JU56" s="191"/>
      <c r="JV56" s="191"/>
      <c r="JW56" s="191"/>
      <c r="JX56" s="191"/>
      <c r="JY56" s="191">
        <v>20</v>
      </c>
      <c r="JZ56" s="191"/>
      <c r="KA56" s="191"/>
      <c r="KB56" s="191"/>
      <c r="KC56" s="191"/>
      <c r="KD56" s="191"/>
      <c r="KE56" s="191"/>
      <c r="KF56" s="191">
        <v>150</v>
      </c>
      <c r="KG56" s="191"/>
      <c r="KH56" s="191"/>
      <c r="KI56" s="191"/>
      <c r="KJ56" s="193"/>
      <c r="KK56" s="194"/>
      <c r="KL56" s="191"/>
      <c r="KM56" s="191">
        <v>300</v>
      </c>
      <c r="KN56" s="191"/>
      <c r="KO56" s="191"/>
      <c r="KP56" s="191"/>
      <c r="KQ56" s="191"/>
      <c r="KR56" s="191"/>
      <c r="KS56" s="191"/>
      <c r="KT56" s="191"/>
      <c r="KU56" s="191">
        <v>250</v>
      </c>
      <c r="KV56" s="191"/>
      <c r="KW56" s="191"/>
      <c r="KX56" s="191"/>
      <c r="KY56" s="191"/>
      <c r="KZ56" s="191"/>
      <c r="LA56" s="191"/>
      <c r="LB56" s="191"/>
      <c r="LC56" s="191"/>
      <c r="LD56" s="191"/>
      <c r="LE56" s="191"/>
      <c r="LF56" s="191"/>
      <c r="LG56" s="191"/>
      <c r="LH56" s="191">
        <v>100</v>
      </c>
      <c r="LI56" s="191"/>
      <c r="LJ56" s="191"/>
      <c r="LK56" s="191"/>
      <c r="LL56" s="191"/>
      <c r="LM56" s="191"/>
      <c r="LN56" s="192"/>
      <c r="LO56" s="190"/>
      <c r="LP56" s="191">
        <v>100</v>
      </c>
      <c r="LQ56" s="191"/>
      <c r="LR56" s="191"/>
      <c r="LS56" s="191"/>
      <c r="LT56" s="191"/>
      <c r="LU56" s="191"/>
      <c r="LV56" s="191">
        <v>110</v>
      </c>
      <c r="LW56" s="191"/>
      <c r="LX56" s="191"/>
      <c r="LY56" s="191"/>
      <c r="LZ56" s="191"/>
      <c r="MA56" s="191"/>
      <c r="MB56" s="191"/>
      <c r="MC56" s="191">
        <v>150</v>
      </c>
      <c r="MD56" s="191"/>
      <c r="ME56" s="191"/>
      <c r="MF56" s="191"/>
      <c r="MG56" s="191"/>
      <c r="MH56" s="191"/>
      <c r="MI56" s="191"/>
      <c r="MJ56" s="191">
        <v>100</v>
      </c>
      <c r="MK56" s="191"/>
      <c r="ML56" s="191"/>
      <c r="MM56" s="191"/>
      <c r="MN56" s="191"/>
      <c r="MO56" s="191"/>
      <c r="MP56" s="191"/>
      <c r="MQ56" s="191">
        <v>150</v>
      </c>
      <c r="MR56" s="191"/>
      <c r="MS56" s="193"/>
      <c r="MT56" s="194"/>
      <c r="MU56" s="191"/>
      <c r="MV56" s="191"/>
      <c r="MW56" s="191"/>
      <c r="MX56" s="191">
        <v>100</v>
      </c>
      <c r="MY56" s="191"/>
      <c r="MZ56" s="191"/>
      <c r="NA56" s="191"/>
      <c r="NB56" s="191"/>
      <c r="NC56" s="191"/>
      <c r="ND56" s="191"/>
      <c r="NE56" s="191"/>
      <c r="NF56" s="191"/>
      <c r="NG56" s="191"/>
      <c r="NH56" s="191"/>
      <c r="NI56" s="191"/>
      <c r="NJ56" s="191"/>
      <c r="NK56" s="191"/>
      <c r="NL56" s="191">
        <v>60</v>
      </c>
      <c r="NM56" s="191"/>
      <c r="NN56" s="191"/>
      <c r="NO56" s="191"/>
      <c r="NP56" s="191"/>
      <c r="NQ56" s="191"/>
      <c r="NR56" s="191"/>
      <c r="NS56" s="191">
        <v>20</v>
      </c>
      <c r="NT56" s="191"/>
      <c r="NU56" s="191"/>
      <c r="NV56" s="191"/>
      <c r="NW56" s="192"/>
      <c r="NX56" s="190"/>
      <c r="NY56" s="191"/>
      <c r="NZ56" s="191">
        <v>100</v>
      </c>
      <c r="OA56" s="191"/>
      <c r="OB56" s="191"/>
      <c r="OC56" s="191"/>
      <c r="OD56" s="191"/>
      <c r="OE56" s="191"/>
      <c r="OF56" s="191"/>
      <c r="OG56" s="191">
        <v>100</v>
      </c>
      <c r="OH56" s="191"/>
      <c r="OI56" s="191"/>
      <c r="OJ56" s="191"/>
      <c r="OK56" s="191"/>
      <c r="OL56" s="191"/>
      <c r="OM56" s="191"/>
      <c r="ON56" s="191">
        <v>20</v>
      </c>
      <c r="OO56" s="191"/>
      <c r="OP56" s="191"/>
      <c r="OQ56" s="191"/>
      <c r="OR56" s="191"/>
      <c r="OS56" s="191"/>
      <c r="OT56" s="191"/>
      <c r="OU56" s="191"/>
      <c r="OV56" s="191"/>
      <c r="OW56" s="191"/>
      <c r="OX56" s="191"/>
      <c r="OY56" s="191"/>
      <c r="OZ56" s="191"/>
      <c r="PA56" s="191"/>
      <c r="PB56" s="193"/>
      <c r="PC56" s="47"/>
      <c r="PD56" s="154" t="s">
        <v>98</v>
      </c>
      <c r="PE56" s="155" t="s">
        <v>98</v>
      </c>
      <c r="PF56" s="155" t="s">
        <v>98</v>
      </c>
      <c r="PG56" s="155" t="s">
        <v>98</v>
      </c>
      <c r="PH56" s="155" t="s">
        <v>98</v>
      </c>
      <c r="PI56" s="155" t="s">
        <v>97</v>
      </c>
      <c r="PJ56" s="155" t="s">
        <v>98</v>
      </c>
      <c r="PK56" s="155" t="s">
        <v>98</v>
      </c>
      <c r="PL56" s="155" t="s">
        <v>98</v>
      </c>
      <c r="PM56" s="155" t="s">
        <v>98</v>
      </c>
      <c r="PN56" s="155" t="s">
        <v>98</v>
      </c>
      <c r="PO56" s="156"/>
      <c r="PP56" s="156"/>
      <c r="PQ56" s="156"/>
      <c r="PR56" s="156"/>
      <c r="PS56" s="156"/>
      <c r="PT56" s="156"/>
      <c r="PU56" s="156"/>
      <c r="PV56" s="156"/>
      <c r="PW56" s="156"/>
      <c r="PX56" s="195"/>
      <c r="PY56" s="1"/>
      <c r="PZ56" s="196">
        <f t="shared" si="20"/>
        <v>380</v>
      </c>
      <c r="QA56" s="176">
        <f t="shared" si="21"/>
        <v>3.170100942687912E-3</v>
      </c>
      <c r="QB56" s="177" t="str">
        <f t="shared" ca="1" si="22"/>
        <v>Attente…</v>
      </c>
      <c r="QC56" s="197">
        <f t="shared" si="23"/>
        <v>250</v>
      </c>
      <c r="QD56" s="179">
        <f t="shared" si="24"/>
        <v>2.3408239700374533E-3</v>
      </c>
      <c r="QE56" s="180" t="str">
        <f t="shared" ca="1" si="25"/>
        <v>Attente…</v>
      </c>
      <c r="QF56" s="196">
        <f t="shared" si="26"/>
        <v>360</v>
      </c>
      <c r="QG56" s="176">
        <f t="shared" si="27"/>
        <v>2.866698518872432E-3</v>
      </c>
      <c r="QH56" s="177" t="str">
        <f t="shared" ca="1" si="28"/>
        <v>Attente…</v>
      </c>
      <c r="QI56" s="197">
        <f t="shared" si="29"/>
        <v>600</v>
      </c>
      <c r="QJ56" s="179">
        <f t="shared" si="30"/>
        <v>4.2081638378454198E-3</v>
      </c>
      <c r="QK56" s="180" t="str">
        <f t="shared" ca="1" si="31"/>
        <v>Attente…</v>
      </c>
      <c r="QL56" s="196">
        <f t="shared" si="32"/>
        <v>460</v>
      </c>
      <c r="QM56" s="176">
        <f t="shared" si="33"/>
        <v>3.3655253146034534E-3</v>
      </c>
      <c r="QN56" s="177" t="str">
        <f t="shared" ca="1" si="34"/>
        <v>Attente…</v>
      </c>
      <c r="QO56" s="197">
        <f t="shared" si="35"/>
        <v>300</v>
      </c>
      <c r="QP56" s="179">
        <f t="shared" si="36"/>
        <v>2.3487042981288654E-3</v>
      </c>
      <c r="QQ56" s="180" t="str">
        <f t="shared" ca="1" si="37"/>
        <v>Attente…</v>
      </c>
      <c r="QR56" s="196">
        <f t="shared" si="38"/>
        <v>320</v>
      </c>
      <c r="QS56" s="176">
        <f t="shared" si="39"/>
        <v>2.3037327669990283E-3</v>
      </c>
      <c r="QT56" s="177" t="str">
        <f t="shared" ca="1" si="40"/>
        <v>Attente…</v>
      </c>
      <c r="QU56" s="197">
        <f t="shared" si="41"/>
        <v>470</v>
      </c>
      <c r="QV56" s="179">
        <f t="shared" si="42"/>
        <v>3.2404853833425261E-3</v>
      </c>
      <c r="QW56" s="180" t="str">
        <f t="shared" ca="1" si="43"/>
        <v>Attente…</v>
      </c>
      <c r="QX56" s="196">
        <f t="shared" si="44"/>
        <v>650</v>
      </c>
      <c r="QY56" s="176">
        <f t="shared" si="45"/>
        <v>4.7432791383286146E-3</v>
      </c>
      <c r="QZ56" s="177" t="str">
        <f t="shared" ca="1" si="46"/>
        <v>Attente…</v>
      </c>
      <c r="RA56" s="197">
        <f t="shared" si="47"/>
        <v>610</v>
      </c>
      <c r="RB56" s="179">
        <f t="shared" si="48"/>
        <v>4.7727094906501837E-3</v>
      </c>
      <c r="RC56" s="180" t="str">
        <f t="shared" ca="1" si="49"/>
        <v>Attente…</v>
      </c>
      <c r="RD56" s="196">
        <f t="shared" si="50"/>
        <v>180</v>
      </c>
      <c r="RE56" s="176">
        <f t="shared" si="51"/>
        <v>1.7935432443204463E-3</v>
      </c>
      <c r="RF56" s="177" t="str">
        <f t="shared" ca="1" si="52"/>
        <v>Attente…</v>
      </c>
      <c r="RG56" s="197">
        <f t="shared" si="53"/>
        <v>220</v>
      </c>
      <c r="RH56" s="179">
        <f t="shared" si="54"/>
        <v>4.0463490895714547E-3</v>
      </c>
      <c r="RI56" s="198" t="str">
        <f t="shared" ca="1" si="55"/>
        <v>Attente…</v>
      </c>
      <c r="RJ56" s="199">
        <f t="shared" si="56"/>
        <v>990</v>
      </c>
      <c r="RK56" s="200" t="str">
        <f t="shared" ca="1" si="13"/>
        <v>Attente…</v>
      </c>
      <c r="RL56" s="199">
        <f t="shared" si="57"/>
        <v>1360</v>
      </c>
      <c r="RM56" s="200" t="str">
        <f t="shared" ca="1" si="58"/>
        <v>Atttente…</v>
      </c>
      <c r="RN56" s="199">
        <f t="shared" si="59"/>
        <v>1440</v>
      </c>
      <c r="RO56" s="200" t="str">
        <f t="shared" ca="1" si="14"/>
        <v>Attente…</v>
      </c>
      <c r="RP56" s="199">
        <f t="shared" si="60"/>
        <v>1010</v>
      </c>
      <c r="RQ56" s="200" t="str">
        <f t="shared" ca="1" si="15"/>
        <v>Attente…</v>
      </c>
      <c r="RR56" s="201">
        <f t="shared" si="61"/>
        <v>4800</v>
      </c>
      <c r="RS56" s="202" t="str">
        <f t="shared" ca="1" si="16"/>
        <v>Attente…</v>
      </c>
      <c r="RT56" s="103"/>
      <c r="RU56" s="203">
        <f t="shared" si="62"/>
        <v>0.30769230769230771</v>
      </c>
      <c r="RV56" s="204">
        <f t="shared" si="65"/>
        <v>2</v>
      </c>
      <c r="RW56" s="204">
        <f t="shared" si="65"/>
        <v>1</v>
      </c>
      <c r="RX56" s="204">
        <f t="shared" si="63"/>
        <v>39</v>
      </c>
      <c r="RY56" s="205" t="str">
        <f t="shared" si="64"/>
        <v>INCARVILLE - 19 Rue des Prés (Parking Leclerc)</v>
      </c>
      <c r="RZ56" s="189" t="str">
        <f>IF(OR(RZ55="",RZ55="  &lt;/Document&gt;
&lt;/kml&gt;"),"",
IF(B56="","  &lt;/Document&gt;
&lt;/kml&gt;",
IF(TournéesCAV!Q56=""," ",
"    &lt;Placemark&gt;
      &lt;description&gt;&lt;![CDATA["&amp;B56&amp;"&lt;br&gt;&lt;br&gt;"&amp;RV56&amp;" CAV&lt;br&gt;&lt;br&gt;Présent sur "&amp;RW56&amp;" tournée(s)&lt;br&gt;&lt;br&gt;Taux de remplissage moyen "&amp;TEXT(RU56*1000,"0 %")&amp;"]]&gt;&lt;/description&gt;
      &lt;Style&gt;
        &lt;IconStyle&gt;
          &lt;color&gt;ff"&amp;
          DEC2HEX(0,2)&amp;
          DEC2HEX(
            IF(RU56&lt;=0.5,
               INT(255*(RU56*2)),
               255
            ),2)&amp;
          DEC2HEX(
            IF(RU56&lt;=0.5,
               255,
               INT(255*(1-(RU56-0.5)*2))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&lt;Point&gt;&lt;coordinates&gt;"&amp;R56&amp;","&amp;Q56&amp;",0&lt;/coordinates&gt;&lt;/Point&gt;
    &lt;/Placemark&gt;"
)))</f>
        <v xml:space="preserve">    &lt;Placemark&gt;
      &lt;description&gt;&lt;![CDATA[INCARVILLE - 19 Rue des Prés (Parking Leclerc)&lt;br&gt;&lt;br&gt;2 CAV&lt;br&gt;&lt;br&gt;Présent sur 1 tournée(s)&lt;br&gt;&lt;br&gt;Taux de remplissage moyen 31%]]&gt;&lt;/description&gt;
      &lt;Style&gt;
        &lt;IconStyle&gt;
          &lt;color&gt;ff009CFF&lt;/color&gt;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&lt;Point&gt;&lt;coordinates&gt;1.1808578,49.2372353,0&lt;/coordinates&gt;&lt;/Point&gt;
    &lt;/Placemark&gt;</v>
      </c>
    </row>
    <row r="57" spans="2:494" ht="15" hidden="1" customHeight="1" x14ac:dyDescent="0.35">
      <c r="B57" s="153" t="str">
        <f t="shared" si="17"/>
        <v>AMFREVILLE-LA-MI-VOIE - 25 rue François Mitterrand</v>
      </c>
      <c r="C57" s="154">
        <v>73</v>
      </c>
      <c r="D57" s="155"/>
      <c r="E57" s="155"/>
      <c r="F57" s="155"/>
      <c r="G57" s="155"/>
      <c r="H57" s="155"/>
      <c r="I57" s="155"/>
      <c r="J57" s="156"/>
      <c r="K57" s="157">
        <f t="shared" si="18"/>
        <v>1</v>
      </c>
      <c r="L57" s="157">
        <f t="shared" si="19"/>
        <v>2</v>
      </c>
      <c r="M57" s="158" t="s">
        <v>372</v>
      </c>
      <c r="N57" s="159"/>
      <c r="O57" s="159">
        <v>76920</v>
      </c>
      <c r="P57" s="159" t="s">
        <v>373</v>
      </c>
      <c r="Q57" s="159" t="s">
        <v>374</v>
      </c>
      <c r="R57" s="159" t="s">
        <v>375</v>
      </c>
      <c r="S57" s="159" t="s">
        <v>93</v>
      </c>
      <c r="T57" s="159" t="s">
        <v>94</v>
      </c>
      <c r="U57" s="159" t="s">
        <v>376</v>
      </c>
      <c r="V57" s="160" t="s">
        <v>96</v>
      </c>
      <c r="W57" s="161"/>
      <c r="X57" s="162"/>
      <c r="Y57" s="163"/>
      <c r="Z57" s="162"/>
      <c r="AA57" s="163"/>
      <c r="AB57" s="162"/>
      <c r="AC57" s="163"/>
      <c r="AD57" s="162">
        <v>7</v>
      </c>
      <c r="AE57" s="163">
        <v>7</v>
      </c>
      <c r="AF57" s="162"/>
      <c r="AG57" s="163"/>
      <c r="AH57" s="163"/>
      <c r="AI57" s="162"/>
      <c r="AJ57" s="163"/>
      <c r="AK57" s="162"/>
      <c r="AL57" s="163"/>
      <c r="AM57" s="162"/>
      <c r="AN57" s="163"/>
      <c r="AO57" s="162"/>
      <c r="AP57" s="164"/>
      <c r="AQ57" s="164"/>
      <c r="AR57" s="164"/>
      <c r="AS57" s="164"/>
      <c r="AT57" s="164"/>
      <c r="AU57" s="164"/>
      <c r="AV57" s="164"/>
      <c r="AW57" s="164"/>
      <c r="AX57" s="164"/>
      <c r="AY57" s="165"/>
      <c r="AZ57" s="41"/>
      <c r="BA57" s="190"/>
      <c r="BB57" s="191"/>
      <c r="BC57" s="191">
        <v>100</v>
      </c>
      <c r="BD57" s="191"/>
      <c r="BE57" s="191"/>
      <c r="BF57" s="191">
        <v>50</v>
      </c>
      <c r="BG57" s="191"/>
      <c r="BH57" s="191"/>
      <c r="BI57" s="191"/>
      <c r="BJ57" s="191">
        <v>50</v>
      </c>
      <c r="BK57" s="191"/>
      <c r="BL57" s="191"/>
      <c r="BM57" s="191">
        <v>100</v>
      </c>
      <c r="BN57" s="191"/>
      <c r="BO57" s="191"/>
      <c r="BP57" s="191"/>
      <c r="BQ57" s="191"/>
      <c r="BR57" s="191"/>
      <c r="BS57" s="191"/>
      <c r="BT57" s="191">
        <v>10</v>
      </c>
      <c r="BU57" s="191"/>
      <c r="BV57" s="191"/>
      <c r="BW57" s="191"/>
      <c r="BX57" s="191">
        <v>10</v>
      </c>
      <c r="BY57" s="191"/>
      <c r="BZ57" s="191"/>
      <c r="CA57" s="191">
        <v>50</v>
      </c>
      <c r="CB57" s="191"/>
      <c r="CC57" s="191"/>
      <c r="CD57" s="191"/>
      <c r="CE57" s="192">
        <v>50</v>
      </c>
      <c r="CF57" s="190"/>
      <c r="CG57" s="191"/>
      <c r="CH57" s="191">
        <v>100</v>
      </c>
      <c r="CI57" s="191"/>
      <c r="CJ57" s="191"/>
      <c r="CK57" s="191"/>
      <c r="CL57" s="191">
        <v>50</v>
      </c>
      <c r="CM57" s="191"/>
      <c r="CN57" s="191"/>
      <c r="CO57" s="191">
        <v>50</v>
      </c>
      <c r="CP57" s="191"/>
      <c r="CQ57" s="191"/>
      <c r="CR57" s="191"/>
      <c r="CS57" s="191">
        <v>50</v>
      </c>
      <c r="CT57" s="191"/>
      <c r="CU57" s="191"/>
      <c r="CV57" s="191">
        <v>10</v>
      </c>
      <c r="CW57" s="191"/>
      <c r="CX57" s="191"/>
      <c r="CY57" s="191"/>
      <c r="CZ57" s="191">
        <v>50</v>
      </c>
      <c r="DA57" s="191"/>
      <c r="DB57" s="191"/>
      <c r="DC57" s="191">
        <v>10</v>
      </c>
      <c r="DD57" s="191"/>
      <c r="DE57" s="191"/>
      <c r="DF57" s="191"/>
      <c r="DG57" s="191">
        <v>50</v>
      </c>
      <c r="DH57" s="193"/>
      <c r="DI57" s="194"/>
      <c r="DJ57" s="191"/>
      <c r="DK57" s="191"/>
      <c r="DL57" s="191"/>
      <c r="DM57" s="191"/>
      <c r="DN57" s="191"/>
      <c r="DO57" s="191">
        <v>150</v>
      </c>
      <c r="DP57" s="191"/>
      <c r="DQ57" s="191"/>
      <c r="DR57" s="191">
        <v>50</v>
      </c>
      <c r="DS57" s="191"/>
      <c r="DT57" s="191"/>
      <c r="DU57" s="191"/>
      <c r="DV57" s="191">
        <v>100</v>
      </c>
      <c r="DW57" s="191"/>
      <c r="DX57" s="191"/>
      <c r="DY57" s="191">
        <v>100</v>
      </c>
      <c r="DZ57" s="191"/>
      <c r="EA57" s="191"/>
      <c r="EB57" s="191"/>
      <c r="EC57" s="191">
        <v>50</v>
      </c>
      <c r="ED57" s="191"/>
      <c r="EE57" s="191"/>
      <c r="EF57" s="191">
        <v>50</v>
      </c>
      <c r="EG57" s="191"/>
      <c r="EH57" s="191"/>
      <c r="EI57" s="191"/>
      <c r="EJ57" s="191">
        <v>50</v>
      </c>
      <c r="EK57" s="191"/>
      <c r="EL57" s="191"/>
      <c r="EM57" s="192">
        <v>50</v>
      </c>
      <c r="EN57" s="190"/>
      <c r="EO57" s="191"/>
      <c r="EP57" s="191"/>
      <c r="EQ57" s="191">
        <v>50</v>
      </c>
      <c r="ER57" s="191"/>
      <c r="ES57" s="191"/>
      <c r="ET57" s="191">
        <v>100</v>
      </c>
      <c r="EU57" s="191"/>
      <c r="EV57" s="191"/>
      <c r="EW57" s="191"/>
      <c r="EX57" s="191">
        <v>100</v>
      </c>
      <c r="EY57" s="191"/>
      <c r="EZ57" s="191"/>
      <c r="FA57" s="191">
        <v>200</v>
      </c>
      <c r="FB57" s="191"/>
      <c r="FC57" s="191"/>
      <c r="FD57" s="191"/>
      <c r="FE57" s="191">
        <v>50</v>
      </c>
      <c r="FF57" s="191"/>
      <c r="FG57" s="191"/>
      <c r="FH57" s="191"/>
      <c r="FI57" s="191">
        <v>10</v>
      </c>
      <c r="FJ57" s="191"/>
      <c r="FK57" s="191"/>
      <c r="FL57" s="191">
        <v>50</v>
      </c>
      <c r="FM57" s="191"/>
      <c r="FN57" s="191"/>
      <c r="FO57" s="191"/>
      <c r="FP57" s="191"/>
      <c r="FQ57" s="193"/>
      <c r="FR57" s="194"/>
      <c r="FS57" s="191">
        <v>100</v>
      </c>
      <c r="FT57" s="191"/>
      <c r="FU57" s="191"/>
      <c r="FV57" s="191">
        <v>50</v>
      </c>
      <c r="FW57" s="191"/>
      <c r="FX57" s="191"/>
      <c r="FY57" s="191"/>
      <c r="FZ57" s="191">
        <v>100</v>
      </c>
      <c r="GA57" s="191"/>
      <c r="GB57" s="191"/>
      <c r="GC57" s="191">
        <v>50</v>
      </c>
      <c r="GD57" s="191"/>
      <c r="GE57" s="191"/>
      <c r="GF57" s="191"/>
      <c r="GG57" s="191">
        <v>50</v>
      </c>
      <c r="GH57" s="191"/>
      <c r="GI57" s="191"/>
      <c r="GJ57" s="191">
        <v>10</v>
      </c>
      <c r="GK57" s="191"/>
      <c r="GL57" s="191"/>
      <c r="GM57" s="191"/>
      <c r="GN57" s="191">
        <v>50</v>
      </c>
      <c r="GO57" s="191"/>
      <c r="GP57" s="191"/>
      <c r="GQ57" s="191">
        <v>50</v>
      </c>
      <c r="GR57" s="191"/>
      <c r="GS57" s="191"/>
      <c r="GT57" s="191"/>
      <c r="GU57" s="191">
        <v>10</v>
      </c>
      <c r="GV57" s="192"/>
      <c r="GW57" s="190"/>
      <c r="GX57" s="191">
        <v>10</v>
      </c>
      <c r="GY57" s="191"/>
      <c r="GZ57" s="191"/>
      <c r="HA57" s="191"/>
      <c r="HB57" s="191">
        <v>10</v>
      </c>
      <c r="HC57" s="191"/>
      <c r="HD57" s="191"/>
      <c r="HE57" s="191"/>
      <c r="HF57" s="191">
        <v>10</v>
      </c>
      <c r="HG57" s="191"/>
      <c r="HH57" s="191"/>
      <c r="HI57" s="191">
        <v>10</v>
      </c>
      <c r="HJ57" s="191"/>
      <c r="HK57" s="191"/>
      <c r="HL57" s="191">
        <v>100</v>
      </c>
      <c r="HM57" s="191"/>
      <c r="HN57" s="191"/>
      <c r="HO57" s="191"/>
      <c r="HP57" s="191">
        <v>50</v>
      </c>
      <c r="HQ57" s="191"/>
      <c r="HR57" s="191"/>
      <c r="HS57" s="191">
        <v>50</v>
      </c>
      <c r="HT57" s="191"/>
      <c r="HU57" s="191"/>
      <c r="HV57" s="191"/>
      <c r="HW57" s="191">
        <v>50</v>
      </c>
      <c r="HX57" s="191"/>
      <c r="HY57" s="191"/>
      <c r="HZ57" s="193">
        <v>10</v>
      </c>
      <c r="IA57" s="194"/>
      <c r="IB57" s="191"/>
      <c r="IC57" s="191"/>
      <c r="ID57" s="191">
        <v>150</v>
      </c>
      <c r="IE57" s="191"/>
      <c r="IF57" s="191"/>
      <c r="IG57" s="191">
        <v>100</v>
      </c>
      <c r="IH57" s="191"/>
      <c r="II57" s="191"/>
      <c r="IJ57" s="191"/>
      <c r="IK57" s="191">
        <v>10</v>
      </c>
      <c r="IL57" s="191"/>
      <c r="IM57" s="191"/>
      <c r="IN57" s="191"/>
      <c r="IO57" s="191"/>
      <c r="IP57" s="191"/>
      <c r="IQ57" s="191"/>
      <c r="IR57" s="191">
        <v>50</v>
      </c>
      <c r="IS57" s="191"/>
      <c r="IT57" s="191"/>
      <c r="IU57" s="191">
        <v>10</v>
      </c>
      <c r="IV57" s="191"/>
      <c r="IW57" s="191"/>
      <c r="IX57" s="191"/>
      <c r="IY57" s="191">
        <v>100</v>
      </c>
      <c r="IZ57" s="191"/>
      <c r="JA57" s="191"/>
      <c r="JB57" s="191">
        <v>50</v>
      </c>
      <c r="JC57" s="191"/>
      <c r="JD57" s="191"/>
      <c r="JE57" s="192"/>
      <c r="JF57" s="190">
        <v>50</v>
      </c>
      <c r="JG57" s="191"/>
      <c r="JH57" s="191"/>
      <c r="JI57" s="191">
        <v>50</v>
      </c>
      <c r="JJ57" s="191"/>
      <c r="JK57" s="191"/>
      <c r="JL57" s="191"/>
      <c r="JM57" s="191"/>
      <c r="JN57" s="191"/>
      <c r="JO57" s="191"/>
      <c r="JP57" s="191">
        <v>150</v>
      </c>
      <c r="JQ57" s="191"/>
      <c r="JR57" s="191"/>
      <c r="JS57" s="191"/>
      <c r="JT57" s="191">
        <v>50</v>
      </c>
      <c r="JU57" s="191"/>
      <c r="JV57" s="191"/>
      <c r="JW57" s="191">
        <v>100</v>
      </c>
      <c r="JX57" s="191"/>
      <c r="JY57" s="191"/>
      <c r="JZ57" s="191">
        <v>10</v>
      </c>
      <c r="KA57" s="191"/>
      <c r="KB57" s="191"/>
      <c r="KC57" s="191"/>
      <c r="KD57" s="191">
        <v>100</v>
      </c>
      <c r="KE57" s="191"/>
      <c r="KF57" s="191"/>
      <c r="KG57" s="191"/>
      <c r="KH57" s="191">
        <v>10</v>
      </c>
      <c r="KI57" s="191"/>
      <c r="KJ57" s="193"/>
      <c r="KK57" s="194">
        <v>10</v>
      </c>
      <c r="KL57" s="191"/>
      <c r="KM57" s="191"/>
      <c r="KN57" s="191"/>
      <c r="KO57" s="191">
        <v>10</v>
      </c>
      <c r="KP57" s="191"/>
      <c r="KQ57" s="191"/>
      <c r="KR57" s="191">
        <v>10</v>
      </c>
      <c r="KS57" s="191"/>
      <c r="KT57" s="191"/>
      <c r="KU57" s="191"/>
      <c r="KV57" s="191">
        <v>10</v>
      </c>
      <c r="KW57" s="191"/>
      <c r="KX57" s="191"/>
      <c r="KY57" s="191">
        <v>10</v>
      </c>
      <c r="KZ57" s="191"/>
      <c r="LA57" s="191"/>
      <c r="LB57" s="191"/>
      <c r="LC57" s="191">
        <v>50</v>
      </c>
      <c r="LD57" s="191"/>
      <c r="LE57" s="191"/>
      <c r="LF57" s="191">
        <v>50</v>
      </c>
      <c r="LG57" s="191"/>
      <c r="LH57" s="191"/>
      <c r="LI57" s="191"/>
      <c r="LJ57" s="191">
        <v>50</v>
      </c>
      <c r="LK57" s="191"/>
      <c r="LL57" s="191"/>
      <c r="LM57" s="191"/>
      <c r="LN57" s="192"/>
      <c r="LO57" s="190"/>
      <c r="LP57" s="191"/>
      <c r="LQ57" s="191">
        <v>50</v>
      </c>
      <c r="LR57" s="191"/>
      <c r="LS57" s="191"/>
      <c r="LT57" s="191">
        <v>50</v>
      </c>
      <c r="LU57" s="191"/>
      <c r="LV57" s="191"/>
      <c r="LW57" s="191"/>
      <c r="LX57" s="191">
        <v>50</v>
      </c>
      <c r="LY57" s="191"/>
      <c r="LZ57" s="191"/>
      <c r="MA57" s="191">
        <v>10</v>
      </c>
      <c r="MB57" s="191"/>
      <c r="MC57" s="191"/>
      <c r="MD57" s="191"/>
      <c r="ME57" s="191">
        <v>10</v>
      </c>
      <c r="MF57" s="191"/>
      <c r="MG57" s="191"/>
      <c r="MH57" s="191">
        <v>10</v>
      </c>
      <c r="MI57" s="191"/>
      <c r="MJ57" s="191"/>
      <c r="MK57" s="191"/>
      <c r="ML57" s="191">
        <v>50</v>
      </c>
      <c r="MM57" s="191"/>
      <c r="MN57" s="191"/>
      <c r="MO57" s="191">
        <v>10</v>
      </c>
      <c r="MP57" s="191"/>
      <c r="MQ57" s="191"/>
      <c r="MR57" s="191"/>
      <c r="MS57" s="193">
        <v>10</v>
      </c>
      <c r="MT57" s="194"/>
      <c r="MU57" s="191"/>
      <c r="MV57" s="191">
        <v>10</v>
      </c>
      <c r="MW57" s="191"/>
      <c r="MX57" s="191"/>
      <c r="MY57" s="191"/>
      <c r="MZ57" s="191">
        <v>10</v>
      </c>
      <c r="NA57" s="191"/>
      <c r="NB57" s="191"/>
      <c r="NC57" s="191">
        <v>100</v>
      </c>
      <c r="ND57" s="191"/>
      <c r="NE57" s="191"/>
      <c r="NF57" s="191"/>
      <c r="NG57" s="191">
        <v>100</v>
      </c>
      <c r="NH57" s="191"/>
      <c r="NI57" s="191"/>
      <c r="NJ57" s="191">
        <v>10</v>
      </c>
      <c r="NK57" s="191"/>
      <c r="NL57" s="191"/>
      <c r="NM57" s="191"/>
      <c r="NN57" s="191">
        <v>10</v>
      </c>
      <c r="NO57" s="191"/>
      <c r="NP57" s="191"/>
      <c r="NQ57" s="191">
        <v>10</v>
      </c>
      <c r="NR57" s="191"/>
      <c r="NS57" s="191"/>
      <c r="NT57" s="191"/>
      <c r="NU57" s="191">
        <v>50</v>
      </c>
      <c r="NV57" s="191"/>
      <c r="NW57" s="192"/>
      <c r="NX57" s="190">
        <v>50</v>
      </c>
      <c r="NY57" s="191"/>
      <c r="NZ57" s="191"/>
      <c r="OA57" s="191"/>
      <c r="OB57" s="191">
        <v>50</v>
      </c>
      <c r="OC57" s="191"/>
      <c r="OD57" s="191"/>
      <c r="OE57" s="191">
        <v>10</v>
      </c>
      <c r="OF57" s="191"/>
      <c r="OG57" s="191"/>
      <c r="OH57" s="191"/>
      <c r="OI57" s="191">
        <v>100</v>
      </c>
      <c r="OJ57" s="191"/>
      <c r="OK57" s="191"/>
      <c r="OL57" s="191"/>
      <c r="OM57" s="191"/>
      <c r="ON57" s="191"/>
      <c r="OO57" s="191"/>
      <c r="OP57" s="191"/>
      <c r="OQ57" s="191"/>
      <c r="OR57" s="191"/>
      <c r="OS57" s="191"/>
      <c r="OT57" s="191"/>
      <c r="OU57" s="191"/>
      <c r="OV57" s="191"/>
      <c r="OW57" s="191"/>
      <c r="OX57" s="191"/>
      <c r="OY57" s="191"/>
      <c r="OZ57" s="191"/>
      <c r="PA57" s="191"/>
      <c r="PB57" s="193"/>
      <c r="PC57" s="47"/>
      <c r="PD57" s="154" t="s">
        <v>97</v>
      </c>
      <c r="PE57" s="155" t="s">
        <v>98</v>
      </c>
      <c r="PF57" s="155" t="s">
        <v>98</v>
      </c>
      <c r="PG57" s="155" t="s">
        <v>98</v>
      </c>
      <c r="PH57" s="155" t="s">
        <v>98</v>
      </c>
      <c r="PI57" s="155" t="s">
        <v>98</v>
      </c>
      <c r="PJ57" s="155" t="s">
        <v>98</v>
      </c>
      <c r="PK57" s="155" t="s">
        <v>98</v>
      </c>
      <c r="PL57" s="155" t="s">
        <v>98</v>
      </c>
      <c r="PM57" s="155" t="s">
        <v>98</v>
      </c>
      <c r="PN57" s="155" t="s">
        <v>98</v>
      </c>
      <c r="PO57" s="156"/>
      <c r="PP57" s="156"/>
      <c r="PQ57" s="156"/>
      <c r="PR57" s="156"/>
      <c r="PS57" s="156"/>
      <c r="PT57" s="156"/>
      <c r="PU57" s="156"/>
      <c r="PV57" s="156"/>
      <c r="PW57" s="156"/>
      <c r="PX57" s="195"/>
      <c r="PY57" s="1"/>
      <c r="PZ57" s="196">
        <f t="shared" si="20"/>
        <v>420</v>
      </c>
      <c r="QA57" s="176">
        <f t="shared" si="21"/>
        <v>3.5037957787603237E-3</v>
      </c>
      <c r="QB57" s="177" t="str">
        <f t="shared" ca="1" si="22"/>
        <v>Attente…</v>
      </c>
      <c r="QC57" s="197">
        <f t="shared" si="23"/>
        <v>370</v>
      </c>
      <c r="QD57" s="179">
        <f t="shared" si="24"/>
        <v>3.4644194756554307E-3</v>
      </c>
      <c r="QE57" s="180" t="str">
        <f t="shared" ca="1" si="25"/>
        <v>Attente…</v>
      </c>
      <c r="QF57" s="196">
        <f t="shared" si="26"/>
        <v>600</v>
      </c>
      <c r="QG57" s="176">
        <f t="shared" si="27"/>
        <v>4.7778308647873869E-3</v>
      </c>
      <c r="QH57" s="177" t="str">
        <f t="shared" ca="1" si="28"/>
        <v>Attente…</v>
      </c>
      <c r="QI57" s="197">
        <f t="shared" si="29"/>
        <v>560</v>
      </c>
      <c r="QJ57" s="179">
        <f t="shared" si="30"/>
        <v>3.9276195819890588E-3</v>
      </c>
      <c r="QK57" s="180" t="str">
        <f t="shared" ca="1" si="31"/>
        <v>Attente…</v>
      </c>
      <c r="QL57" s="196">
        <f t="shared" si="32"/>
        <v>470</v>
      </c>
      <c r="QM57" s="176">
        <f t="shared" si="33"/>
        <v>3.4386889083991806E-3</v>
      </c>
      <c r="QN57" s="177" t="str">
        <f t="shared" ca="1" si="34"/>
        <v>Attente…</v>
      </c>
      <c r="QO57" s="197">
        <f t="shared" si="35"/>
        <v>300</v>
      </c>
      <c r="QP57" s="179">
        <f t="shared" si="36"/>
        <v>2.3487042981288654E-3</v>
      </c>
      <c r="QQ57" s="180" t="str">
        <f t="shared" ca="1" si="37"/>
        <v>Attente…</v>
      </c>
      <c r="QR57" s="196">
        <f t="shared" si="38"/>
        <v>470</v>
      </c>
      <c r="QS57" s="176">
        <f t="shared" si="39"/>
        <v>3.3836075015298227E-3</v>
      </c>
      <c r="QT57" s="177" t="str">
        <f t="shared" ca="1" si="40"/>
        <v>Attente…</v>
      </c>
      <c r="QU57" s="197">
        <f t="shared" si="41"/>
        <v>520</v>
      </c>
      <c r="QV57" s="179">
        <f t="shared" si="42"/>
        <v>3.5852178709321566E-3</v>
      </c>
      <c r="QW57" s="180" t="str">
        <f t="shared" ca="1" si="43"/>
        <v>Attente…</v>
      </c>
      <c r="QX57" s="196">
        <f t="shared" si="44"/>
        <v>200</v>
      </c>
      <c r="QY57" s="176">
        <f t="shared" si="45"/>
        <v>1.459470504101112E-3</v>
      </c>
      <c r="QZ57" s="177" t="str">
        <f t="shared" ca="1" si="46"/>
        <v>Attente…</v>
      </c>
      <c r="RA57" s="197">
        <f t="shared" si="47"/>
        <v>250</v>
      </c>
      <c r="RB57" s="179">
        <f t="shared" si="48"/>
        <v>1.9560284797746656E-3</v>
      </c>
      <c r="RC57" s="180" t="str">
        <f t="shared" ca="1" si="49"/>
        <v>Attente…</v>
      </c>
      <c r="RD57" s="196">
        <f t="shared" si="50"/>
        <v>300</v>
      </c>
      <c r="RE57" s="176">
        <f t="shared" si="51"/>
        <v>2.9892387405340772E-3</v>
      </c>
      <c r="RF57" s="177" t="str">
        <f t="shared" ca="1" si="52"/>
        <v>Attente…</v>
      </c>
      <c r="RG57" s="197">
        <f t="shared" si="53"/>
        <v>210</v>
      </c>
      <c r="RH57" s="179">
        <f t="shared" si="54"/>
        <v>3.8624241309545707E-3</v>
      </c>
      <c r="RI57" s="198" t="str">
        <f t="shared" ca="1" si="55"/>
        <v>Attente…</v>
      </c>
      <c r="RJ57" s="199">
        <f t="shared" si="56"/>
        <v>1390</v>
      </c>
      <c r="RK57" s="200" t="str">
        <f t="shared" ca="1" si="13"/>
        <v>Attente…</v>
      </c>
      <c r="RL57" s="199">
        <f t="shared" si="57"/>
        <v>1330</v>
      </c>
      <c r="RM57" s="200" t="str">
        <f t="shared" ca="1" si="58"/>
        <v>Atttente…</v>
      </c>
      <c r="RN57" s="199">
        <f t="shared" si="59"/>
        <v>1190</v>
      </c>
      <c r="RO57" s="200" t="str">
        <f t="shared" ca="1" si="14"/>
        <v>Attente…</v>
      </c>
      <c r="RP57" s="199">
        <f t="shared" si="60"/>
        <v>760</v>
      </c>
      <c r="RQ57" s="200" t="str">
        <f t="shared" ca="1" si="15"/>
        <v>Attente…</v>
      </c>
      <c r="RR57" s="201">
        <f t="shared" si="61"/>
        <v>4670</v>
      </c>
      <c r="RS57" s="202" t="str">
        <f t="shared" ca="1" si="16"/>
        <v>Attente…</v>
      </c>
      <c r="RT57" s="103"/>
      <c r="RU57" s="203">
        <f t="shared" si="62"/>
        <v>0.25107526881720432</v>
      </c>
      <c r="RV57" s="204">
        <f t="shared" si="65"/>
        <v>1</v>
      </c>
      <c r="RW57" s="204">
        <f t="shared" si="65"/>
        <v>2</v>
      </c>
      <c r="RX57" s="204">
        <f t="shared" si="63"/>
        <v>93</v>
      </c>
      <c r="RY57" s="205" t="str">
        <f t="shared" si="64"/>
        <v>AMFREVILLE-LA-MI-VOIE - 25 rue François Mitterrand</v>
      </c>
      <c r="RZ57" s="189" t="str">
        <f>IF(OR(RZ56="",RZ56="  &lt;/Document&gt;
&lt;/kml&gt;"),"",
IF(B57="","  &lt;/Document&gt;
&lt;/kml&gt;",
IF(TournéesCAV!Q48=""," ",
"    &lt;Placemark&gt;
      &lt;description&gt;&lt;![CDATA["&amp;B57&amp;"&lt;br&gt;&lt;br&gt;"&amp;RV57&amp;" CAV&lt;br&gt;&lt;br&gt;Présent sur "&amp;RW57&amp;" tournée(s)&lt;br&gt;&lt;br&gt;Taux de remplissage moyen "&amp;TEXT(RU57*1000,"0 %")&amp;"]]&gt;&lt;/description&gt;
      &lt;Style&gt;
        &lt;IconStyle&gt;
          &lt;color&gt;ff"&amp;
          DEC2HEX(0,2)&amp;
          DEC2HEX(
            IF(RU57&lt;=0.5,
               INT(255*(RU57*2)),
               255
            ),2)&amp;
          DEC2HEX(
            IF(RU57&lt;=0.5,
               255,
               INT(255*(1-(RU57-0.5)*2))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&lt;Point&gt;&lt;coordinates&gt;"&amp;R57&amp;","&amp;Q57&amp;",0&lt;/coordinates&gt;&lt;/Point&gt;
    &lt;/Placemark&gt;"
)))</f>
        <v xml:space="preserve">    &lt;Placemark&gt;
      &lt;description&gt;&lt;![CDATA[AMFREVILLE-LA-MI-VOIE - 25 rue François Mitterrand&lt;br&gt;&lt;br&gt;1 CAV&lt;br&gt;&lt;br&gt;Présent sur 2 tournée(s)&lt;br&gt;&lt;br&gt;Taux de remplissage moyen 25%]]&gt;&lt;/description&gt;
      &lt;Style&gt;
        &lt;IconStyle&gt;
          &lt;color&gt;ff0080FF&lt;/color&gt;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&lt;Point&gt;&lt;coordinates&gt;1.1257119,49.397001,0&lt;/coordinates&gt;&lt;/Point&gt;
    &lt;/Placemark&gt;</v>
      </c>
    </row>
    <row r="58" spans="2:494" ht="15" hidden="1" customHeight="1" x14ac:dyDescent="0.35">
      <c r="B58" s="153" t="str">
        <f t="shared" si="17"/>
        <v>LE TRAIT - Boulevard Industriel (Déchetterie LE TRAIT)</v>
      </c>
      <c r="C58" s="154">
        <v>6</v>
      </c>
      <c r="D58" s="155"/>
      <c r="E58" s="155"/>
      <c r="F58" s="155"/>
      <c r="G58" s="155"/>
      <c r="H58" s="155"/>
      <c r="I58" s="155"/>
      <c r="J58" s="156"/>
      <c r="K58" s="157">
        <f t="shared" si="18"/>
        <v>1</v>
      </c>
      <c r="L58" s="157">
        <f t="shared" si="19"/>
        <v>1</v>
      </c>
      <c r="M58" s="158" t="s">
        <v>377</v>
      </c>
      <c r="N58" s="159" t="s">
        <v>378</v>
      </c>
      <c r="O58" s="159">
        <v>76580</v>
      </c>
      <c r="P58" s="159" t="s">
        <v>379</v>
      </c>
      <c r="Q58" s="159" t="s">
        <v>380</v>
      </c>
      <c r="R58" s="159" t="s">
        <v>381</v>
      </c>
      <c r="S58" s="159" t="s">
        <v>93</v>
      </c>
      <c r="T58" s="159" t="s">
        <v>159</v>
      </c>
      <c r="U58" s="159" t="s">
        <v>382</v>
      </c>
      <c r="V58" s="160" t="s">
        <v>96</v>
      </c>
      <c r="W58" s="161"/>
      <c r="X58" s="162"/>
      <c r="Y58" s="163"/>
      <c r="Z58" s="162"/>
      <c r="AA58" s="163"/>
      <c r="AB58" s="162"/>
      <c r="AC58" s="163">
        <v>8</v>
      </c>
      <c r="AD58" s="162"/>
      <c r="AE58" s="163"/>
      <c r="AF58" s="162"/>
      <c r="AG58" s="163"/>
      <c r="AH58" s="163"/>
      <c r="AI58" s="162"/>
      <c r="AJ58" s="163"/>
      <c r="AK58" s="162"/>
      <c r="AL58" s="163"/>
      <c r="AM58" s="162"/>
      <c r="AN58" s="163"/>
      <c r="AO58" s="162"/>
      <c r="AP58" s="164"/>
      <c r="AQ58" s="164"/>
      <c r="AR58" s="164"/>
      <c r="AS58" s="164"/>
      <c r="AT58" s="164"/>
      <c r="AU58" s="164"/>
      <c r="AV58" s="164"/>
      <c r="AW58" s="164"/>
      <c r="AX58" s="164"/>
      <c r="AY58" s="165"/>
      <c r="AZ58" s="41"/>
      <c r="BA58" s="190"/>
      <c r="BB58" s="191"/>
      <c r="BC58" s="191"/>
      <c r="BD58" s="191"/>
      <c r="BE58" s="191"/>
      <c r="BF58" s="191"/>
      <c r="BG58" s="191">
        <v>10</v>
      </c>
      <c r="BH58" s="191"/>
      <c r="BI58" s="191"/>
      <c r="BJ58" s="191"/>
      <c r="BK58" s="191"/>
      <c r="BL58" s="191"/>
      <c r="BM58" s="191"/>
      <c r="BN58" s="191">
        <v>50</v>
      </c>
      <c r="BO58" s="191"/>
      <c r="BP58" s="191"/>
      <c r="BQ58" s="191"/>
      <c r="BR58" s="191"/>
      <c r="BS58" s="191"/>
      <c r="BT58" s="191"/>
      <c r="BU58" s="191">
        <v>100</v>
      </c>
      <c r="BV58" s="191"/>
      <c r="BW58" s="191"/>
      <c r="BX58" s="191"/>
      <c r="BY58" s="191"/>
      <c r="BZ58" s="191"/>
      <c r="CA58" s="191"/>
      <c r="CB58" s="191">
        <v>100</v>
      </c>
      <c r="CC58" s="191"/>
      <c r="CD58" s="191"/>
      <c r="CE58" s="192"/>
      <c r="CF58" s="190"/>
      <c r="CG58" s="191"/>
      <c r="CH58" s="191"/>
      <c r="CI58" s="191">
        <v>10</v>
      </c>
      <c r="CJ58" s="191"/>
      <c r="CK58" s="191"/>
      <c r="CL58" s="191"/>
      <c r="CM58" s="191"/>
      <c r="CN58" s="191"/>
      <c r="CO58" s="191"/>
      <c r="CP58" s="191">
        <v>50</v>
      </c>
      <c r="CQ58" s="191"/>
      <c r="CR58" s="191"/>
      <c r="CS58" s="191"/>
      <c r="CT58" s="191"/>
      <c r="CU58" s="191"/>
      <c r="CV58" s="191"/>
      <c r="CW58" s="191"/>
      <c r="CX58" s="191"/>
      <c r="CY58" s="191"/>
      <c r="CZ58" s="191"/>
      <c r="DA58" s="191"/>
      <c r="DB58" s="191"/>
      <c r="DC58" s="191"/>
      <c r="DD58" s="191">
        <v>100</v>
      </c>
      <c r="DE58" s="191"/>
      <c r="DF58" s="191"/>
      <c r="DG58" s="191"/>
      <c r="DH58" s="193"/>
      <c r="DI58" s="194"/>
      <c r="DJ58" s="191"/>
      <c r="DK58" s="191"/>
      <c r="DL58" s="191">
        <v>100</v>
      </c>
      <c r="DM58" s="191"/>
      <c r="DN58" s="191"/>
      <c r="DO58" s="191"/>
      <c r="DP58" s="191"/>
      <c r="DQ58" s="191"/>
      <c r="DR58" s="191"/>
      <c r="DS58" s="191">
        <v>100</v>
      </c>
      <c r="DT58" s="191"/>
      <c r="DU58" s="191"/>
      <c r="DV58" s="191"/>
      <c r="DW58" s="191"/>
      <c r="DX58" s="191"/>
      <c r="DY58" s="191"/>
      <c r="DZ58" s="191">
        <v>100</v>
      </c>
      <c r="EA58" s="191"/>
      <c r="EB58" s="191"/>
      <c r="EC58" s="191"/>
      <c r="ED58" s="191"/>
      <c r="EE58" s="191"/>
      <c r="EF58" s="191"/>
      <c r="EG58" s="191">
        <v>100</v>
      </c>
      <c r="EH58" s="191"/>
      <c r="EI58" s="191"/>
      <c r="EJ58" s="191"/>
      <c r="EK58" s="191"/>
      <c r="EL58" s="191"/>
      <c r="EM58" s="192"/>
      <c r="EN58" s="190">
        <v>100</v>
      </c>
      <c r="EO58" s="191"/>
      <c r="EP58" s="191"/>
      <c r="EQ58" s="191"/>
      <c r="ER58" s="191"/>
      <c r="ES58" s="191"/>
      <c r="ET58" s="191"/>
      <c r="EU58" s="191">
        <v>200</v>
      </c>
      <c r="EV58" s="191"/>
      <c r="EW58" s="191"/>
      <c r="EX58" s="191"/>
      <c r="EY58" s="191"/>
      <c r="EZ58" s="191"/>
      <c r="FA58" s="191"/>
      <c r="FB58" s="191">
        <v>200</v>
      </c>
      <c r="FC58" s="191"/>
      <c r="FD58" s="191"/>
      <c r="FE58" s="191"/>
      <c r="FF58" s="191"/>
      <c r="FG58" s="191"/>
      <c r="FH58" s="191"/>
      <c r="FI58" s="191"/>
      <c r="FJ58" s="191"/>
      <c r="FK58" s="191">
        <v>100</v>
      </c>
      <c r="FL58" s="191"/>
      <c r="FM58" s="191"/>
      <c r="FN58" s="191"/>
      <c r="FO58" s="191"/>
      <c r="FP58" s="191"/>
      <c r="FQ58" s="193"/>
      <c r="FR58" s="194"/>
      <c r="FS58" s="191"/>
      <c r="FT58" s="191"/>
      <c r="FU58" s="191"/>
      <c r="FV58" s="191"/>
      <c r="FW58" s="191">
        <v>200</v>
      </c>
      <c r="FX58" s="191"/>
      <c r="FY58" s="191"/>
      <c r="FZ58" s="191"/>
      <c r="GA58" s="191"/>
      <c r="GB58" s="191"/>
      <c r="GC58" s="191"/>
      <c r="GD58" s="191">
        <v>150</v>
      </c>
      <c r="GE58" s="191"/>
      <c r="GF58" s="191"/>
      <c r="GG58" s="191"/>
      <c r="GH58" s="191"/>
      <c r="GI58" s="191"/>
      <c r="GJ58" s="191"/>
      <c r="GK58" s="191">
        <v>100</v>
      </c>
      <c r="GL58" s="191"/>
      <c r="GM58" s="191"/>
      <c r="GN58" s="191"/>
      <c r="GO58" s="191"/>
      <c r="GP58" s="191"/>
      <c r="GQ58" s="191"/>
      <c r="GR58" s="191">
        <v>50</v>
      </c>
      <c r="GS58" s="191"/>
      <c r="GT58" s="191"/>
      <c r="GU58" s="191"/>
      <c r="GV58" s="192"/>
      <c r="GW58" s="190"/>
      <c r="GX58" s="191"/>
      <c r="GY58" s="191">
        <v>50</v>
      </c>
      <c r="GZ58" s="191"/>
      <c r="HA58" s="191"/>
      <c r="HB58" s="191"/>
      <c r="HC58" s="191"/>
      <c r="HD58" s="191"/>
      <c r="HE58" s="191"/>
      <c r="HF58" s="191"/>
      <c r="HG58" s="191"/>
      <c r="HH58" s="191">
        <v>50</v>
      </c>
      <c r="HI58" s="191"/>
      <c r="HJ58" s="191"/>
      <c r="HK58" s="191"/>
      <c r="HL58" s="191"/>
      <c r="HM58" s="191"/>
      <c r="HN58" s="191"/>
      <c r="HO58" s="191"/>
      <c r="HP58" s="191">
        <v>200</v>
      </c>
      <c r="HQ58" s="191"/>
      <c r="HR58" s="191"/>
      <c r="HS58" s="191"/>
      <c r="HT58" s="191">
        <v>100</v>
      </c>
      <c r="HU58" s="191"/>
      <c r="HV58" s="191"/>
      <c r="HW58" s="191"/>
      <c r="HX58" s="191"/>
      <c r="HY58" s="191"/>
      <c r="HZ58" s="193"/>
      <c r="IA58" s="194">
        <v>100</v>
      </c>
      <c r="IB58" s="191"/>
      <c r="IC58" s="191"/>
      <c r="ID58" s="191"/>
      <c r="IE58" s="191"/>
      <c r="IF58" s="191"/>
      <c r="IG58" s="191"/>
      <c r="IH58" s="191">
        <v>50</v>
      </c>
      <c r="II58" s="191"/>
      <c r="IJ58" s="191"/>
      <c r="IK58" s="191"/>
      <c r="IL58" s="191"/>
      <c r="IM58" s="191"/>
      <c r="IN58" s="191"/>
      <c r="IO58" s="191"/>
      <c r="IP58" s="191"/>
      <c r="IQ58" s="191"/>
      <c r="IR58" s="191"/>
      <c r="IS58" s="191"/>
      <c r="IT58" s="191"/>
      <c r="IU58" s="191"/>
      <c r="IV58" s="191">
        <v>150</v>
      </c>
      <c r="IW58" s="191"/>
      <c r="IX58" s="191"/>
      <c r="IY58" s="191"/>
      <c r="IZ58" s="191"/>
      <c r="JA58" s="191"/>
      <c r="JB58" s="191"/>
      <c r="JC58" s="191"/>
      <c r="JD58" s="191"/>
      <c r="JE58" s="192">
        <v>150</v>
      </c>
      <c r="JF58" s="190"/>
      <c r="JG58" s="191"/>
      <c r="JH58" s="191"/>
      <c r="JI58" s="191"/>
      <c r="JJ58" s="191">
        <v>150</v>
      </c>
      <c r="JK58" s="191"/>
      <c r="JL58" s="191"/>
      <c r="JM58" s="191"/>
      <c r="JN58" s="191"/>
      <c r="JO58" s="191"/>
      <c r="JP58" s="191"/>
      <c r="JQ58" s="191">
        <v>100</v>
      </c>
      <c r="JR58" s="191"/>
      <c r="JS58" s="191"/>
      <c r="JT58" s="191"/>
      <c r="JU58" s="191"/>
      <c r="JV58" s="191"/>
      <c r="JW58" s="191"/>
      <c r="JX58" s="191"/>
      <c r="JY58" s="191"/>
      <c r="JZ58" s="191"/>
      <c r="KA58" s="191"/>
      <c r="KB58" s="191"/>
      <c r="KC58" s="191"/>
      <c r="KD58" s="191"/>
      <c r="KE58" s="191">
        <v>150</v>
      </c>
      <c r="KF58" s="191"/>
      <c r="KG58" s="191"/>
      <c r="KH58" s="191"/>
      <c r="KI58" s="191"/>
      <c r="KJ58" s="193"/>
      <c r="KK58" s="194"/>
      <c r="KL58" s="191">
        <v>100</v>
      </c>
      <c r="KM58" s="191"/>
      <c r="KN58" s="191"/>
      <c r="KO58" s="191"/>
      <c r="KP58" s="191"/>
      <c r="KQ58" s="191"/>
      <c r="KR58" s="191"/>
      <c r="KS58" s="191">
        <v>100</v>
      </c>
      <c r="KT58" s="191"/>
      <c r="KU58" s="191"/>
      <c r="KV58" s="191"/>
      <c r="KW58" s="191"/>
      <c r="KX58" s="191"/>
      <c r="KY58" s="191"/>
      <c r="KZ58" s="191">
        <v>150</v>
      </c>
      <c r="LA58" s="191"/>
      <c r="LB58" s="191"/>
      <c r="LC58" s="191"/>
      <c r="LD58" s="191"/>
      <c r="LE58" s="191"/>
      <c r="LF58" s="191"/>
      <c r="LG58" s="191">
        <v>50</v>
      </c>
      <c r="LH58" s="191"/>
      <c r="LI58" s="191"/>
      <c r="LJ58" s="191"/>
      <c r="LK58" s="191"/>
      <c r="LL58" s="191"/>
      <c r="LM58" s="191"/>
      <c r="LN58" s="192">
        <v>100</v>
      </c>
      <c r="LO58" s="190"/>
      <c r="LP58" s="191"/>
      <c r="LQ58" s="191"/>
      <c r="LR58" s="191"/>
      <c r="LS58" s="191"/>
      <c r="LT58" s="191"/>
      <c r="LU58" s="191">
        <v>100</v>
      </c>
      <c r="LV58" s="191"/>
      <c r="LW58" s="191"/>
      <c r="LX58" s="191"/>
      <c r="LY58" s="191"/>
      <c r="LZ58" s="191"/>
      <c r="MA58" s="191"/>
      <c r="MB58" s="191"/>
      <c r="MC58" s="191"/>
      <c r="MD58" s="191">
        <v>50</v>
      </c>
      <c r="ME58" s="191"/>
      <c r="MF58" s="191"/>
      <c r="MG58" s="191"/>
      <c r="MH58" s="191"/>
      <c r="MI58" s="191">
        <v>50</v>
      </c>
      <c r="MJ58" s="191"/>
      <c r="MK58" s="191"/>
      <c r="ML58" s="191"/>
      <c r="MM58" s="191"/>
      <c r="MN58" s="191"/>
      <c r="MO58" s="191"/>
      <c r="MP58" s="191">
        <v>50</v>
      </c>
      <c r="MQ58" s="191"/>
      <c r="MR58" s="191"/>
      <c r="MS58" s="193"/>
      <c r="MT58" s="194"/>
      <c r="MU58" s="191"/>
      <c r="MV58" s="191"/>
      <c r="MW58" s="191"/>
      <c r="MX58" s="191"/>
      <c r="MY58" s="191"/>
      <c r="MZ58" s="191"/>
      <c r="NA58" s="191"/>
      <c r="NB58" s="191"/>
      <c r="NC58" s="191"/>
      <c r="ND58" s="191"/>
      <c r="NE58" s="191"/>
      <c r="NF58" s="191"/>
      <c r="NG58" s="191"/>
      <c r="NH58" s="191"/>
      <c r="NI58" s="191"/>
      <c r="NJ58" s="191"/>
      <c r="NK58" s="191">
        <v>200</v>
      </c>
      <c r="NL58" s="191"/>
      <c r="NM58" s="191"/>
      <c r="NN58" s="191"/>
      <c r="NO58" s="191"/>
      <c r="NP58" s="191"/>
      <c r="NQ58" s="191"/>
      <c r="NR58" s="191">
        <v>100</v>
      </c>
      <c r="NS58" s="191"/>
      <c r="NT58" s="191"/>
      <c r="NU58" s="191"/>
      <c r="NV58" s="191"/>
      <c r="NW58" s="192"/>
      <c r="NX58" s="190"/>
      <c r="NY58" s="191">
        <v>100</v>
      </c>
      <c r="NZ58" s="191"/>
      <c r="OA58" s="191"/>
      <c r="OB58" s="191"/>
      <c r="OC58" s="191"/>
      <c r="OD58" s="191"/>
      <c r="OE58" s="191"/>
      <c r="OF58" s="191">
        <v>100</v>
      </c>
      <c r="OG58" s="191"/>
      <c r="OH58" s="191"/>
      <c r="OI58" s="191"/>
      <c r="OJ58" s="191"/>
      <c r="OK58" s="191"/>
      <c r="OL58" s="191"/>
      <c r="OM58" s="191"/>
      <c r="ON58" s="191"/>
      <c r="OO58" s="191"/>
      <c r="OP58" s="191"/>
      <c r="OQ58" s="191"/>
      <c r="OR58" s="191"/>
      <c r="OS58" s="191"/>
      <c r="OT58" s="191"/>
      <c r="OU58" s="191"/>
      <c r="OV58" s="191"/>
      <c r="OW58" s="191"/>
      <c r="OX58" s="191"/>
      <c r="OY58" s="191"/>
      <c r="OZ58" s="191"/>
      <c r="PA58" s="191"/>
      <c r="PB58" s="193"/>
      <c r="PC58" s="47"/>
      <c r="PD58" s="154" t="s">
        <v>97</v>
      </c>
      <c r="PE58" s="155" t="s">
        <v>97</v>
      </c>
      <c r="PF58" s="155" t="s">
        <v>98</v>
      </c>
      <c r="PG58" s="155" t="s">
        <v>98</v>
      </c>
      <c r="PH58" s="155" t="s">
        <v>98</v>
      </c>
      <c r="PI58" s="155" t="s">
        <v>98</v>
      </c>
      <c r="PJ58" s="155" t="s">
        <v>98</v>
      </c>
      <c r="PK58" s="155" t="s">
        <v>98</v>
      </c>
      <c r="PL58" s="155" t="s">
        <v>98</v>
      </c>
      <c r="PM58" s="155" t="s">
        <v>98</v>
      </c>
      <c r="PN58" s="155" t="s">
        <v>98</v>
      </c>
      <c r="PO58" s="156"/>
      <c r="PP58" s="156"/>
      <c r="PQ58" s="156"/>
      <c r="PR58" s="156"/>
      <c r="PS58" s="156"/>
      <c r="PT58" s="156"/>
      <c r="PU58" s="156"/>
      <c r="PV58" s="156"/>
      <c r="PW58" s="156"/>
      <c r="PX58" s="195"/>
      <c r="PY58" s="1"/>
      <c r="PZ58" s="196">
        <f t="shared" si="20"/>
        <v>260</v>
      </c>
      <c r="QA58" s="176">
        <f t="shared" si="21"/>
        <v>2.1690164344706766E-3</v>
      </c>
      <c r="QB58" s="177" t="str">
        <f t="shared" ca="1" si="22"/>
        <v>Attente…</v>
      </c>
      <c r="QC58" s="197">
        <f t="shared" si="23"/>
        <v>160</v>
      </c>
      <c r="QD58" s="179">
        <f t="shared" si="24"/>
        <v>1.4981273408239701E-3</v>
      </c>
      <c r="QE58" s="180" t="str">
        <f t="shared" ca="1" si="25"/>
        <v>Attente…</v>
      </c>
      <c r="QF58" s="196">
        <f t="shared" si="26"/>
        <v>400</v>
      </c>
      <c r="QG58" s="176">
        <f t="shared" si="27"/>
        <v>3.1852205765249245E-3</v>
      </c>
      <c r="QH58" s="177" t="str">
        <f t="shared" ca="1" si="28"/>
        <v>Attente…</v>
      </c>
      <c r="QI58" s="197">
        <f t="shared" si="29"/>
        <v>600</v>
      </c>
      <c r="QJ58" s="179">
        <f t="shared" si="30"/>
        <v>4.2081638378454198E-3</v>
      </c>
      <c r="QK58" s="180" t="str">
        <f t="shared" ca="1" si="31"/>
        <v>Attente…</v>
      </c>
      <c r="QL58" s="196">
        <f t="shared" si="32"/>
        <v>500</v>
      </c>
      <c r="QM58" s="176">
        <f t="shared" si="33"/>
        <v>3.6581796897863623E-3</v>
      </c>
      <c r="QN58" s="177" t="str">
        <f t="shared" ca="1" si="34"/>
        <v>Attente…</v>
      </c>
      <c r="QO58" s="197">
        <f t="shared" si="35"/>
        <v>400</v>
      </c>
      <c r="QP58" s="179">
        <f t="shared" si="36"/>
        <v>3.1316057308384874E-3</v>
      </c>
      <c r="QQ58" s="180" t="str">
        <f t="shared" ca="1" si="37"/>
        <v>Attente…</v>
      </c>
      <c r="QR58" s="196">
        <f t="shared" si="38"/>
        <v>450</v>
      </c>
      <c r="QS58" s="176">
        <f t="shared" si="39"/>
        <v>3.2396242035923834E-3</v>
      </c>
      <c r="QT58" s="177" t="str">
        <f t="shared" ca="1" si="40"/>
        <v>Attente…</v>
      </c>
      <c r="QU58" s="197">
        <f t="shared" si="41"/>
        <v>400</v>
      </c>
      <c r="QV58" s="179">
        <f t="shared" si="42"/>
        <v>2.7578599007170436E-3</v>
      </c>
      <c r="QW58" s="180" t="str">
        <f t="shared" ca="1" si="43"/>
        <v>Attente…</v>
      </c>
      <c r="QX58" s="196">
        <f t="shared" si="44"/>
        <v>500</v>
      </c>
      <c r="QY58" s="176">
        <f t="shared" si="45"/>
        <v>3.6486762602527803E-3</v>
      </c>
      <c r="QZ58" s="177" t="str">
        <f t="shared" ca="1" si="46"/>
        <v>Attente…</v>
      </c>
      <c r="RA58" s="197">
        <f t="shared" si="47"/>
        <v>250</v>
      </c>
      <c r="RB58" s="179">
        <f t="shared" si="48"/>
        <v>1.9560284797746656E-3</v>
      </c>
      <c r="RC58" s="180" t="str">
        <f t="shared" ca="1" si="49"/>
        <v>Attente…</v>
      </c>
      <c r="RD58" s="196">
        <f t="shared" si="50"/>
        <v>300</v>
      </c>
      <c r="RE58" s="176">
        <f t="shared" si="51"/>
        <v>2.9892387405340772E-3</v>
      </c>
      <c r="RF58" s="177" t="str">
        <f t="shared" ca="1" si="52"/>
        <v>Attente…</v>
      </c>
      <c r="RG58" s="197">
        <f t="shared" si="53"/>
        <v>200</v>
      </c>
      <c r="RH58" s="179">
        <f t="shared" si="54"/>
        <v>3.6784991723376862E-3</v>
      </c>
      <c r="RI58" s="198" t="str">
        <f t="shared" ca="1" si="55"/>
        <v>Attente…</v>
      </c>
      <c r="RJ58" s="199">
        <f t="shared" si="56"/>
        <v>820</v>
      </c>
      <c r="RK58" s="200" t="str">
        <f t="shared" ca="1" si="13"/>
        <v>Attente…</v>
      </c>
      <c r="RL58" s="199">
        <f t="shared" si="57"/>
        <v>1500</v>
      </c>
      <c r="RM58" s="200" t="str">
        <f t="shared" ca="1" si="58"/>
        <v>Atttente…</v>
      </c>
      <c r="RN58" s="199">
        <f t="shared" si="59"/>
        <v>1350</v>
      </c>
      <c r="RO58" s="200" t="str">
        <f t="shared" ca="1" si="14"/>
        <v>Attente…</v>
      </c>
      <c r="RP58" s="199">
        <f t="shared" si="60"/>
        <v>750</v>
      </c>
      <c r="RQ58" s="200" t="str">
        <f t="shared" ca="1" si="15"/>
        <v>Attente…</v>
      </c>
      <c r="RR58" s="201">
        <f t="shared" si="61"/>
        <v>4420</v>
      </c>
      <c r="RS58" s="202" t="str">
        <f t="shared" ca="1" si="16"/>
        <v>Attente…</v>
      </c>
      <c r="RT58" s="103"/>
      <c r="RU58" s="203">
        <f t="shared" si="62"/>
        <v>0.51395348837209309</v>
      </c>
      <c r="RV58" s="204">
        <f t="shared" si="65"/>
        <v>1</v>
      </c>
      <c r="RW58" s="204">
        <f t="shared" si="65"/>
        <v>1</v>
      </c>
      <c r="RX58" s="204">
        <f t="shared" si="63"/>
        <v>43</v>
      </c>
      <c r="RY58" s="205" t="str">
        <f t="shared" si="64"/>
        <v>LE TRAIT - Boulevard Industriel (Déchetterie LE TRAIT)</v>
      </c>
      <c r="RZ58" s="189" t="str">
        <f>IF(OR(RZ57="",RZ57="  &lt;/Document&gt;
&lt;/kml&gt;"),"",
IF(B58="","  &lt;/Document&gt;
&lt;/kml&gt;",
IF(TournéesCAV!Q58=""," ",
"    &lt;Placemark&gt;
      &lt;description&gt;&lt;![CDATA["&amp;B58&amp;"&lt;br&gt;&lt;br&gt;"&amp;RV58&amp;" CAV&lt;br&gt;&lt;br&gt;Présent sur "&amp;RW58&amp;" tournée(s)&lt;br&gt;&lt;br&gt;Taux de remplissage moyen "&amp;TEXT(RU58*1000,"0 %")&amp;"]]&gt;&lt;/description&gt;
      &lt;Style&gt;
        &lt;IconStyle&gt;
          &lt;color&gt;ff"&amp;
          DEC2HEX(0,2)&amp;
          DEC2HEX(
            IF(RU58&lt;=0.5,
               INT(255*(RU58*2)),
               255
            ),2)&amp;
          DEC2HEX(
            IF(RU58&lt;=0.5,
               255,
               INT(255*(1-(RU58-0.5)*2))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&lt;Point&gt;&lt;coordinates&gt;"&amp;R58&amp;","&amp;Q58&amp;",0&lt;/coordinates&gt;&lt;/Point&gt;
    &lt;/Placemark&gt;"
)))</f>
        <v xml:space="preserve">    &lt;Placemark&gt;
      &lt;description&gt;&lt;![CDATA[LE TRAIT - Boulevard Industriel (Déchetterie LE TRAIT)&lt;br&gt;&lt;br&gt;1 CAV&lt;br&gt;&lt;br&gt;Présent sur 1 tournée(s)&lt;br&gt;&lt;br&gt;Taux de remplissage moyen 51%]]&gt;&lt;/description&gt;
      &lt;Style&gt;
        &lt;IconStyle&gt;
          &lt;color&gt;ff00FFF7&lt;/color&gt;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&lt;Point&gt;&lt;coordinates&gt;0.7935174407226686,49.486032792820005,0&lt;/coordinates&gt;&lt;/Point&gt;
    &lt;/Placemark&gt;</v>
      </c>
    </row>
    <row r="59" spans="2:494" ht="15" hidden="1" customHeight="1" x14ac:dyDescent="0.35">
      <c r="B59" s="153" t="str">
        <f t="shared" si="17"/>
        <v>LOUVIERS - 2 rue Saint-Jean (CHU - Dans l'enceinte de l'Hôpital - Parking)</v>
      </c>
      <c r="C59" s="154" t="s">
        <v>104</v>
      </c>
      <c r="D59" s="155"/>
      <c r="E59" s="155"/>
      <c r="F59" s="155"/>
      <c r="G59" s="155"/>
      <c r="H59" s="155"/>
      <c r="I59" s="155"/>
      <c r="J59" s="156"/>
      <c r="K59" s="157">
        <f t="shared" si="18"/>
        <v>1</v>
      </c>
      <c r="L59" s="157">
        <f t="shared" si="19"/>
        <v>1</v>
      </c>
      <c r="M59" s="158" t="s">
        <v>383</v>
      </c>
      <c r="N59" s="159" t="s">
        <v>384</v>
      </c>
      <c r="O59" s="159">
        <v>27400</v>
      </c>
      <c r="P59" s="159" t="s">
        <v>385</v>
      </c>
      <c r="Q59" s="159" t="s">
        <v>386</v>
      </c>
      <c r="R59" s="159" t="s">
        <v>387</v>
      </c>
      <c r="S59" s="159"/>
      <c r="T59" s="159" t="s">
        <v>94</v>
      </c>
      <c r="U59" s="159" t="s">
        <v>388</v>
      </c>
      <c r="V59" s="160" t="s">
        <v>21</v>
      </c>
      <c r="W59" s="161"/>
      <c r="X59" s="162"/>
      <c r="Y59" s="163"/>
      <c r="Z59" s="162"/>
      <c r="AA59" s="163"/>
      <c r="AB59" s="162"/>
      <c r="AC59" s="163"/>
      <c r="AD59" s="162"/>
      <c r="AE59" s="163"/>
      <c r="AF59" s="162"/>
      <c r="AG59" s="163"/>
      <c r="AH59" s="163"/>
      <c r="AI59" s="162"/>
      <c r="AJ59" s="163"/>
      <c r="AK59" s="162"/>
      <c r="AL59" s="163">
        <v>2</v>
      </c>
      <c r="AM59" s="162"/>
      <c r="AN59" s="163"/>
      <c r="AO59" s="162"/>
      <c r="AP59" s="164"/>
      <c r="AQ59" s="164"/>
      <c r="AR59" s="164"/>
      <c r="AS59" s="164"/>
      <c r="AT59" s="164"/>
      <c r="AU59" s="164"/>
      <c r="AV59" s="164"/>
      <c r="AW59" s="164"/>
      <c r="AX59" s="164"/>
      <c r="AY59" s="165"/>
      <c r="AZ59" s="41"/>
      <c r="BA59" s="190"/>
      <c r="BB59" s="191"/>
      <c r="BC59" s="191"/>
      <c r="BD59" s="191"/>
      <c r="BE59" s="191"/>
      <c r="BF59" s="191"/>
      <c r="BG59" s="191"/>
      <c r="BH59" s="191">
        <v>10</v>
      </c>
      <c r="BI59" s="191"/>
      <c r="BJ59" s="191"/>
      <c r="BK59" s="191"/>
      <c r="BL59" s="191"/>
      <c r="BM59" s="191"/>
      <c r="BN59" s="191"/>
      <c r="BO59" s="191">
        <v>150</v>
      </c>
      <c r="BP59" s="191"/>
      <c r="BQ59" s="191"/>
      <c r="BR59" s="191"/>
      <c r="BS59" s="191"/>
      <c r="BT59" s="191"/>
      <c r="BU59" s="191"/>
      <c r="BV59" s="191">
        <v>10</v>
      </c>
      <c r="BW59" s="191"/>
      <c r="BX59" s="191"/>
      <c r="BY59" s="191"/>
      <c r="BZ59" s="191"/>
      <c r="CA59" s="191"/>
      <c r="CB59" s="191"/>
      <c r="CC59" s="191">
        <v>50</v>
      </c>
      <c r="CD59" s="191"/>
      <c r="CE59" s="192"/>
      <c r="CF59" s="190"/>
      <c r="CG59" s="191"/>
      <c r="CH59" s="191"/>
      <c r="CI59" s="191"/>
      <c r="CJ59" s="191">
        <v>10</v>
      </c>
      <c r="CK59" s="191"/>
      <c r="CL59" s="191"/>
      <c r="CM59" s="191"/>
      <c r="CN59" s="191"/>
      <c r="CO59" s="191"/>
      <c r="CP59" s="191"/>
      <c r="CQ59" s="191">
        <v>50</v>
      </c>
      <c r="CR59" s="191"/>
      <c r="CS59" s="191"/>
      <c r="CT59" s="191"/>
      <c r="CU59" s="191"/>
      <c r="CV59" s="191"/>
      <c r="CW59" s="191"/>
      <c r="CX59" s="191">
        <v>50</v>
      </c>
      <c r="CY59" s="191"/>
      <c r="CZ59" s="191"/>
      <c r="DA59" s="191"/>
      <c r="DB59" s="191"/>
      <c r="DC59" s="191"/>
      <c r="DD59" s="191"/>
      <c r="DE59" s="191">
        <v>50</v>
      </c>
      <c r="DF59" s="191"/>
      <c r="DG59" s="191"/>
      <c r="DH59" s="193"/>
      <c r="DI59" s="194"/>
      <c r="DJ59" s="191"/>
      <c r="DK59" s="191"/>
      <c r="DL59" s="191"/>
      <c r="DM59" s="191">
        <v>10</v>
      </c>
      <c r="DN59" s="191"/>
      <c r="DO59" s="191"/>
      <c r="DP59" s="191"/>
      <c r="DQ59" s="191"/>
      <c r="DR59" s="191"/>
      <c r="DS59" s="191"/>
      <c r="DT59" s="191">
        <v>10</v>
      </c>
      <c r="DU59" s="191"/>
      <c r="DV59" s="191"/>
      <c r="DW59" s="191"/>
      <c r="DX59" s="191"/>
      <c r="DY59" s="191"/>
      <c r="DZ59" s="191"/>
      <c r="EA59" s="191"/>
      <c r="EB59" s="191"/>
      <c r="EC59" s="191"/>
      <c r="ED59" s="191"/>
      <c r="EE59" s="191"/>
      <c r="EF59" s="191"/>
      <c r="EG59" s="191"/>
      <c r="EH59" s="191">
        <v>50</v>
      </c>
      <c r="EI59" s="191"/>
      <c r="EJ59" s="191"/>
      <c r="EK59" s="191"/>
      <c r="EL59" s="191"/>
      <c r="EM59" s="192"/>
      <c r="EN59" s="190"/>
      <c r="EO59" s="191">
        <v>10</v>
      </c>
      <c r="EP59" s="191"/>
      <c r="EQ59" s="191"/>
      <c r="ER59" s="191"/>
      <c r="ES59" s="191"/>
      <c r="ET59" s="191"/>
      <c r="EU59" s="191"/>
      <c r="EV59" s="191"/>
      <c r="EW59" s="191"/>
      <c r="EX59" s="191"/>
      <c r="EY59" s="191"/>
      <c r="EZ59" s="191"/>
      <c r="FA59" s="191"/>
      <c r="FB59" s="191"/>
      <c r="FC59" s="191">
        <v>200</v>
      </c>
      <c r="FD59" s="191"/>
      <c r="FE59" s="191"/>
      <c r="FF59" s="191"/>
      <c r="FG59" s="191"/>
      <c r="FH59" s="191"/>
      <c r="FI59" s="191"/>
      <c r="FJ59" s="191"/>
      <c r="FK59" s="191"/>
      <c r="FL59" s="191">
        <v>50</v>
      </c>
      <c r="FM59" s="191"/>
      <c r="FN59" s="191"/>
      <c r="FO59" s="191"/>
      <c r="FP59" s="191"/>
      <c r="FQ59" s="193"/>
      <c r="FR59" s="194"/>
      <c r="FS59" s="191"/>
      <c r="FT59" s="191"/>
      <c r="FU59" s="191"/>
      <c r="FV59" s="191"/>
      <c r="FW59" s="191"/>
      <c r="FX59" s="191">
        <v>10</v>
      </c>
      <c r="FY59" s="191"/>
      <c r="FZ59" s="191"/>
      <c r="GA59" s="191"/>
      <c r="GB59" s="191"/>
      <c r="GC59" s="191"/>
      <c r="GD59" s="191"/>
      <c r="GE59" s="191"/>
      <c r="GF59" s="191"/>
      <c r="GG59" s="191"/>
      <c r="GH59" s="191"/>
      <c r="GI59" s="191"/>
      <c r="GJ59" s="191"/>
      <c r="GK59" s="191"/>
      <c r="GL59" s="191">
        <v>50</v>
      </c>
      <c r="GM59" s="191"/>
      <c r="GN59" s="191"/>
      <c r="GO59" s="191"/>
      <c r="GP59" s="191"/>
      <c r="GQ59" s="191"/>
      <c r="GR59" s="191"/>
      <c r="GS59" s="191"/>
      <c r="GT59" s="191"/>
      <c r="GU59" s="191"/>
      <c r="GV59" s="192"/>
      <c r="GW59" s="190"/>
      <c r="GX59" s="191"/>
      <c r="GY59" s="191"/>
      <c r="GZ59" s="191">
        <v>50</v>
      </c>
      <c r="HA59" s="191"/>
      <c r="HB59" s="191"/>
      <c r="HC59" s="191"/>
      <c r="HD59" s="191"/>
      <c r="HE59" s="191"/>
      <c r="HF59" s="191"/>
      <c r="HG59" s="191"/>
      <c r="HH59" s="191"/>
      <c r="HI59" s="191"/>
      <c r="HJ59" s="191"/>
      <c r="HK59" s="191"/>
      <c r="HL59" s="191"/>
      <c r="HM59" s="191"/>
      <c r="HN59" s="191"/>
      <c r="HO59" s="191"/>
      <c r="HP59" s="191"/>
      <c r="HQ59" s="191"/>
      <c r="HR59" s="191"/>
      <c r="HS59" s="191"/>
      <c r="HT59" s="191"/>
      <c r="HU59" s="191">
        <v>50</v>
      </c>
      <c r="HV59" s="191"/>
      <c r="HW59" s="191"/>
      <c r="HX59" s="191"/>
      <c r="HY59" s="191"/>
      <c r="HZ59" s="193"/>
      <c r="IA59" s="194"/>
      <c r="IB59" s="191">
        <v>10</v>
      </c>
      <c r="IC59" s="191"/>
      <c r="ID59" s="191"/>
      <c r="IE59" s="191"/>
      <c r="IF59" s="191"/>
      <c r="IG59" s="191"/>
      <c r="IH59" s="191"/>
      <c r="II59" s="191">
        <v>10</v>
      </c>
      <c r="IJ59" s="191"/>
      <c r="IK59" s="191"/>
      <c r="IL59" s="191"/>
      <c r="IM59" s="191"/>
      <c r="IN59" s="191"/>
      <c r="IO59" s="191"/>
      <c r="IP59" s="191"/>
      <c r="IQ59" s="191"/>
      <c r="IR59" s="191"/>
      <c r="IS59" s="191"/>
      <c r="IT59" s="191"/>
      <c r="IU59" s="191"/>
      <c r="IV59" s="191"/>
      <c r="IW59" s="191">
        <v>100</v>
      </c>
      <c r="IX59" s="191"/>
      <c r="IY59" s="191"/>
      <c r="IZ59" s="191"/>
      <c r="JA59" s="191"/>
      <c r="JB59" s="191"/>
      <c r="JC59" s="191"/>
      <c r="JD59" s="191"/>
      <c r="JE59" s="192"/>
      <c r="JF59" s="190"/>
      <c r="JG59" s="191"/>
      <c r="JH59" s="191"/>
      <c r="JI59" s="191"/>
      <c r="JJ59" s="191"/>
      <c r="JK59" s="191">
        <v>50</v>
      </c>
      <c r="JL59" s="191"/>
      <c r="JM59" s="191"/>
      <c r="JN59" s="191"/>
      <c r="JO59" s="191"/>
      <c r="JP59" s="191"/>
      <c r="JQ59" s="191"/>
      <c r="JR59" s="191">
        <v>100</v>
      </c>
      <c r="JS59" s="191"/>
      <c r="JT59" s="191"/>
      <c r="JU59" s="191"/>
      <c r="JV59" s="191"/>
      <c r="JW59" s="191"/>
      <c r="JX59" s="191"/>
      <c r="JY59" s="191">
        <v>50</v>
      </c>
      <c r="JZ59" s="191"/>
      <c r="KA59" s="191"/>
      <c r="KB59" s="191"/>
      <c r="KC59" s="191"/>
      <c r="KD59" s="191"/>
      <c r="KE59" s="191"/>
      <c r="KF59" s="191">
        <v>50</v>
      </c>
      <c r="KG59" s="191"/>
      <c r="KH59" s="191"/>
      <c r="KI59" s="191"/>
      <c r="KJ59" s="193"/>
      <c r="KK59" s="194"/>
      <c r="KL59" s="191"/>
      <c r="KM59" s="191">
        <v>100</v>
      </c>
      <c r="KN59" s="191"/>
      <c r="KO59" s="191"/>
      <c r="KP59" s="191"/>
      <c r="KQ59" s="191"/>
      <c r="KR59" s="191"/>
      <c r="KS59" s="191"/>
      <c r="KT59" s="191"/>
      <c r="KU59" s="191">
        <v>100</v>
      </c>
      <c r="KV59" s="191"/>
      <c r="KW59" s="191"/>
      <c r="KX59" s="191"/>
      <c r="KY59" s="191"/>
      <c r="KZ59" s="191"/>
      <c r="LA59" s="191"/>
      <c r="LB59" s="191"/>
      <c r="LC59" s="191"/>
      <c r="LD59" s="191"/>
      <c r="LE59" s="191"/>
      <c r="LF59" s="191"/>
      <c r="LG59" s="191"/>
      <c r="LH59" s="191">
        <v>50</v>
      </c>
      <c r="LI59" s="191"/>
      <c r="LJ59" s="191"/>
      <c r="LK59" s="191"/>
      <c r="LL59" s="191"/>
      <c r="LM59" s="191"/>
      <c r="LN59" s="192"/>
      <c r="LO59" s="190"/>
      <c r="LP59" s="191">
        <v>50</v>
      </c>
      <c r="LQ59" s="191"/>
      <c r="LR59" s="191"/>
      <c r="LS59" s="191"/>
      <c r="LT59" s="191"/>
      <c r="LU59" s="191"/>
      <c r="LV59" s="191">
        <v>10</v>
      </c>
      <c r="LW59" s="191"/>
      <c r="LX59" s="191"/>
      <c r="LY59" s="191"/>
      <c r="LZ59" s="191"/>
      <c r="MA59" s="191"/>
      <c r="MB59" s="191"/>
      <c r="MC59" s="191">
        <v>100</v>
      </c>
      <c r="MD59" s="191"/>
      <c r="ME59" s="191"/>
      <c r="MF59" s="191"/>
      <c r="MG59" s="191"/>
      <c r="MH59" s="191"/>
      <c r="MI59" s="191"/>
      <c r="MJ59" s="191">
        <v>10</v>
      </c>
      <c r="MK59" s="191"/>
      <c r="ML59" s="191"/>
      <c r="MM59" s="191"/>
      <c r="MN59" s="191"/>
      <c r="MO59" s="191"/>
      <c r="MP59" s="191"/>
      <c r="MQ59" s="191">
        <v>10</v>
      </c>
      <c r="MR59" s="191"/>
      <c r="MS59" s="193"/>
      <c r="MT59" s="194"/>
      <c r="MU59" s="191"/>
      <c r="MV59" s="191"/>
      <c r="MW59" s="191"/>
      <c r="MX59" s="191">
        <v>50</v>
      </c>
      <c r="MY59" s="191"/>
      <c r="MZ59" s="191"/>
      <c r="NA59" s="191"/>
      <c r="NB59" s="191"/>
      <c r="NC59" s="191"/>
      <c r="ND59" s="191"/>
      <c r="NE59" s="191"/>
      <c r="NF59" s="191"/>
      <c r="NG59" s="191"/>
      <c r="NH59" s="191"/>
      <c r="NI59" s="191"/>
      <c r="NJ59" s="191"/>
      <c r="NK59" s="191"/>
      <c r="NL59" s="191">
        <v>10</v>
      </c>
      <c r="NM59" s="191"/>
      <c r="NN59" s="191"/>
      <c r="NO59" s="191"/>
      <c r="NP59" s="191"/>
      <c r="NQ59" s="191"/>
      <c r="NR59" s="191"/>
      <c r="NS59" s="191">
        <v>50</v>
      </c>
      <c r="NT59" s="191"/>
      <c r="NU59" s="191"/>
      <c r="NV59" s="191"/>
      <c r="NW59" s="192"/>
      <c r="NX59" s="190"/>
      <c r="NY59" s="191"/>
      <c r="NZ59" s="191">
        <v>10</v>
      </c>
      <c r="OA59" s="191"/>
      <c r="OB59" s="191"/>
      <c r="OC59" s="191"/>
      <c r="OD59" s="191"/>
      <c r="OE59" s="191"/>
      <c r="OF59" s="191"/>
      <c r="OG59" s="191">
        <v>10</v>
      </c>
      <c r="OH59" s="191"/>
      <c r="OI59" s="191"/>
      <c r="OJ59" s="191"/>
      <c r="OK59" s="191"/>
      <c r="OL59" s="191"/>
      <c r="OM59" s="191"/>
      <c r="ON59" s="191"/>
      <c r="OO59" s="191"/>
      <c r="OP59" s="191"/>
      <c r="OQ59" s="191"/>
      <c r="OR59" s="191"/>
      <c r="OS59" s="191"/>
      <c r="OT59" s="191"/>
      <c r="OU59" s="191"/>
      <c r="OV59" s="191"/>
      <c r="OW59" s="191"/>
      <c r="OX59" s="191"/>
      <c r="OY59" s="191"/>
      <c r="OZ59" s="191"/>
      <c r="PA59" s="191"/>
      <c r="PB59" s="193"/>
      <c r="PC59" s="47"/>
      <c r="PD59" s="154" t="s">
        <v>98</v>
      </c>
      <c r="PE59" s="155" t="s">
        <v>98</v>
      </c>
      <c r="PF59" s="155" t="s">
        <v>98</v>
      </c>
      <c r="PG59" s="155" t="s">
        <v>98</v>
      </c>
      <c r="PH59" s="155" t="s">
        <v>98</v>
      </c>
      <c r="PI59" s="155" t="s">
        <v>97</v>
      </c>
      <c r="PJ59" s="155" t="s">
        <v>98</v>
      </c>
      <c r="PK59" s="155" t="s">
        <v>98</v>
      </c>
      <c r="PL59" s="155" t="s">
        <v>98</v>
      </c>
      <c r="PM59" s="155" t="s">
        <v>98</v>
      </c>
      <c r="PN59" s="155" t="s">
        <v>98</v>
      </c>
      <c r="PO59" s="156"/>
      <c r="PP59" s="156"/>
      <c r="PQ59" s="156"/>
      <c r="PR59" s="156"/>
      <c r="PS59" s="156"/>
      <c r="PT59" s="156"/>
      <c r="PU59" s="156"/>
      <c r="PV59" s="156"/>
      <c r="PW59" s="156"/>
      <c r="PX59" s="195"/>
      <c r="PY59" s="1"/>
      <c r="PZ59" s="196">
        <f t="shared" si="20"/>
        <v>220</v>
      </c>
      <c r="QA59" s="176">
        <f t="shared" si="21"/>
        <v>1.8353215983982648E-3</v>
      </c>
      <c r="QB59" s="177" t="str">
        <f t="shared" ca="1" si="22"/>
        <v>Attente…</v>
      </c>
      <c r="QC59" s="197">
        <f t="shared" si="23"/>
        <v>160</v>
      </c>
      <c r="QD59" s="179">
        <f t="shared" si="24"/>
        <v>1.4981273408239701E-3</v>
      </c>
      <c r="QE59" s="180" t="str">
        <f t="shared" ca="1" si="25"/>
        <v>Attente…</v>
      </c>
      <c r="QF59" s="196">
        <f t="shared" si="26"/>
        <v>70</v>
      </c>
      <c r="QG59" s="176">
        <f t="shared" si="27"/>
        <v>5.5741360089186175E-4</v>
      </c>
      <c r="QH59" s="177" t="str">
        <f t="shared" ca="1" si="28"/>
        <v>Attente…</v>
      </c>
      <c r="QI59" s="197">
        <f t="shared" si="29"/>
        <v>260</v>
      </c>
      <c r="QJ59" s="179">
        <f t="shared" si="30"/>
        <v>1.8235376630663486E-3</v>
      </c>
      <c r="QK59" s="180" t="str">
        <f t="shared" ca="1" si="31"/>
        <v>Attente…</v>
      </c>
      <c r="QL59" s="196">
        <f t="shared" si="32"/>
        <v>60</v>
      </c>
      <c r="QM59" s="176">
        <f t="shared" si="33"/>
        <v>4.3898156277436348E-4</v>
      </c>
      <c r="QN59" s="177" t="str">
        <f t="shared" ca="1" si="34"/>
        <v>Attente…</v>
      </c>
      <c r="QO59" s="197">
        <f t="shared" si="35"/>
        <v>100</v>
      </c>
      <c r="QP59" s="179">
        <f t="shared" si="36"/>
        <v>7.8290143270962184E-4</v>
      </c>
      <c r="QQ59" s="180" t="str">
        <f t="shared" ca="1" si="37"/>
        <v>Attente…</v>
      </c>
      <c r="QR59" s="196">
        <f t="shared" si="38"/>
        <v>120</v>
      </c>
      <c r="QS59" s="176">
        <f t="shared" si="39"/>
        <v>8.6389978762463555E-4</v>
      </c>
      <c r="QT59" s="177" t="str">
        <f t="shared" ca="1" si="40"/>
        <v>Attente…</v>
      </c>
      <c r="QU59" s="197">
        <f t="shared" si="41"/>
        <v>250</v>
      </c>
      <c r="QV59" s="179">
        <f t="shared" si="42"/>
        <v>1.7236624379481523E-3</v>
      </c>
      <c r="QW59" s="180" t="str">
        <f t="shared" ca="1" si="43"/>
        <v>Attente…</v>
      </c>
      <c r="QX59" s="196">
        <f t="shared" si="44"/>
        <v>250</v>
      </c>
      <c r="QY59" s="176">
        <f t="shared" si="45"/>
        <v>1.8243381301263901E-3</v>
      </c>
      <c r="QZ59" s="177" t="str">
        <f t="shared" ca="1" si="46"/>
        <v>Attente…</v>
      </c>
      <c r="RA59" s="197">
        <f t="shared" si="47"/>
        <v>180</v>
      </c>
      <c r="RB59" s="179">
        <f t="shared" si="48"/>
        <v>1.4083405054377593E-3</v>
      </c>
      <c r="RC59" s="180" t="str">
        <f t="shared" ca="1" si="49"/>
        <v>Attente…</v>
      </c>
      <c r="RD59" s="196">
        <f t="shared" si="50"/>
        <v>110</v>
      </c>
      <c r="RE59" s="176">
        <f t="shared" si="51"/>
        <v>1.096054204862495E-3</v>
      </c>
      <c r="RF59" s="177" t="str">
        <f t="shared" ca="1" si="52"/>
        <v>Attente…</v>
      </c>
      <c r="RG59" s="197">
        <f t="shared" si="53"/>
        <v>20</v>
      </c>
      <c r="RH59" s="179">
        <f t="shared" si="54"/>
        <v>3.678499172337686E-4</v>
      </c>
      <c r="RI59" s="198" t="str">
        <f t="shared" ca="1" si="55"/>
        <v>Attente…</v>
      </c>
      <c r="RJ59" s="199">
        <f t="shared" si="56"/>
        <v>450</v>
      </c>
      <c r="RK59" s="200" t="str">
        <f t="shared" ca="1" si="13"/>
        <v>Attente…</v>
      </c>
      <c r="RL59" s="199">
        <f t="shared" si="57"/>
        <v>420</v>
      </c>
      <c r="RM59" s="200" t="str">
        <f t="shared" ca="1" si="58"/>
        <v>Atttente…</v>
      </c>
      <c r="RN59" s="199">
        <f t="shared" si="59"/>
        <v>620</v>
      </c>
      <c r="RO59" s="200" t="str">
        <f t="shared" ca="1" si="14"/>
        <v>Attente…</v>
      </c>
      <c r="RP59" s="199">
        <f t="shared" si="60"/>
        <v>310</v>
      </c>
      <c r="RQ59" s="200" t="str">
        <f t="shared" ca="1" si="15"/>
        <v>Attente…</v>
      </c>
      <c r="RR59" s="201">
        <f t="shared" si="61"/>
        <v>1800</v>
      </c>
      <c r="RS59" s="202" t="str">
        <f t="shared" ca="1" si="16"/>
        <v>Attente…</v>
      </c>
      <c r="RT59" s="103"/>
      <c r="RU59" s="203">
        <f t="shared" si="62"/>
        <v>0.23684210526315791</v>
      </c>
      <c r="RV59" s="204">
        <f t="shared" si="65"/>
        <v>1</v>
      </c>
      <c r="RW59" s="204">
        <f t="shared" si="65"/>
        <v>1</v>
      </c>
      <c r="RX59" s="204">
        <f t="shared" si="63"/>
        <v>38</v>
      </c>
      <c r="RY59" s="205" t="str">
        <f t="shared" si="64"/>
        <v>LOUVIERS - 2 rue Saint-Jean (CHU - Dans l'enceinte de l'Hôpital - Parking)</v>
      </c>
      <c r="RZ59" s="189" t="str">
        <f>IF(OR(RZ58="",RZ58="  &lt;/Document&gt;
&lt;/kml&gt;"),"",
IF(B59="","  &lt;/Document&gt;
&lt;/kml&gt;",
IF(TournéesCAV!Q59=""," ",
"    &lt;Placemark&gt;
      &lt;description&gt;&lt;![CDATA["&amp;B59&amp;"&lt;br&gt;&lt;br&gt;"&amp;RV59&amp;" CAV&lt;br&gt;&lt;br&gt;Présent sur "&amp;RW59&amp;" tournée(s)&lt;br&gt;&lt;br&gt;Taux de remplissage moyen "&amp;TEXT(RU59*1000,"0 %")&amp;"]]&gt;&lt;/description&gt;
      &lt;Style&gt;
        &lt;IconStyle&gt;
          &lt;color&gt;ff"&amp;
          DEC2HEX(0,2)&amp;
          DEC2HEX(
            IF(RU59&lt;=0.5,
               INT(255*(RU59*2)),
               255
            ),2)&amp;
          DEC2HEX(
            IF(RU59&lt;=0.5,
               255,
               INT(255*(1-(RU59-0.5)*2))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&lt;Point&gt;&lt;coordinates&gt;"&amp;R59&amp;","&amp;Q59&amp;",0&lt;/coordinates&gt;&lt;/Point&gt;
    &lt;/Placemark&gt;"
)))</f>
        <v xml:space="preserve">    &lt;Placemark&gt;
      &lt;description&gt;&lt;![CDATA[LOUVIERS - 2 rue Saint-Jean (CHU - Dans l'enceinte de l'Hôpital - Parking)&lt;br&gt;&lt;br&gt;1 CAV&lt;br&gt;&lt;br&gt;Présent sur 1 tournée(s)&lt;br&gt;&lt;br&gt;Taux de remplissage moyen 24%]]&gt;&lt;/description&gt;
      &lt;Style&gt;
        &lt;IconStyle&gt;
          &lt;color&gt;ff0078FF&lt;/color&gt;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&lt;Point&gt;&lt;coordinates&gt;1.1766511509956334,49.211441967209545,0&lt;/coordinates&gt;&lt;/Point&gt;
    &lt;/Placemark&gt;</v>
      </c>
    </row>
    <row r="60" spans="2:494" ht="15" hidden="1" customHeight="1" x14ac:dyDescent="0.35">
      <c r="B60" s="153" t="str">
        <f t="shared" si="17"/>
        <v>BARDOUVILLE - 300 rue de l’Ecole (En face du cimetière)</v>
      </c>
      <c r="C60" s="154">
        <v>147</v>
      </c>
      <c r="D60" s="155"/>
      <c r="E60" s="155"/>
      <c r="F60" s="155"/>
      <c r="G60" s="155"/>
      <c r="H60" s="155"/>
      <c r="I60" s="155"/>
      <c r="J60" s="156"/>
      <c r="K60" s="157">
        <f t="shared" si="18"/>
        <v>1</v>
      </c>
      <c r="L60" s="157">
        <f t="shared" si="19"/>
        <v>1</v>
      </c>
      <c r="M60" s="158" t="s">
        <v>389</v>
      </c>
      <c r="N60" s="159" t="s">
        <v>390</v>
      </c>
      <c r="O60" s="159">
        <v>76480</v>
      </c>
      <c r="P60" s="159" t="s">
        <v>391</v>
      </c>
      <c r="Q60" s="159" t="s">
        <v>392</v>
      </c>
      <c r="R60" s="159" t="s">
        <v>393</v>
      </c>
      <c r="S60" s="159" t="s">
        <v>93</v>
      </c>
      <c r="T60" s="159" t="s">
        <v>94</v>
      </c>
      <c r="U60" s="159" t="s">
        <v>394</v>
      </c>
      <c r="V60" s="160" t="s">
        <v>96</v>
      </c>
      <c r="W60" s="161"/>
      <c r="X60" s="162"/>
      <c r="Y60" s="163"/>
      <c r="Z60" s="162"/>
      <c r="AA60" s="163"/>
      <c r="AB60" s="162"/>
      <c r="AC60" s="163"/>
      <c r="AD60" s="162"/>
      <c r="AE60" s="163"/>
      <c r="AF60" s="162"/>
      <c r="AG60" s="163">
        <v>4</v>
      </c>
      <c r="AH60" s="163"/>
      <c r="AI60" s="162"/>
      <c r="AJ60" s="163"/>
      <c r="AK60" s="162"/>
      <c r="AL60" s="163"/>
      <c r="AM60" s="162"/>
      <c r="AN60" s="163"/>
      <c r="AO60" s="162"/>
      <c r="AP60" s="164"/>
      <c r="AQ60" s="164"/>
      <c r="AR60" s="164"/>
      <c r="AS60" s="164"/>
      <c r="AT60" s="164"/>
      <c r="AU60" s="164"/>
      <c r="AV60" s="164"/>
      <c r="AW60" s="164"/>
      <c r="AX60" s="164"/>
      <c r="AY60" s="165"/>
      <c r="AZ60" s="41"/>
      <c r="BA60" s="190"/>
      <c r="BB60" s="191">
        <v>100</v>
      </c>
      <c r="BC60" s="191"/>
      <c r="BD60" s="191"/>
      <c r="BE60" s="191"/>
      <c r="BF60" s="191"/>
      <c r="BG60" s="191"/>
      <c r="BH60" s="191">
        <v>10</v>
      </c>
      <c r="BI60" s="191"/>
      <c r="BJ60" s="191"/>
      <c r="BK60" s="191"/>
      <c r="BL60" s="191"/>
      <c r="BM60" s="191"/>
      <c r="BN60" s="191"/>
      <c r="BO60" s="191">
        <v>50</v>
      </c>
      <c r="BP60" s="191"/>
      <c r="BQ60" s="191"/>
      <c r="BR60" s="191"/>
      <c r="BS60" s="191"/>
      <c r="BT60" s="191"/>
      <c r="BU60" s="191"/>
      <c r="BV60" s="191">
        <v>50</v>
      </c>
      <c r="BW60" s="191"/>
      <c r="BX60" s="191"/>
      <c r="BY60" s="191"/>
      <c r="BZ60" s="191"/>
      <c r="CA60" s="191"/>
      <c r="CB60" s="191"/>
      <c r="CC60" s="191">
        <v>50</v>
      </c>
      <c r="CD60" s="191"/>
      <c r="CE60" s="192"/>
      <c r="CF60" s="190"/>
      <c r="CG60" s="191"/>
      <c r="CH60" s="191"/>
      <c r="CI60" s="191"/>
      <c r="CJ60" s="191"/>
      <c r="CK60" s="191"/>
      <c r="CL60" s="191"/>
      <c r="CM60" s="191"/>
      <c r="CN60" s="191"/>
      <c r="CO60" s="191"/>
      <c r="CP60" s="191"/>
      <c r="CQ60" s="191">
        <v>100</v>
      </c>
      <c r="CR60" s="191"/>
      <c r="CS60" s="191"/>
      <c r="CT60" s="191"/>
      <c r="CU60" s="191"/>
      <c r="CV60" s="191"/>
      <c r="CW60" s="191"/>
      <c r="CX60" s="191">
        <v>10</v>
      </c>
      <c r="CY60" s="191"/>
      <c r="CZ60" s="191"/>
      <c r="DA60" s="191"/>
      <c r="DB60" s="191"/>
      <c r="DC60" s="191"/>
      <c r="DD60" s="191"/>
      <c r="DE60" s="191">
        <v>100</v>
      </c>
      <c r="DF60" s="191"/>
      <c r="DG60" s="191"/>
      <c r="DH60" s="193"/>
      <c r="DI60" s="194"/>
      <c r="DJ60" s="191"/>
      <c r="DK60" s="191"/>
      <c r="DL60" s="191"/>
      <c r="DM60" s="191">
        <v>50</v>
      </c>
      <c r="DN60" s="191"/>
      <c r="DO60" s="191"/>
      <c r="DP60" s="191"/>
      <c r="DQ60" s="191"/>
      <c r="DR60" s="191"/>
      <c r="DS60" s="191"/>
      <c r="DT60" s="191">
        <v>10</v>
      </c>
      <c r="DU60" s="191"/>
      <c r="DV60" s="191"/>
      <c r="DW60" s="191"/>
      <c r="DX60" s="191"/>
      <c r="DY60" s="191"/>
      <c r="DZ60" s="191"/>
      <c r="EA60" s="191">
        <v>100</v>
      </c>
      <c r="EB60" s="191"/>
      <c r="EC60" s="191"/>
      <c r="ED60" s="191"/>
      <c r="EE60" s="191"/>
      <c r="EF60" s="191"/>
      <c r="EG60" s="191"/>
      <c r="EH60" s="191">
        <v>10</v>
      </c>
      <c r="EI60" s="191"/>
      <c r="EJ60" s="191"/>
      <c r="EK60" s="191"/>
      <c r="EL60" s="191"/>
      <c r="EM60" s="192"/>
      <c r="EN60" s="190"/>
      <c r="EO60" s="191">
        <v>10</v>
      </c>
      <c r="EP60" s="191"/>
      <c r="EQ60" s="191"/>
      <c r="ER60" s="191"/>
      <c r="ES60" s="191"/>
      <c r="ET60" s="191"/>
      <c r="EU60" s="191"/>
      <c r="EV60" s="191">
        <v>10</v>
      </c>
      <c r="EW60" s="191"/>
      <c r="EX60" s="191"/>
      <c r="EY60" s="191"/>
      <c r="EZ60" s="191"/>
      <c r="FA60" s="191"/>
      <c r="FB60" s="191"/>
      <c r="FC60" s="191">
        <v>50</v>
      </c>
      <c r="FD60" s="191"/>
      <c r="FE60" s="191"/>
      <c r="FF60" s="191"/>
      <c r="FG60" s="191"/>
      <c r="FH60" s="191"/>
      <c r="FI60" s="191"/>
      <c r="FJ60" s="191">
        <v>50</v>
      </c>
      <c r="FK60" s="191"/>
      <c r="FL60" s="191"/>
      <c r="FM60" s="191"/>
      <c r="FN60" s="191"/>
      <c r="FO60" s="191"/>
      <c r="FP60" s="191"/>
      <c r="FQ60" s="193">
        <v>10</v>
      </c>
      <c r="FR60" s="194"/>
      <c r="FS60" s="191"/>
      <c r="FT60" s="191"/>
      <c r="FU60" s="191"/>
      <c r="FV60" s="191"/>
      <c r="FW60" s="191"/>
      <c r="FX60" s="191">
        <v>10</v>
      </c>
      <c r="FY60" s="191"/>
      <c r="FZ60" s="191"/>
      <c r="GA60" s="191"/>
      <c r="GB60" s="191"/>
      <c r="GC60" s="191"/>
      <c r="GD60" s="191"/>
      <c r="GE60" s="191">
        <v>50</v>
      </c>
      <c r="GF60" s="191"/>
      <c r="GG60" s="191"/>
      <c r="GH60" s="191"/>
      <c r="GI60" s="191"/>
      <c r="GJ60" s="191"/>
      <c r="GK60" s="191"/>
      <c r="GL60" s="191">
        <v>10</v>
      </c>
      <c r="GM60" s="191"/>
      <c r="GN60" s="191"/>
      <c r="GO60" s="191"/>
      <c r="GP60" s="191"/>
      <c r="GQ60" s="191"/>
      <c r="GR60" s="191"/>
      <c r="GS60" s="191">
        <v>100</v>
      </c>
      <c r="GT60" s="191"/>
      <c r="GU60" s="191"/>
      <c r="GV60" s="192"/>
      <c r="GW60" s="190"/>
      <c r="GX60" s="191"/>
      <c r="GY60" s="191"/>
      <c r="GZ60" s="191">
        <v>100</v>
      </c>
      <c r="HA60" s="191"/>
      <c r="HB60" s="191"/>
      <c r="HC60" s="191"/>
      <c r="HD60" s="191"/>
      <c r="HE60" s="191"/>
      <c r="HF60" s="191"/>
      <c r="HG60" s="191">
        <v>50</v>
      </c>
      <c r="HH60" s="191"/>
      <c r="HI60" s="191"/>
      <c r="HJ60" s="191"/>
      <c r="HK60" s="191"/>
      <c r="HL60" s="191"/>
      <c r="HM60" s="191"/>
      <c r="HN60" s="191">
        <v>50</v>
      </c>
      <c r="HO60" s="191"/>
      <c r="HP60" s="191"/>
      <c r="HQ60" s="191"/>
      <c r="HR60" s="191"/>
      <c r="HS60" s="191"/>
      <c r="HT60" s="191"/>
      <c r="HU60" s="191">
        <v>50</v>
      </c>
      <c r="HV60" s="191"/>
      <c r="HW60" s="191"/>
      <c r="HX60" s="191"/>
      <c r="HY60" s="191"/>
      <c r="HZ60" s="193"/>
      <c r="IA60" s="194"/>
      <c r="IB60" s="191">
        <v>50</v>
      </c>
      <c r="IC60" s="191"/>
      <c r="ID60" s="191"/>
      <c r="IE60" s="191"/>
      <c r="IF60" s="191"/>
      <c r="IG60" s="191"/>
      <c r="IH60" s="191"/>
      <c r="II60" s="191">
        <v>10</v>
      </c>
      <c r="IJ60" s="191"/>
      <c r="IK60" s="191"/>
      <c r="IL60" s="191"/>
      <c r="IM60" s="191"/>
      <c r="IN60" s="191"/>
      <c r="IO60" s="191"/>
      <c r="IP60" s="191"/>
      <c r="IQ60" s="191"/>
      <c r="IR60" s="191">
        <v>100</v>
      </c>
      <c r="IS60" s="191"/>
      <c r="IT60" s="191"/>
      <c r="IU60" s="191"/>
      <c r="IV60" s="191"/>
      <c r="IW60" s="191">
        <v>10</v>
      </c>
      <c r="IX60" s="191"/>
      <c r="IY60" s="191"/>
      <c r="IZ60" s="191"/>
      <c r="JA60" s="191"/>
      <c r="JB60" s="191"/>
      <c r="JC60" s="191"/>
      <c r="JD60" s="191">
        <v>50</v>
      </c>
      <c r="JE60" s="192"/>
      <c r="JF60" s="190"/>
      <c r="JG60" s="191"/>
      <c r="JH60" s="191"/>
      <c r="JI60" s="191"/>
      <c r="JJ60" s="191"/>
      <c r="JK60" s="191">
        <v>100</v>
      </c>
      <c r="JL60" s="191"/>
      <c r="JM60" s="191"/>
      <c r="JN60" s="191"/>
      <c r="JO60" s="191"/>
      <c r="JP60" s="191"/>
      <c r="JQ60" s="191"/>
      <c r="JR60" s="191">
        <v>150</v>
      </c>
      <c r="JS60" s="191"/>
      <c r="JT60" s="191"/>
      <c r="JU60" s="191"/>
      <c r="JV60" s="191"/>
      <c r="JW60" s="191"/>
      <c r="JX60" s="191"/>
      <c r="JY60" s="191"/>
      <c r="JZ60" s="191">
        <v>50</v>
      </c>
      <c r="KA60" s="191"/>
      <c r="KB60" s="191"/>
      <c r="KC60" s="191"/>
      <c r="KD60" s="191"/>
      <c r="KE60" s="191"/>
      <c r="KF60" s="191">
        <v>100</v>
      </c>
      <c r="KG60" s="191"/>
      <c r="KH60" s="191"/>
      <c r="KI60" s="191"/>
      <c r="KJ60" s="193"/>
      <c r="KK60" s="194"/>
      <c r="KL60" s="191"/>
      <c r="KM60" s="191">
        <v>100</v>
      </c>
      <c r="KN60" s="191"/>
      <c r="KO60" s="191"/>
      <c r="KP60" s="191"/>
      <c r="KQ60" s="191"/>
      <c r="KR60" s="191"/>
      <c r="KS60" s="191"/>
      <c r="KT60" s="191"/>
      <c r="KU60" s="191">
        <v>50</v>
      </c>
      <c r="KV60" s="191"/>
      <c r="KW60" s="191"/>
      <c r="KX60" s="191"/>
      <c r="KY60" s="191"/>
      <c r="KZ60" s="191"/>
      <c r="LA60" s="191">
        <v>10</v>
      </c>
      <c r="LB60" s="191"/>
      <c r="LC60" s="191"/>
      <c r="LD60" s="191"/>
      <c r="LE60" s="191"/>
      <c r="LF60" s="191"/>
      <c r="LG60" s="191"/>
      <c r="LH60" s="191">
        <v>10</v>
      </c>
      <c r="LI60" s="191"/>
      <c r="LJ60" s="191"/>
      <c r="LK60" s="191"/>
      <c r="LL60" s="191"/>
      <c r="LM60" s="191"/>
      <c r="LN60" s="192"/>
      <c r="LO60" s="190">
        <v>50</v>
      </c>
      <c r="LP60" s="191"/>
      <c r="LQ60" s="191"/>
      <c r="LR60" s="191"/>
      <c r="LS60" s="191"/>
      <c r="LT60" s="191"/>
      <c r="LU60" s="191"/>
      <c r="LV60" s="191">
        <v>100</v>
      </c>
      <c r="LW60" s="191"/>
      <c r="LX60" s="191"/>
      <c r="LY60" s="191"/>
      <c r="LZ60" s="191"/>
      <c r="MA60" s="191"/>
      <c r="MB60" s="191"/>
      <c r="MC60" s="191">
        <v>50</v>
      </c>
      <c r="MD60" s="191"/>
      <c r="ME60" s="191"/>
      <c r="MF60" s="191"/>
      <c r="MG60" s="191"/>
      <c r="MH60" s="191"/>
      <c r="MI60" s="191"/>
      <c r="MJ60" s="191">
        <v>10</v>
      </c>
      <c r="MK60" s="191"/>
      <c r="ML60" s="191"/>
      <c r="MM60" s="191"/>
      <c r="MN60" s="191"/>
      <c r="MO60" s="191"/>
      <c r="MP60" s="191"/>
      <c r="MQ60" s="191">
        <v>10</v>
      </c>
      <c r="MR60" s="191"/>
      <c r="MS60" s="193"/>
      <c r="MT60" s="194"/>
      <c r="MU60" s="191"/>
      <c r="MV60" s="191"/>
      <c r="MW60" s="191"/>
      <c r="MX60" s="191">
        <v>10</v>
      </c>
      <c r="MY60" s="191"/>
      <c r="MZ60" s="191"/>
      <c r="NA60" s="191"/>
      <c r="NB60" s="191"/>
      <c r="NC60" s="191"/>
      <c r="ND60" s="191"/>
      <c r="NE60" s="191"/>
      <c r="NF60" s="191">
        <v>100</v>
      </c>
      <c r="NG60" s="191"/>
      <c r="NH60" s="191"/>
      <c r="NI60" s="191"/>
      <c r="NJ60" s="191"/>
      <c r="NK60" s="191"/>
      <c r="NL60" s="191">
        <v>10</v>
      </c>
      <c r="NM60" s="191"/>
      <c r="NN60" s="191"/>
      <c r="NO60" s="191"/>
      <c r="NP60" s="191"/>
      <c r="NQ60" s="191"/>
      <c r="NR60" s="191"/>
      <c r="NS60" s="191">
        <v>10</v>
      </c>
      <c r="NT60" s="191"/>
      <c r="NU60" s="191"/>
      <c r="NV60" s="191"/>
      <c r="NW60" s="192"/>
      <c r="NX60" s="190"/>
      <c r="NY60" s="191"/>
      <c r="NZ60" s="191">
        <v>10</v>
      </c>
      <c r="OA60" s="191"/>
      <c r="OB60" s="191"/>
      <c r="OC60" s="191"/>
      <c r="OD60" s="191"/>
      <c r="OE60" s="191"/>
      <c r="OF60" s="191"/>
      <c r="OG60" s="191">
        <v>10</v>
      </c>
      <c r="OH60" s="191"/>
      <c r="OI60" s="191"/>
      <c r="OJ60" s="191"/>
      <c r="OK60" s="191"/>
      <c r="OL60" s="191"/>
      <c r="OM60" s="191"/>
      <c r="ON60" s="191"/>
      <c r="OO60" s="191"/>
      <c r="OP60" s="191"/>
      <c r="OQ60" s="191"/>
      <c r="OR60" s="191"/>
      <c r="OS60" s="191"/>
      <c r="OT60" s="191"/>
      <c r="OU60" s="191"/>
      <c r="OV60" s="191"/>
      <c r="OW60" s="191"/>
      <c r="OX60" s="191"/>
      <c r="OY60" s="191"/>
      <c r="OZ60" s="191"/>
      <c r="PA60" s="191"/>
      <c r="PB60" s="193"/>
      <c r="PC60" s="47"/>
      <c r="PD60" s="154" t="s">
        <v>97</v>
      </c>
      <c r="PE60" s="155" t="s">
        <v>98</v>
      </c>
      <c r="PF60" s="155" t="s">
        <v>98</v>
      </c>
      <c r="PG60" s="155" t="s">
        <v>98</v>
      </c>
      <c r="PH60" s="155" t="s">
        <v>98</v>
      </c>
      <c r="PI60" s="155" t="s">
        <v>98</v>
      </c>
      <c r="PJ60" s="155" t="s">
        <v>98</v>
      </c>
      <c r="PK60" s="155" t="s">
        <v>98</v>
      </c>
      <c r="PL60" s="155" t="s">
        <v>98</v>
      </c>
      <c r="PM60" s="155" t="s">
        <v>98</v>
      </c>
      <c r="PN60" s="155" t="s">
        <v>98</v>
      </c>
      <c r="PO60" s="156"/>
      <c r="PP60" s="156"/>
      <c r="PQ60" s="156"/>
      <c r="PR60" s="156"/>
      <c r="PS60" s="156"/>
      <c r="PT60" s="156"/>
      <c r="PU60" s="156"/>
      <c r="PV60" s="156"/>
      <c r="PW60" s="156"/>
      <c r="PX60" s="195"/>
      <c r="PY60" s="1"/>
      <c r="PZ60" s="196">
        <f t="shared" si="20"/>
        <v>260</v>
      </c>
      <c r="QA60" s="176">
        <f t="shared" si="21"/>
        <v>2.1690164344706766E-3</v>
      </c>
      <c r="QB60" s="177" t="str">
        <f t="shared" ca="1" si="22"/>
        <v>Attente…</v>
      </c>
      <c r="QC60" s="197">
        <f t="shared" si="23"/>
        <v>210</v>
      </c>
      <c r="QD60" s="179">
        <f t="shared" si="24"/>
        <v>1.9662921348314608E-3</v>
      </c>
      <c r="QE60" s="180" t="str">
        <f t="shared" ca="1" si="25"/>
        <v>Attente…</v>
      </c>
      <c r="QF60" s="196">
        <f t="shared" si="26"/>
        <v>170</v>
      </c>
      <c r="QG60" s="176">
        <f t="shared" si="27"/>
        <v>1.3537187450230928E-3</v>
      </c>
      <c r="QH60" s="177" t="str">
        <f t="shared" ca="1" si="28"/>
        <v>Attente…</v>
      </c>
      <c r="QI60" s="197">
        <f t="shared" si="29"/>
        <v>130</v>
      </c>
      <c r="QJ60" s="179">
        <f t="shared" si="30"/>
        <v>9.1176883153317432E-4</v>
      </c>
      <c r="QK60" s="180" t="str">
        <f t="shared" ca="1" si="31"/>
        <v>Attente…</v>
      </c>
      <c r="QL60" s="196">
        <f t="shared" si="32"/>
        <v>170</v>
      </c>
      <c r="QM60" s="176">
        <f t="shared" si="33"/>
        <v>1.2437810945273632E-3</v>
      </c>
      <c r="QN60" s="177" t="str">
        <f t="shared" ca="1" si="34"/>
        <v>Attente…</v>
      </c>
      <c r="QO60" s="197">
        <f t="shared" si="35"/>
        <v>250</v>
      </c>
      <c r="QP60" s="179">
        <f t="shared" si="36"/>
        <v>1.9572535817740547E-3</v>
      </c>
      <c r="QQ60" s="180" t="str">
        <f t="shared" ca="1" si="37"/>
        <v>Attente…</v>
      </c>
      <c r="QR60" s="196">
        <f t="shared" si="38"/>
        <v>220</v>
      </c>
      <c r="QS60" s="176">
        <f t="shared" si="39"/>
        <v>1.5838162773118317E-3</v>
      </c>
      <c r="QT60" s="177" t="str">
        <f t="shared" ca="1" si="40"/>
        <v>Attente…</v>
      </c>
      <c r="QU60" s="197">
        <f t="shared" si="41"/>
        <v>400</v>
      </c>
      <c r="QV60" s="179">
        <f t="shared" si="42"/>
        <v>2.7578599007170436E-3</v>
      </c>
      <c r="QW60" s="180" t="str">
        <f t="shared" ca="1" si="43"/>
        <v>Attente…</v>
      </c>
      <c r="QX60" s="196">
        <f t="shared" si="44"/>
        <v>170</v>
      </c>
      <c r="QY60" s="176">
        <f t="shared" si="45"/>
        <v>1.2405499284859453E-3</v>
      </c>
      <c r="QZ60" s="177" t="str">
        <f t="shared" ca="1" si="46"/>
        <v>Attente…</v>
      </c>
      <c r="RA60" s="197">
        <f t="shared" si="47"/>
        <v>220</v>
      </c>
      <c r="RB60" s="179">
        <f t="shared" si="48"/>
        <v>1.7213050622017056E-3</v>
      </c>
      <c r="RC60" s="180" t="str">
        <f t="shared" ca="1" si="49"/>
        <v>Attente…</v>
      </c>
      <c r="RD60" s="196">
        <f t="shared" si="50"/>
        <v>130</v>
      </c>
      <c r="RE60" s="176">
        <f t="shared" si="51"/>
        <v>1.2953367875647669E-3</v>
      </c>
      <c r="RF60" s="177" t="str">
        <f t="shared" ca="1" si="52"/>
        <v>Attente…</v>
      </c>
      <c r="RG60" s="197">
        <f t="shared" si="53"/>
        <v>20</v>
      </c>
      <c r="RH60" s="179">
        <f t="shared" si="54"/>
        <v>3.678499172337686E-4</v>
      </c>
      <c r="RI60" s="198" t="str">
        <f t="shared" ca="1" si="55"/>
        <v>Attente…</v>
      </c>
      <c r="RJ60" s="199">
        <f t="shared" si="56"/>
        <v>640</v>
      </c>
      <c r="RK60" s="200" t="str">
        <f t="shared" ca="1" si="13"/>
        <v>Attente…</v>
      </c>
      <c r="RL60" s="199">
        <f t="shared" si="57"/>
        <v>550</v>
      </c>
      <c r="RM60" s="200" t="str">
        <f t="shared" ca="1" si="58"/>
        <v>Atttente…</v>
      </c>
      <c r="RN60" s="199">
        <f t="shared" si="59"/>
        <v>790</v>
      </c>
      <c r="RO60" s="200" t="str">
        <f t="shared" ca="1" si="14"/>
        <v>Attente…</v>
      </c>
      <c r="RP60" s="199">
        <f t="shared" si="60"/>
        <v>370</v>
      </c>
      <c r="RQ60" s="200" t="str">
        <f t="shared" ca="1" si="15"/>
        <v>Attente…</v>
      </c>
      <c r="RR60" s="201">
        <f t="shared" si="61"/>
        <v>2350</v>
      </c>
      <c r="RS60" s="202" t="str">
        <f t="shared" ca="1" si="16"/>
        <v>Attente…</v>
      </c>
      <c r="RT60" s="103"/>
      <c r="RU60" s="203">
        <f t="shared" si="62"/>
        <v>0.23979591836734696</v>
      </c>
      <c r="RV60" s="204">
        <f t="shared" si="65"/>
        <v>1</v>
      </c>
      <c r="RW60" s="204">
        <f t="shared" si="65"/>
        <v>1</v>
      </c>
      <c r="RX60" s="204">
        <f t="shared" si="63"/>
        <v>49</v>
      </c>
      <c r="RY60" s="205" t="str">
        <f t="shared" si="64"/>
        <v>BARDOUVILLE - 300 rue de l’Ecole (En face du cimetière)</v>
      </c>
      <c r="RZ60" s="189" t="str">
        <f>IF(OR(RZ59="",RZ59="  &lt;/Document&gt;
&lt;/kml&gt;"),"",
IF(B60="","  &lt;/Document&gt;
&lt;/kml&gt;",
IF(TournéesCAV!Q60=""," ",
"    &lt;Placemark&gt;
      &lt;description&gt;&lt;![CDATA["&amp;B60&amp;"&lt;br&gt;&lt;br&gt;"&amp;RV60&amp;" CAV&lt;br&gt;&lt;br&gt;Présent sur "&amp;RW60&amp;" tournée(s)&lt;br&gt;&lt;br&gt;Taux de remplissage moyen "&amp;TEXT(RU60*1000,"0 %")&amp;"]]&gt;&lt;/description&gt;
      &lt;Style&gt;
        &lt;IconStyle&gt;
          &lt;color&gt;ff"&amp;
          DEC2HEX(0,2)&amp;
          DEC2HEX(
            IF(RU60&lt;=0.5,
               INT(255*(RU60*2)),
               255
            ),2)&amp;
          DEC2HEX(
            IF(RU60&lt;=0.5,
               255,
               INT(255*(1-(RU60-0.5)*2))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&lt;Point&gt;&lt;coordinates&gt;"&amp;R60&amp;","&amp;Q60&amp;",0&lt;/coordinates&gt;&lt;/Point&gt;
    &lt;/Placemark&gt;"
)))</f>
        <v xml:space="preserve">    &lt;Placemark&gt;
      &lt;description&gt;&lt;![CDATA[BARDOUVILLE - 300 rue de l’Ecole (En face du cimetière)&lt;br&gt;&lt;br&gt;1 CAV&lt;br&gt;&lt;br&gt;Présent sur 1 tournée(s)&lt;br&gt;&lt;br&gt;Taux de remplissage moyen 24%]]&gt;&lt;/description&gt;
      &lt;Style&gt;
        &lt;IconStyle&gt;
          &lt;color&gt;ff007AFF&lt;/color&gt;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&lt;Point&gt;&lt;coordinates&gt;0.927723,49.43626,0&lt;/coordinates&gt;&lt;/Point&gt;
    &lt;/Placemark&gt;</v>
      </c>
    </row>
    <row r="61" spans="2:494" ht="15" hidden="1" customHeight="1" x14ac:dyDescent="0.35">
      <c r="B61" s="153" t="str">
        <f t="shared" si="17"/>
        <v>QUATREMARE - 3 route de Louviers</v>
      </c>
      <c r="C61" s="154" t="s">
        <v>104</v>
      </c>
      <c r="D61" s="155"/>
      <c r="E61" s="155"/>
      <c r="F61" s="155"/>
      <c r="G61" s="155"/>
      <c r="H61" s="155"/>
      <c r="I61" s="155"/>
      <c r="J61" s="156"/>
      <c r="K61" s="157">
        <f t="shared" si="18"/>
        <v>1</v>
      </c>
      <c r="L61" s="157">
        <f t="shared" si="19"/>
        <v>1</v>
      </c>
      <c r="M61" s="158" t="s">
        <v>395</v>
      </c>
      <c r="N61" s="159"/>
      <c r="O61" s="159">
        <v>27400</v>
      </c>
      <c r="P61" s="159" t="s">
        <v>396</v>
      </c>
      <c r="Q61" s="159" t="s">
        <v>397</v>
      </c>
      <c r="R61" s="159" t="s">
        <v>398</v>
      </c>
      <c r="S61" s="159"/>
      <c r="T61" s="159" t="s">
        <v>94</v>
      </c>
      <c r="U61" s="159" t="s">
        <v>399</v>
      </c>
      <c r="V61" s="160" t="s">
        <v>21</v>
      </c>
      <c r="W61" s="210"/>
      <c r="X61" s="162"/>
      <c r="Y61" s="162"/>
      <c r="Z61" s="162"/>
      <c r="AA61" s="162"/>
      <c r="AB61" s="162"/>
      <c r="AC61" s="162"/>
      <c r="AD61" s="162"/>
      <c r="AE61" s="162"/>
      <c r="AF61" s="162"/>
      <c r="AG61" s="162"/>
      <c r="AH61" s="162"/>
      <c r="AI61" s="162"/>
      <c r="AJ61" s="162"/>
      <c r="AK61" s="162"/>
      <c r="AL61" s="162">
        <v>3</v>
      </c>
      <c r="AM61" s="162"/>
      <c r="AN61" s="162"/>
      <c r="AO61" s="162"/>
      <c r="AP61" s="164"/>
      <c r="AQ61" s="164"/>
      <c r="AR61" s="164"/>
      <c r="AS61" s="164"/>
      <c r="AT61" s="164"/>
      <c r="AU61" s="164"/>
      <c r="AV61" s="164"/>
      <c r="AW61" s="164"/>
      <c r="AX61" s="164"/>
      <c r="AY61" s="211"/>
      <c r="AZ61" s="41"/>
      <c r="BA61" s="190"/>
      <c r="BB61" s="191"/>
      <c r="BC61" s="191"/>
      <c r="BD61" s="191"/>
      <c r="BE61" s="191"/>
      <c r="BF61" s="191"/>
      <c r="BG61" s="191"/>
      <c r="BH61" s="191">
        <v>150</v>
      </c>
      <c r="BI61" s="191"/>
      <c r="BJ61" s="191"/>
      <c r="BK61" s="191"/>
      <c r="BL61" s="191"/>
      <c r="BM61" s="191"/>
      <c r="BN61" s="191"/>
      <c r="BO61" s="191">
        <v>100</v>
      </c>
      <c r="BP61" s="191"/>
      <c r="BQ61" s="191"/>
      <c r="BR61" s="191"/>
      <c r="BS61" s="191"/>
      <c r="BT61" s="191"/>
      <c r="BU61" s="191"/>
      <c r="BV61" s="191">
        <v>100</v>
      </c>
      <c r="BW61" s="191"/>
      <c r="BX61" s="191"/>
      <c r="BY61" s="191"/>
      <c r="BZ61" s="191"/>
      <c r="CA61" s="191"/>
      <c r="CB61" s="191"/>
      <c r="CC61" s="191">
        <v>50</v>
      </c>
      <c r="CD61" s="191"/>
      <c r="CE61" s="192"/>
      <c r="CF61" s="190"/>
      <c r="CG61" s="191"/>
      <c r="CH61" s="191"/>
      <c r="CI61" s="191"/>
      <c r="CJ61" s="191">
        <v>50</v>
      </c>
      <c r="CK61" s="191"/>
      <c r="CL61" s="191"/>
      <c r="CM61" s="191"/>
      <c r="CN61" s="191"/>
      <c r="CO61" s="191"/>
      <c r="CP61" s="191"/>
      <c r="CQ61" s="191">
        <v>50</v>
      </c>
      <c r="CR61" s="191"/>
      <c r="CS61" s="191"/>
      <c r="CT61" s="191"/>
      <c r="CU61" s="191"/>
      <c r="CV61" s="191"/>
      <c r="CW61" s="191"/>
      <c r="CX61" s="191">
        <v>100</v>
      </c>
      <c r="CY61" s="191"/>
      <c r="CZ61" s="191"/>
      <c r="DA61" s="191"/>
      <c r="DB61" s="191"/>
      <c r="DC61" s="191"/>
      <c r="DD61" s="191"/>
      <c r="DE61" s="191">
        <v>100</v>
      </c>
      <c r="DF61" s="191"/>
      <c r="DG61" s="191"/>
      <c r="DH61" s="193"/>
      <c r="DI61" s="194"/>
      <c r="DJ61" s="191"/>
      <c r="DK61" s="191"/>
      <c r="DL61" s="191"/>
      <c r="DM61" s="191">
        <v>150</v>
      </c>
      <c r="DN61" s="191"/>
      <c r="DO61" s="191"/>
      <c r="DP61" s="191"/>
      <c r="DQ61" s="191"/>
      <c r="DR61" s="191"/>
      <c r="DS61" s="191"/>
      <c r="DT61" s="191">
        <v>50</v>
      </c>
      <c r="DU61" s="191"/>
      <c r="DV61" s="191"/>
      <c r="DW61" s="191"/>
      <c r="DX61" s="191"/>
      <c r="DY61" s="191"/>
      <c r="DZ61" s="191"/>
      <c r="EA61" s="191"/>
      <c r="EB61" s="191"/>
      <c r="EC61" s="191"/>
      <c r="ED61" s="191"/>
      <c r="EE61" s="191"/>
      <c r="EF61" s="191"/>
      <c r="EG61" s="191"/>
      <c r="EH61" s="191">
        <v>150</v>
      </c>
      <c r="EI61" s="191"/>
      <c r="EJ61" s="191"/>
      <c r="EK61" s="191"/>
      <c r="EL61" s="191"/>
      <c r="EM61" s="192"/>
      <c r="EN61" s="190"/>
      <c r="EO61" s="191">
        <v>50</v>
      </c>
      <c r="EP61" s="191"/>
      <c r="EQ61" s="191"/>
      <c r="ER61" s="191"/>
      <c r="ES61" s="191"/>
      <c r="ET61" s="191"/>
      <c r="EU61" s="191"/>
      <c r="EV61" s="191"/>
      <c r="EW61" s="191"/>
      <c r="EX61" s="191"/>
      <c r="EY61" s="191"/>
      <c r="EZ61" s="191"/>
      <c r="FA61" s="191"/>
      <c r="FB61" s="191"/>
      <c r="FC61" s="191">
        <v>200</v>
      </c>
      <c r="FD61" s="191"/>
      <c r="FE61" s="191"/>
      <c r="FF61" s="191"/>
      <c r="FG61" s="191"/>
      <c r="FH61" s="191"/>
      <c r="FI61" s="191"/>
      <c r="FJ61" s="191"/>
      <c r="FK61" s="191"/>
      <c r="FL61" s="191">
        <v>200</v>
      </c>
      <c r="FM61" s="191"/>
      <c r="FN61" s="191"/>
      <c r="FO61" s="191"/>
      <c r="FP61" s="191"/>
      <c r="FQ61" s="193"/>
      <c r="FR61" s="194"/>
      <c r="FS61" s="191"/>
      <c r="FT61" s="191"/>
      <c r="FU61" s="191"/>
      <c r="FV61" s="191"/>
      <c r="FW61" s="191"/>
      <c r="FX61" s="191">
        <v>200</v>
      </c>
      <c r="FY61" s="191"/>
      <c r="FZ61" s="191"/>
      <c r="GA61" s="191"/>
      <c r="GB61" s="191"/>
      <c r="GC61" s="191"/>
      <c r="GD61" s="191"/>
      <c r="GE61" s="191"/>
      <c r="GF61" s="191"/>
      <c r="GG61" s="191"/>
      <c r="GH61" s="191"/>
      <c r="GI61" s="191"/>
      <c r="GJ61" s="191"/>
      <c r="GK61" s="191"/>
      <c r="GL61" s="191">
        <v>150</v>
      </c>
      <c r="GM61" s="191"/>
      <c r="GN61" s="191"/>
      <c r="GO61" s="191"/>
      <c r="GP61" s="191"/>
      <c r="GQ61" s="191"/>
      <c r="GR61" s="191"/>
      <c r="GS61" s="191"/>
      <c r="GT61" s="191"/>
      <c r="GU61" s="191"/>
      <c r="GV61" s="192"/>
      <c r="GW61" s="190"/>
      <c r="GX61" s="191"/>
      <c r="GY61" s="191"/>
      <c r="GZ61" s="191">
        <v>100</v>
      </c>
      <c r="HA61" s="191"/>
      <c r="HB61" s="191"/>
      <c r="HC61" s="191"/>
      <c r="HD61" s="191"/>
      <c r="HE61" s="191"/>
      <c r="HF61" s="191"/>
      <c r="HG61" s="191"/>
      <c r="HH61" s="191"/>
      <c r="HI61" s="191"/>
      <c r="HJ61" s="191"/>
      <c r="HK61" s="191"/>
      <c r="HL61" s="191"/>
      <c r="HM61" s="191"/>
      <c r="HN61" s="191"/>
      <c r="HO61" s="191"/>
      <c r="HP61" s="191"/>
      <c r="HQ61" s="191"/>
      <c r="HR61" s="191"/>
      <c r="HS61" s="191"/>
      <c r="HT61" s="191"/>
      <c r="HU61" s="191">
        <v>50</v>
      </c>
      <c r="HV61" s="191"/>
      <c r="HW61" s="191"/>
      <c r="HX61" s="191"/>
      <c r="HY61" s="191"/>
      <c r="HZ61" s="193"/>
      <c r="IA61" s="194"/>
      <c r="IB61" s="191">
        <v>10</v>
      </c>
      <c r="IC61" s="191"/>
      <c r="ID61" s="191"/>
      <c r="IE61" s="191"/>
      <c r="IF61" s="191"/>
      <c r="IG61" s="191"/>
      <c r="IH61" s="191"/>
      <c r="II61" s="191">
        <v>50</v>
      </c>
      <c r="IJ61" s="191"/>
      <c r="IK61" s="191"/>
      <c r="IL61" s="191"/>
      <c r="IM61" s="191"/>
      <c r="IN61" s="191"/>
      <c r="IO61" s="191"/>
      <c r="IP61" s="191"/>
      <c r="IQ61" s="191"/>
      <c r="IR61" s="191"/>
      <c r="IS61" s="191"/>
      <c r="IT61" s="191"/>
      <c r="IU61" s="191"/>
      <c r="IV61" s="191"/>
      <c r="IW61" s="191">
        <v>150</v>
      </c>
      <c r="IX61" s="191"/>
      <c r="IY61" s="191"/>
      <c r="IZ61" s="191"/>
      <c r="JA61" s="191"/>
      <c r="JB61" s="191"/>
      <c r="JC61" s="191"/>
      <c r="JD61" s="191"/>
      <c r="JE61" s="192"/>
      <c r="JF61" s="190"/>
      <c r="JG61" s="191"/>
      <c r="JH61" s="191"/>
      <c r="JI61" s="191"/>
      <c r="JJ61" s="191"/>
      <c r="JK61" s="191">
        <v>100</v>
      </c>
      <c r="JL61" s="191"/>
      <c r="JM61" s="191"/>
      <c r="JN61" s="191"/>
      <c r="JO61" s="191"/>
      <c r="JP61" s="191"/>
      <c r="JQ61" s="191"/>
      <c r="JR61" s="191">
        <v>100</v>
      </c>
      <c r="JS61" s="191"/>
      <c r="JT61" s="191"/>
      <c r="JU61" s="191"/>
      <c r="JV61" s="191"/>
      <c r="JW61" s="191"/>
      <c r="JX61" s="191"/>
      <c r="JY61" s="191">
        <v>150</v>
      </c>
      <c r="JZ61" s="191"/>
      <c r="KA61" s="191"/>
      <c r="KB61" s="191"/>
      <c r="KC61" s="191"/>
      <c r="KD61" s="191"/>
      <c r="KE61" s="191"/>
      <c r="KF61" s="191">
        <v>150</v>
      </c>
      <c r="KG61" s="191"/>
      <c r="KH61" s="191"/>
      <c r="KI61" s="191"/>
      <c r="KJ61" s="193"/>
      <c r="KK61" s="194"/>
      <c r="KL61" s="191"/>
      <c r="KM61" s="191">
        <v>100</v>
      </c>
      <c r="KN61" s="191"/>
      <c r="KO61" s="191"/>
      <c r="KP61" s="191"/>
      <c r="KQ61" s="191"/>
      <c r="KR61" s="191"/>
      <c r="KS61" s="191"/>
      <c r="KT61" s="191"/>
      <c r="KU61" s="191">
        <v>150</v>
      </c>
      <c r="KV61" s="191"/>
      <c r="KW61" s="191"/>
      <c r="KX61" s="191"/>
      <c r="KY61" s="191"/>
      <c r="KZ61" s="191"/>
      <c r="LA61" s="191"/>
      <c r="LB61" s="191"/>
      <c r="LC61" s="191"/>
      <c r="LD61" s="191"/>
      <c r="LE61" s="191"/>
      <c r="LF61" s="191"/>
      <c r="LG61" s="191"/>
      <c r="LH61" s="191">
        <v>100</v>
      </c>
      <c r="LI61" s="191"/>
      <c r="LJ61" s="191"/>
      <c r="LK61" s="191"/>
      <c r="LL61" s="191"/>
      <c r="LM61" s="191"/>
      <c r="LN61" s="192"/>
      <c r="LO61" s="190"/>
      <c r="LP61" s="191">
        <v>50</v>
      </c>
      <c r="LQ61" s="191"/>
      <c r="LR61" s="191"/>
      <c r="LS61" s="191"/>
      <c r="LT61" s="191"/>
      <c r="LU61" s="191"/>
      <c r="LV61" s="191">
        <v>100</v>
      </c>
      <c r="LW61" s="191"/>
      <c r="LX61" s="191"/>
      <c r="LY61" s="191"/>
      <c r="LZ61" s="191"/>
      <c r="MA61" s="191"/>
      <c r="MB61" s="191"/>
      <c r="MC61" s="191">
        <v>50</v>
      </c>
      <c r="MD61" s="191"/>
      <c r="ME61" s="191"/>
      <c r="MF61" s="191"/>
      <c r="MG61" s="191"/>
      <c r="MH61" s="191"/>
      <c r="MI61" s="191"/>
      <c r="MJ61" s="191">
        <v>50</v>
      </c>
      <c r="MK61" s="191"/>
      <c r="ML61" s="191"/>
      <c r="MM61" s="191"/>
      <c r="MN61" s="191"/>
      <c r="MO61" s="191"/>
      <c r="MP61" s="191"/>
      <c r="MQ61" s="191">
        <v>100</v>
      </c>
      <c r="MR61" s="191"/>
      <c r="MS61" s="193"/>
      <c r="MT61" s="194"/>
      <c r="MU61" s="191"/>
      <c r="MV61" s="191"/>
      <c r="MW61" s="191"/>
      <c r="MX61" s="191">
        <v>100</v>
      </c>
      <c r="MY61" s="191"/>
      <c r="MZ61" s="191"/>
      <c r="NA61" s="191"/>
      <c r="NB61" s="191"/>
      <c r="NC61" s="191"/>
      <c r="ND61" s="191"/>
      <c r="NE61" s="191"/>
      <c r="NF61" s="191"/>
      <c r="NG61" s="191"/>
      <c r="NH61" s="191"/>
      <c r="NI61" s="191"/>
      <c r="NJ61" s="191"/>
      <c r="NK61" s="191"/>
      <c r="NL61" s="191">
        <v>100</v>
      </c>
      <c r="NM61" s="191"/>
      <c r="NN61" s="191"/>
      <c r="NO61" s="191"/>
      <c r="NP61" s="191"/>
      <c r="NQ61" s="191"/>
      <c r="NR61" s="191"/>
      <c r="NS61" s="191">
        <v>50</v>
      </c>
      <c r="NT61" s="191"/>
      <c r="NU61" s="191"/>
      <c r="NV61" s="191"/>
      <c r="NW61" s="192"/>
      <c r="NX61" s="190"/>
      <c r="NY61" s="191"/>
      <c r="NZ61" s="191">
        <v>100</v>
      </c>
      <c r="OA61" s="191"/>
      <c r="OB61" s="191"/>
      <c r="OC61" s="191"/>
      <c r="OD61" s="191"/>
      <c r="OE61" s="191"/>
      <c r="OF61" s="191"/>
      <c r="OG61" s="191">
        <v>50</v>
      </c>
      <c r="OH61" s="191"/>
      <c r="OI61" s="191"/>
      <c r="OJ61" s="191"/>
      <c r="OK61" s="191"/>
      <c r="OL61" s="191"/>
      <c r="OM61" s="191"/>
      <c r="ON61" s="191">
        <v>10</v>
      </c>
      <c r="OO61" s="191"/>
      <c r="OP61" s="191"/>
      <c r="OQ61" s="191"/>
      <c r="OR61" s="191"/>
      <c r="OS61" s="191"/>
      <c r="OT61" s="191"/>
      <c r="OU61" s="191"/>
      <c r="OV61" s="191"/>
      <c r="OW61" s="191"/>
      <c r="OX61" s="191"/>
      <c r="OY61" s="191"/>
      <c r="OZ61" s="191"/>
      <c r="PA61" s="191"/>
      <c r="PB61" s="193"/>
      <c r="PC61" s="212"/>
      <c r="PD61" s="154" t="s">
        <v>98</v>
      </c>
      <c r="PE61" s="155" t="s">
        <v>98</v>
      </c>
      <c r="PF61" s="155" t="s">
        <v>98</v>
      </c>
      <c r="PG61" s="155" t="s">
        <v>98</v>
      </c>
      <c r="PH61" s="155" t="s">
        <v>98</v>
      </c>
      <c r="PI61" s="155" t="s">
        <v>97</v>
      </c>
      <c r="PJ61" s="155" t="s">
        <v>98</v>
      </c>
      <c r="PK61" s="155" t="s">
        <v>98</v>
      </c>
      <c r="PL61" s="155" t="s">
        <v>98</v>
      </c>
      <c r="PM61" s="155" t="s">
        <v>98</v>
      </c>
      <c r="PN61" s="155" t="s">
        <v>98</v>
      </c>
      <c r="PO61" s="156"/>
      <c r="PP61" s="156"/>
      <c r="PQ61" s="156"/>
      <c r="PR61" s="156"/>
      <c r="PS61" s="156"/>
      <c r="PT61" s="156"/>
      <c r="PU61" s="156"/>
      <c r="PV61" s="156"/>
      <c r="PW61" s="156"/>
      <c r="PX61" s="195"/>
      <c r="PZ61" s="196">
        <f t="shared" si="20"/>
        <v>400</v>
      </c>
      <c r="QA61" s="176">
        <f t="shared" si="21"/>
        <v>3.3369483607241178E-3</v>
      </c>
      <c r="QB61" s="177" t="str">
        <f t="shared" ca="1" si="22"/>
        <v>Attente…</v>
      </c>
      <c r="QC61" s="197">
        <f t="shared" si="23"/>
        <v>300</v>
      </c>
      <c r="QD61" s="179">
        <f t="shared" si="24"/>
        <v>2.8089887640449437E-3</v>
      </c>
      <c r="QE61" s="180" t="str">
        <f t="shared" ca="1" si="25"/>
        <v>Attente…</v>
      </c>
      <c r="QF61" s="196">
        <f t="shared" si="26"/>
        <v>350</v>
      </c>
      <c r="QG61" s="176">
        <f t="shared" si="27"/>
        <v>2.787068004459309E-3</v>
      </c>
      <c r="QH61" s="177" t="str">
        <f t="shared" ca="1" si="28"/>
        <v>Attente…</v>
      </c>
      <c r="QI61" s="197">
        <f t="shared" si="29"/>
        <v>450</v>
      </c>
      <c r="QJ61" s="179">
        <f t="shared" si="30"/>
        <v>3.1561228783840651E-3</v>
      </c>
      <c r="QK61" s="180" t="str">
        <f t="shared" ca="1" si="31"/>
        <v>Attente…</v>
      </c>
      <c r="QL61" s="196">
        <f t="shared" si="32"/>
        <v>350</v>
      </c>
      <c r="QM61" s="176">
        <f t="shared" si="33"/>
        <v>2.5607257828504535E-3</v>
      </c>
      <c r="QN61" s="177" t="str">
        <f t="shared" ca="1" si="34"/>
        <v>Attente…</v>
      </c>
      <c r="QO61" s="197">
        <f t="shared" si="35"/>
        <v>150</v>
      </c>
      <c r="QP61" s="179">
        <f t="shared" si="36"/>
        <v>1.1743521490644327E-3</v>
      </c>
      <c r="QQ61" s="180" t="str">
        <f t="shared" ca="1" si="37"/>
        <v>Attente…</v>
      </c>
      <c r="QR61" s="196">
        <f t="shared" si="38"/>
        <v>210</v>
      </c>
      <c r="QS61" s="176">
        <f t="shared" si="39"/>
        <v>1.5118246283431123E-3</v>
      </c>
      <c r="QT61" s="177" t="str">
        <f t="shared" ca="1" si="40"/>
        <v>Attente…</v>
      </c>
      <c r="QU61" s="197">
        <f t="shared" si="41"/>
        <v>500</v>
      </c>
      <c r="QV61" s="179">
        <f t="shared" si="42"/>
        <v>3.4473248758963046E-3</v>
      </c>
      <c r="QW61" s="180" t="str">
        <f t="shared" ca="1" si="43"/>
        <v>Attente…</v>
      </c>
      <c r="QX61" s="196">
        <f t="shared" si="44"/>
        <v>350</v>
      </c>
      <c r="QY61" s="176">
        <f t="shared" si="45"/>
        <v>2.5540733821769464E-3</v>
      </c>
      <c r="QZ61" s="177" t="str">
        <f t="shared" ca="1" si="46"/>
        <v>Attente…</v>
      </c>
      <c r="RA61" s="197">
        <f t="shared" si="47"/>
        <v>350</v>
      </c>
      <c r="RB61" s="179">
        <f t="shared" si="48"/>
        <v>2.7384398716845319E-3</v>
      </c>
      <c r="RC61" s="180" t="str">
        <f t="shared" ca="1" si="49"/>
        <v>Attente…</v>
      </c>
      <c r="RD61" s="196">
        <f t="shared" si="50"/>
        <v>250</v>
      </c>
      <c r="RE61" s="176">
        <f t="shared" si="51"/>
        <v>2.4910322837783977E-3</v>
      </c>
      <c r="RF61" s="177" t="str">
        <f t="shared" ca="1" si="52"/>
        <v>Attente…</v>
      </c>
      <c r="RG61" s="197">
        <f t="shared" si="53"/>
        <v>160</v>
      </c>
      <c r="RH61" s="179">
        <f t="shared" si="54"/>
        <v>2.9427993378701488E-3</v>
      </c>
      <c r="RI61" s="198" t="str">
        <f t="shared" ca="1" si="55"/>
        <v>Attente…</v>
      </c>
      <c r="RJ61" s="199">
        <f t="shared" si="56"/>
        <v>1050</v>
      </c>
      <c r="RK61" s="200" t="str">
        <f t="shared" ca="1" si="13"/>
        <v>Attente…</v>
      </c>
      <c r="RL61" s="199">
        <f t="shared" si="57"/>
        <v>950</v>
      </c>
      <c r="RM61" s="200" t="str">
        <f t="shared" ca="1" si="58"/>
        <v>Atttente…</v>
      </c>
      <c r="RN61" s="199">
        <f t="shared" si="59"/>
        <v>1060</v>
      </c>
      <c r="RO61" s="200" t="str">
        <f t="shared" ca="1" si="14"/>
        <v>Attente…</v>
      </c>
      <c r="RP61" s="199">
        <f t="shared" si="60"/>
        <v>760</v>
      </c>
      <c r="RQ61" s="200" t="str">
        <f t="shared" ca="1" si="15"/>
        <v>Attente…</v>
      </c>
      <c r="RR61" s="201">
        <f t="shared" si="61"/>
        <v>3820</v>
      </c>
      <c r="RS61" s="202" t="str">
        <f t="shared" ca="1" si="16"/>
        <v>Attente…</v>
      </c>
      <c r="RT61" s="103"/>
      <c r="RU61" s="203">
        <f t="shared" si="62"/>
        <v>0.48974358974358972</v>
      </c>
      <c r="RV61" s="204">
        <f t="shared" si="65"/>
        <v>1</v>
      </c>
      <c r="RW61" s="204">
        <f t="shared" si="65"/>
        <v>1</v>
      </c>
      <c r="RX61" s="204">
        <f t="shared" si="63"/>
        <v>39</v>
      </c>
      <c r="RY61" s="205" t="str">
        <f t="shared" si="64"/>
        <v>QUATREMARE - 3 route de Louviers</v>
      </c>
      <c r="RZ61" s="189" t="str">
        <f>IF(OR(RZ60="",RZ60="  &lt;/Document&gt;
&lt;/kml&gt;"),"",
IF(B61="","  &lt;/Document&gt;
&lt;/kml&gt;",
IF(TournéesCAV!Q61=""," ",
"    &lt;Placemark&gt;
      &lt;description&gt;&lt;![CDATA["&amp;B61&amp;"&lt;br&gt;&lt;br&gt;"&amp;RV61&amp;" CAV&lt;br&gt;&lt;br&gt;Présent sur "&amp;RW61&amp;" tournée(s)&lt;br&gt;&lt;br&gt;Taux de remplissage moyen "&amp;TEXT(RU61*1000,"0 %")&amp;"]]&gt;&lt;/description&gt;
      &lt;Style&gt;
        &lt;IconStyle&gt;
          &lt;color&gt;ff"&amp;
          DEC2HEX(0,2)&amp;
          DEC2HEX(
            IF(RU61&lt;=0.5,
               INT(255*(RU61*2)),
               255
            ),2)&amp;
          DEC2HEX(
            IF(RU61&lt;=0.5,
               255,
               INT(255*(1-(RU61-0.5)*2))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&lt;Point&gt;&lt;coordinates&gt;"&amp;R61&amp;","&amp;Q61&amp;",0&lt;/coordinates&gt;&lt;/Point&gt;
    &lt;/Placemark&gt;"
)))</f>
        <v xml:space="preserve">    &lt;Placemark&gt;
      &lt;description&gt;&lt;![CDATA[QUATREMARE - 3 route de Louviers&lt;br&gt;&lt;br&gt;1 CAV&lt;br&gt;&lt;br&gt;Présent sur 1 tournée(s)&lt;br&gt;&lt;br&gt;Taux de remplissage moyen 49%]]&gt;&lt;/description&gt;
      &lt;Style&gt;
        &lt;IconStyle&gt;
          &lt;color&gt;ff00F9FF&lt;/color&gt;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&lt;Point&gt;&lt;coordinates&gt;1.0824028,49.1854483,0&lt;/coordinates&gt;&lt;/Point&gt;
    &lt;/Placemark&gt;</v>
      </c>
    </row>
    <row r="62" spans="2:494" ht="15" hidden="1" customHeight="1" x14ac:dyDescent="0.35">
      <c r="B62" s="208" t="str">
        <f t="shared" si="17"/>
        <v>BOIS-GUILLAUME - 2001 rue Herbeuse (Déchetterie - 9h / 12h - 14h / 17h30)</v>
      </c>
      <c r="C62" s="154"/>
      <c r="D62" s="155">
        <v>1</v>
      </c>
      <c r="E62" s="155"/>
      <c r="F62" s="155"/>
      <c r="G62" s="155"/>
      <c r="H62" s="155"/>
      <c r="I62" s="155"/>
      <c r="J62" s="156"/>
      <c r="K62" s="157">
        <f t="shared" si="18"/>
        <v>1</v>
      </c>
      <c r="L62" s="157">
        <f t="shared" si="19"/>
        <v>0</v>
      </c>
      <c r="M62" s="158" t="s">
        <v>400</v>
      </c>
      <c r="N62" s="159" t="s">
        <v>401</v>
      </c>
      <c r="O62" s="159">
        <v>76230</v>
      </c>
      <c r="P62" s="159" t="s">
        <v>402</v>
      </c>
      <c r="Q62" s="159"/>
      <c r="R62" s="159"/>
      <c r="S62" s="159" t="s">
        <v>93</v>
      </c>
      <c r="T62" s="159" t="s">
        <v>159</v>
      </c>
      <c r="U62" s="159" t="s">
        <v>403</v>
      </c>
      <c r="V62" s="160" t="s">
        <v>96</v>
      </c>
      <c r="W62" s="161"/>
      <c r="X62" s="162"/>
      <c r="Y62" s="163"/>
      <c r="Z62" s="162"/>
      <c r="AA62" s="163"/>
      <c r="AB62" s="162"/>
      <c r="AC62" s="163"/>
      <c r="AD62" s="162"/>
      <c r="AE62" s="163"/>
      <c r="AF62" s="162"/>
      <c r="AG62" s="163"/>
      <c r="AH62" s="163"/>
      <c r="AI62" s="162"/>
      <c r="AJ62" s="163"/>
      <c r="AK62" s="162"/>
      <c r="AL62" s="163"/>
      <c r="AM62" s="162"/>
      <c r="AN62" s="163"/>
      <c r="AO62" s="162"/>
      <c r="AP62" s="164"/>
      <c r="AQ62" s="164"/>
      <c r="AR62" s="164"/>
      <c r="AS62" s="164"/>
      <c r="AT62" s="164"/>
      <c r="AU62" s="164"/>
      <c r="AV62" s="164"/>
      <c r="AW62" s="164"/>
      <c r="AX62" s="164"/>
      <c r="AY62" s="165"/>
      <c r="AZ62" s="41"/>
      <c r="BA62" s="190"/>
      <c r="BB62" s="191"/>
      <c r="BC62" s="191"/>
      <c r="BD62" s="191"/>
      <c r="BE62" s="191"/>
      <c r="BF62" s="191"/>
      <c r="BG62" s="191"/>
      <c r="BH62" s="191"/>
      <c r="BI62" s="191"/>
      <c r="BJ62" s="191"/>
      <c r="BK62" s="191"/>
      <c r="BL62" s="191"/>
      <c r="BM62" s="191"/>
      <c r="BN62" s="191"/>
      <c r="BO62" s="191"/>
      <c r="BP62" s="191"/>
      <c r="BQ62" s="191"/>
      <c r="BR62" s="191"/>
      <c r="BS62" s="191"/>
      <c r="BT62" s="191"/>
      <c r="BU62" s="191"/>
      <c r="BV62" s="191"/>
      <c r="BW62" s="191"/>
      <c r="BX62" s="191"/>
      <c r="BY62" s="191"/>
      <c r="BZ62" s="191"/>
      <c r="CA62" s="191"/>
      <c r="CB62" s="191"/>
      <c r="CC62" s="191"/>
      <c r="CD62" s="191"/>
      <c r="CE62" s="192"/>
      <c r="CF62" s="190"/>
      <c r="CG62" s="191"/>
      <c r="CH62" s="191"/>
      <c r="CI62" s="191"/>
      <c r="CJ62" s="191"/>
      <c r="CK62" s="191"/>
      <c r="CL62" s="191"/>
      <c r="CM62" s="191"/>
      <c r="CN62" s="191"/>
      <c r="CO62" s="191"/>
      <c r="CP62" s="191"/>
      <c r="CQ62" s="191"/>
      <c r="CR62" s="191"/>
      <c r="CS62" s="191"/>
      <c r="CT62" s="191"/>
      <c r="CU62" s="191"/>
      <c r="CV62" s="191"/>
      <c r="CW62" s="191"/>
      <c r="CX62" s="191"/>
      <c r="CY62" s="191"/>
      <c r="CZ62" s="191"/>
      <c r="DA62" s="191"/>
      <c r="DB62" s="191"/>
      <c r="DC62" s="191"/>
      <c r="DD62" s="191"/>
      <c r="DE62" s="191"/>
      <c r="DF62" s="191"/>
      <c r="DG62" s="191"/>
      <c r="DH62" s="193"/>
      <c r="DI62" s="194"/>
      <c r="DJ62" s="191"/>
      <c r="DK62" s="191"/>
      <c r="DL62" s="191"/>
      <c r="DM62" s="191"/>
      <c r="DN62" s="191"/>
      <c r="DO62" s="191"/>
      <c r="DP62" s="191"/>
      <c r="DQ62" s="191"/>
      <c r="DR62" s="191"/>
      <c r="DS62" s="191"/>
      <c r="DT62" s="191"/>
      <c r="DU62" s="191"/>
      <c r="DV62" s="191"/>
      <c r="DW62" s="191"/>
      <c r="DX62" s="191"/>
      <c r="DY62" s="191"/>
      <c r="DZ62" s="191"/>
      <c r="EA62" s="191"/>
      <c r="EB62" s="191"/>
      <c r="EC62" s="191"/>
      <c r="ED62" s="191"/>
      <c r="EE62" s="191"/>
      <c r="EF62" s="191"/>
      <c r="EG62" s="191"/>
      <c r="EH62" s="191"/>
      <c r="EI62" s="191"/>
      <c r="EJ62" s="191"/>
      <c r="EK62" s="191"/>
      <c r="EL62" s="191"/>
      <c r="EM62" s="192"/>
      <c r="EN62" s="190"/>
      <c r="EO62" s="191"/>
      <c r="EP62" s="191"/>
      <c r="EQ62" s="191"/>
      <c r="ER62" s="191"/>
      <c r="ES62" s="191"/>
      <c r="ET62" s="191"/>
      <c r="EU62" s="191"/>
      <c r="EV62" s="191"/>
      <c r="EW62" s="191"/>
      <c r="EX62" s="191"/>
      <c r="EY62" s="191"/>
      <c r="EZ62" s="191"/>
      <c r="FA62" s="191"/>
      <c r="FB62" s="191"/>
      <c r="FC62" s="191"/>
      <c r="FD62" s="191"/>
      <c r="FE62" s="191"/>
      <c r="FF62" s="191"/>
      <c r="FG62" s="191"/>
      <c r="FH62" s="191"/>
      <c r="FI62" s="191"/>
      <c r="FJ62" s="191"/>
      <c r="FK62" s="191"/>
      <c r="FL62" s="191"/>
      <c r="FM62" s="191"/>
      <c r="FN62" s="191"/>
      <c r="FO62" s="191"/>
      <c r="FP62" s="191"/>
      <c r="FQ62" s="193"/>
      <c r="FR62" s="194"/>
      <c r="FS62" s="191"/>
      <c r="FT62" s="191"/>
      <c r="FU62" s="191"/>
      <c r="FV62" s="191"/>
      <c r="FW62" s="191"/>
      <c r="FX62" s="191"/>
      <c r="FY62" s="191"/>
      <c r="FZ62" s="191"/>
      <c r="GA62" s="191"/>
      <c r="GB62" s="191"/>
      <c r="GC62" s="191"/>
      <c r="GD62" s="191"/>
      <c r="GE62" s="191"/>
      <c r="GF62" s="191"/>
      <c r="GG62" s="191"/>
      <c r="GH62" s="191"/>
      <c r="GI62" s="191"/>
      <c r="GJ62" s="191"/>
      <c r="GK62" s="191"/>
      <c r="GL62" s="191"/>
      <c r="GM62" s="191"/>
      <c r="GN62" s="191"/>
      <c r="GO62" s="191"/>
      <c r="GP62" s="191"/>
      <c r="GQ62" s="191"/>
      <c r="GR62" s="191"/>
      <c r="GS62" s="191"/>
      <c r="GT62" s="191"/>
      <c r="GU62" s="191"/>
      <c r="GV62" s="192"/>
      <c r="GW62" s="190"/>
      <c r="GX62" s="191"/>
      <c r="GY62" s="191"/>
      <c r="GZ62" s="191"/>
      <c r="HA62" s="191"/>
      <c r="HB62" s="191"/>
      <c r="HC62" s="191"/>
      <c r="HD62" s="191"/>
      <c r="HE62" s="191"/>
      <c r="HF62" s="191"/>
      <c r="HG62" s="191"/>
      <c r="HH62" s="191"/>
      <c r="HI62" s="191"/>
      <c r="HJ62" s="191"/>
      <c r="HK62" s="191"/>
      <c r="HL62" s="191"/>
      <c r="HM62" s="191"/>
      <c r="HN62" s="191"/>
      <c r="HO62" s="191"/>
      <c r="HP62" s="191"/>
      <c r="HQ62" s="191"/>
      <c r="HR62" s="191"/>
      <c r="HS62" s="191"/>
      <c r="HT62" s="191"/>
      <c r="HU62" s="191"/>
      <c r="HV62" s="191"/>
      <c r="HW62" s="191"/>
      <c r="HX62" s="191"/>
      <c r="HY62" s="191"/>
      <c r="HZ62" s="193"/>
      <c r="IA62" s="194"/>
      <c r="IB62" s="191"/>
      <c r="IC62" s="191"/>
      <c r="ID62" s="191"/>
      <c r="IE62" s="191"/>
      <c r="IF62" s="191"/>
      <c r="IG62" s="191"/>
      <c r="IH62" s="191"/>
      <c r="II62" s="191"/>
      <c r="IJ62" s="191"/>
      <c r="IK62" s="191"/>
      <c r="IL62" s="191"/>
      <c r="IM62" s="191"/>
      <c r="IN62" s="191"/>
      <c r="IO62" s="191"/>
      <c r="IP62" s="191"/>
      <c r="IQ62" s="191"/>
      <c r="IR62" s="191"/>
      <c r="IS62" s="191"/>
      <c r="IT62" s="191"/>
      <c r="IU62" s="191"/>
      <c r="IV62" s="191"/>
      <c r="IW62" s="191"/>
      <c r="IX62" s="191"/>
      <c r="IY62" s="191"/>
      <c r="IZ62" s="191"/>
      <c r="JA62" s="191"/>
      <c r="JB62" s="191"/>
      <c r="JC62" s="191"/>
      <c r="JD62" s="191"/>
      <c r="JE62" s="192"/>
      <c r="JF62" s="190"/>
      <c r="JG62" s="191"/>
      <c r="JH62" s="191"/>
      <c r="JI62" s="191"/>
      <c r="JJ62" s="191"/>
      <c r="JK62" s="191"/>
      <c r="JL62" s="191"/>
      <c r="JM62" s="191"/>
      <c r="JN62" s="191"/>
      <c r="JO62" s="191"/>
      <c r="JP62" s="191"/>
      <c r="JQ62" s="191"/>
      <c r="JR62" s="191"/>
      <c r="JS62" s="191"/>
      <c r="JT62" s="191"/>
      <c r="JU62" s="191"/>
      <c r="JV62" s="191"/>
      <c r="JW62" s="191"/>
      <c r="JX62" s="191"/>
      <c r="JY62" s="191"/>
      <c r="JZ62" s="191"/>
      <c r="KA62" s="191"/>
      <c r="KB62" s="191"/>
      <c r="KC62" s="191"/>
      <c r="KD62" s="191"/>
      <c r="KE62" s="191"/>
      <c r="KF62" s="191"/>
      <c r="KG62" s="191"/>
      <c r="KH62" s="191"/>
      <c r="KI62" s="191"/>
      <c r="KJ62" s="193"/>
      <c r="KK62" s="194"/>
      <c r="KL62" s="191"/>
      <c r="KM62" s="191"/>
      <c r="KN62" s="191"/>
      <c r="KO62" s="191"/>
      <c r="KP62" s="191"/>
      <c r="KQ62" s="191"/>
      <c r="KR62" s="191"/>
      <c r="KS62" s="191"/>
      <c r="KT62" s="191"/>
      <c r="KU62" s="191"/>
      <c r="KV62" s="191"/>
      <c r="KW62" s="191"/>
      <c r="KX62" s="191"/>
      <c r="KY62" s="191"/>
      <c r="KZ62" s="191"/>
      <c r="LA62" s="191"/>
      <c r="LB62" s="191"/>
      <c r="LC62" s="191"/>
      <c r="LD62" s="191"/>
      <c r="LE62" s="191"/>
      <c r="LF62" s="191"/>
      <c r="LG62" s="191"/>
      <c r="LH62" s="191"/>
      <c r="LI62" s="191"/>
      <c r="LJ62" s="191"/>
      <c r="LK62" s="191"/>
      <c r="LL62" s="191"/>
      <c r="LM62" s="191"/>
      <c r="LN62" s="192"/>
      <c r="LO62" s="190"/>
      <c r="LP62" s="191"/>
      <c r="LQ62" s="191"/>
      <c r="LR62" s="191"/>
      <c r="LS62" s="191"/>
      <c r="LT62" s="191"/>
      <c r="LU62" s="191"/>
      <c r="LV62" s="191"/>
      <c r="LW62" s="191"/>
      <c r="LX62" s="191"/>
      <c r="LY62" s="191"/>
      <c r="LZ62" s="191"/>
      <c r="MA62" s="191"/>
      <c r="MB62" s="191"/>
      <c r="MC62" s="191"/>
      <c r="MD62" s="191"/>
      <c r="ME62" s="191"/>
      <c r="MF62" s="191"/>
      <c r="MG62" s="191"/>
      <c r="MH62" s="191"/>
      <c r="MI62" s="191"/>
      <c r="MJ62" s="191"/>
      <c r="MK62" s="191"/>
      <c r="ML62" s="191"/>
      <c r="MM62" s="191"/>
      <c r="MN62" s="191"/>
      <c r="MO62" s="191"/>
      <c r="MP62" s="191"/>
      <c r="MQ62" s="191"/>
      <c r="MR62" s="191"/>
      <c r="MS62" s="193"/>
      <c r="MT62" s="194"/>
      <c r="MU62" s="191"/>
      <c r="MV62" s="191"/>
      <c r="MW62" s="191"/>
      <c r="MX62" s="191"/>
      <c r="MY62" s="191"/>
      <c r="MZ62" s="191"/>
      <c r="NA62" s="191"/>
      <c r="NB62" s="191"/>
      <c r="NC62" s="191"/>
      <c r="ND62" s="191"/>
      <c r="NE62" s="191"/>
      <c r="NF62" s="191"/>
      <c r="NG62" s="191"/>
      <c r="NH62" s="191"/>
      <c r="NI62" s="191"/>
      <c r="NJ62" s="191"/>
      <c r="NK62" s="191"/>
      <c r="NL62" s="191"/>
      <c r="NM62" s="191"/>
      <c r="NN62" s="191"/>
      <c r="NO62" s="191"/>
      <c r="NP62" s="191"/>
      <c r="NQ62" s="191"/>
      <c r="NR62" s="191"/>
      <c r="NS62" s="191"/>
      <c r="NT62" s="191"/>
      <c r="NU62" s="191"/>
      <c r="NV62" s="191"/>
      <c r="NW62" s="192"/>
      <c r="NX62" s="190"/>
      <c r="NY62" s="191"/>
      <c r="NZ62" s="191"/>
      <c r="OA62" s="191"/>
      <c r="OB62" s="191"/>
      <c r="OC62" s="191"/>
      <c r="OD62" s="191"/>
      <c r="OE62" s="191"/>
      <c r="OF62" s="191"/>
      <c r="OG62" s="191"/>
      <c r="OH62" s="191"/>
      <c r="OI62" s="191"/>
      <c r="OJ62" s="191"/>
      <c r="OK62" s="191"/>
      <c r="OL62" s="191"/>
      <c r="OM62" s="191"/>
      <c r="ON62" s="191"/>
      <c r="OO62" s="191"/>
      <c r="OP62" s="191"/>
      <c r="OQ62" s="191"/>
      <c r="OR62" s="191"/>
      <c r="OS62" s="191"/>
      <c r="OT62" s="191"/>
      <c r="OU62" s="191"/>
      <c r="OV62" s="191"/>
      <c r="OW62" s="191"/>
      <c r="OX62" s="191"/>
      <c r="OY62" s="191"/>
      <c r="OZ62" s="191"/>
      <c r="PA62" s="191"/>
      <c r="PB62" s="193"/>
      <c r="PC62" s="47"/>
      <c r="PD62" s="154" t="s">
        <v>97</v>
      </c>
      <c r="PE62" s="155" t="s">
        <v>97</v>
      </c>
      <c r="PF62" s="155" t="s">
        <v>98</v>
      </c>
      <c r="PG62" s="155" t="s">
        <v>98</v>
      </c>
      <c r="PH62" s="155" t="s">
        <v>98</v>
      </c>
      <c r="PI62" s="155" t="s">
        <v>98</v>
      </c>
      <c r="PJ62" s="155" t="s">
        <v>98</v>
      </c>
      <c r="PK62" s="155" t="s">
        <v>98</v>
      </c>
      <c r="PL62" s="155" t="s">
        <v>98</v>
      </c>
      <c r="PM62" s="155" t="s">
        <v>98</v>
      </c>
      <c r="PN62" s="155" t="s">
        <v>98</v>
      </c>
      <c r="PO62" s="156"/>
      <c r="PP62" s="156"/>
      <c r="PQ62" s="156"/>
      <c r="PR62" s="156"/>
      <c r="PS62" s="156"/>
      <c r="PT62" s="156"/>
      <c r="PU62" s="156"/>
      <c r="PV62" s="156"/>
      <c r="PW62" s="156"/>
      <c r="PX62" s="195"/>
      <c r="PY62" s="1"/>
      <c r="PZ62" s="196">
        <f t="shared" si="20"/>
        <v>0</v>
      </c>
      <c r="QA62" s="176">
        <f t="shared" si="21"/>
        <v>0</v>
      </c>
      <c r="QB62" s="177" t="str">
        <f t="shared" ca="1" si="22"/>
        <v>Attente…</v>
      </c>
      <c r="QC62" s="197">
        <f t="shared" si="23"/>
        <v>0</v>
      </c>
      <c r="QD62" s="179">
        <f t="shared" si="24"/>
        <v>0</v>
      </c>
      <c r="QE62" s="180" t="str">
        <f t="shared" ca="1" si="25"/>
        <v>Attente…</v>
      </c>
      <c r="QF62" s="196">
        <f t="shared" si="26"/>
        <v>0</v>
      </c>
      <c r="QG62" s="176">
        <f t="shared" si="27"/>
        <v>0</v>
      </c>
      <c r="QH62" s="177" t="str">
        <f t="shared" ca="1" si="28"/>
        <v>Attente…</v>
      </c>
      <c r="QI62" s="197">
        <f t="shared" si="29"/>
        <v>0</v>
      </c>
      <c r="QJ62" s="179">
        <f t="shared" si="30"/>
        <v>0</v>
      </c>
      <c r="QK62" s="180" t="str">
        <f t="shared" ca="1" si="31"/>
        <v>Attente…</v>
      </c>
      <c r="QL62" s="196">
        <f t="shared" si="32"/>
        <v>0</v>
      </c>
      <c r="QM62" s="176">
        <f t="shared" si="33"/>
        <v>0</v>
      </c>
      <c r="QN62" s="177" t="str">
        <f t="shared" ca="1" si="34"/>
        <v>Attente…</v>
      </c>
      <c r="QO62" s="197">
        <f t="shared" si="35"/>
        <v>0</v>
      </c>
      <c r="QP62" s="179">
        <f t="shared" si="36"/>
        <v>0</v>
      </c>
      <c r="QQ62" s="180" t="str">
        <f t="shared" ca="1" si="37"/>
        <v>Attente…</v>
      </c>
      <c r="QR62" s="196">
        <f t="shared" si="38"/>
        <v>0</v>
      </c>
      <c r="QS62" s="176">
        <f t="shared" si="39"/>
        <v>0</v>
      </c>
      <c r="QT62" s="177" t="str">
        <f t="shared" ca="1" si="40"/>
        <v>Attente…</v>
      </c>
      <c r="QU62" s="197">
        <f t="shared" si="41"/>
        <v>0</v>
      </c>
      <c r="QV62" s="179">
        <f t="shared" si="42"/>
        <v>0</v>
      </c>
      <c r="QW62" s="180" t="str">
        <f t="shared" ca="1" si="43"/>
        <v>Attente…</v>
      </c>
      <c r="QX62" s="196">
        <f t="shared" si="44"/>
        <v>0</v>
      </c>
      <c r="QY62" s="176">
        <f t="shared" si="45"/>
        <v>0</v>
      </c>
      <c r="QZ62" s="177" t="str">
        <f t="shared" ca="1" si="46"/>
        <v>Attente…</v>
      </c>
      <c r="RA62" s="197">
        <f t="shared" si="47"/>
        <v>0</v>
      </c>
      <c r="RB62" s="179">
        <f t="shared" si="48"/>
        <v>0</v>
      </c>
      <c r="RC62" s="180" t="str">
        <f t="shared" ca="1" si="49"/>
        <v>Attente…</v>
      </c>
      <c r="RD62" s="196">
        <f t="shared" si="50"/>
        <v>0</v>
      </c>
      <c r="RE62" s="176">
        <f t="shared" si="51"/>
        <v>0</v>
      </c>
      <c r="RF62" s="177" t="str">
        <f t="shared" ca="1" si="52"/>
        <v>Attente…</v>
      </c>
      <c r="RG62" s="197">
        <f t="shared" si="53"/>
        <v>0</v>
      </c>
      <c r="RH62" s="179">
        <f t="shared" si="54"/>
        <v>0</v>
      </c>
      <c r="RI62" s="198" t="str">
        <f t="shared" ca="1" si="55"/>
        <v>Attente…</v>
      </c>
      <c r="RJ62" s="199">
        <f t="shared" si="56"/>
        <v>0</v>
      </c>
      <c r="RK62" s="200" t="str">
        <f t="shared" ca="1" si="13"/>
        <v>Attente…</v>
      </c>
      <c r="RL62" s="199">
        <f t="shared" si="57"/>
        <v>0</v>
      </c>
      <c r="RM62" s="200" t="str">
        <f t="shared" ca="1" si="58"/>
        <v>Atttente…</v>
      </c>
      <c r="RN62" s="199">
        <f t="shared" si="59"/>
        <v>0</v>
      </c>
      <c r="RO62" s="200" t="str">
        <f t="shared" ca="1" si="14"/>
        <v>Attente…</v>
      </c>
      <c r="RP62" s="199">
        <f t="shared" si="60"/>
        <v>0</v>
      </c>
      <c r="RQ62" s="200" t="str">
        <f t="shared" ca="1" si="15"/>
        <v>Attente…</v>
      </c>
      <c r="RR62" s="201">
        <f t="shared" si="61"/>
        <v>0</v>
      </c>
      <c r="RS62" s="202" t="str">
        <f t="shared" ca="1" si="16"/>
        <v>Attente…</v>
      </c>
      <c r="RT62" s="103"/>
      <c r="RU62" s="203" t="str">
        <f t="shared" si="62"/>
        <v/>
      </c>
      <c r="RV62" s="204">
        <f t="shared" si="65"/>
        <v>1</v>
      </c>
      <c r="RW62" s="204">
        <f t="shared" si="65"/>
        <v>0</v>
      </c>
      <c r="RX62" s="204">
        <f t="shared" si="63"/>
        <v>0</v>
      </c>
      <c r="RY62" s="205" t="str">
        <f t="shared" si="64"/>
        <v>BOIS-GUILLAUME - 2001 rue Herbeuse (Déchetterie - 9h / 12h - 14h / 17h30)</v>
      </c>
      <c r="RZ62" s="189" t="str">
        <f>IF(OR(RZ61="",RZ61="  &lt;/Document&gt;
&lt;/kml&gt;"),"",
IF(B62="","  &lt;/Document&gt;
&lt;/kml&gt;",
IF(TournéesCAV!Q62=""," ",
"    &lt;Placemark&gt;
      &lt;description&gt;&lt;![CDATA["&amp;B62&amp;"&lt;br&gt;&lt;br&gt;"&amp;RV62&amp;" CAV&lt;br&gt;&lt;br&gt;Présent sur "&amp;RW62&amp;" tournée(s)&lt;br&gt;&lt;br&gt;Taux de remplissage moyen "&amp;TEXT(RU62*1000,"0 %")&amp;"]]&gt;&lt;/description&gt;
      &lt;Style&gt;
        &lt;IconStyle&gt;
          &lt;color&gt;ff"&amp;
          DEC2HEX(0,2)&amp;
          DEC2HEX(
            IF(RU62&lt;=0.5,
               INT(255*(RU62*2)),
               255
            ),2)&amp;
          DEC2HEX(
            IF(RU62&lt;=0.5,
               255,
               INT(255*(1-(RU62-0.5)*2))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&lt;Point&gt;&lt;coordinates&gt;"&amp;R62&amp;","&amp;Q62&amp;",0&lt;/coordinates&gt;&lt;/Point&gt;
    &lt;/Placemark&gt;"
)))</f>
        <v xml:space="preserve"> </v>
      </c>
    </row>
    <row r="63" spans="2:494" ht="15" hidden="1" customHeight="1" x14ac:dyDescent="0.35">
      <c r="B63" s="153" t="str">
        <f t="shared" si="17"/>
        <v>PITRES - 30 Rue de l'Eglise (Salle des fêtes)</v>
      </c>
      <c r="C63" s="154" t="s">
        <v>104</v>
      </c>
      <c r="D63" s="155"/>
      <c r="E63" s="155"/>
      <c r="F63" s="155"/>
      <c r="G63" s="155"/>
      <c r="H63" s="155"/>
      <c r="I63" s="155"/>
      <c r="J63" s="156"/>
      <c r="K63" s="157">
        <f t="shared" si="18"/>
        <v>1</v>
      </c>
      <c r="L63" s="157">
        <f t="shared" si="19"/>
        <v>1</v>
      </c>
      <c r="M63" s="158" t="s">
        <v>404</v>
      </c>
      <c r="N63" s="159" t="s">
        <v>405</v>
      </c>
      <c r="O63" s="159">
        <v>27590</v>
      </c>
      <c r="P63" s="159" t="s">
        <v>406</v>
      </c>
      <c r="Q63" s="159" t="s">
        <v>407</v>
      </c>
      <c r="R63" s="159" t="s">
        <v>408</v>
      </c>
      <c r="S63" s="159"/>
      <c r="T63" s="159" t="s">
        <v>94</v>
      </c>
      <c r="U63" s="159" t="s">
        <v>409</v>
      </c>
      <c r="V63" s="160" t="s">
        <v>21</v>
      </c>
      <c r="W63" s="210"/>
      <c r="X63" s="162"/>
      <c r="Y63" s="162"/>
      <c r="Z63" s="162"/>
      <c r="AA63" s="162"/>
      <c r="AB63" s="162"/>
      <c r="AC63" s="162"/>
      <c r="AD63" s="162"/>
      <c r="AE63" s="162"/>
      <c r="AF63" s="162"/>
      <c r="AG63" s="162"/>
      <c r="AH63" s="162"/>
      <c r="AI63" s="162"/>
      <c r="AJ63" s="162"/>
      <c r="AK63" s="162"/>
      <c r="AL63" s="162">
        <v>4</v>
      </c>
      <c r="AM63" s="162"/>
      <c r="AN63" s="162"/>
      <c r="AO63" s="162"/>
      <c r="AP63" s="164"/>
      <c r="AQ63" s="164"/>
      <c r="AR63" s="164"/>
      <c r="AS63" s="164"/>
      <c r="AT63" s="164"/>
      <c r="AU63" s="164"/>
      <c r="AV63" s="164"/>
      <c r="AW63" s="164"/>
      <c r="AX63" s="164"/>
      <c r="AY63" s="211"/>
      <c r="AZ63" s="41"/>
      <c r="BA63" s="190"/>
      <c r="BB63" s="191"/>
      <c r="BC63" s="191"/>
      <c r="BD63" s="191"/>
      <c r="BE63" s="191"/>
      <c r="BF63" s="191"/>
      <c r="BG63" s="191"/>
      <c r="BH63" s="191">
        <v>200</v>
      </c>
      <c r="BI63" s="191"/>
      <c r="BJ63" s="191"/>
      <c r="BK63" s="191"/>
      <c r="BL63" s="191"/>
      <c r="BM63" s="191"/>
      <c r="BN63" s="191"/>
      <c r="BO63" s="191">
        <v>100</v>
      </c>
      <c r="BP63" s="191"/>
      <c r="BQ63" s="191"/>
      <c r="BR63" s="191"/>
      <c r="BS63" s="191"/>
      <c r="BT63" s="191"/>
      <c r="BU63" s="191"/>
      <c r="BV63" s="191">
        <v>100</v>
      </c>
      <c r="BW63" s="191"/>
      <c r="BX63" s="191"/>
      <c r="BY63" s="191"/>
      <c r="BZ63" s="191"/>
      <c r="CA63" s="191"/>
      <c r="CB63" s="191"/>
      <c r="CC63" s="191">
        <v>10</v>
      </c>
      <c r="CD63" s="191"/>
      <c r="CE63" s="192"/>
      <c r="CF63" s="190"/>
      <c r="CG63" s="191"/>
      <c r="CH63" s="191"/>
      <c r="CI63" s="191"/>
      <c r="CJ63" s="191">
        <v>100</v>
      </c>
      <c r="CK63" s="191"/>
      <c r="CL63" s="191"/>
      <c r="CM63" s="191"/>
      <c r="CN63" s="191"/>
      <c r="CO63" s="191"/>
      <c r="CP63" s="191"/>
      <c r="CQ63" s="191">
        <v>100</v>
      </c>
      <c r="CR63" s="191"/>
      <c r="CS63" s="191"/>
      <c r="CT63" s="191"/>
      <c r="CU63" s="191"/>
      <c r="CV63" s="191"/>
      <c r="CW63" s="191"/>
      <c r="CX63" s="191">
        <v>100</v>
      </c>
      <c r="CY63" s="191"/>
      <c r="CZ63" s="191"/>
      <c r="DA63" s="191"/>
      <c r="DB63" s="191"/>
      <c r="DC63" s="191"/>
      <c r="DD63" s="191"/>
      <c r="DE63" s="191">
        <v>10</v>
      </c>
      <c r="DF63" s="191"/>
      <c r="DG63" s="191"/>
      <c r="DH63" s="193"/>
      <c r="DI63" s="194"/>
      <c r="DJ63" s="191"/>
      <c r="DK63" s="191"/>
      <c r="DL63" s="191"/>
      <c r="DM63" s="191">
        <v>100</v>
      </c>
      <c r="DN63" s="191"/>
      <c r="DO63" s="191"/>
      <c r="DP63" s="191"/>
      <c r="DQ63" s="191"/>
      <c r="DR63" s="191"/>
      <c r="DS63" s="191"/>
      <c r="DT63" s="191">
        <v>50</v>
      </c>
      <c r="DU63" s="191"/>
      <c r="DV63" s="191"/>
      <c r="DW63" s="191"/>
      <c r="DX63" s="191"/>
      <c r="DY63" s="191"/>
      <c r="DZ63" s="191"/>
      <c r="EA63" s="191"/>
      <c r="EB63" s="191"/>
      <c r="EC63" s="191"/>
      <c r="ED63" s="191"/>
      <c r="EE63" s="191"/>
      <c r="EF63" s="191"/>
      <c r="EG63" s="191"/>
      <c r="EH63" s="191">
        <v>150</v>
      </c>
      <c r="EI63" s="191"/>
      <c r="EJ63" s="191"/>
      <c r="EK63" s="191"/>
      <c r="EL63" s="191"/>
      <c r="EM63" s="192"/>
      <c r="EN63" s="190"/>
      <c r="EO63" s="191">
        <v>100</v>
      </c>
      <c r="EP63" s="191"/>
      <c r="EQ63" s="191"/>
      <c r="ER63" s="191"/>
      <c r="ES63" s="191"/>
      <c r="ET63" s="191"/>
      <c r="EU63" s="191"/>
      <c r="EV63" s="191"/>
      <c r="EW63" s="191"/>
      <c r="EX63" s="191"/>
      <c r="EY63" s="191"/>
      <c r="EZ63" s="191"/>
      <c r="FA63" s="191"/>
      <c r="FB63" s="191"/>
      <c r="FC63" s="191">
        <v>150</v>
      </c>
      <c r="FD63" s="191"/>
      <c r="FE63" s="191"/>
      <c r="FF63" s="191"/>
      <c r="FG63" s="191"/>
      <c r="FH63" s="191"/>
      <c r="FI63" s="191"/>
      <c r="FJ63" s="191"/>
      <c r="FK63" s="191"/>
      <c r="FL63" s="191">
        <v>200</v>
      </c>
      <c r="FM63" s="191"/>
      <c r="FN63" s="191"/>
      <c r="FO63" s="191"/>
      <c r="FP63" s="191"/>
      <c r="FQ63" s="193"/>
      <c r="FR63" s="194"/>
      <c r="FS63" s="191"/>
      <c r="FT63" s="191"/>
      <c r="FU63" s="191"/>
      <c r="FV63" s="191"/>
      <c r="FW63" s="191"/>
      <c r="FX63" s="191">
        <v>200</v>
      </c>
      <c r="FY63" s="191"/>
      <c r="FZ63" s="191"/>
      <c r="GA63" s="191"/>
      <c r="GB63" s="191"/>
      <c r="GC63" s="191"/>
      <c r="GD63" s="191"/>
      <c r="GE63" s="191"/>
      <c r="GF63" s="191"/>
      <c r="GG63" s="191"/>
      <c r="GH63" s="191"/>
      <c r="GI63" s="191"/>
      <c r="GJ63" s="191"/>
      <c r="GK63" s="191"/>
      <c r="GL63" s="191">
        <v>200</v>
      </c>
      <c r="GM63" s="191"/>
      <c r="GN63" s="191"/>
      <c r="GO63" s="191"/>
      <c r="GP63" s="191"/>
      <c r="GQ63" s="191"/>
      <c r="GR63" s="191"/>
      <c r="GS63" s="191"/>
      <c r="GT63" s="191"/>
      <c r="GU63" s="191"/>
      <c r="GV63" s="192"/>
      <c r="GW63" s="190"/>
      <c r="GX63" s="191"/>
      <c r="GY63" s="191"/>
      <c r="GZ63" s="191">
        <v>100</v>
      </c>
      <c r="HA63" s="191"/>
      <c r="HB63" s="191"/>
      <c r="HC63" s="191"/>
      <c r="HD63" s="191"/>
      <c r="HE63" s="191"/>
      <c r="HF63" s="191"/>
      <c r="HG63" s="191"/>
      <c r="HH63" s="191"/>
      <c r="HI63" s="191"/>
      <c r="HJ63" s="191"/>
      <c r="HK63" s="191"/>
      <c r="HL63" s="191"/>
      <c r="HM63" s="191"/>
      <c r="HN63" s="191"/>
      <c r="HO63" s="191"/>
      <c r="HP63" s="191"/>
      <c r="HQ63" s="191"/>
      <c r="HR63" s="191"/>
      <c r="HS63" s="191"/>
      <c r="HT63" s="191"/>
      <c r="HU63" s="191">
        <v>150</v>
      </c>
      <c r="HV63" s="191"/>
      <c r="HW63" s="191"/>
      <c r="HX63" s="191"/>
      <c r="HY63" s="191"/>
      <c r="HZ63" s="193"/>
      <c r="IA63" s="194"/>
      <c r="IB63" s="191">
        <v>100</v>
      </c>
      <c r="IC63" s="191"/>
      <c r="ID63" s="191"/>
      <c r="IE63" s="191"/>
      <c r="IF63" s="191"/>
      <c r="IG63" s="191"/>
      <c r="IH63" s="191"/>
      <c r="II63" s="191">
        <v>200</v>
      </c>
      <c r="IJ63" s="191"/>
      <c r="IK63" s="191"/>
      <c r="IL63" s="191"/>
      <c r="IM63" s="191"/>
      <c r="IN63" s="191"/>
      <c r="IO63" s="191"/>
      <c r="IP63" s="191"/>
      <c r="IQ63" s="191"/>
      <c r="IR63" s="191"/>
      <c r="IS63" s="191"/>
      <c r="IT63" s="191"/>
      <c r="IU63" s="191"/>
      <c r="IV63" s="191"/>
      <c r="IW63" s="191">
        <v>200</v>
      </c>
      <c r="IX63" s="191"/>
      <c r="IY63" s="191"/>
      <c r="IZ63" s="191"/>
      <c r="JA63" s="191"/>
      <c r="JB63" s="191"/>
      <c r="JC63" s="191"/>
      <c r="JD63" s="191"/>
      <c r="JE63" s="192"/>
      <c r="JF63" s="190"/>
      <c r="JG63" s="191"/>
      <c r="JH63" s="191"/>
      <c r="JI63" s="191"/>
      <c r="JJ63" s="191"/>
      <c r="JK63" s="191">
        <v>100</v>
      </c>
      <c r="JL63" s="191"/>
      <c r="JM63" s="191"/>
      <c r="JN63" s="191"/>
      <c r="JO63" s="191"/>
      <c r="JP63" s="191"/>
      <c r="JQ63" s="191"/>
      <c r="JR63" s="191">
        <v>150</v>
      </c>
      <c r="JS63" s="191"/>
      <c r="JT63" s="191"/>
      <c r="JU63" s="191"/>
      <c r="JV63" s="191"/>
      <c r="JW63" s="191"/>
      <c r="JX63" s="191"/>
      <c r="JY63" s="191">
        <v>100</v>
      </c>
      <c r="JZ63" s="191"/>
      <c r="KA63" s="191"/>
      <c r="KB63" s="191"/>
      <c r="KC63" s="191"/>
      <c r="KD63" s="191"/>
      <c r="KE63" s="191"/>
      <c r="KF63" s="191">
        <v>100</v>
      </c>
      <c r="KG63" s="191"/>
      <c r="KH63" s="191"/>
      <c r="KI63" s="191"/>
      <c r="KJ63" s="193"/>
      <c r="KK63" s="194"/>
      <c r="KL63" s="191"/>
      <c r="KM63" s="191">
        <v>150</v>
      </c>
      <c r="KN63" s="191"/>
      <c r="KO63" s="191"/>
      <c r="KP63" s="191"/>
      <c r="KQ63" s="191"/>
      <c r="KR63" s="191"/>
      <c r="KS63" s="191"/>
      <c r="KT63" s="191"/>
      <c r="KU63" s="191">
        <v>150</v>
      </c>
      <c r="KV63" s="191"/>
      <c r="KW63" s="191"/>
      <c r="KX63" s="191"/>
      <c r="KY63" s="191"/>
      <c r="KZ63" s="191"/>
      <c r="LA63" s="191"/>
      <c r="LB63" s="191"/>
      <c r="LC63" s="191"/>
      <c r="LD63" s="191"/>
      <c r="LE63" s="191"/>
      <c r="LF63" s="191"/>
      <c r="LG63" s="191"/>
      <c r="LH63" s="191">
        <v>150</v>
      </c>
      <c r="LI63" s="191"/>
      <c r="LJ63" s="191"/>
      <c r="LK63" s="191"/>
      <c r="LL63" s="191"/>
      <c r="LM63" s="191"/>
      <c r="LN63" s="192"/>
      <c r="LO63" s="190"/>
      <c r="LP63" s="191">
        <v>150</v>
      </c>
      <c r="LQ63" s="191"/>
      <c r="LR63" s="191"/>
      <c r="LS63" s="191"/>
      <c r="LT63" s="191"/>
      <c r="LU63" s="191"/>
      <c r="LV63" s="191">
        <v>100</v>
      </c>
      <c r="LW63" s="191"/>
      <c r="LX63" s="191"/>
      <c r="LY63" s="191"/>
      <c r="LZ63" s="191"/>
      <c r="MA63" s="191"/>
      <c r="MB63" s="191"/>
      <c r="MC63" s="191">
        <v>50</v>
      </c>
      <c r="MD63" s="191"/>
      <c r="ME63" s="191"/>
      <c r="MF63" s="191"/>
      <c r="MG63" s="191"/>
      <c r="MH63" s="191"/>
      <c r="MI63" s="191"/>
      <c r="MJ63" s="191">
        <v>10</v>
      </c>
      <c r="MK63" s="191"/>
      <c r="ML63" s="191"/>
      <c r="MM63" s="191"/>
      <c r="MN63" s="191"/>
      <c r="MO63" s="191"/>
      <c r="MP63" s="191"/>
      <c r="MQ63" s="191">
        <v>100</v>
      </c>
      <c r="MR63" s="191"/>
      <c r="MS63" s="193"/>
      <c r="MT63" s="194"/>
      <c r="MU63" s="191"/>
      <c r="MV63" s="191"/>
      <c r="MW63" s="191"/>
      <c r="MX63" s="191">
        <v>50</v>
      </c>
      <c r="MY63" s="191"/>
      <c r="MZ63" s="191"/>
      <c r="NA63" s="191"/>
      <c r="NB63" s="191"/>
      <c r="NC63" s="191"/>
      <c r="ND63" s="191"/>
      <c r="NE63" s="191"/>
      <c r="NF63" s="191"/>
      <c r="NG63" s="191"/>
      <c r="NH63" s="191"/>
      <c r="NI63" s="191"/>
      <c r="NJ63" s="191"/>
      <c r="NK63" s="191"/>
      <c r="NL63" s="191">
        <v>150</v>
      </c>
      <c r="NM63" s="191"/>
      <c r="NN63" s="191"/>
      <c r="NO63" s="191"/>
      <c r="NP63" s="191"/>
      <c r="NQ63" s="191"/>
      <c r="NR63" s="191"/>
      <c r="NS63" s="191">
        <v>100</v>
      </c>
      <c r="NT63" s="191"/>
      <c r="NU63" s="191"/>
      <c r="NV63" s="191"/>
      <c r="NW63" s="192"/>
      <c r="NX63" s="190"/>
      <c r="NY63" s="191"/>
      <c r="NZ63" s="191">
        <v>150</v>
      </c>
      <c r="OA63" s="191"/>
      <c r="OB63" s="191"/>
      <c r="OC63" s="191"/>
      <c r="OD63" s="191"/>
      <c r="OE63" s="191"/>
      <c r="OF63" s="191"/>
      <c r="OG63" s="191">
        <v>10</v>
      </c>
      <c r="OH63" s="191"/>
      <c r="OI63" s="191"/>
      <c r="OJ63" s="191"/>
      <c r="OK63" s="191"/>
      <c r="OL63" s="191"/>
      <c r="OM63" s="191"/>
      <c r="ON63" s="191">
        <v>50</v>
      </c>
      <c r="OO63" s="191"/>
      <c r="OP63" s="191"/>
      <c r="OQ63" s="191"/>
      <c r="OR63" s="191"/>
      <c r="OS63" s="191"/>
      <c r="OT63" s="191"/>
      <c r="OU63" s="191"/>
      <c r="OV63" s="191"/>
      <c r="OW63" s="191"/>
      <c r="OX63" s="191"/>
      <c r="OY63" s="191"/>
      <c r="OZ63" s="191"/>
      <c r="PA63" s="191"/>
      <c r="PB63" s="193"/>
      <c r="PC63" s="212"/>
      <c r="PD63" s="154" t="s">
        <v>98</v>
      </c>
      <c r="PE63" s="155" t="s">
        <v>98</v>
      </c>
      <c r="PF63" s="155" t="s">
        <v>98</v>
      </c>
      <c r="PG63" s="155" t="s">
        <v>98</v>
      </c>
      <c r="PH63" s="155" t="s">
        <v>98</v>
      </c>
      <c r="PI63" s="155" t="s">
        <v>97</v>
      </c>
      <c r="PJ63" s="155" t="s">
        <v>98</v>
      </c>
      <c r="PK63" s="155" t="s">
        <v>98</v>
      </c>
      <c r="PL63" s="155" t="s">
        <v>98</v>
      </c>
      <c r="PM63" s="155" t="s">
        <v>98</v>
      </c>
      <c r="PN63" s="155" t="s">
        <v>98</v>
      </c>
      <c r="PO63" s="156"/>
      <c r="PP63" s="156"/>
      <c r="PQ63" s="156"/>
      <c r="PR63" s="156"/>
      <c r="PS63" s="156"/>
      <c r="PT63" s="156"/>
      <c r="PU63" s="156"/>
      <c r="PV63" s="156"/>
      <c r="PW63" s="156"/>
      <c r="PX63" s="195"/>
      <c r="PZ63" s="196">
        <f t="shared" si="20"/>
        <v>410</v>
      </c>
      <c r="QA63" s="176">
        <f t="shared" si="21"/>
        <v>3.4203720697422208E-3</v>
      </c>
      <c r="QB63" s="177" t="str">
        <f t="shared" ca="1" si="22"/>
        <v>Attente…</v>
      </c>
      <c r="QC63" s="197">
        <f t="shared" si="23"/>
        <v>310</v>
      </c>
      <c r="QD63" s="179">
        <f t="shared" si="24"/>
        <v>2.9026217228464418E-3</v>
      </c>
      <c r="QE63" s="180" t="str">
        <f t="shared" ca="1" si="25"/>
        <v>Attente…</v>
      </c>
      <c r="QF63" s="196">
        <f t="shared" si="26"/>
        <v>300</v>
      </c>
      <c r="QG63" s="176">
        <f t="shared" si="27"/>
        <v>2.3889154323936935E-3</v>
      </c>
      <c r="QH63" s="177" t="str">
        <f t="shared" ca="1" si="28"/>
        <v>Attente…</v>
      </c>
      <c r="QI63" s="197">
        <f t="shared" si="29"/>
        <v>450</v>
      </c>
      <c r="QJ63" s="179">
        <f t="shared" si="30"/>
        <v>3.1561228783840651E-3</v>
      </c>
      <c r="QK63" s="180" t="str">
        <f t="shared" ca="1" si="31"/>
        <v>Attente…</v>
      </c>
      <c r="QL63" s="196">
        <f t="shared" si="32"/>
        <v>400</v>
      </c>
      <c r="QM63" s="176">
        <f t="shared" si="33"/>
        <v>2.9265437518290896E-3</v>
      </c>
      <c r="QN63" s="177" t="str">
        <f t="shared" ca="1" si="34"/>
        <v>Attente…</v>
      </c>
      <c r="QO63" s="197">
        <f t="shared" si="35"/>
        <v>250</v>
      </c>
      <c r="QP63" s="179">
        <f t="shared" si="36"/>
        <v>1.9572535817740547E-3</v>
      </c>
      <c r="QQ63" s="180" t="str">
        <f t="shared" ca="1" si="37"/>
        <v>Attente…</v>
      </c>
      <c r="QR63" s="196">
        <f t="shared" si="38"/>
        <v>500</v>
      </c>
      <c r="QS63" s="176">
        <f t="shared" si="39"/>
        <v>3.5995824484359815E-3</v>
      </c>
      <c r="QT63" s="177" t="str">
        <f t="shared" ca="1" si="40"/>
        <v>Attente…</v>
      </c>
      <c r="QU63" s="197">
        <f t="shared" si="41"/>
        <v>450</v>
      </c>
      <c r="QV63" s="179">
        <f t="shared" si="42"/>
        <v>3.1025923883066741E-3</v>
      </c>
      <c r="QW63" s="180" t="str">
        <f t="shared" ca="1" si="43"/>
        <v>Attente…</v>
      </c>
      <c r="QX63" s="196">
        <f t="shared" si="44"/>
        <v>450</v>
      </c>
      <c r="QY63" s="176">
        <f t="shared" si="45"/>
        <v>3.2838086342275022E-3</v>
      </c>
      <c r="QZ63" s="177" t="str">
        <f t="shared" ca="1" si="46"/>
        <v>Attente…</v>
      </c>
      <c r="RA63" s="197">
        <f t="shared" si="47"/>
        <v>410</v>
      </c>
      <c r="RB63" s="179">
        <f t="shared" si="48"/>
        <v>3.2078867068304514E-3</v>
      </c>
      <c r="RC63" s="180" t="str">
        <f t="shared" ca="1" si="49"/>
        <v>Attente…</v>
      </c>
      <c r="RD63" s="196">
        <f t="shared" si="50"/>
        <v>300</v>
      </c>
      <c r="RE63" s="176">
        <f t="shared" si="51"/>
        <v>2.9892387405340772E-3</v>
      </c>
      <c r="RF63" s="177" t="str">
        <f t="shared" ca="1" si="52"/>
        <v>Attente…</v>
      </c>
      <c r="RG63" s="197">
        <f t="shared" si="53"/>
        <v>210</v>
      </c>
      <c r="RH63" s="179">
        <f t="shared" si="54"/>
        <v>3.8624241309545707E-3</v>
      </c>
      <c r="RI63" s="198" t="str">
        <f t="shared" ca="1" si="55"/>
        <v>Attente…</v>
      </c>
      <c r="RJ63" s="199">
        <f t="shared" si="56"/>
        <v>1020</v>
      </c>
      <c r="RK63" s="200" t="str">
        <f t="shared" ca="1" si="13"/>
        <v>Attente…</v>
      </c>
      <c r="RL63" s="199">
        <f t="shared" si="57"/>
        <v>1100</v>
      </c>
      <c r="RM63" s="200" t="str">
        <f t="shared" ca="1" si="58"/>
        <v>Atttente…</v>
      </c>
      <c r="RN63" s="199">
        <f t="shared" si="59"/>
        <v>1400</v>
      </c>
      <c r="RO63" s="200" t="str">
        <f t="shared" ca="1" si="14"/>
        <v>Attente…</v>
      </c>
      <c r="RP63" s="199">
        <f t="shared" si="60"/>
        <v>920</v>
      </c>
      <c r="RQ63" s="200" t="str">
        <f t="shared" ca="1" si="15"/>
        <v>Attente…</v>
      </c>
      <c r="RR63" s="201">
        <f t="shared" si="61"/>
        <v>4440</v>
      </c>
      <c r="RS63" s="202" t="str">
        <f t="shared" ca="1" si="16"/>
        <v>Attente…</v>
      </c>
      <c r="RT63" s="103"/>
      <c r="RU63" s="203">
        <f t="shared" si="62"/>
        <v>0.56923076923076921</v>
      </c>
      <c r="RV63" s="204">
        <f t="shared" si="65"/>
        <v>1</v>
      </c>
      <c r="RW63" s="204">
        <f t="shared" si="65"/>
        <v>1</v>
      </c>
      <c r="RX63" s="204">
        <f t="shared" si="63"/>
        <v>39</v>
      </c>
      <c r="RY63" s="205" t="str">
        <f t="shared" si="64"/>
        <v>PITRES - 30 Rue de l'Eglise (Salle des fêtes)</v>
      </c>
      <c r="RZ63" s="189" t="str">
        <f>IF(OR(RZ62="",RZ62="  &lt;/Document&gt;
&lt;/kml&gt;"),"",
IF(B63="","  &lt;/Document&gt;
&lt;/kml&gt;",
IF(TournéesCAV!Q63=""," ",
"    &lt;Placemark&gt;
      &lt;description&gt;&lt;![CDATA["&amp;B63&amp;"&lt;br&gt;&lt;br&gt;"&amp;RV63&amp;" CAV&lt;br&gt;&lt;br&gt;Présent sur "&amp;RW63&amp;" tournée(s)&lt;br&gt;&lt;br&gt;Taux de remplissage moyen "&amp;TEXT(RU63*1000,"0 %")&amp;"]]&gt;&lt;/description&gt;
      &lt;Style&gt;
        &lt;IconStyle&gt;
          &lt;color&gt;ff"&amp;
          DEC2HEX(0,2)&amp;
          DEC2HEX(
            IF(RU63&lt;=0.5,
               INT(255*(RU63*2)),
               255
            ),2)&amp;
          DEC2HEX(
            IF(RU63&lt;=0.5,
               255,
               INT(255*(1-(RU63-0.5)*2))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&lt;Point&gt;&lt;coordinates&gt;"&amp;R63&amp;","&amp;Q63&amp;",0&lt;/coordinates&gt;&lt;/Point&gt;
    &lt;/Placemark&gt;"
)))</f>
        <v xml:space="preserve">    &lt;Placemark&gt;
      &lt;description&gt;&lt;![CDATA[PITRES - 30 Rue de l'Eglise (Salle des fêtes)&lt;br&gt;&lt;br&gt;1 CAV&lt;br&gt;&lt;br&gt;Présent sur 1 tournée(s)&lt;br&gt;&lt;br&gt;Taux de remplissage moyen 57%]]&gt;&lt;/description&gt;
      &lt;Style&gt;
        &lt;IconStyle&gt;
          &lt;color&gt;ff00FFDB&lt;/color&gt;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&lt;Point&gt;&lt;coordinates&gt;1.2295495,49.3185296,0&lt;/coordinates&gt;&lt;/Point&gt;
    &lt;/Placemark&gt;</v>
      </c>
    </row>
    <row r="64" spans="2:494" ht="15" hidden="1" customHeight="1" x14ac:dyDescent="0.35">
      <c r="B64" s="153" t="str">
        <f t="shared" si="17"/>
        <v>ANNEVILLE-AMBOURVILLE - 2701 route de Bourg Achard (Déchetterie)</v>
      </c>
      <c r="C64" s="154">
        <v>20</v>
      </c>
      <c r="D64" s="155">
        <v>143</v>
      </c>
      <c r="E64" s="155"/>
      <c r="F64" s="155"/>
      <c r="G64" s="155"/>
      <c r="H64" s="155"/>
      <c r="I64" s="155"/>
      <c r="J64" s="156"/>
      <c r="K64" s="157">
        <f t="shared" si="18"/>
        <v>2</v>
      </c>
      <c r="L64" s="157">
        <f t="shared" si="19"/>
        <v>1</v>
      </c>
      <c r="M64" s="158" t="s">
        <v>410</v>
      </c>
      <c r="N64" s="159" t="s">
        <v>411</v>
      </c>
      <c r="O64" s="159">
        <v>76480</v>
      </c>
      <c r="P64" s="159" t="s">
        <v>16</v>
      </c>
      <c r="Q64" s="159" t="s">
        <v>412</v>
      </c>
      <c r="R64" s="159" t="s">
        <v>413</v>
      </c>
      <c r="S64" s="159" t="s">
        <v>93</v>
      </c>
      <c r="T64" s="159" t="s">
        <v>159</v>
      </c>
      <c r="U64" s="159" t="s">
        <v>414</v>
      </c>
      <c r="V64" s="160" t="s">
        <v>96</v>
      </c>
      <c r="W64" s="161"/>
      <c r="X64" s="162"/>
      <c r="Y64" s="163"/>
      <c r="Z64" s="162"/>
      <c r="AA64" s="163"/>
      <c r="AB64" s="162"/>
      <c r="AC64" s="163"/>
      <c r="AD64" s="162"/>
      <c r="AE64" s="163"/>
      <c r="AF64" s="162"/>
      <c r="AG64" s="163">
        <v>5</v>
      </c>
      <c r="AH64" s="163"/>
      <c r="AI64" s="162"/>
      <c r="AJ64" s="163"/>
      <c r="AK64" s="162"/>
      <c r="AL64" s="163"/>
      <c r="AM64" s="162"/>
      <c r="AN64" s="163"/>
      <c r="AO64" s="162"/>
      <c r="AP64" s="164"/>
      <c r="AQ64" s="164"/>
      <c r="AR64" s="164"/>
      <c r="AS64" s="164"/>
      <c r="AT64" s="164"/>
      <c r="AU64" s="164"/>
      <c r="AV64" s="164"/>
      <c r="AW64" s="164"/>
      <c r="AX64" s="164"/>
      <c r="AY64" s="165"/>
      <c r="AZ64" s="41"/>
      <c r="BA64" s="190"/>
      <c r="BB64" s="191"/>
      <c r="BC64" s="191"/>
      <c r="BD64" s="191"/>
      <c r="BE64" s="191"/>
      <c r="BF64" s="191"/>
      <c r="BG64" s="191"/>
      <c r="BH64" s="191">
        <v>250</v>
      </c>
      <c r="BI64" s="191"/>
      <c r="BJ64" s="191"/>
      <c r="BK64" s="191"/>
      <c r="BL64" s="191"/>
      <c r="BM64" s="191"/>
      <c r="BN64" s="191"/>
      <c r="BO64" s="191">
        <v>60</v>
      </c>
      <c r="BP64" s="191"/>
      <c r="BQ64" s="191"/>
      <c r="BR64" s="191"/>
      <c r="BS64" s="191"/>
      <c r="BT64" s="191"/>
      <c r="BU64" s="191"/>
      <c r="BV64" s="191">
        <v>150</v>
      </c>
      <c r="BW64" s="191"/>
      <c r="BX64" s="191"/>
      <c r="BY64" s="191"/>
      <c r="BZ64" s="191"/>
      <c r="CA64" s="191"/>
      <c r="CB64" s="191"/>
      <c r="CC64" s="191">
        <v>150</v>
      </c>
      <c r="CD64" s="191"/>
      <c r="CE64" s="192"/>
      <c r="CF64" s="190"/>
      <c r="CG64" s="191"/>
      <c r="CH64" s="191"/>
      <c r="CI64" s="191"/>
      <c r="CJ64" s="191"/>
      <c r="CK64" s="191"/>
      <c r="CL64" s="191"/>
      <c r="CM64" s="191"/>
      <c r="CN64" s="191"/>
      <c r="CO64" s="191"/>
      <c r="CP64" s="191"/>
      <c r="CQ64" s="191">
        <v>150</v>
      </c>
      <c r="CR64" s="191"/>
      <c r="CS64" s="191"/>
      <c r="CT64" s="191"/>
      <c r="CU64" s="191"/>
      <c r="CV64" s="191"/>
      <c r="CW64" s="191"/>
      <c r="CX64" s="191">
        <v>200</v>
      </c>
      <c r="CY64" s="191"/>
      <c r="CZ64" s="191"/>
      <c r="DA64" s="191"/>
      <c r="DB64" s="191"/>
      <c r="DC64" s="191"/>
      <c r="DD64" s="191"/>
      <c r="DE64" s="191">
        <v>60</v>
      </c>
      <c r="DF64" s="191"/>
      <c r="DG64" s="191"/>
      <c r="DH64" s="193"/>
      <c r="DI64" s="194"/>
      <c r="DJ64" s="191"/>
      <c r="DK64" s="191"/>
      <c r="DL64" s="191"/>
      <c r="DM64" s="191">
        <v>250</v>
      </c>
      <c r="DN64" s="191"/>
      <c r="DO64" s="191"/>
      <c r="DP64" s="191"/>
      <c r="DQ64" s="191"/>
      <c r="DR64" s="191"/>
      <c r="DS64" s="191"/>
      <c r="DT64" s="191">
        <v>20</v>
      </c>
      <c r="DU64" s="191"/>
      <c r="DV64" s="191"/>
      <c r="DW64" s="191"/>
      <c r="DX64" s="191"/>
      <c r="DY64" s="191"/>
      <c r="DZ64" s="191"/>
      <c r="EA64" s="191">
        <v>20</v>
      </c>
      <c r="EB64" s="191"/>
      <c r="EC64" s="191"/>
      <c r="ED64" s="191"/>
      <c r="EE64" s="191"/>
      <c r="EF64" s="191"/>
      <c r="EG64" s="191"/>
      <c r="EH64" s="191">
        <v>60</v>
      </c>
      <c r="EI64" s="191"/>
      <c r="EJ64" s="191"/>
      <c r="EK64" s="191"/>
      <c r="EL64" s="191"/>
      <c r="EM64" s="192"/>
      <c r="EN64" s="190"/>
      <c r="EO64" s="191">
        <v>20</v>
      </c>
      <c r="EP64" s="191"/>
      <c r="EQ64" s="191"/>
      <c r="ER64" s="191"/>
      <c r="ES64" s="191"/>
      <c r="ET64" s="191"/>
      <c r="EU64" s="191"/>
      <c r="EV64" s="191">
        <v>60</v>
      </c>
      <c r="EW64" s="191"/>
      <c r="EX64" s="191"/>
      <c r="EY64" s="191"/>
      <c r="EZ64" s="191"/>
      <c r="FA64" s="191"/>
      <c r="FB64" s="191"/>
      <c r="FC64" s="191">
        <v>20</v>
      </c>
      <c r="FD64" s="191"/>
      <c r="FE64" s="191"/>
      <c r="FF64" s="191"/>
      <c r="FG64" s="191"/>
      <c r="FH64" s="191"/>
      <c r="FI64" s="191"/>
      <c r="FJ64" s="191">
        <v>150</v>
      </c>
      <c r="FK64" s="191"/>
      <c r="FL64" s="191"/>
      <c r="FM64" s="191"/>
      <c r="FN64" s="191"/>
      <c r="FO64" s="191"/>
      <c r="FP64" s="191"/>
      <c r="FQ64" s="193">
        <v>20</v>
      </c>
      <c r="FR64" s="194"/>
      <c r="FS64" s="191"/>
      <c r="FT64" s="191"/>
      <c r="FU64" s="191"/>
      <c r="FV64" s="191"/>
      <c r="FW64" s="191"/>
      <c r="FX64" s="191">
        <v>110</v>
      </c>
      <c r="FY64" s="191"/>
      <c r="FZ64" s="191"/>
      <c r="GA64" s="191"/>
      <c r="GB64" s="191"/>
      <c r="GC64" s="191"/>
      <c r="GD64" s="191"/>
      <c r="GE64" s="191">
        <v>200</v>
      </c>
      <c r="GF64" s="191"/>
      <c r="GG64" s="191"/>
      <c r="GH64" s="191"/>
      <c r="GI64" s="191"/>
      <c r="GJ64" s="191"/>
      <c r="GK64" s="191"/>
      <c r="GL64" s="191">
        <v>110</v>
      </c>
      <c r="GM64" s="191"/>
      <c r="GN64" s="191"/>
      <c r="GO64" s="191"/>
      <c r="GP64" s="191"/>
      <c r="GQ64" s="191"/>
      <c r="GR64" s="191"/>
      <c r="GS64" s="191">
        <v>60</v>
      </c>
      <c r="GT64" s="191"/>
      <c r="GU64" s="191"/>
      <c r="GV64" s="192"/>
      <c r="GW64" s="190"/>
      <c r="GX64" s="191"/>
      <c r="GY64" s="191"/>
      <c r="GZ64" s="191">
        <v>250</v>
      </c>
      <c r="HA64" s="191"/>
      <c r="HB64" s="191"/>
      <c r="HC64" s="191"/>
      <c r="HD64" s="191"/>
      <c r="HE64" s="191"/>
      <c r="HF64" s="191"/>
      <c r="HG64" s="191">
        <v>100</v>
      </c>
      <c r="HH64" s="191"/>
      <c r="HI64" s="191"/>
      <c r="HJ64" s="191"/>
      <c r="HK64" s="191"/>
      <c r="HL64" s="191"/>
      <c r="HM64" s="191"/>
      <c r="HN64" s="191">
        <v>20</v>
      </c>
      <c r="HO64" s="191"/>
      <c r="HP64" s="191"/>
      <c r="HQ64" s="191"/>
      <c r="HR64" s="191"/>
      <c r="HS64" s="191"/>
      <c r="HT64" s="191"/>
      <c r="HU64" s="191">
        <v>100</v>
      </c>
      <c r="HV64" s="191"/>
      <c r="HW64" s="191"/>
      <c r="HX64" s="191"/>
      <c r="HY64" s="191"/>
      <c r="HZ64" s="193"/>
      <c r="IA64" s="194"/>
      <c r="IB64" s="191">
        <v>60</v>
      </c>
      <c r="IC64" s="191"/>
      <c r="ID64" s="191"/>
      <c r="IE64" s="191"/>
      <c r="IF64" s="191"/>
      <c r="IG64" s="191"/>
      <c r="IH64" s="191"/>
      <c r="II64" s="191">
        <v>150</v>
      </c>
      <c r="IJ64" s="191"/>
      <c r="IK64" s="191"/>
      <c r="IL64" s="191"/>
      <c r="IM64" s="191"/>
      <c r="IN64" s="191"/>
      <c r="IO64" s="191"/>
      <c r="IP64" s="191"/>
      <c r="IQ64" s="191"/>
      <c r="IR64" s="191">
        <v>150</v>
      </c>
      <c r="IS64" s="191"/>
      <c r="IT64" s="191"/>
      <c r="IU64" s="191"/>
      <c r="IV64" s="191"/>
      <c r="IW64" s="191">
        <v>200</v>
      </c>
      <c r="IX64" s="191"/>
      <c r="IY64" s="191"/>
      <c r="IZ64" s="191"/>
      <c r="JA64" s="191"/>
      <c r="JB64" s="191"/>
      <c r="JC64" s="191"/>
      <c r="JD64" s="191">
        <v>100</v>
      </c>
      <c r="JE64" s="192"/>
      <c r="JF64" s="190"/>
      <c r="JG64" s="191"/>
      <c r="JH64" s="191"/>
      <c r="JI64" s="191"/>
      <c r="JJ64" s="191"/>
      <c r="JK64" s="191">
        <v>150</v>
      </c>
      <c r="JL64" s="191"/>
      <c r="JM64" s="191"/>
      <c r="JN64" s="191"/>
      <c r="JO64" s="191"/>
      <c r="JP64" s="191"/>
      <c r="JQ64" s="191"/>
      <c r="JR64" s="191">
        <v>150</v>
      </c>
      <c r="JS64" s="191"/>
      <c r="JT64" s="191"/>
      <c r="JU64" s="191"/>
      <c r="JV64" s="191"/>
      <c r="JW64" s="191"/>
      <c r="JX64" s="191"/>
      <c r="JY64" s="191"/>
      <c r="JZ64" s="191">
        <v>60</v>
      </c>
      <c r="KA64" s="191"/>
      <c r="KB64" s="191"/>
      <c r="KC64" s="191"/>
      <c r="KD64" s="191"/>
      <c r="KE64" s="191"/>
      <c r="KF64" s="191">
        <v>200</v>
      </c>
      <c r="KG64" s="191"/>
      <c r="KH64" s="191"/>
      <c r="KI64" s="191"/>
      <c r="KJ64" s="193"/>
      <c r="KK64" s="194"/>
      <c r="KL64" s="191"/>
      <c r="KM64" s="191">
        <v>100</v>
      </c>
      <c r="KN64" s="191"/>
      <c r="KO64" s="191"/>
      <c r="KP64" s="191"/>
      <c r="KQ64" s="191"/>
      <c r="KR64" s="191"/>
      <c r="KS64" s="191"/>
      <c r="KT64" s="191"/>
      <c r="KU64" s="191"/>
      <c r="KV64" s="191"/>
      <c r="KW64" s="191"/>
      <c r="KX64" s="191"/>
      <c r="KY64" s="191"/>
      <c r="KZ64" s="191"/>
      <c r="LA64" s="191">
        <v>200</v>
      </c>
      <c r="LB64" s="191"/>
      <c r="LC64" s="191"/>
      <c r="LD64" s="191"/>
      <c r="LE64" s="191"/>
      <c r="LF64" s="191"/>
      <c r="LG64" s="191"/>
      <c r="LH64" s="191">
        <v>60</v>
      </c>
      <c r="LI64" s="191"/>
      <c r="LJ64" s="191"/>
      <c r="LK64" s="191"/>
      <c r="LL64" s="191"/>
      <c r="LM64" s="191"/>
      <c r="LN64" s="192"/>
      <c r="LO64" s="190">
        <v>100</v>
      </c>
      <c r="LP64" s="191"/>
      <c r="LQ64" s="191"/>
      <c r="LR64" s="191"/>
      <c r="LS64" s="191"/>
      <c r="LT64" s="191"/>
      <c r="LU64" s="191"/>
      <c r="LV64" s="191">
        <v>100</v>
      </c>
      <c r="LW64" s="191"/>
      <c r="LX64" s="191"/>
      <c r="LY64" s="191"/>
      <c r="LZ64" s="191"/>
      <c r="MA64" s="191"/>
      <c r="MB64" s="191"/>
      <c r="MC64" s="191">
        <v>300</v>
      </c>
      <c r="MD64" s="191"/>
      <c r="ME64" s="191"/>
      <c r="MF64" s="191"/>
      <c r="MG64" s="191"/>
      <c r="MH64" s="191"/>
      <c r="MI64" s="191"/>
      <c r="MJ64" s="191">
        <v>200</v>
      </c>
      <c r="MK64" s="191"/>
      <c r="ML64" s="191"/>
      <c r="MM64" s="191"/>
      <c r="MN64" s="191"/>
      <c r="MO64" s="191"/>
      <c r="MP64" s="191"/>
      <c r="MQ64" s="191">
        <v>100</v>
      </c>
      <c r="MR64" s="191"/>
      <c r="MS64" s="193"/>
      <c r="MT64" s="194"/>
      <c r="MU64" s="191"/>
      <c r="MV64" s="191"/>
      <c r="MW64" s="191"/>
      <c r="MX64" s="191">
        <v>60</v>
      </c>
      <c r="MY64" s="191"/>
      <c r="MZ64" s="191"/>
      <c r="NA64" s="191"/>
      <c r="NB64" s="191"/>
      <c r="NC64" s="191"/>
      <c r="ND64" s="191"/>
      <c r="NE64" s="191"/>
      <c r="NF64" s="191"/>
      <c r="NG64" s="191"/>
      <c r="NH64" s="191"/>
      <c r="NI64" s="191"/>
      <c r="NJ64" s="191"/>
      <c r="NK64" s="191"/>
      <c r="NL64" s="191">
        <v>200</v>
      </c>
      <c r="NM64" s="191"/>
      <c r="NN64" s="191"/>
      <c r="NO64" s="191"/>
      <c r="NP64" s="191"/>
      <c r="NQ64" s="191"/>
      <c r="NR64" s="191"/>
      <c r="NS64" s="191">
        <v>20</v>
      </c>
      <c r="NT64" s="191"/>
      <c r="NU64" s="191"/>
      <c r="NV64" s="191"/>
      <c r="NW64" s="192"/>
      <c r="NX64" s="190"/>
      <c r="NY64" s="191"/>
      <c r="NZ64" s="191">
        <v>20</v>
      </c>
      <c r="OA64" s="191"/>
      <c r="OB64" s="191"/>
      <c r="OC64" s="191"/>
      <c r="OD64" s="191"/>
      <c r="OE64" s="191"/>
      <c r="OF64" s="191"/>
      <c r="OG64" s="191">
        <v>60</v>
      </c>
      <c r="OH64" s="191"/>
      <c r="OI64" s="191"/>
      <c r="OJ64" s="191"/>
      <c r="OK64" s="191"/>
      <c r="OL64" s="191"/>
      <c r="OM64" s="191"/>
      <c r="ON64" s="191"/>
      <c r="OO64" s="191"/>
      <c r="OP64" s="191"/>
      <c r="OQ64" s="191"/>
      <c r="OR64" s="191"/>
      <c r="OS64" s="191"/>
      <c r="OT64" s="191"/>
      <c r="OU64" s="191"/>
      <c r="OV64" s="191"/>
      <c r="OW64" s="191"/>
      <c r="OX64" s="191"/>
      <c r="OY64" s="191"/>
      <c r="OZ64" s="191"/>
      <c r="PA64" s="191"/>
      <c r="PB64" s="193"/>
      <c r="PC64" s="47"/>
      <c r="PD64" s="154" t="s">
        <v>97</v>
      </c>
      <c r="PE64" s="155" t="s">
        <v>97</v>
      </c>
      <c r="PF64" s="155" t="s">
        <v>98</v>
      </c>
      <c r="PG64" s="155" t="s">
        <v>98</v>
      </c>
      <c r="PH64" s="155" t="s">
        <v>98</v>
      </c>
      <c r="PI64" s="155" t="s">
        <v>98</v>
      </c>
      <c r="PJ64" s="155" t="s">
        <v>98</v>
      </c>
      <c r="PK64" s="155" t="s">
        <v>98</v>
      </c>
      <c r="PL64" s="155" t="s">
        <v>98</v>
      </c>
      <c r="PM64" s="155" t="s">
        <v>98</v>
      </c>
      <c r="PN64" s="155" t="s">
        <v>98</v>
      </c>
      <c r="PO64" s="156"/>
      <c r="PP64" s="156"/>
      <c r="PQ64" s="156"/>
      <c r="PR64" s="156"/>
      <c r="PS64" s="156"/>
      <c r="PT64" s="156"/>
      <c r="PU64" s="156"/>
      <c r="PV64" s="156"/>
      <c r="PW64" s="156"/>
      <c r="PX64" s="195"/>
      <c r="PY64" s="1"/>
      <c r="PZ64" s="196">
        <f t="shared" si="20"/>
        <v>610</v>
      </c>
      <c r="QA64" s="176">
        <f t="shared" si="21"/>
        <v>5.0888462501042795E-3</v>
      </c>
      <c r="QB64" s="177" t="str">
        <f t="shared" ca="1" si="22"/>
        <v>Attente…</v>
      </c>
      <c r="QC64" s="197">
        <f t="shared" si="23"/>
        <v>410</v>
      </c>
      <c r="QD64" s="179">
        <f t="shared" si="24"/>
        <v>3.8389513108614231E-3</v>
      </c>
      <c r="QE64" s="180" t="str">
        <f t="shared" ca="1" si="25"/>
        <v>Attente…</v>
      </c>
      <c r="QF64" s="196">
        <f t="shared" si="26"/>
        <v>350</v>
      </c>
      <c r="QG64" s="176">
        <f t="shared" si="27"/>
        <v>2.787068004459309E-3</v>
      </c>
      <c r="QH64" s="177" t="str">
        <f t="shared" ca="1" si="28"/>
        <v>Attente…</v>
      </c>
      <c r="QI64" s="197">
        <f t="shared" si="29"/>
        <v>270</v>
      </c>
      <c r="QJ64" s="179">
        <f t="shared" si="30"/>
        <v>1.8936737270304391E-3</v>
      </c>
      <c r="QK64" s="180" t="str">
        <f t="shared" ca="1" si="31"/>
        <v>Attente…</v>
      </c>
      <c r="QL64" s="196">
        <f t="shared" si="32"/>
        <v>480</v>
      </c>
      <c r="QM64" s="176">
        <f t="shared" si="33"/>
        <v>3.5118525021949078E-3</v>
      </c>
      <c r="QN64" s="177" t="str">
        <f t="shared" ca="1" si="34"/>
        <v>Attente…</v>
      </c>
      <c r="QO64" s="197">
        <f t="shared" si="35"/>
        <v>470</v>
      </c>
      <c r="QP64" s="179">
        <f t="shared" si="36"/>
        <v>3.6796367337352228E-3</v>
      </c>
      <c r="QQ64" s="180" t="str">
        <f t="shared" ca="1" si="37"/>
        <v>Attente…</v>
      </c>
      <c r="QR64" s="196">
        <f t="shared" si="38"/>
        <v>660</v>
      </c>
      <c r="QS64" s="176">
        <f t="shared" si="39"/>
        <v>4.7514488319354954E-3</v>
      </c>
      <c r="QT64" s="177" t="str">
        <f t="shared" ca="1" si="40"/>
        <v>Attente…</v>
      </c>
      <c r="QU64" s="197">
        <f t="shared" si="41"/>
        <v>560</v>
      </c>
      <c r="QV64" s="179">
        <f t="shared" si="42"/>
        <v>3.8610038610038611E-3</v>
      </c>
      <c r="QW64" s="180" t="str">
        <f t="shared" ca="1" si="43"/>
        <v>Attente…</v>
      </c>
      <c r="QX64" s="196">
        <f t="shared" si="44"/>
        <v>360</v>
      </c>
      <c r="QY64" s="176">
        <f t="shared" si="45"/>
        <v>2.6270469073820016E-3</v>
      </c>
      <c r="QZ64" s="177" t="str">
        <f t="shared" ca="1" si="46"/>
        <v>Attente…</v>
      </c>
      <c r="RA64" s="197">
        <f t="shared" si="47"/>
        <v>800</v>
      </c>
      <c r="RB64" s="179">
        <f t="shared" si="48"/>
        <v>6.2592911352789297E-3</v>
      </c>
      <c r="RC64" s="180" t="str">
        <f t="shared" ca="1" si="49"/>
        <v>Attente…</v>
      </c>
      <c r="RD64" s="196">
        <f t="shared" si="50"/>
        <v>280</v>
      </c>
      <c r="RE64" s="176">
        <f t="shared" si="51"/>
        <v>2.7899561578318055E-3</v>
      </c>
      <c r="RF64" s="177" t="str">
        <f t="shared" ca="1" si="52"/>
        <v>Attente…</v>
      </c>
      <c r="RG64" s="197">
        <f t="shared" si="53"/>
        <v>80</v>
      </c>
      <c r="RH64" s="179">
        <f t="shared" si="54"/>
        <v>1.4713996689350744E-3</v>
      </c>
      <c r="RI64" s="198" t="str">
        <f t="shared" ca="1" si="55"/>
        <v>Attente…</v>
      </c>
      <c r="RJ64" s="199">
        <f t="shared" si="56"/>
        <v>1370</v>
      </c>
      <c r="RK64" s="200" t="str">
        <f t="shared" ca="1" si="13"/>
        <v>Attente…</v>
      </c>
      <c r="RL64" s="199">
        <f t="shared" si="57"/>
        <v>1220</v>
      </c>
      <c r="RM64" s="200" t="str">
        <f t="shared" ca="1" si="58"/>
        <v>Atttente…</v>
      </c>
      <c r="RN64" s="199">
        <f t="shared" si="59"/>
        <v>1580</v>
      </c>
      <c r="RO64" s="200" t="str">
        <f t="shared" ca="1" si="14"/>
        <v>Attente…</v>
      </c>
      <c r="RP64" s="199">
        <f t="shared" si="60"/>
        <v>1160</v>
      </c>
      <c r="RQ64" s="200" t="str">
        <f t="shared" ca="1" si="15"/>
        <v>Attente…</v>
      </c>
      <c r="RR64" s="201">
        <f t="shared" si="61"/>
        <v>5330</v>
      </c>
      <c r="RS64" s="202" t="str">
        <f t="shared" ca="1" si="16"/>
        <v>Attente…</v>
      </c>
      <c r="RT64" s="103"/>
      <c r="RU64" s="203">
        <f t="shared" si="62"/>
        <v>0.28967391304347823</v>
      </c>
      <c r="RV64" s="204">
        <f t="shared" si="65"/>
        <v>2</v>
      </c>
      <c r="RW64" s="204">
        <f t="shared" si="65"/>
        <v>1</v>
      </c>
      <c r="RX64" s="204">
        <f t="shared" si="63"/>
        <v>46</v>
      </c>
      <c r="RY64" s="205" t="str">
        <f t="shared" si="64"/>
        <v>ANNEVILLE-AMBOURVILLE - 2701 route de Bourg Achard (Déchetterie)</v>
      </c>
      <c r="RZ64" s="189" t="str">
        <f>IF(OR(RZ63="",RZ63="  &lt;/Document&gt;
&lt;/kml&gt;"),"",
IF(B64="","  &lt;/Document&gt;
&lt;/kml&gt;",
IF(TournéesCAV!Q64=""," ",
"    &lt;Placemark&gt;
      &lt;description&gt;&lt;![CDATA["&amp;B64&amp;"&lt;br&gt;&lt;br&gt;"&amp;RV64&amp;" CAV&lt;br&gt;&lt;br&gt;Présent sur "&amp;RW64&amp;" tournée(s)&lt;br&gt;&lt;br&gt;Taux de remplissage moyen "&amp;TEXT(RU64*1000,"0 %")&amp;"]]&gt;&lt;/description&gt;
      &lt;Style&gt;
        &lt;IconStyle&gt;
          &lt;color&gt;ff"&amp;
          DEC2HEX(0,2)&amp;
          DEC2HEX(
            IF(RU64&lt;=0.5,
               INT(255*(RU64*2)),
               255
            ),2)&amp;
          DEC2HEX(
            IF(RU64&lt;=0.5,
               255,
               INT(255*(1-(RU64-0.5)*2))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&lt;Point&gt;&lt;coordinates&gt;"&amp;R64&amp;","&amp;Q64&amp;",0&lt;/coordinates&gt;&lt;/Point&gt;
    &lt;/Placemark&gt;"
)))</f>
        <v xml:space="preserve">    &lt;Placemark&gt;
      &lt;description&gt;&lt;![CDATA[ANNEVILLE-AMBOURVILLE - 2701 route de Bourg Achard (Déchetterie)&lt;br&gt;&lt;br&gt;2 CAV&lt;br&gt;&lt;br&gt;Présent sur 1 tournée(s)&lt;br&gt;&lt;br&gt;Taux de remplissage moyen 29%]]&gt;&lt;/description&gt;
      &lt;Style&gt;
        &lt;IconStyle&gt;
          &lt;color&gt;ff0093FF&lt;/color&gt;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&lt;Point&gt;&lt;coordinates&gt;0.892609,49.4331906,0&lt;/coordinates&gt;&lt;/Point&gt;
    &lt;/Placemark&gt;</v>
      </c>
    </row>
    <row r="65" spans="2:494" ht="15" hidden="1" customHeight="1" x14ac:dyDescent="0.35">
      <c r="B65" s="153" t="str">
        <f t="shared" si="17"/>
        <v>DÉVILLE-LÈS-ROUEN - 51 Rue de la République (Devant Créapolis)</v>
      </c>
      <c r="C65" s="154" t="s">
        <v>104</v>
      </c>
      <c r="D65" s="155"/>
      <c r="E65" s="155"/>
      <c r="F65" s="155"/>
      <c r="G65" s="155"/>
      <c r="H65" s="155"/>
      <c r="I65" s="155"/>
      <c r="J65" s="156"/>
      <c r="K65" s="157">
        <f t="shared" si="18"/>
        <v>1</v>
      </c>
      <c r="L65" s="157">
        <f t="shared" si="19"/>
        <v>2</v>
      </c>
      <c r="M65" s="158" t="s">
        <v>415</v>
      </c>
      <c r="N65" s="159" t="s">
        <v>416</v>
      </c>
      <c r="O65" s="159">
        <v>76250</v>
      </c>
      <c r="P65" s="159" t="s">
        <v>417</v>
      </c>
      <c r="Q65" s="159" t="s">
        <v>418</v>
      </c>
      <c r="R65" s="159" t="s">
        <v>419</v>
      </c>
      <c r="S65" s="159" t="s">
        <v>93</v>
      </c>
      <c r="T65" s="159" t="s">
        <v>94</v>
      </c>
      <c r="U65" s="159" t="s">
        <v>420</v>
      </c>
      <c r="V65" s="160" t="s">
        <v>96</v>
      </c>
      <c r="W65" s="161"/>
      <c r="X65" s="162"/>
      <c r="Y65" s="163"/>
      <c r="Z65" s="162"/>
      <c r="AA65" s="163"/>
      <c r="AB65" s="162"/>
      <c r="AC65" s="163"/>
      <c r="AD65" s="162"/>
      <c r="AE65" s="163"/>
      <c r="AF65" s="162"/>
      <c r="AG65" s="163"/>
      <c r="AH65" s="163">
        <v>13</v>
      </c>
      <c r="AI65" s="162">
        <v>14</v>
      </c>
      <c r="AJ65" s="163"/>
      <c r="AK65" s="162"/>
      <c r="AL65" s="163"/>
      <c r="AM65" s="162"/>
      <c r="AN65" s="163"/>
      <c r="AO65" s="162"/>
      <c r="AP65" s="164"/>
      <c r="AQ65" s="164"/>
      <c r="AR65" s="164"/>
      <c r="AS65" s="164"/>
      <c r="AT65" s="164"/>
      <c r="AU65" s="164"/>
      <c r="AV65" s="164"/>
      <c r="AW65" s="164"/>
      <c r="AX65" s="164"/>
      <c r="AY65" s="165"/>
      <c r="AZ65" s="41"/>
      <c r="BA65" s="190"/>
      <c r="BB65" s="191"/>
      <c r="BC65" s="191"/>
      <c r="BD65" s="191"/>
      <c r="BE65" s="191"/>
      <c r="BF65" s="191">
        <v>50</v>
      </c>
      <c r="BG65" s="191"/>
      <c r="BH65" s="191"/>
      <c r="BI65" s="191"/>
      <c r="BJ65" s="191">
        <v>10</v>
      </c>
      <c r="BK65" s="191"/>
      <c r="BL65" s="191"/>
      <c r="BM65" s="191">
        <v>10</v>
      </c>
      <c r="BN65" s="191"/>
      <c r="BO65" s="191"/>
      <c r="BP65" s="191"/>
      <c r="BQ65" s="191">
        <v>10</v>
      </c>
      <c r="BR65" s="191"/>
      <c r="BS65" s="191"/>
      <c r="BT65" s="191">
        <v>50</v>
      </c>
      <c r="BU65" s="191"/>
      <c r="BV65" s="191"/>
      <c r="BW65" s="191"/>
      <c r="BX65" s="191"/>
      <c r="BY65" s="191"/>
      <c r="BZ65" s="191"/>
      <c r="CA65" s="191">
        <v>10</v>
      </c>
      <c r="CB65" s="191"/>
      <c r="CC65" s="191"/>
      <c r="CD65" s="191"/>
      <c r="CE65" s="192">
        <v>50</v>
      </c>
      <c r="CF65" s="190"/>
      <c r="CG65" s="191"/>
      <c r="CH65" s="191">
        <v>10</v>
      </c>
      <c r="CI65" s="191"/>
      <c r="CJ65" s="191"/>
      <c r="CK65" s="191"/>
      <c r="CL65" s="191">
        <v>10</v>
      </c>
      <c r="CM65" s="191"/>
      <c r="CN65" s="191"/>
      <c r="CO65" s="191">
        <v>50</v>
      </c>
      <c r="CP65" s="191"/>
      <c r="CQ65" s="191"/>
      <c r="CR65" s="191"/>
      <c r="CS65" s="191">
        <v>10</v>
      </c>
      <c r="CT65" s="191"/>
      <c r="CU65" s="191"/>
      <c r="CV65" s="191">
        <v>10</v>
      </c>
      <c r="CW65" s="191"/>
      <c r="CX65" s="191"/>
      <c r="CY65" s="191"/>
      <c r="CZ65" s="191">
        <v>10</v>
      </c>
      <c r="DA65" s="191"/>
      <c r="DB65" s="191"/>
      <c r="DC65" s="191">
        <v>10</v>
      </c>
      <c r="DD65" s="191"/>
      <c r="DE65" s="191"/>
      <c r="DF65" s="191"/>
      <c r="DG65" s="191">
        <v>10</v>
      </c>
      <c r="DH65" s="193"/>
      <c r="DI65" s="194"/>
      <c r="DJ65" s="191"/>
      <c r="DK65" s="191">
        <v>50</v>
      </c>
      <c r="DL65" s="191"/>
      <c r="DM65" s="191"/>
      <c r="DN65" s="191"/>
      <c r="DO65" s="191">
        <v>50</v>
      </c>
      <c r="DP65" s="191"/>
      <c r="DQ65" s="191"/>
      <c r="DR65" s="191">
        <v>50</v>
      </c>
      <c r="DS65" s="191"/>
      <c r="DT65" s="191"/>
      <c r="DU65" s="191"/>
      <c r="DV65" s="191">
        <v>50</v>
      </c>
      <c r="DW65" s="191"/>
      <c r="DX65" s="191"/>
      <c r="DY65" s="191">
        <v>10</v>
      </c>
      <c r="DZ65" s="191"/>
      <c r="EA65" s="191"/>
      <c r="EB65" s="191"/>
      <c r="EC65" s="191">
        <v>150</v>
      </c>
      <c r="ED65" s="191"/>
      <c r="EE65" s="191"/>
      <c r="EF65" s="191">
        <v>50</v>
      </c>
      <c r="EG65" s="191"/>
      <c r="EH65" s="191"/>
      <c r="EI65" s="191"/>
      <c r="EJ65" s="191">
        <v>10</v>
      </c>
      <c r="EK65" s="191"/>
      <c r="EL65" s="191"/>
      <c r="EM65" s="192">
        <v>10</v>
      </c>
      <c r="EN65" s="190"/>
      <c r="EO65" s="191"/>
      <c r="EP65" s="191"/>
      <c r="EQ65" s="191">
        <v>50</v>
      </c>
      <c r="ER65" s="191"/>
      <c r="ES65" s="191"/>
      <c r="ET65" s="191">
        <v>10</v>
      </c>
      <c r="EU65" s="191"/>
      <c r="EV65" s="191"/>
      <c r="EW65" s="191"/>
      <c r="EX65" s="191">
        <v>10</v>
      </c>
      <c r="EY65" s="191"/>
      <c r="EZ65" s="191"/>
      <c r="FA65" s="191">
        <v>10</v>
      </c>
      <c r="FB65" s="191"/>
      <c r="FC65" s="191"/>
      <c r="FD65" s="191"/>
      <c r="FE65" s="191">
        <v>10</v>
      </c>
      <c r="FF65" s="191"/>
      <c r="FG65" s="191"/>
      <c r="FH65" s="191"/>
      <c r="FI65" s="191">
        <v>100</v>
      </c>
      <c r="FJ65" s="191"/>
      <c r="FK65" s="191"/>
      <c r="FL65" s="191">
        <v>150</v>
      </c>
      <c r="FM65" s="191"/>
      <c r="FN65" s="191"/>
      <c r="FO65" s="191">
        <v>10</v>
      </c>
      <c r="FP65" s="191"/>
      <c r="FQ65" s="193"/>
      <c r="FR65" s="194"/>
      <c r="FS65" s="191">
        <v>10</v>
      </c>
      <c r="FT65" s="191"/>
      <c r="FU65" s="191"/>
      <c r="FV65" s="191">
        <v>50</v>
      </c>
      <c r="FW65" s="191"/>
      <c r="FX65" s="191"/>
      <c r="FY65" s="191"/>
      <c r="FZ65" s="191">
        <v>50</v>
      </c>
      <c r="GA65" s="191"/>
      <c r="GB65" s="191"/>
      <c r="GC65" s="191">
        <v>50</v>
      </c>
      <c r="GD65" s="191"/>
      <c r="GE65" s="191"/>
      <c r="GF65" s="191"/>
      <c r="GG65" s="191">
        <v>10</v>
      </c>
      <c r="GH65" s="191"/>
      <c r="GI65" s="191"/>
      <c r="GJ65" s="191">
        <v>50</v>
      </c>
      <c r="GK65" s="191"/>
      <c r="GL65" s="191"/>
      <c r="GM65" s="191"/>
      <c r="GN65" s="191">
        <v>50</v>
      </c>
      <c r="GO65" s="191"/>
      <c r="GP65" s="191"/>
      <c r="GQ65" s="191">
        <v>10</v>
      </c>
      <c r="GR65" s="191"/>
      <c r="GS65" s="191"/>
      <c r="GT65" s="191"/>
      <c r="GU65" s="191">
        <v>10</v>
      </c>
      <c r="GV65" s="192"/>
      <c r="GW65" s="190"/>
      <c r="GX65" s="191">
        <v>50</v>
      </c>
      <c r="GY65" s="191"/>
      <c r="GZ65" s="191"/>
      <c r="HA65" s="191"/>
      <c r="HB65" s="191">
        <v>100</v>
      </c>
      <c r="HC65" s="191"/>
      <c r="HD65" s="191"/>
      <c r="HE65" s="191"/>
      <c r="HF65" s="191">
        <v>10</v>
      </c>
      <c r="HG65" s="191"/>
      <c r="HH65" s="191"/>
      <c r="HI65" s="191">
        <v>10</v>
      </c>
      <c r="HJ65" s="191"/>
      <c r="HK65" s="191"/>
      <c r="HL65" s="191"/>
      <c r="HM65" s="191">
        <v>10</v>
      </c>
      <c r="HN65" s="191"/>
      <c r="HO65" s="191"/>
      <c r="HP65" s="191">
        <v>10</v>
      </c>
      <c r="HQ65" s="191"/>
      <c r="HR65" s="191"/>
      <c r="HS65" s="191">
        <v>100</v>
      </c>
      <c r="HT65" s="191"/>
      <c r="HU65" s="191"/>
      <c r="HV65" s="191"/>
      <c r="HW65" s="191">
        <v>50</v>
      </c>
      <c r="HX65" s="191"/>
      <c r="HY65" s="191"/>
      <c r="HZ65" s="193">
        <v>10</v>
      </c>
      <c r="IA65" s="194"/>
      <c r="IB65" s="191"/>
      <c r="IC65" s="191">
        <v>100</v>
      </c>
      <c r="ID65" s="191">
        <v>50</v>
      </c>
      <c r="IE65" s="191"/>
      <c r="IF65" s="191"/>
      <c r="IG65" s="191">
        <v>10</v>
      </c>
      <c r="IH65" s="191"/>
      <c r="II65" s="191"/>
      <c r="IJ65" s="191"/>
      <c r="IK65" s="191">
        <v>10</v>
      </c>
      <c r="IL65" s="191"/>
      <c r="IM65" s="191"/>
      <c r="IN65" s="191">
        <v>10</v>
      </c>
      <c r="IO65" s="191"/>
      <c r="IP65" s="191"/>
      <c r="IQ65" s="191"/>
      <c r="IR65" s="191">
        <v>50</v>
      </c>
      <c r="IS65" s="191"/>
      <c r="IT65" s="191"/>
      <c r="IU65" s="191">
        <v>5</v>
      </c>
      <c r="IV65" s="191"/>
      <c r="IW65" s="191"/>
      <c r="IX65" s="191"/>
      <c r="IY65" s="191">
        <v>50</v>
      </c>
      <c r="IZ65" s="191"/>
      <c r="JA65" s="191"/>
      <c r="JB65" s="191">
        <v>50</v>
      </c>
      <c r="JC65" s="191"/>
      <c r="JD65" s="191"/>
      <c r="JE65" s="192"/>
      <c r="JF65" s="190">
        <v>10</v>
      </c>
      <c r="JG65" s="191"/>
      <c r="JH65" s="191"/>
      <c r="JI65" s="191">
        <v>10</v>
      </c>
      <c r="JJ65" s="191"/>
      <c r="JK65" s="191"/>
      <c r="JL65" s="191"/>
      <c r="JM65" s="191">
        <v>10</v>
      </c>
      <c r="JN65" s="191"/>
      <c r="JO65" s="191"/>
      <c r="JP65" s="191">
        <v>50</v>
      </c>
      <c r="JQ65" s="191"/>
      <c r="JR65" s="191"/>
      <c r="JS65" s="191">
        <v>50</v>
      </c>
      <c r="JT65" s="191"/>
      <c r="JU65" s="191"/>
      <c r="JV65" s="191"/>
      <c r="JW65" s="191">
        <v>10</v>
      </c>
      <c r="JX65" s="191"/>
      <c r="JY65" s="191"/>
      <c r="JZ65" s="191"/>
      <c r="KA65" s="191">
        <v>50</v>
      </c>
      <c r="KB65" s="191"/>
      <c r="KC65" s="191"/>
      <c r="KD65" s="191">
        <v>10</v>
      </c>
      <c r="KE65" s="191"/>
      <c r="KF65" s="191"/>
      <c r="KG65" s="191"/>
      <c r="KH65" s="191">
        <v>10</v>
      </c>
      <c r="KI65" s="191"/>
      <c r="KJ65" s="193"/>
      <c r="KK65" s="194">
        <v>50</v>
      </c>
      <c r="KL65" s="191"/>
      <c r="KM65" s="191"/>
      <c r="KN65" s="191">
        <v>10</v>
      </c>
      <c r="KO65" s="191">
        <v>10</v>
      </c>
      <c r="KP65" s="191"/>
      <c r="KQ65" s="191"/>
      <c r="KR65" s="191">
        <v>10</v>
      </c>
      <c r="KS65" s="191"/>
      <c r="KT65" s="191"/>
      <c r="KU65" s="191"/>
      <c r="KV65" s="191">
        <v>10</v>
      </c>
      <c r="KW65" s="191"/>
      <c r="KX65" s="191"/>
      <c r="KY65" s="191">
        <v>10</v>
      </c>
      <c r="KZ65" s="191"/>
      <c r="LA65" s="191"/>
      <c r="LB65" s="191"/>
      <c r="LC65" s="191">
        <v>100</v>
      </c>
      <c r="LD65" s="191"/>
      <c r="LE65" s="191"/>
      <c r="LF65" s="191">
        <v>10</v>
      </c>
      <c r="LG65" s="191"/>
      <c r="LH65" s="191"/>
      <c r="LI65" s="191"/>
      <c r="LJ65" s="191">
        <v>50</v>
      </c>
      <c r="LK65" s="191"/>
      <c r="LL65" s="191"/>
      <c r="LM65" s="191"/>
      <c r="LN65" s="192"/>
      <c r="LO65" s="190"/>
      <c r="LP65" s="191"/>
      <c r="LQ65" s="191">
        <v>50</v>
      </c>
      <c r="LR65" s="191"/>
      <c r="LS65" s="191"/>
      <c r="LT65" s="191">
        <v>10</v>
      </c>
      <c r="LU65" s="191"/>
      <c r="LV65" s="191"/>
      <c r="LW65" s="191"/>
      <c r="LX65" s="191">
        <v>10</v>
      </c>
      <c r="LY65" s="191"/>
      <c r="LZ65" s="191"/>
      <c r="MA65" s="191">
        <v>10</v>
      </c>
      <c r="MB65" s="191"/>
      <c r="MC65" s="191"/>
      <c r="MD65" s="191"/>
      <c r="ME65" s="191">
        <v>10</v>
      </c>
      <c r="MF65" s="191"/>
      <c r="MG65" s="191"/>
      <c r="MH65" s="191">
        <v>10</v>
      </c>
      <c r="MI65" s="191"/>
      <c r="MJ65" s="191"/>
      <c r="MK65" s="191"/>
      <c r="ML65" s="191">
        <v>10</v>
      </c>
      <c r="MM65" s="191"/>
      <c r="MN65" s="191"/>
      <c r="MO65" s="191">
        <v>50</v>
      </c>
      <c r="MP65" s="191"/>
      <c r="MQ65" s="191"/>
      <c r="MR65" s="191"/>
      <c r="MS65" s="193">
        <v>10</v>
      </c>
      <c r="MT65" s="194"/>
      <c r="MU65" s="191"/>
      <c r="MV65" s="191">
        <v>10</v>
      </c>
      <c r="MW65" s="191"/>
      <c r="MX65" s="191"/>
      <c r="MY65" s="191"/>
      <c r="MZ65" s="191">
        <v>10</v>
      </c>
      <c r="NA65" s="191"/>
      <c r="NB65" s="191"/>
      <c r="NC65" s="191">
        <v>50</v>
      </c>
      <c r="ND65" s="191"/>
      <c r="NE65" s="191"/>
      <c r="NF65" s="191"/>
      <c r="NG65" s="191">
        <v>10</v>
      </c>
      <c r="NH65" s="191"/>
      <c r="NI65" s="191"/>
      <c r="NJ65" s="191">
        <v>10</v>
      </c>
      <c r="NK65" s="191"/>
      <c r="NL65" s="191"/>
      <c r="NM65" s="191"/>
      <c r="NN65" s="191">
        <v>10</v>
      </c>
      <c r="NO65" s="191"/>
      <c r="NP65" s="191"/>
      <c r="NQ65" s="191">
        <v>10</v>
      </c>
      <c r="NR65" s="191"/>
      <c r="NS65" s="191"/>
      <c r="NT65" s="191"/>
      <c r="NU65" s="191">
        <v>10</v>
      </c>
      <c r="NV65" s="191"/>
      <c r="NW65" s="192"/>
      <c r="NX65" s="190">
        <v>10</v>
      </c>
      <c r="NY65" s="191"/>
      <c r="NZ65" s="191"/>
      <c r="OA65" s="191"/>
      <c r="OB65" s="191">
        <v>10</v>
      </c>
      <c r="OC65" s="191"/>
      <c r="OD65" s="191"/>
      <c r="OE65" s="191">
        <v>10</v>
      </c>
      <c r="OF65" s="191"/>
      <c r="OG65" s="191"/>
      <c r="OH65" s="191"/>
      <c r="OI65" s="191">
        <v>10</v>
      </c>
      <c r="OJ65" s="191"/>
      <c r="OK65" s="191"/>
      <c r="OL65" s="191">
        <v>50</v>
      </c>
      <c r="OM65" s="191"/>
      <c r="ON65" s="191"/>
      <c r="OO65" s="191"/>
      <c r="OP65" s="191"/>
      <c r="OQ65" s="191"/>
      <c r="OR65" s="191"/>
      <c r="OS65" s="191"/>
      <c r="OT65" s="191"/>
      <c r="OU65" s="191"/>
      <c r="OV65" s="191"/>
      <c r="OW65" s="191"/>
      <c r="OX65" s="191"/>
      <c r="OY65" s="191"/>
      <c r="OZ65" s="191"/>
      <c r="PA65" s="191"/>
      <c r="PB65" s="193"/>
      <c r="PC65" s="47"/>
      <c r="PD65" s="154" t="s">
        <v>97</v>
      </c>
      <c r="PE65" s="155" t="s">
        <v>98</v>
      </c>
      <c r="PF65" s="155" t="s">
        <v>98</v>
      </c>
      <c r="PG65" s="155" t="s">
        <v>98</v>
      </c>
      <c r="PH65" s="155" t="s">
        <v>98</v>
      </c>
      <c r="PI65" s="155" t="s">
        <v>98</v>
      </c>
      <c r="PJ65" s="155" t="s">
        <v>98</v>
      </c>
      <c r="PK65" s="155" t="s">
        <v>98</v>
      </c>
      <c r="PL65" s="155" t="s">
        <v>98</v>
      </c>
      <c r="PM65" s="155" t="s">
        <v>98</v>
      </c>
      <c r="PN65" s="155" t="s">
        <v>98</v>
      </c>
      <c r="PO65" s="156"/>
      <c r="PP65" s="156"/>
      <c r="PQ65" s="156"/>
      <c r="PR65" s="156"/>
      <c r="PS65" s="156"/>
      <c r="PT65" s="156"/>
      <c r="PU65" s="156"/>
      <c r="PV65" s="156"/>
      <c r="PW65" s="156"/>
      <c r="PX65" s="195"/>
      <c r="PY65" s="1"/>
      <c r="PZ65" s="196">
        <f t="shared" si="20"/>
        <v>190</v>
      </c>
      <c r="QA65" s="176">
        <f t="shared" si="21"/>
        <v>1.585050471343956E-3</v>
      </c>
      <c r="QB65" s="177" t="str">
        <f t="shared" ca="1" si="22"/>
        <v>Attente…</v>
      </c>
      <c r="QC65" s="197">
        <f t="shared" si="23"/>
        <v>120</v>
      </c>
      <c r="QD65" s="179">
        <f t="shared" si="24"/>
        <v>1.1235955056179776E-3</v>
      </c>
      <c r="QE65" s="180" t="str">
        <f t="shared" ca="1" si="25"/>
        <v>Attente…</v>
      </c>
      <c r="QF65" s="196">
        <f t="shared" si="26"/>
        <v>430</v>
      </c>
      <c r="QG65" s="176">
        <f t="shared" si="27"/>
        <v>3.4241121197642935E-3</v>
      </c>
      <c r="QH65" s="177" t="str">
        <f t="shared" ca="1" si="28"/>
        <v>Attente…</v>
      </c>
      <c r="QI65" s="197">
        <f t="shared" si="29"/>
        <v>350</v>
      </c>
      <c r="QJ65" s="179">
        <f t="shared" si="30"/>
        <v>2.4547622387431616E-3</v>
      </c>
      <c r="QK65" s="180" t="str">
        <f t="shared" ca="1" si="31"/>
        <v>Attente…</v>
      </c>
      <c r="QL65" s="196">
        <f t="shared" si="32"/>
        <v>290</v>
      </c>
      <c r="QM65" s="176">
        <f t="shared" si="33"/>
        <v>2.1217442200760902E-3</v>
      </c>
      <c r="QN65" s="177" t="str">
        <f t="shared" ca="1" si="34"/>
        <v>Attente…</v>
      </c>
      <c r="QO65" s="197">
        <f t="shared" si="35"/>
        <v>350</v>
      </c>
      <c r="QP65" s="179">
        <f t="shared" si="36"/>
        <v>2.7401550144836766E-3</v>
      </c>
      <c r="QQ65" s="180" t="str">
        <f t="shared" ca="1" si="37"/>
        <v>Attente…</v>
      </c>
      <c r="QR65" s="196">
        <f t="shared" si="38"/>
        <v>335</v>
      </c>
      <c r="QS65" s="176">
        <f t="shared" si="39"/>
        <v>2.4117202404521075E-3</v>
      </c>
      <c r="QT65" s="177" t="str">
        <f t="shared" ca="1" si="40"/>
        <v>Attente…</v>
      </c>
      <c r="QU65" s="197">
        <f t="shared" si="41"/>
        <v>210</v>
      </c>
      <c r="QV65" s="179">
        <f t="shared" si="42"/>
        <v>1.4478764478764478E-3</v>
      </c>
      <c r="QW65" s="180" t="str">
        <f t="shared" ca="1" si="43"/>
        <v>Attente…</v>
      </c>
      <c r="QX65" s="196">
        <f t="shared" si="44"/>
        <v>260</v>
      </c>
      <c r="QY65" s="176">
        <f t="shared" si="45"/>
        <v>1.8973116553314458E-3</v>
      </c>
      <c r="QZ65" s="177" t="str">
        <f t="shared" ca="1" si="46"/>
        <v>Attente…</v>
      </c>
      <c r="RA65" s="197">
        <f t="shared" si="47"/>
        <v>170</v>
      </c>
      <c r="RB65" s="179">
        <f t="shared" si="48"/>
        <v>1.3300993662467727E-3</v>
      </c>
      <c r="RC65" s="180" t="str">
        <f t="shared" ca="1" si="49"/>
        <v>Attente…</v>
      </c>
      <c r="RD65" s="196">
        <f t="shared" si="50"/>
        <v>120</v>
      </c>
      <c r="RE65" s="176">
        <f t="shared" si="51"/>
        <v>1.1956954962136308E-3</v>
      </c>
      <c r="RF65" s="177" t="str">
        <f t="shared" ca="1" si="52"/>
        <v>Attente…</v>
      </c>
      <c r="RG65" s="197">
        <f t="shared" si="53"/>
        <v>90</v>
      </c>
      <c r="RH65" s="179">
        <f t="shared" si="54"/>
        <v>1.6553246275519589E-3</v>
      </c>
      <c r="RI65" s="198" t="str">
        <f t="shared" ca="1" si="55"/>
        <v>Attente…</v>
      </c>
      <c r="RJ65" s="199">
        <f t="shared" si="56"/>
        <v>740</v>
      </c>
      <c r="RK65" s="200" t="str">
        <f t="shared" ca="1" si="13"/>
        <v>Attente…</v>
      </c>
      <c r="RL65" s="199">
        <f t="shared" si="57"/>
        <v>990</v>
      </c>
      <c r="RM65" s="200" t="str">
        <f t="shared" ca="1" si="58"/>
        <v>Atttente…</v>
      </c>
      <c r="RN65" s="199">
        <f t="shared" si="59"/>
        <v>805</v>
      </c>
      <c r="RO65" s="200" t="str">
        <f t="shared" ca="1" si="14"/>
        <v>Attente…</v>
      </c>
      <c r="RP65" s="199">
        <f t="shared" si="60"/>
        <v>380</v>
      </c>
      <c r="RQ65" s="200" t="str">
        <f t="shared" ca="1" si="15"/>
        <v>Attente…</v>
      </c>
      <c r="RR65" s="201">
        <f t="shared" si="61"/>
        <v>2915</v>
      </c>
      <c r="RS65" s="202" t="str">
        <f t="shared" ca="1" si="16"/>
        <v>Attente…</v>
      </c>
      <c r="RT65" s="103"/>
      <c r="RU65" s="203">
        <f t="shared" si="62"/>
        <v>0.14722222222222223</v>
      </c>
      <c r="RV65" s="204">
        <f t="shared" si="65"/>
        <v>1</v>
      </c>
      <c r="RW65" s="204">
        <f t="shared" si="65"/>
        <v>2</v>
      </c>
      <c r="RX65" s="204">
        <f t="shared" si="63"/>
        <v>99</v>
      </c>
      <c r="RY65" s="205" t="str">
        <f t="shared" si="64"/>
        <v>DÉVILLE-LÈS-ROUEN - 51 Rue de la République (Devant Créapolis)</v>
      </c>
      <c r="RZ65" s="189" t="str">
        <f>IF(OR(RZ64="",RZ64="  &lt;/Document&gt;
&lt;/kml&gt;"),"",
IF(B65="","  &lt;/Document&gt;
&lt;/kml&gt;",
IF(TournéesCAV!Q42=""," ",
"    &lt;Placemark&gt;
      &lt;description&gt;&lt;![CDATA["&amp;B65&amp;"&lt;br&gt;&lt;br&gt;"&amp;RV65&amp;" CAV&lt;br&gt;&lt;br&gt;Présent sur "&amp;RW65&amp;" tournée(s)&lt;br&gt;&lt;br&gt;Taux de remplissage moyen "&amp;TEXT(RU65*1000,"0 %")&amp;"]]&gt;&lt;/description&gt;
      &lt;Style&gt;
        &lt;IconStyle&gt;
          &lt;color&gt;ff"&amp;
          DEC2HEX(0,2)&amp;
          DEC2HEX(
            IF(RU65&lt;=0.5,
               INT(255*(RU65*2)),
               255
            ),2)&amp;
          DEC2HEX(
            IF(RU65&lt;=0.5,
               255,
               INT(255*(1-(RU65-0.5)*2))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&lt;Point&gt;&lt;coordinates&gt;"&amp;R65&amp;","&amp;Q65&amp;",0&lt;/coordinates&gt;&lt;/Point&gt;
    &lt;/Placemark&gt;"
)))</f>
        <v xml:space="preserve">    &lt;Placemark&gt;
      &lt;description&gt;&lt;![CDATA[DÉVILLE-LÈS-ROUEN - 51 Rue de la République (Devant Créapolis)&lt;br&gt;&lt;br&gt;1 CAV&lt;br&gt;&lt;br&gt;Présent sur 2 tournée(s)&lt;br&gt;&lt;br&gt;Taux de remplissage moyen 15%]]&gt;&lt;/description&gt;
      &lt;Style&gt;
        &lt;IconStyle&gt;
          &lt;color&gt;ff004BFF&lt;/color&gt;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&lt;Point&gt;&lt;coordinates&gt;1.041946,49.473328,0&lt;/coordinates&gt;&lt;/Point&gt;
    &lt;/Placemark&gt;</v>
      </c>
    </row>
    <row r="66" spans="2:494" ht="15" hidden="1" customHeight="1" x14ac:dyDescent="0.35">
      <c r="B66" s="153" t="str">
        <f t="shared" si="17"/>
        <v>ROMILLY-SUR-ANDELLE - 1674 rue Blingue</v>
      </c>
      <c r="C66" s="154" t="s">
        <v>104</v>
      </c>
      <c r="D66" s="155"/>
      <c r="E66" s="155"/>
      <c r="F66" s="155"/>
      <c r="G66" s="155"/>
      <c r="H66" s="155"/>
      <c r="I66" s="155"/>
      <c r="J66" s="156"/>
      <c r="K66" s="157">
        <f t="shared" si="18"/>
        <v>1</v>
      </c>
      <c r="L66" s="157">
        <f t="shared" si="19"/>
        <v>1</v>
      </c>
      <c r="M66" s="158" t="s">
        <v>421</v>
      </c>
      <c r="N66" s="159"/>
      <c r="O66" s="159">
        <v>27610</v>
      </c>
      <c r="P66" s="159" t="s">
        <v>422</v>
      </c>
      <c r="Q66" s="159" t="s">
        <v>423</v>
      </c>
      <c r="R66" s="159" t="s">
        <v>424</v>
      </c>
      <c r="S66" s="159"/>
      <c r="T66" s="159" t="s">
        <v>94</v>
      </c>
      <c r="U66" s="159" t="s">
        <v>425</v>
      </c>
      <c r="V66" s="160" t="s">
        <v>21</v>
      </c>
      <c r="W66" s="161"/>
      <c r="X66" s="162"/>
      <c r="Y66" s="163"/>
      <c r="Z66" s="162"/>
      <c r="AA66" s="163"/>
      <c r="AB66" s="162"/>
      <c r="AC66" s="163"/>
      <c r="AD66" s="162"/>
      <c r="AE66" s="163"/>
      <c r="AF66" s="162"/>
      <c r="AG66" s="163"/>
      <c r="AH66" s="163"/>
      <c r="AI66" s="162"/>
      <c r="AJ66" s="163"/>
      <c r="AK66" s="162"/>
      <c r="AL66" s="163">
        <v>5</v>
      </c>
      <c r="AM66" s="162"/>
      <c r="AN66" s="163"/>
      <c r="AO66" s="162"/>
      <c r="AP66" s="164"/>
      <c r="AQ66" s="164"/>
      <c r="AR66" s="164"/>
      <c r="AS66" s="164"/>
      <c r="AT66" s="164"/>
      <c r="AU66" s="164"/>
      <c r="AV66" s="164"/>
      <c r="AW66" s="164"/>
      <c r="AX66" s="164"/>
      <c r="AY66" s="165"/>
      <c r="AZ66" s="41"/>
      <c r="BA66" s="190"/>
      <c r="BB66" s="191"/>
      <c r="BC66" s="191"/>
      <c r="BD66" s="191"/>
      <c r="BE66" s="191"/>
      <c r="BF66" s="191"/>
      <c r="BG66" s="191"/>
      <c r="BH66" s="191">
        <v>200</v>
      </c>
      <c r="BI66" s="191"/>
      <c r="BJ66" s="191"/>
      <c r="BK66" s="191"/>
      <c r="BL66" s="191"/>
      <c r="BM66" s="191"/>
      <c r="BN66" s="191"/>
      <c r="BO66" s="191">
        <v>150</v>
      </c>
      <c r="BP66" s="191"/>
      <c r="BQ66" s="191"/>
      <c r="BR66" s="191"/>
      <c r="BS66" s="191"/>
      <c r="BT66" s="191"/>
      <c r="BU66" s="191"/>
      <c r="BV66" s="191">
        <v>150</v>
      </c>
      <c r="BW66" s="191"/>
      <c r="BX66" s="191"/>
      <c r="BY66" s="191"/>
      <c r="BZ66" s="191"/>
      <c r="CA66" s="191"/>
      <c r="CB66" s="191"/>
      <c r="CC66" s="191">
        <v>50</v>
      </c>
      <c r="CD66" s="191"/>
      <c r="CE66" s="192"/>
      <c r="CF66" s="190"/>
      <c r="CG66" s="191"/>
      <c r="CH66" s="191"/>
      <c r="CI66" s="191"/>
      <c r="CJ66" s="191">
        <v>150</v>
      </c>
      <c r="CK66" s="191"/>
      <c r="CL66" s="191"/>
      <c r="CM66" s="191"/>
      <c r="CN66" s="191"/>
      <c r="CO66" s="191"/>
      <c r="CP66" s="191"/>
      <c r="CQ66" s="191">
        <v>50</v>
      </c>
      <c r="CR66" s="191"/>
      <c r="CS66" s="191"/>
      <c r="CT66" s="191"/>
      <c r="CU66" s="191"/>
      <c r="CV66" s="191"/>
      <c r="CW66" s="191"/>
      <c r="CX66" s="191">
        <v>200</v>
      </c>
      <c r="CY66" s="191"/>
      <c r="CZ66" s="191"/>
      <c r="DA66" s="191"/>
      <c r="DB66" s="191"/>
      <c r="DC66" s="191"/>
      <c r="DD66" s="191"/>
      <c r="DE66" s="191">
        <v>100</v>
      </c>
      <c r="DF66" s="191"/>
      <c r="DG66" s="191"/>
      <c r="DH66" s="193"/>
      <c r="DI66" s="194"/>
      <c r="DJ66" s="191"/>
      <c r="DK66" s="191"/>
      <c r="DL66" s="191"/>
      <c r="DM66" s="191">
        <v>150</v>
      </c>
      <c r="DN66" s="191"/>
      <c r="DO66" s="191"/>
      <c r="DP66" s="191"/>
      <c r="DQ66" s="191"/>
      <c r="DR66" s="191"/>
      <c r="DS66" s="191"/>
      <c r="DT66" s="191">
        <v>100</v>
      </c>
      <c r="DU66" s="191"/>
      <c r="DV66" s="191"/>
      <c r="DW66" s="191"/>
      <c r="DX66" s="191"/>
      <c r="DY66" s="191"/>
      <c r="DZ66" s="191"/>
      <c r="EA66" s="191"/>
      <c r="EB66" s="191"/>
      <c r="EC66" s="191"/>
      <c r="ED66" s="191"/>
      <c r="EE66" s="191"/>
      <c r="EF66" s="191"/>
      <c r="EG66" s="191"/>
      <c r="EH66" s="191">
        <v>150</v>
      </c>
      <c r="EI66" s="191"/>
      <c r="EJ66" s="191"/>
      <c r="EK66" s="191"/>
      <c r="EL66" s="191"/>
      <c r="EM66" s="192"/>
      <c r="EN66" s="190"/>
      <c r="EO66" s="191">
        <v>150</v>
      </c>
      <c r="EP66" s="191"/>
      <c r="EQ66" s="191"/>
      <c r="ER66" s="191"/>
      <c r="ES66" s="191"/>
      <c r="ET66" s="191"/>
      <c r="EU66" s="191"/>
      <c r="EV66" s="191"/>
      <c r="EW66" s="191"/>
      <c r="EX66" s="191"/>
      <c r="EY66" s="191"/>
      <c r="EZ66" s="191"/>
      <c r="FA66" s="191"/>
      <c r="FB66" s="191"/>
      <c r="FC66" s="191">
        <v>200</v>
      </c>
      <c r="FD66" s="191"/>
      <c r="FE66" s="191"/>
      <c r="FF66" s="191"/>
      <c r="FG66" s="191"/>
      <c r="FH66" s="191"/>
      <c r="FI66" s="191"/>
      <c r="FJ66" s="191"/>
      <c r="FK66" s="191"/>
      <c r="FL66" s="191">
        <v>200</v>
      </c>
      <c r="FM66" s="191"/>
      <c r="FN66" s="191"/>
      <c r="FO66" s="191"/>
      <c r="FP66" s="191"/>
      <c r="FQ66" s="193"/>
      <c r="FR66" s="194"/>
      <c r="FS66" s="191"/>
      <c r="FT66" s="191"/>
      <c r="FU66" s="191"/>
      <c r="FV66" s="191"/>
      <c r="FW66" s="191"/>
      <c r="FX66" s="191">
        <v>200</v>
      </c>
      <c r="FY66" s="191"/>
      <c r="FZ66" s="191"/>
      <c r="GA66" s="191"/>
      <c r="GB66" s="191"/>
      <c r="GC66" s="191"/>
      <c r="GD66" s="191"/>
      <c r="GE66" s="191"/>
      <c r="GF66" s="191"/>
      <c r="GG66" s="191"/>
      <c r="GH66" s="191"/>
      <c r="GI66" s="191"/>
      <c r="GJ66" s="191"/>
      <c r="GK66" s="191"/>
      <c r="GL66" s="191">
        <v>200</v>
      </c>
      <c r="GM66" s="191"/>
      <c r="GN66" s="191"/>
      <c r="GO66" s="191"/>
      <c r="GP66" s="191"/>
      <c r="GQ66" s="191"/>
      <c r="GR66" s="191"/>
      <c r="GS66" s="191"/>
      <c r="GT66" s="191"/>
      <c r="GU66" s="191"/>
      <c r="GV66" s="192"/>
      <c r="GW66" s="190"/>
      <c r="GX66" s="191"/>
      <c r="GY66" s="191"/>
      <c r="GZ66" s="191">
        <v>200</v>
      </c>
      <c r="HA66" s="191"/>
      <c r="HB66" s="191"/>
      <c r="HC66" s="191"/>
      <c r="HD66" s="191"/>
      <c r="HE66" s="191"/>
      <c r="HF66" s="191"/>
      <c r="HG66" s="191"/>
      <c r="HH66" s="191"/>
      <c r="HI66" s="191"/>
      <c r="HJ66" s="191"/>
      <c r="HK66" s="191"/>
      <c r="HL66" s="191"/>
      <c r="HM66" s="191"/>
      <c r="HN66" s="191"/>
      <c r="HO66" s="191"/>
      <c r="HP66" s="191"/>
      <c r="HQ66" s="191"/>
      <c r="HR66" s="191"/>
      <c r="HS66" s="191"/>
      <c r="HT66" s="191"/>
      <c r="HU66" s="191">
        <v>200</v>
      </c>
      <c r="HV66" s="191"/>
      <c r="HW66" s="191"/>
      <c r="HX66" s="191"/>
      <c r="HY66" s="191"/>
      <c r="HZ66" s="193"/>
      <c r="IA66" s="194"/>
      <c r="IB66" s="191">
        <v>200</v>
      </c>
      <c r="IC66" s="191"/>
      <c r="ID66" s="191"/>
      <c r="IE66" s="191"/>
      <c r="IF66" s="191"/>
      <c r="IG66" s="191"/>
      <c r="IH66" s="191"/>
      <c r="II66" s="191">
        <v>200</v>
      </c>
      <c r="IJ66" s="191"/>
      <c r="IK66" s="191"/>
      <c r="IL66" s="191"/>
      <c r="IM66" s="191"/>
      <c r="IN66" s="191"/>
      <c r="IO66" s="191"/>
      <c r="IP66" s="191"/>
      <c r="IQ66" s="191"/>
      <c r="IR66" s="191"/>
      <c r="IS66" s="191"/>
      <c r="IT66" s="191"/>
      <c r="IU66" s="191"/>
      <c r="IV66" s="191"/>
      <c r="IW66" s="191">
        <v>200</v>
      </c>
      <c r="IX66" s="191"/>
      <c r="IY66" s="191"/>
      <c r="IZ66" s="191"/>
      <c r="JA66" s="191"/>
      <c r="JB66" s="191"/>
      <c r="JC66" s="191"/>
      <c r="JD66" s="191"/>
      <c r="JE66" s="192"/>
      <c r="JF66" s="190"/>
      <c r="JG66" s="191"/>
      <c r="JH66" s="191"/>
      <c r="JI66" s="191"/>
      <c r="JJ66" s="191"/>
      <c r="JK66" s="191">
        <v>150</v>
      </c>
      <c r="JL66" s="191"/>
      <c r="JM66" s="191"/>
      <c r="JN66" s="191"/>
      <c r="JO66" s="191"/>
      <c r="JP66" s="191"/>
      <c r="JQ66" s="191"/>
      <c r="JR66" s="191">
        <v>100</v>
      </c>
      <c r="JS66" s="191"/>
      <c r="JT66" s="191"/>
      <c r="JU66" s="191"/>
      <c r="JV66" s="191"/>
      <c r="JW66" s="191"/>
      <c r="JX66" s="191"/>
      <c r="JY66" s="191">
        <v>100</v>
      </c>
      <c r="JZ66" s="191"/>
      <c r="KA66" s="191"/>
      <c r="KB66" s="191"/>
      <c r="KC66" s="191"/>
      <c r="KD66" s="191"/>
      <c r="KE66" s="191"/>
      <c r="KF66" s="191">
        <v>150</v>
      </c>
      <c r="KG66" s="191"/>
      <c r="KH66" s="191"/>
      <c r="KI66" s="191"/>
      <c r="KJ66" s="193"/>
      <c r="KK66" s="194"/>
      <c r="KL66" s="191"/>
      <c r="KM66" s="191">
        <v>100</v>
      </c>
      <c r="KN66" s="191"/>
      <c r="KO66" s="191"/>
      <c r="KP66" s="191"/>
      <c r="KQ66" s="191"/>
      <c r="KR66" s="191"/>
      <c r="KS66" s="191"/>
      <c r="KT66" s="191"/>
      <c r="KU66" s="191">
        <v>150</v>
      </c>
      <c r="KV66" s="191"/>
      <c r="KW66" s="191"/>
      <c r="KX66" s="191"/>
      <c r="KY66" s="191"/>
      <c r="KZ66" s="191"/>
      <c r="LA66" s="191"/>
      <c r="LB66" s="191"/>
      <c r="LC66" s="191"/>
      <c r="LD66" s="191"/>
      <c r="LE66" s="191"/>
      <c r="LF66" s="191"/>
      <c r="LG66" s="191"/>
      <c r="LH66" s="191">
        <v>200</v>
      </c>
      <c r="LI66" s="191"/>
      <c r="LJ66" s="191"/>
      <c r="LK66" s="191"/>
      <c r="LL66" s="191"/>
      <c r="LM66" s="191"/>
      <c r="LN66" s="192"/>
      <c r="LO66" s="190"/>
      <c r="LP66" s="191">
        <v>100</v>
      </c>
      <c r="LQ66" s="191"/>
      <c r="LR66" s="191"/>
      <c r="LS66" s="191"/>
      <c r="LT66" s="191"/>
      <c r="LU66" s="191"/>
      <c r="LV66" s="191">
        <v>100</v>
      </c>
      <c r="LW66" s="191"/>
      <c r="LX66" s="191"/>
      <c r="LY66" s="191"/>
      <c r="LZ66" s="191"/>
      <c r="MA66" s="191"/>
      <c r="MB66" s="191"/>
      <c r="MC66" s="191">
        <v>150</v>
      </c>
      <c r="MD66" s="191"/>
      <c r="ME66" s="191"/>
      <c r="MF66" s="191"/>
      <c r="MG66" s="191"/>
      <c r="MH66" s="191"/>
      <c r="MI66" s="191"/>
      <c r="MJ66" s="191">
        <v>150</v>
      </c>
      <c r="MK66" s="191"/>
      <c r="ML66" s="191"/>
      <c r="MM66" s="191"/>
      <c r="MN66" s="191"/>
      <c r="MO66" s="191"/>
      <c r="MP66" s="191"/>
      <c r="MQ66" s="191">
        <v>150</v>
      </c>
      <c r="MR66" s="191"/>
      <c r="MS66" s="193"/>
      <c r="MT66" s="194"/>
      <c r="MU66" s="191"/>
      <c r="MV66" s="191"/>
      <c r="MW66" s="191"/>
      <c r="MX66" s="191">
        <v>150</v>
      </c>
      <c r="MY66" s="191"/>
      <c r="MZ66" s="191"/>
      <c r="NA66" s="191"/>
      <c r="NB66" s="191"/>
      <c r="NC66" s="191"/>
      <c r="ND66" s="191"/>
      <c r="NE66" s="191"/>
      <c r="NF66" s="191"/>
      <c r="NG66" s="191"/>
      <c r="NH66" s="191"/>
      <c r="NI66" s="191"/>
      <c r="NJ66" s="191"/>
      <c r="NK66" s="191"/>
      <c r="NL66" s="191">
        <v>150</v>
      </c>
      <c r="NM66" s="191"/>
      <c r="NN66" s="191"/>
      <c r="NO66" s="191"/>
      <c r="NP66" s="191"/>
      <c r="NQ66" s="191"/>
      <c r="NR66" s="191"/>
      <c r="NS66" s="191">
        <v>50</v>
      </c>
      <c r="NT66" s="191"/>
      <c r="NU66" s="191"/>
      <c r="NV66" s="191"/>
      <c r="NW66" s="192"/>
      <c r="NX66" s="190"/>
      <c r="NY66" s="191"/>
      <c r="NZ66" s="191">
        <v>100</v>
      </c>
      <c r="OA66" s="191"/>
      <c r="OB66" s="191"/>
      <c r="OC66" s="191"/>
      <c r="OD66" s="191"/>
      <c r="OE66" s="191"/>
      <c r="OF66" s="191"/>
      <c r="OG66" s="191">
        <v>50</v>
      </c>
      <c r="OH66" s="191"/>
      <c r="OI66" s="191"/>
      <c r="OJ66" s="191"/>
      <c r="OK66" s="191"/>
      <c r="OL66" s="191"/>
      <c r="OM66" s="191"/>
      <c r="ON66" s="191">
        <v>150</v>
      </c>
      <c r="OO66" s="191"/>
      <c r="OP66" s="191"/>
      <c r="OQ66" s="191"/>
      <c r="OR66" s="191"/>
      <c r="OS66" s="191"/>
      <c r="OT66" s="191"/>
      <c r="OU66" s="191"/>
      <c r="OV66" s="191"/>
      <c r="OW66" s="191"/>
      <c r="OX66" s="191"/>
      <c r="OY66" s="191"/>
      <c r="OZ66" s="191"/>
      <c r="PA66" s="191"/>
      <c r="PB66" s="193"/>
      <c r="PC66" s="47"/>
      <c r="PD66" s="154" t="s">
        <v>98</v>
      </c>
      <c r="PE66" s="155" t="s">
        <v>98</v>
      </c>
      <c r="PF66" s="155" t="s">
        <v>98</v>
      </c>
      <c r="PG66" s="155" t="s">
        <v>98</v>
      </c>
      <c r="PH66" s="155" t="s">
        <v>98</v>
      </c>
      <c r="PI66" s="155" t="s">
        <v>97</v>
      </c>
      <c r="PJ66" s="155" t="s">
        <v>98</v>
      </c>
      <c r="PK66" s="155" t="s">
        <v>98</v>
      </c>
      <c r="PL66" s="155" t="s">
        <v>98</v>
      </c>
      <c r="PM66" s="155" t="s">
        <v>98</v>
      </c>
      <c r="PN66" s="155" t="s">
        <v>98</v>
      </c>
      <c r="PO66" s="156"/>
      <c r="PP66" s="156"/>
      <c r="PQ66" s="156"/>
      <c r="PR66" s="156"/>
      <c r="PS66" s="156"/>
      <c r="PT66" s="156"/>
      <c r="PU66" s="156"/>
      <c r="PV66" s="156"/>
      <c r="PW66" s="156"/>
      <c r="PX66" s="195"/>
      <c r="PY66" s="1"/>
      <c r="PZ66" s="196">
        <f t="shared" si="20"/>
        <v>550</v>
      </c>
      <c r="QA66" s="176">
        <f t="shared" si="21"/>
        <v>4.588303995995662E-3</v>
      </c>
      <c r="QB66" s="177" t="str">
        <f t="shared" ca="1" si="22"/>
        <v>Attente…</v>
      </c>
      <c r="QC66" s="197">
        <f t="shared" si="23"/>
        <v>500</v>
      </c>
      <c r="QD66" s="179">
        <f t="shared" si="24"/>
        <v>4.6816479400749065E-3</v>
      </c>
      <c r="QE66" s="180" t="str">
        <f t="shared" ca="1" si="25"/>
        <v>Attente…</v>
      </c>
      <c r="QF66" s="196">
        <f t="shared" si="26"/>
        <v>400</v>
      </c>
      <c r="QG66" s="176">
        <f t="shared" si="27"/>
        <v>3.1852205765249245E-3</v>
      </c>
      <c r="QH66" s="177" t="str">
        <f t="shared" ca="1" si="28"/>
        <v>Attente…</v>
      </c>
      <c r="QI66" s="197">
        <f t="shared" si="29"/>
        <v>550</v>
      </c>
      <c r="QJ66" s="179">
        <f t="shared" si="30"/>
        <v>3.8574835180249685E-3</v>
      </c>
      <c r="QK66" s="180" t="str">
        <f t="shared" ca="1" si="31"/>
        <v>Attente…</v>
      </c>
      <c r="QL66" s="196">
        <f t="shared" si="32"/>
        <v>400</v>
      </c>
      <c r="QM66" s="176">
        <f t="shared" si="33"/>
        <v>2.9265437518290896E-3</v>
      </c>
      <c r="QN66" s="177" t="str">
        <f t="shared" ca="1" si="34"/>
        <v>Attente…</v>
      </c>
      <c r="QO66" s="197">
        <f t="shared" si="35"/>
        <v>400</v>
      </c>
      <c r="QP66" s="179">
        <f t="shared" si="36"/>
        <v>3.1316057308384874E-3</v>
      </c>
      <c r="QQ66" s="180" t="str">
        <f t="shared" ca="1" si="37"/>
        <v>Attente…</v>
      </c>
      <c r="QR66" s="196">
        <f t="shared" si="38"/>
        <v>600</v>
      </c>
      <c r="QS66" s="176">
        <f t="shared" si="39"/>
        <v>4.3194989381231778E-3</v>
      </c>
      <c r="QT66" s="177" t="str">
        <f t="shared" ca="1" si="40"/>
        <v>Attente…</v>
      </c>
      <c r="QU66" s="197">
        <f t="shared" si="41"/>
        <v>500</v>
      </c>
      <c r="QV66" s="179">
        <f t="shared" si="42"/>
        <v>3.4473248758963046E-3</v>
      </c>
      <c r="QW66" s="180" t="str">
        <f t="shared" ca="1" si="43"/>
        <v>Attente…</v>
      </c>
      <c r="QX66" s="196">
        <f t="shared" si="44"/>
        <v>450</v>
      </c>
      <c r="QY66" s="176">
        <f t="shared" si="45"/>
        <v>3.2838086342275022E-3</v>
      </c>
      <c r="QZ66" s="177" t="str">
        <f t="shared" ca="1" si="46"/>
        <v>Attente…</v>
      </c>
      <c r="RA66" s="197">
        <f t="shared" si="47"/>
        <v>650</v>
      </c>
      <c r="RB66" s="179">
        <f t="shared" si="48"/>
        <v>5.08567404741413E-3</v>
      </c>
      <c r="RC66" s="180" t="str">
        <f t="shared" ca="1" si="49"/>
        <v>Attente…</v>
      </c>
      <c r="RD66" s="196">
        <f t="shared" si="50"/>
        <v>350</v>
      </c>
      <c r="RE66" s="176">
        <f t="shared" si="51"/>
        <v>3.4874451972897571E-3</v>
      </c>
      <c r="RF66" s="177" t="str">
        <f t="shared" ca="1" si="52"/>
        <v>Attente…</v>
      </c>
      <c r="RG66" s="197">
        <f t="shared" si="53"/>
        <v>300</v>
      </c>
      <c r="RH66" s="179">
        <f t="shared" si="54"/>
        <v>5.5177487585065296E-3</v>
      </c>
      <c r="RI66" s="198" t="str">
        <f t="shared" ca="1" si="55"/>
        <v>Attente…</v>
      </c>
      <c r="RJ66" s="199">
        <f t="shared" si="56"/>
        <v>1450</v>
      </c>
      <c r="RK66" s="200" t="str">
        <f t="shared" ca="1" si="13"/>
        <v>Attente…</v>
      </c>
      <c r="RL66" s="199">
        <f t="shared" si="57"/>
        <v>1350</v>
      </c>
      <c r="RM66" s="200" t="str">
        <f t="shared" ca="1" si="58"/>
        <v>Atttente…</v>
      </c>
      <c r="RN66" s="199">
        <f t="shared" si="59"/>
        <v>1550</v>
      </c>
      <c r="RO66" s="200" t="str">
        <f t="shared" ca="1" si="14"/>
        <v>Attente…</v>
      </c>
      <c r="RP66" s="199">
        <f t="shared" si="60"/>
        <v>1300</v>
      </c>
      <c r="RQ66" s="200" t="str">
        <f t="shared" ca="1" si="15"/>
        <v>Attente…</v>
      </c>
      <c r="RR66" s="201">
        <f t="shared" si="61"/>
        <v>5650</v>
      </c>
      <c r="RS66" s="202" t="str">
        <f t="shared" ca="1" si="16"/>
        <v>Attente…</v>
      </c>
      <c r="RT66" s="103"/>
      <c r="RU66" s="203">
        <f t="shared" si="62"/>
        <v>0.72435897435897434</v>
      </c>
      <c r="RV66" s="204">
        <f t="shared" si="65"/>
        <v>1</v>
      </c>
      <c r="RW66" s="204">
        <f t="shared" si="65"/>
        <v>1</v>
      </c>
      <c r="RX66" s="204">
        <f t="shared" si="63"/>
        <v>39</v>
      </c>
      <c r="RY66" s="205" t="str">
        <f t="shared" si="64"/>
        <v>ROMILLY-SUR-ANDELLE - 1674 rue Blingue</v>
      </c>
      <c r="RZ66" s="189" t="str">
        <f>IF(OR(RZ65="",RZ65="  &lt;/Document&gt;
&lt;/kml&gt;"),"",
IF(B66="","  &lt;/Document&gt;
&lt;/kml&gt;",
IF(TournéesCAV!Q66=""," ",
"    &lt;Placemark&gt;
      &lt;description&gt;&lt;![CDATA["&amp;B66&amp;"&lt;br&gt;&lt;br&gt;"&amp;RV66&amp;" CAV&lt;br&gt;&lt;br&gt;Présent sur "&amp;RW66&amp;" tournée(s)&lt;br&gt;&lt;br&gt;Taux de remplissage moyen "&amp;TEXT(RU66*1000,"0 %")&amp;"]]&gt;&lt;/description&gt;
      &lt;Style&gt;
        &lt;IconStyle&gt;
          &lt;color&gt;ff"&amp;
          DEC2HEX(0,2)&amp;
          DEC2HEX(
            IF(RU66&lt;=0.5,
               INT(255*(RU66*2)),
               255
            ),2)&amp;
          DEC2HEX(
            IF(RU66&lt;=0.5,
               255,
               INT(255*(1-(RU66-0.5)*2))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&lt;Point&gt;&lt;coordinates&gt;"&amp;R66&amp;","&amp;Q66&amp;",0&lt;/coordinates&gt;&lt;/Point&gt;
    &lt;/Placemark&gt;"
)))</f>
        <v xml:space="preserve">    &lt;Placemark&gt;
      &lt;description&gt;&lt;![CDATA[ROMILLY-SUR-ANDELLE - 1674 rue Blingue&lt;br&gt;&lt;br&gt;1 CAV&lt;br&gt;&lt;br&gt;Présent sur 1 tournée(s)&lt;br&gt;&lt;br&gt;Taux de remplissage moyen 72%]]&gt;&lt;/description&gt;
      &lt;Style&gt;
        &lt;IconStyle&gt;
          &lt;color&gt;ff00FF8C&lt;/color&gt;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&lt;Point&gt;&lt;coordinates&gt;1.2530567,49.3276351,0&lt;/coordinates&gt;&lt;/Point&gt;
    &lt;/Placemark&gt;</v>
      </c>
    </row>
    <row r="67" spans="2:494" ht="15" hidden="1" customHeight="1" x14ac:dyDescent="0.35">
      <c r="B67" s="153" t="str">
        <f t="shared" si="17"/>
        <v>LE TRAIT - 365 Rue Denis Papin (Parking Carrefour Market)</v>
      </c>
      <c r="C67" s="154">
        <v>29</v>
      </c>
      <c r="D67" s="155">
        <v>32</v>
      </c>
      <c r="E67" s="155"/>
      <c r="F67" s="155"/>
      <c r="G67" s="155"/>
      <c r="H67" s="155"/>
      <c r="I67" s="155"/>
      <c r="J67" s="156"/>
      <c r="K67" s="157">
        <f t="shared" si="18"/>
        <v>2</v>
      </c>
      <c r="L67" s="157">
        <f t="shared" si="19"/>
        <v>1</v>
      </c>
      <c r="M67" s="158" t="s">
        <v>426</v>
      </c>
      <c r="N67" s="159" t="s">
        <v>427</v>
      </c>
      <c r="O67" s="159">
        <v>76580</v>
      </c>
      <c r="P67" s="159" t="s">
        <v>379</v>
      </c>
      <c r="Q67" s="159" t="s">
        <v>428</v>
      </c>
      <c r="R67" s="159" t="s">
        <v>429</v>
      </c>
      <c r="S67" s="159" t="s">
        <v>93</v>
      </c>
      <c r="T67" s="159" t="s">
        <v>110</v>
      </c>
      <c r="U67" s="159" t="s">
        <v>430</v>
      </c>
      <c r="V67" s="160" t="s">
        <v>96</v>
      </c>
      <c r="W67" s="161"/>
      <c r="X67" s="162"/>
      <c r="Y67" s="163"/>
      <c r="Z67" s="162"/>
      <c r="AA67" s="163"/>
      <c r="AB67" s="162"/>
      <c r="AC67" s="163">
        <v>9</v>
      </c>
      <c r="AD67" s="162"/>
      <c r="AE67" s="163"/>
      <c r="AF67" s="162"/>
      <c r="AG67" s="163"/>
      <c r="AH67" s="163"/>
      <c r="AI67" s="162"/>
      <c r="AJ67" s="163"/>
      <c r="AK67" s="162"/>
      <c r="AL67" s="163"/>
      <c r="AM67" s="162"/>
      <c r="AN67" s="163"/>
      <c r="AO67" s="162"/>
      <c r="AP67" s="164"/>
      <c r="AQ67" s="164"/>
      <c r="AR67" s="164"/>
      <c r="AS67" s="164"/>
      <c r="AT67" s="164"/>
      <c r="AU67" s="164"/>
      <c r="AV67" s="164"/>
      <c r="AW67" s="164"/>
      <c r="AX67" s="164"/>
      <c r="AY67" s="165"/>
      <c r="AZ67" s="41"/>
      <c r="BA67" s="190"/>
      <c r="BB67" s="191"/>
      <c r="BC67" s="191"/>
      <c r="BD67" s="191"/>
      <c r="BE67" s="191"/>
      <c r="BF67" s="191"/>
      <c r="BG67" s="191">
        <v>250</v>
      </c>
      <c r="BH67" s="191"/>
      <c r="BI67" s="191"/>
      <c r="BJ67" s="191"/>
      <c r="BK67" s="191"/>
      <c r="BL67" s="191"/>
      <c r="BM67" s="191"/>
      <c r="BN67" s="191">
        <v>300</v>
      </c>
      <c r="BO67" s="191"/>
      <c r="BP67" s="191"/>
      <c r="BQ67" s="191"/>
      <c r="BR67" s="191"/>
      <c r="BS67" s="191"/>
      <c r="BT67" s="191"/>
      <c r="BU67" s="191">
        <v>300</v>
      </c>
      <c r="BV67" s="191"/>
      <c r="BW67" s="191"/>
      <c r="BX67" s="191"/>
      <c r="BY67" s="191"/>
      <c r="BZ67" s="191"/>
      <c r="CA67" s="191"/>
      <c r="CB67" s="191">
        <v>210</v>
      </c>
      <c r="CC67" s="191"/>
      <c r="CD67" s="191"/>
      <c r="CE67" s="192"/>
      <c r="CF67" s="190"/>
      <c r="CG67" s="191"/>
      <c r="CH67" s="191"/>
      <c r="CI67" s="191">
        <v>210</v>
      </c>
      <c r="CJ67" s="191"/>
      <c r="CK67" s="191"/>
      <c r="CL67" s="191"/>
      <c r="CM67" s="191"/>
      <c r="CN67" s="191"/>
      <c r="CO67" s="191"/>
      <c r="CP67" s="191">
        <v>210</v>
      </c>
      <c r="CQ67" s="191"/>
      <c r="CR67" s="191"/>
      <c r="CS67" s="191"/>
      <c r="CT67" s="191"/>
      <c r="CU67" s="191"/>
      <c r="CV67" s="191"/>
      <c r="CW67" s="191"/>
      <c r="CX67" s="191"/>
      <c r="CY67" s="191"/>
      <c r="CZ67" s="191"/>
      <c r="DA67" s="191"/>
      <c r="DB67" s="191"/>
      <c r="DC67" s="191"/>
      <c r="DD67" s="191">
        <v>250</v>
      </c>
      <c r="DE67" s="191"/>
      <c r="DF67" s="191"/>
      <c r="DG67" s="191"/>
      <c r="DH67" s="193"/>
      <c r="DI67" s="194"/>
      <c r="DJ67" s="191"/>
      <c r="DK67" s="191"/>
      <c r="DL67" s="191">
        <v>250</v>
      </c>
      <c r="DM67" s="191"/>
      <c r="DN67" s="191"/>
      <c r="DO67" s="191"/>
      <c r="DP67" s="191"/>
      <c r="DQ67" s="191"/>
      <c r="DR67" s="191"/>
      <c r="DS67" s="191">
        <v>150</v>
      </c>
      <c r="DT67" s="191"/>
      <c r="DU67" s="191"/>
      <c r="DV67" s="191"/>
      <c r="DW67" s="191"/>
      <c r="DX67" s="191"/>
      <c r="DY67" s="191"/>
      <c r="DZ67" s="191">
        <v>200</v>
      </c>
      <c r="EA67" s="191"/>
      <c r="EB67" s="191"/>
      <c r="EC67" s="191"/>
      <c r="ED67" s="191"/>
      <c r="EE67" s="191"/>
      <c r="EF67" s="191"/>
      <c r="EG67" s="191">
        <v>200</v>
      </c>
      <c r="EH67" s="191"/>
      <c r="EI67" s="191"/>
      <c r="EJ67" s="191"/>
      <c r="EK67" s="191"/>
      <c r="EL67" s="191"/>
      <c r="EM67" s="192"/>
      <c r="EN67" s="190">
        <v>250</v>
      </c>
      <c r="EO67" s="191"/>
      <c r="EP67" s="191"/>
      <c r="EQ67" s="191"/>
      <c r="ER67" s="191"/>
      <c r="ES67" s="191"/>
      <c r="ET67" s="191"/>
      <c r="EU67" s="191">
        <v>400</v>
      </c>
      <c r="EV67" s="191"/>
      <c r="EW67" s="191"/>
      <c r="EX67" s="191"/>
      <c r="EY67" s="191"/>
      <c r="EZ67" s="191"/>
      <c r="FA67" s="191"/>
      <c r="FB67" s="191">
        <v>400</v>
      </c>
      <c r="FC67" s="191"/>
      <c r="FD67" s="191"/>
      <c r="FE67" s="191"/>
      <c r="FF67" s="191"/>
      <c r="FG67" s="191"/>
      <c r="FH67" s="191"/>
      <c r="FI67" s="191"/>
      <c r="FJ67" s="191"/>
      <c r="FK67" s="191">
        <v>350</v>
      </c>
      <c r="FL67" s="191"/>
      <c r="FM67" s="191"/>
      <c r="FN67" s="191"/>
      <c r="FO67" s="191"/>
      <c r="FP67" s="191"/>
      <c r="FQ67" s="193"/>
      <c r="FR67" s="194"/>
      <c r="FS67" s="191"/>
      <c r="FT67" s="191"/>
      <c r="FU67" s="191"/>
      <c r="FV67" s="191"/>
      <c r="FW67" s="191">
        <v>300</v>
      </c>
      <c r="FX67" s="191"/>
      <c r="FY67" s="191"/>
      <c r="FZ67" s="191"/>
      <c r="GA67" s="191"/>
      <c r="GB67" s="191"/>
      <c r="GC67" s="191"/>
      <c r="GD67" s="191">
        <v>210</v>
      </c>
      <c r="GE67" s="191"/>
      <c r="GF67" s="191"/>
      <c r="GG67" s="191"/>
      <c r="GH67" s="191"/>
      <c r="GI67" s="191"/>
      <c r="GJ67" s="191"/>
      <c r="GK67" s="191">
        <v>250</v>
      </c>
      <c r="GL67" s="191"/>
      <c r="GM67" s="191"/>
      <c r="GN67" s="191"/>
      <c r="GO67" s="191"/>
      <c r="GP67" s="191"/>
      <c r="GQ67" s="191"/>
      <c r="GR67" s="191">
        <v>200</v>
      </c>
      <c r="GS67" s="191"/>
      <c r="GT67" s="191"/>
      <c r="GU67" s="191"/>
      <c r="GV67" s="192"/>
      <c r="GW67" s="190"/>
      <c r="GX67" s="191"/>
      <c r="GY67" s="191">
        <v>250</v>
      </c>
      <c r="GZ67" s="191"/>
      <c r="HA67" s="191"/>
      <c r="HB67" s="191"/>
      <c r="HC67" s="191"/>
      <c r="HD67" s="191"/>
      <c r="HE67" s="191"/>
      <c r="HF67" s="191"/>
      <c r="HG67" s="191"/>
      <c r="HH67" s="191">
        <v>400</v>
      </c>
      <c r="HI67" s="191"/>
      <c r="HJ67" s="191"/>
      <c r="HK67" s="191"/>
      <c r="HL67" s="191"/>
      <c r="HM67" s="191"/>
      <c r="HN67" s="191"/>
      <c r="HO67" s="191"/>
      <c r="HP67" s="191">
        <v>300</v>
      </c>
      <c r="HQ67" s="191"/>
      <c r="HR67" s="191"/>
      <c r="HS67" s="191"/>
      <c r="HT67" s="191">
        <v>100</v>
      </c>
      <c r="HU67" s="191"/>
      <c r="HV67" s="191"/>
      <c r="HW67" s="191"/>
      <c r="HX67" s="191"/>
      <c r="HY67" s="191"/>
      <c r="HZ67" s="193"/>
      <c r="IA67" s="194">
        <v>200</v>
      </c>
      <c r="IB67" s="191"/>
      <c r="IC67" s="191"/>
      <c r="ID67" s="191"/>
      <c r="IE67" s="191"/>
      <c r="IF67" s="191"/>
      <c r="IG67" s="191"/>
      <c r="IH67" s="191">
        <v>300</v>
      </c>
      <c r="II67" s="191"/>
      <c r="IJ67" s="191"/>
      <c r="IK67" s="191"/>
      <c r="IL67" s="191"/>
      <c r="IM67" s="191"/>
      <c r="IN67" s="191"/>
      <c r="IO67" s="191"/>
      <c r="IP67" s="191">
        <v>250</v>
      </c>
      <c r="IQ67" s="191"/>
      <c r="IR67" s="191"/>
      <c r="IS67" s="191"/>
      <c r="IT67" s="191"/>
      <c r="IU67" s="191"/>
      <c r="IV67" s="191">
        <v>200</v>
      </c>
      <c r="IW67" s="191"/>
      <c r="IX67" s="191"/>
      <c r="IY67" s="191"/>
      <c r="IZ67" s="191"/>
      <c r="JA67" s="191"/>
      <c r="JB67" s="191"/>
      <c r="JC67" s="191"/>
      <c r="JD67" s="191"/>
      <c r="JE67" s="192">
        <v>200</v>
      </c>
      <c r="JF67" s="190"/>
      <c r="JG67" s="191"/>
      <c r="JH67" s="191"/>
      <c r="JI67" s="191"/>
      <c r="JJ67" s="191">
        <v>300</v>
      </c>
      <c r="JK67" s="191"/>
      <c r="JL67" s="191"/>
      <c r="JM67" s="191"/>
      <c r="JN67" s="191"/>
      <c r="JO67" s="191"/>
      <c r="JP67" s="191"/>
      <c r="JQ67" s="191">
        <v>400</v>
      </c>
      <c r="JR67" s="191"/>
      <c r="JS67" s="191"/>
      <c r="JT67" s="191"/>
      <c r="JU67" s="191"/>
      <c r="JV67" s="191"/>
      <c r="JW67" s="191"/>
      <c r="JX67" s="191"/>
      <c r="JY67" s="191"/>
      <c r="JZ67" s="191"/>
      <c r="KA67" s="191"/>
      <c r="KB67" s="191"/>
      <c r="KC67" s="191"/>
      <c r="KD67" s="191"/>
      <c r="KE67" s="191">
        <v>300</v>
      </c>
      <c r="KF67" s="191"/>
      <c r="KG67" s="191"/>
      <c r="KH67" s="191"/>
      <c r="KI67" s="191"/>
      <c r="KJ67" s="193"/>
      <c r="KK67" s="194"/>
      <c r="KL67" s="191">
        <v>400</v>
      </c>
      <c r="KM67" s="191"/>
      <c r="KN67" s="191"/>
      <c r="KO67" s="191"/>
      <c r="KP67" s="191"/>
      <c r="KQ67" s="191"/>
      <c r="KR67" s="191"/>
      <c r="KS67" s="191">
        <v>250</v>
      </c>
      <c r="KT67" s="191"/>
      <c r="KU67" s="191"/>
      <c r="KV67" s="191"/>
      <c r="KW67" s="191"/>
      <c r="KX67" s="191"/>
      <c r="KY67" s="191"/>
      <c r="KZ67" s="191">
        <v>250</v>
      </c>
      <c r="LA67" s="191"/>
      <c r="LB67" s="191"/>
      <c r="LC67" s="191"/>
      <c r="LD67" s="191"/>
      <c r="LE67" s="191"/>
      <c r="LF67" s="191"/>
      <c r="LG67" s="191">
        <v>350</v>
      </c>
      <c r="LH67" s="191"/>
      <c r="LI67" s="191"/>
      <c r="LJ67" s="191"/>
      <c r="LK67" s="191"/>
      <c r="LL67" s="191"/>
      <c r="LM67" s="191"/>
      <c r="LN67" s="192">
        <v>350</v>
      </c>
      <c r="LO67" s="190"/>
      <c r="LP67" s="191"/>
      <c r="LQ67" s="191"/>
      <c r="LR67" s="191"/>
      <c r="LS67" s="191"/>
      <c r="LT67" s="191"/>
      <c r="LU67" s="191">
        <v>250</v>
      </c>
      <c r="LV67" s="191"/>
      <c r="LW67" s="191"/>
      <c r="LX67" s="191"/>
      <c r="LY67" s="191"/>
      <c r="LZ67" s="191"/>
      <c r="MA67" s="191"/>
      <c r="MB67" s="191"/>
      <c r="MC67" s="191"/>
      <c r="MD67" s="191">
        <v>300</v>
      </c>
      <c r="ME67" s="191"/>
      <c r="MF67" s="191"/>
      <c r="MG67" s="191"/>
      <c r="MH67" s="191"/>
      <c r="MI67" s="191">
        <v>100</v>
      </c>
      <c r="MJ67" s="191"/>
      <c r="MK67" s="191"/>
      <c r="ML67" s="191"/>
      <c r="MM67" s="191"/>
      <c r="MN67" s="191"/>
      <c r="MO67" s="191"/>
      <c r="MP67" s="191">
        <v>250</v>
      </c>
      <c r="MQ67" s="191"/>
      <c r="MR67" s="191"/>
      <c r="MS67" s="193"/>
      <c r="MT67" s="194"/>
      <c r="MU67" s="191"/>
      <c r="MV67" s="191"/>
      <c r="MW67" s="191"/>
      <c r="MX67" s="191"/>
      <c r="MY67" s="191"/>
      <c r="MZ67" s="191"/>
      <c r="NA67" s="191"/>
      <c r="NB67" s="191"/>
      <c r="NC67" s="191"/>
      <c r="ND67" s="191"/>
      <c r="NE67" s="191">
        <v>350</v>
      </c>
      <c r="NF67" s="191"/>
      <c r="NG67" s="191"/>
      <c r="NH67" s="191"/>
      <c r="NI67" s="191"/>
      <c r="NJ67" s="191"/>
      <c r="NK67" s="191">
        <v>250</v>
      </c>
      <c r="NL67" s="191"/>
      <c r="NM67" s="191"/>
      <c r="NN67" s="191"/>
      <c r="NO67" s="191"/>
      <c r="NP67" s="191"/>
      <c r="NQ67" s="191"/>
      <c r="NR67" s="191">
        <v>250</v>
      </c>
      <c r="NS67" s="191"/>
      <c r="NT67" s="191"/>
      <c r="NU67" s="191"/>
      <c r="NV67" s="191"/>
      <c r="NW67" s="192"/>
      <c r="NX67" s="190"/>
      <c r="NY67" s="191">
        <v>350</v>
      </c>
      <c r="NZ67" s="191"/>
      <c r="OA67" s="191"/>
      <c r="OB67" s="191"/>
      <c r="OC67" s="191"/>
      <c r="OD67" s="191"/>
      <c r="OE67" s="191"/>
      <c r="OF67" s="191">
        <v>150</v>
      </c>
      <c r="OG67" s="191"/>
      <c r="OH67" s="191"/>
      <c r="OI67" s="191"/>
      <c r="OJ67" s="191"/>
      <c r="OK67" s="191"/>
      <c r="OL67" s="191"/>
      <c r="OM67" s="191">
        <v>300</v>
      </c>
      <c r="ON67" s="191"/>
      <c r="OO67" s="191"/>
      <c r="OP67" s="191"/>
      <c r="OQ67" s="191"/>
      <c r="OR67" s="191"/>
      <c r="OS67" s="191"/>
      <c r="OT67" s="191"/>
      <c r="OU67" s="191"/>
      <c r="OV67" s="191"/>
      <c r="OW67" s="191"/>
      <c r="OX67" s="191"/>
      <c r="OY67" s="191"/>
      <c r="OZ67" s="191"/>
      <c r="PA67" s="191"/>
      <c r="PB67" s="193"/>
      <c r="PC67" s="47"/>
      <c r="PD67" s="154" t="s">
        <v>97</v>
      </c>
      <c r="PE67" s="155" t="s">
        <v>98</v>
      </c>
      <c r="PF67" s="155" t="s">
        <v>98</v>
      </c>
      <c r="PG67" s="155" t="s">
        <v>98</v>
      </c>
      <c r="PH67" s="155" t="s">
        <v>98</v>
      </c>
      <c r="PI67" s="155" t="s">
        <v>98</v>
      </c>
      <c r="PJ67" s="155" t="s">
        <v>98</v>
      </c>
      <c r="PK67" s="155" t="s">
        <v>98</v>
      </c>
      <c r="PL67" s="155" t="s">
        <v>98</v>
      </c>
      <c r="PM67" s="155" t="s">
        <v>98</v>
      </c>
      <c r="PN67" s="155" t="s">
        <v>98</v>
      </c>
      <c r="PO67" s="156"/>
      <c r="PP67" s="156"/>
      <c r="PQ67" s="156"/>
      <c r="PR67" s="156"/>
      <c r="PS67" s="156"/>
      <c r="PT67" s="156"/>
      <c r="PU67" s="156"/>
      <c r="PV67" s="156"/>
      <c r="PW67" s="156"/>
      <c r="PX67" s="195"/>
      <c r="PY67" s="1"/>
      <c r="PZ67" s="196">
        <f t="shared" si="20"/>
        <v>1060</v>
      </c>
      <c r="QA67" s="176">
        <f t="shared" si="21"/>
        <v>8.8429131559189123E-3</v>
      </c>
      <c r="QB67" s="177" t="str">
        <f t="shared" ca="1" si="22"/>
        <v>Attente…</v>
      </c>
      <c r="QC67" s="197">
        <f t="shared" si="23"/>
        <v>670</v>
      </c>
      <c r="QD67" s="179">
        <f t="shared" si="24"/>
        <v>6.2734082397003744E-3</v>
      </c>
      <c r="QE67" s="180" t="str">
        <f t="shared" ca="1" si="25"/>
        <v>Attente…</v>
      </c>
      <c r="QF67" s="196">
        <f t="shared" si="26"/>
        <v>800</v>
      </c>
      <c r="QG67" s="176">
        <f t="shared" si="27"/>
        <v>6.370441153049849E-3</v>
      </c>
      <c r="QH67" s="177" t="str">
        <f t="shared" ca="1" si="28"/>
        <v>Attente…</v>
      </c>
      <c r="QI67" s="197">
        <f t="shared" si="29"/>
        <v>1400</v>
      </c>
      <c r="QJ67" s="179">
        <f t="shared" si="30"/>
        <v>9.8190489549726465E-3</v>
      </c>
      <c r="QK67" s="180" t="str">
        <f t="shared" ca="1" si="31"/>
        <v>Attente…</v>
      </c>
      <c r="QL67" s="196">
        <f t="shared" si="32"/>
        <v>960</v>
      </c>
      <c r="QM67" s="176">
        <f t="shared" si="33"/>
        <v>7.0237050043898156E-3</v>
      </c>
      <c r="QN67" s="177" t="str">
        <f t="shared" ca="1" si="34"/>
        <v>Attente…</v>
      </c>
      <c r="QO67" s="197">
        <f t="shared" si="35"/>
        <v>1050</v>
      </c>
      <c r="QP67" s="179">
        <f t="shared" si="36"/>
        <v>8.2204650434510289E-3</v>
      </c>
      <c r="QQ67" s="180" t="str">
        <f t="shared" ca="1" si="37"/>
        <v>Attente…</v>
      </c>
      <c r="QR67" s="196">
        <f t="shared" si="38"/>
        <v>1150</v>
      </c>
      <c r="QS67" s="176">
        <f t="shared" si="39"/>
        <v>8.2790396314027567E-3</v>
      </c>
      <c r="QT67" s="177" t="str">
        <f t="shared" ca="1" si="40"/>
        <v>Attente…</v>
      </c>
      <c r="QU67" s="197">
        <f t="shared" si="41"/>
        <v>1000</v>
      </c>
      <c r="QV67" s="179">
        <f t="shared" si="42"/>
        <v>6.8946497517926092E-3</v>
      </c>
      <c r="QW67" s="180" t="str">
        <f t="shared" ca="1" si="43"/>
        <v>Attente…</v>
      </c>
      <c r="QX67" s="196">
        <f t="shared" si="44"/>
        <v>1600</v>
      </c>
      <c r="QY67" s="176">
        <f t="shared" si="45"/>
        <v>1.1675764032808896E-2</v>
      </c>
      <c r="QZ67" s="177" t="str">
        <f t="shared" ca="1" si="46"/>
        <v>Attente…</v>
      </c>
      <c r="RA67" s="197">
        <f t="shared" si="47"/>
        <v>900</v>
      </c>
      <c r="RB67" s="179">
        <f t="shared" si="48"/>
        <v>7.0417025271887956E-3</v>
      </c>
      <c r="RC67" s="180" t="str">
        <f t="shared" ca="1" si="49"/>
        <v>Attente…</v>
      </c>
      <c r="RD67" s="196">
        <f t="shared" si="50"/>
        <v>850</v>
      </c>
      <c r="RE67" s="176">
        <f t="shared" si="51"/>
        <v>8.4695097648465525E-3</v>
      </c>
      <c r="RF67" s="177" t="str">
        <f t="shared" ca="1" si="52"/>
        <v>Attente…</v>
      </c>
      <c r="RG67" s="197">
        <f t="shared" si="53"/>
        <v>800</v>
      </c>
      <c r="RH67" s="179">
        <f t="shared" si="54"/>
        <v>1.4713996689350745E-2</v>
      </c>
      <c r="RI67" s="198" t="str">
        <f t="shared" ca="1" si="55"/>
        <v>Attente…</v>
      </c>
      <c r="RJ67" s="199">
        <f t="shared" si="56"/>
        <v>2530</v>
      </c>
      <c r="RK67" s="200" t="str">
        <f t="shared" ca="1" si="13"/>
        <v>Attente…</v>
      </c>
      <c r="RL67" s="199">
        <f t="shared" si="57"/>
        <v>3410</v>
      </c>
      <c r="RM67" s="200" t="str">
        <f t="shared" ca="1" si="58"/>
        <v>Atttente…</v>
      </c>
      <c r="RN67" s="199">
        <f t="shared" si="59"/>
        <v>3750</v>
      </c>
      <c r="RO67" s="200" t="str">
        <f t="shared" ca="1" si="14"/>
        <v>Attente…</v>
      </c>
      <c r="RP67" s="199">
        <f t="shared" si="60"/>
        <v>2550</v>
      </c>
      <c r="RQ67" s="200" t="str">
        <f t="shared" ca="1" si="15"/>
        <v>Attente…</v>
      </c>
      <c r="RR67" s="201">
        <f t="shared" si="61"/>
        <v>12240</v>
      </c>
      <c r="RS67" s="202" t="str">
        <f t="shared" ca="1" si="16"/>
        <v>Attente…</v>
      </c>
      <c r="RT67" s="103"/>
      <c r="RU67" s="203">
        <f t="shared" si="62"/>
        <v>0.66521739130434776</v>
      </c>
      <c r="RV67" s="204">
        <f t="shared" si="65"/>
        <v>2</v>
      </c>
      <c r="RW67" s="204">
        <f t="shared" si="65"/>
        <v>1</v>
      </c>
      <c r="RX67" s="204">
        <f t="shared" si="63"/>
        <v>46</v>
      </c>
      <c r="RY67" s="205" t="str">
        <f t="shared" si="64"/>
        <v>LE TRAIT - 365 Rue Denis Papin (Parking Carrefour Market)</v>
      </c>
      <c r="RZ67" s="189" t="str">
        <f>IF(OR(RZ66="",RZ66="  &lt;/Document&gt;
&lt;/kml&gt;"),"",
IF(B67="","  &lt;/Document&gt;
&lt;/kml&gt;",
IF(TournéesCAV!Q67=""," ",
"    &lt;Placemark&gt;
      &lt;description&gt;&lt;![CDATA["&amp;B67&amp;"&lt;br&gt;&lt;br&gt;"&amp;RV67&amp;" CAV&lt;br&gt;&lt;br&gt;Présent sur "&amp;RW67&amp;" tournée(s)&lt;br&gt;&lt;br&gt;Taux de remplissage moyen "&amp;TEXT(RU67*1000,"0 %")&amp;"]]&gt;&lt;/description&gt;
      &lt;Style&gt;
        &lt;IconStyle&gt;
          &lt;color&gt;ff"&amp;
          DEC2HEX(0,2)&amp;
          DEC2HEX(
            IF(RU67&lt;=0.5,
               INT(255*(RU67*2)),
               255
            ),2)&amp;
          DEC2HEX(
            IF(RU67&lt;=0.5,
               255,
               INT(255*(1-(RU67-0.5)*2))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&lt;Point&gt;&lt;coordinates&gt;"&amp;R67&amp;","&amp;Q67&amp;",0&lt;/coordinates&gt;&lt;/Point&gt;
    &lt;/Placemark&gt;"
)))</f>
        <v xml:space="preserve">    &lt;Placemark&gt;
      &lt;description&gt;&lt;![CDATA[LE TRAIT - 365 Rue Denis Papin (Parking Carrefour Market)&lt;br&gt;&lt;br&gt;2 CAV&lt;br&gt;&lt;br&gt;Présent sur 1 tournée(s)&lt;br&gt;&lt;br&gt;Taux de remplissage moyen 67%]]&gt;&lt;/description&gt;
      &lt;Style&gt;
        &lt;IconStyle&gt;
          &lt;color&gt;ff00FFAA&lt;/color&gt;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&lt;Point&gt;&lt;coordinates&gt;0.8071803,49.4829822,0&lt;/coordinates&gt;&lt;/Point&gt;
    &lt;/Placemark&gt;</v>
      </c>
    </row>
    <row r="68" spans="2:494" ht="15" hidden="1" customHeight="1" x14ac:dyDescent="0.35">
      <c r="B68" s="153" t="str">
        <f t="shared" si="17"/>
        <v>HÉNOUVILLE - 9 rue du Stade (Salle polyvalente - Ecole)</v>
      </c>
      <c r="C68" s="154">
        <v>35</v>
      </c>
      <c r="D68" s="155"/>
      <c r="E68" s="155"/>
      <c r="F68" s="155"/>
      <c r="G68" s="155"/>
      <c r="H68" s="155"/>
      <c r="I68" s="155"/>
      <c r="J68" s="156"/>
      <c r="K68" s="157">
        <f t="shared" si="18"/>
        <v>1</v>
      </c>
      <c r="L68" s="157">
        <f t="shared" si="19"/>
        <v>1</v>
      </c>
      <c r="M68" s="158" t="s">
        <v>431</v>
      </c>
      <c r="N68" s="159" t="s">
        <v>432</v>
      </c>
      <c r="O68" s="159">
        <v>76840</v>
      </c>
      <c r="P68" s="159" t="s">
        <v>433</v>
      </c>
      <c r="Q68" s="159" t="s">
        <v>434</v>
      </c>
      <c r="R68" s="159" t="s">
        <v>435</v>
      </c>
      <c r="S68" s="159" t="s">
        <v>93</v>
      </c>
      <c r="T68" s="159" t="s">
        <v>94</v>
      </c>
      <c r="U68" s="159" t="s">
        <v>436</v>
      </c>
      <c r="V68" s="160" t="s">
        <v>96</v>
      </c>
      <c r="W68" s="161"/>
      <c r="X68" s="162"/>
      <c r="Y68" s="163"/>
      <c r="Z68" s="162"/>
      <c r="AA68" s="163"/>
      <c r="AB68" s="162"/>
      <c r="AC68" s="163">
        <v>10</v>
      </c>
      <c r="AD68" s="162"/>
      <c r="AE68" s="163"/>
      <c r="AF68" s="162"/>
      <c r="AG68" s="163"/>
      <c r="AH68" s="163"/>
      <c r="AI68" s="162"/>
      <c r="AJ68" s="163"/>
      <c r="AK68" s="162"/>
      <c r="AL68" s="163"/>
      <c r="AM68" s="162"/>
      <c r="AN68" s="163"/>
      <c r="AO68" s="162"/>
      <c r="AP68" s="164"/>
      <c r="AQ68" s="164"/>
      <c r="AR68" s="164"/>
      <c r="AS68" s="164"/>
      <c r="AT68" s="164"/>
      <c r="AU68" s="164"/>
      <c r="AV68" s="164"/>
      <c r="AW68" s="164"/>
      <c r="AX68" s="164"/>
      <c r="AY68" s="165"/>
      <c r="AZ68" s="41"/>
      <c r="BA68" s="190"/>
      <c r="BB68" s="191"/>
      <c r="BC68" s="191"/>
      <c r="BD68" s="191"/>
      <c r="BE68" s="191"/>
      <c r="BF68" s="191"/>
      <c r="BG68" s="191">
        <v>200</v>
      </c>
      <c r="BH68" s="191"/>
      <c r="BI68" s="191"/>
      <c r="BJ68" s="191"/>
      <c r="BK68" s="191"/>
      <c r="BL68" s="191"/>
      <c r="BM68" s="191"/>
      <c r="BN68" s="191">
        <v>50</v>
      </c>
      <c r="BO68" s="191"/>
      <c r="BP68" s="191"/>
      <c r="BQ68" s="191"/>
      <c r="BR68" s="191"/>
      <c r="BS68" s="191"/>
      <c r="BT68" s="191"/>
      <c r="BU68" s="191">
        <v>50</v>
      </c>
      <c r="BV68" s="191"/>
      <c r="BW68" s="191"/>
      <c r="BX68" s="191"/>
      <c r="BY68" s="191"/>
      <c r="BZ68" s="191"/>
      <c r="CA68" s="191"/>
      <c r="CB68" s="191">
        <v>50</v>
      </c>
      <c r="CC68" s="191"/>
      <c r="CD68" s="191"/>
      <c r="CE68" s="192"/>
      <c r="CF68" s="190"/>
      <c r="CG68" s="191"/>
      <c r="CH68" s="191"/>
      <c r="CI68" s="191">
        <v>10</v>
      </c>
      <c r="CJ68" s="191"/>
      <c r="CK68" s="191"/>
      <c r="CL68" s="191"/>
      <c r="CM68" s="191"/>
      <c r="CN68" s="191"/>
      <c r="CO68" s="191"/>
      <c r="CP68" s="191">
        <v>50</v>
      </c>
      <c r="CQ68" s="191"/>
      <c r="CR68" s="191"/>
      <c r="CS68" s="191"/>
      <c r="CT68" s="191"/>
      <c r="CU68" s="191"/>
      <c r="CV68" s="191"/>
      <c r="CW68" s="191"/>
      <c r="CX68" s="191"/>
      <c r="CY68" s="191"/>
      <c r="CZ68" s="191"/>
      <c r="DA68" s="191"/>
      <c r="DB68" s="191"/>
      <c r="DC68" s="191"/>
      <c r="DD68" s="191"/>
      <c r="DE68" s="191"/>
      <c r="DF68" s="191"/>
      <c r="DG68" s="191"/>
      <c r="DH68" s="193"/>
      <c r="DI68" s="194"/>
      <c r="DJ68" s="191"/>
      <c r="DK68" s="191"/>
      <c r="DL68" s="191">
        <v>150</v>
      </c>
      <c r="DM68" s="191"/>
      <c r="DN68" s="191"/>
      <c r="DO68" s="191"/>
      <c r="DP68" s="191"/>
      <c r="DQ68" s="191"/>
      <c r="DR68" s="191"/>
      <c r="DS68" s="191">
        <v>50</v>
      </c>
      <c r="DT68" s="191"/>
      <c r="DU68" s="191"/>
      <c r="DV68" s="191"/>
      <c r="DW68" s="191"/>
      <c r="DX68" s="191"/>
      <c r="DY68" s="191"/>
      <c r="DZ68" s="191">
        <v>100</v>
      </c>
      <c r="EA68" s="191"/>
      <c r="EB68" s="191"/>
      <c r="EC68" s="191"/>
      <c r="ED68" s="191"/>
      <c r="EE68" s="191"/>
      <c r="EF68" s="191"/>
      <c r="EG68" s="191">
        <v>100</v>
      </c>
      <c r="EH68" s="191"/>
      <c r="EI68" s="191"/>
      <c r="EJ68" s="191"/>
      <c r="EK68" s="191"/>
      <c r="EL68" s="191"/>
      <c r="EM68" s="192"/>
      <c r="EN68" s="190">
        <v>150</v>
      </c>
      <c r="EO68" s="191"/>
      <c r="EP68" s="191"/>
      <c r="EQ68" s="191"/>
      <c r="ER68" s="191"/>
      <c r="ES68" s="191"/>
      <c r="ET68" s="191"/>
      <c r="EU68" s="191">
        <v>100</v>
      </c>
      <c r="EV68" s="191"/>
      <c r="EW68" s="191"/>
      <c r="EX68" s="191"/>
      <c r="EY68" s="191"/>
      <c r="EZ68" s="191"/>
      <c r="FA68" s="191"/>
      <c r="FB68" s="191">
        <v>50</v>
      </c>
      <c r="FC68" s="191"/>
      <c r="FD68" s="191"/>
      <c r="FE68" s="191"/>
      <c r="FF68" s="191"/>
      <c r="FG68" s="191"/>
      <c r="FH68" s="191"/>
      <c r="FI68" s="191"/>
      <c r="FJ68" s="191"/>
      <c r="FK68" s="191">
        <v>150</v>
      </c>
      <c r="FL68" s="191"/>
      <c r="FM68" s="191"/>
      <c r="FN68" s="191"/>
      <c r="FO68" s="191"/>
      <c r="FP68" s="191"/>
      <c r="FQ68" s="193"/>
      <c r="FR68" s="194"/>
      <c r="FS68" s="191"/>
      <c r="FT68" s="191"/>
      <c r="FU68" s="191"/>
      <c r="FV68" s="191"/>
      <c r="FW68" s="191">
        <v>150</v>
      </c>
      <c r="FX68" s="191"/>
      <c r="FY68" s="191"/>
      <c r="FZ68" s="191"/>
      <c r="GA68" s="191"/>
      <c r="GB68" s="191"/>
      <c r="GC68" s="191"/>
      <c r="GD68" s="191">
        <v>100</v>
      </c>
      <c r="GE68" s="191"/>
      <c r="GF68" s="191"/>
      <c r="GG68" s="191"/>
      <c r="GH68" s="191"/>
      <c r="GI68" s="191"/>
      <c r="GJ68" s="191"/>
      <c r="GK68" s="191">
        <v>100</v>
      </c>
      <c r="GL68" s="191"/>
      <c r="GM68" s="191"/>
      <c r="GN68" s="191"/>
      <c r="GO68" s="191"/>
      <c r="GP68" s="191"/>
      <c r="GQ68" s="191"/>
      <c r="GR68" s="191">
        <v>50</v>
      </c>
      <c r="GS68" s="191"/>
      <c r="GT68" s="191"/>
      <c r="GU68" s="191"/>
      <c r="GV68" s="192"/>
      <c r="GW68" s="190"/>
      <c r="GX68" s="191"/>
      <c r="GY68" s="191">
        <v>200</v>
      </c>
      <c r="GZ68" s="191"/>
      <c r="HA68" s="191"/>
      <c r="HB68" s="191"/>
      <c r="HC68" s="191"/>
      <c r="HD68" s="191"/>
      <c r="HE68" s="191"/>
      <c r="HF68" s="191"/>
      <c r="HG68" s="191"/>
      <c r="HH68" s="191">
        <v>100</v>
      </c>
      <c r="HI68" s="191"/>
      <c r="HJ68" s="191"/>
      <c r="HK68" s="191"/>
      <c r="HL68" s="191"/>
      <c r="HM68" s="191"/>
      <c r="HN68" s="191"/>
      <c r="HO68" s="191"/>
      <c r="HP68" s="191"/>
      <c r="HQ68" s="191"/>
      <c r="HR68" s="191"/>
      <c r="HS68" s="191"/>
      <c r="HT68" s="191">
        <v>10</v>
      </c>
      <c r="HU68" s="191"/>
      <c r="HV68" s="191"/>
      <c r="HW68" s="191"/>
      <c r="HX68" s="191"/>
      <c r="HY68" s="191"/>
      <c r="HZ68" s="193"/>
      <c r="IA68" s="194">
        <v>150</v>
      </c>
      <c r="IB68" s="191"/>
      <c r="IC68" s="191"/>
      <c r="ID68" s="191"/>
      <c r="IE68" s="191"/>
      <c r="IF68" s="191"/>
      <c r="IG68" s="191"/>
      <c r="IH68" s="191">
        <v>100</v>
      </c>
      <c r="II68" s="191"/>
      <c r="IJ68" s="191"/>
      <c r="IK68" s="191"/>
      <c r="IL68" s="191"/>
      <c r="IM68" s="191"/>
      <c r="IN68" s="191"/>
      <c r="IO68" s="191"/>
      <c r="IP68" s="191">
        <v>100</v>
      </c>
      <c r="IQ68" s="191"/>
      <c r="IR68" s="191"/>
      <c r="IS68" s="191"/>
      <c r="IT68" s="191"/>
      <c r="IU68" s="191"/>
      <c r="IV68" s="191">
        <v>100</v>
      </c>
      <c r="IW68" s="191"/>
      <c r="IX68" s="191"/>
      <c r="IY68" s="191"/>
      <c r="IZ68" s="191"/>
      <c r="JA68" s="191"/>
      <c r="JB68" s="191"/>
      <c r="JC68" s="191"/>
      <c r="JD68" s="191"/>
      <c r="JE68" s="192">
        <v>100</v>
      </c>
      <c r="JF68" s="190"/>
      <c r="JG68" s="191"/>
      <c r="JH68" s="191"/>
      <c r="JI68" s="191"/>
      <c r="JJ68" s="191">
        <v>100</v>
      </c>
      <c r="JK68" s="191"/>
      <c r="JL68" s="191"/>
      <c r="JM68" s="191"/>
      <c r="JN68" s="191"/>
      <c r="JO68" s="191"/>
      <c r="JP68" s="191"/>
      <c r="JQ68" s="191">
        <v>150</v>
      </c>
      <c r="JR68" s="191"/>
      <c r="JS68" s="191"/>
      <c r="JT68" s="191"/>
      <c r="JU68" s="191"/>
      <c r="JV68" s="191"/>
      <c r="JW68" s="191"/>
      <c r="JX68" s="191"/>
      <c r="JY68" s="191"/>
      <c r="JZ68" s="191"/>
      <c r="KA68" s="191"/>
      <c r="KB68" s="191"/>
      <c r="KC68" s="191"/>
      <c r="KD68" s="191"/>
      <c r="KE68" s="191">
        <v>150</v>
      </c>
      <c r="KF68" s="191"/>
      <c r="KG68" s="191"/>
      <c r="KH68" s="191"/>
      <c r="KI68" s="191"/>
      <c r="KJ68" s="193"/>
      <c r="KK68" s="194"/>
      <c r="KL68" s="191">
        <v>100</v>
      </c>
      <c r="KM68" s="191"/>
      <c r="KN68" s="191"/>
      <c r="KO68" s="191"/>
      <c r="KP68" s="191"/>
      <c r="KQ68" s="191"/>
      <c r="KR68" s="191"/>
      <c r="KS68" s="191">
        <v>100</v>
      </c>
      <c r="KT68" s="191"/>
      <c r="KU68" s="191"/>
      <c r="KV68" s="191"/>
      <c r="KW68" s="191"/>
      <c r="KX68" s="191"/>
      <c r="KY68" s="191"/>
      <c r="KZ68" s="191">
        <v>50</v>
      </c>
      <c r="LA68" s="191"/>
      <c r="LB68" s="191"/>
      <c r="LC68" s="191"/>
      <c r="LD68" s="191"/>
      <c r="LE68" s="191"/>
      <c r="LF68" s="191"/>
      <c r="LG68" s="191">
        <v>100</v>
      </c>
      <c r="LH68" s="191"/>
      <c r="LI68" s="191"/>
      <c r="LJ68" s="191"/>
      <c r="LK68" s="191"/>
      <c r="LL68" s="191"/>
      <c r="LM68" s="191"/>
      <c r="LN68" s="192">
        <v>100</v>
      </c>
      <c r="LO68" s="190"/>
      <c r="LP68" s="191"/>
      <c r="LQ68" s="191"/>
      <c r="LR68" s="191"/>
      <c r="LS68" s="191"/>
      <c r="LT68" s="191"/>
      <c r="LU68" s="191">
        <v>100</v>
      </c>
      <c r="LV68" s="191"/>
      <c r="LW68" s="191"/>
      <c r="LX68" s="191"/>
      <c r="LY68" s="191"/>
      <c r="LZ68" s="191"/>
      <c r="MA68" s="191"/>
      <c r="MB68" s="191"/>
      <c r="MC68" s="191"/>
      <c r="MD68" s="191">
        <v>100</v>
      </c>
      <c r="ME68" s="191"/>
      <c r="MF68" s="191"/>
      <c r="MG68" s="191"/>
      <c r="MH68" s="191"/>
      <c r="MI68" s="191">
        <v>50</v>
      </c>
      <c r="MJ68" s="191"/>
      <c r="MK68" s="191"/>
      <c r="ML68" s="191"/>
      <c r="MM68" s="191"/>
      <c r="MN68" s="191"/>
      <c r="MO68" s="191"/>
      <c r="MP68" s="191">
        <v>100</v>
      </c>
      <c r="MQ68" s="191"/>
      <c r="MR68" s="191"/>
      <c r="MS68" s="193"/>
      <c r="MT68" s="194"/>
      <c r="MU68" s="191"/>
      <c r="MV68" s="191"/>
      <c r="MW68" s="191"/>
      <c r="MX68" s="191"/>
      <c r="MY68" s="191"/>
      <c r="MZ68" s="191"/>
      <c r="NA68" s="191"/>
      <c r="NB68" s="191"/>
      <c r="NC68" s="191"/>
      <c r="ND68" s="191"/>
      <c r="NE68" s="191">
        <v>150</v>
      </c>
      <c r="NF68" s="191"/>
      <c r="NG68" s="191"/>
      <c r="NH68" s="191"/>
      <c r="NI68" s="191"/>
      <c r="NJ68" s="191"/>
      <c r="NK68" s="191">
        <v>50</v>
      </c>
      <c r="NL68" s="191"/>
      <c r="NM68" s="191"/>
      <c r="NN68" s="191"/>
      <c r="NO68" s="191"/>
      <c r="NP68" s="191"/>
      <c r="NQ68" s="191"/>
      <c r="NR68" s="191">
        <v>50</v>
      </c>
      <c r="NS68" s="191"/>
      <c r="NT68" s="191"/>
      <c r="NU68" s="191"/>
      <c r="NV68" s="191"/>
      <c r="NW68" s="192"/>
      <c r="NX68" s="190"/>
      <c r="NY68" s="191">
        <v>50</v>
      </c>
      <c r="NZ68" s="191"/>
      <c r="OA68" s="191"/>
      <c r="OB68" s="191"/>
      <c r="OC68" s="191"/>
      <c r="OD68" s="191"/>
      <c r="OE68" s="191"/>
      <c r="OF68" s="191">
        <v>60</v>
      </c>
      <c r="OG68" s="191"/>
      <c r="OH68" s="191"/>
      <c r="OI68" s="191"/>
      <c r="OJ68" s="191"/>
      <c r="OK68" s="191"/>
      <c r="OL68" s="191"/>
      <c r="OM68" s="191">
        <v>100</v>
      </c>
      <c r="ON68" s="191"/>
      <c r="OO68" s="191"/>
      <c r="OP68" s="191"/>
      <c r="OQ68" s="191"/>
      <c r="OR68" s="191"/>
      <c r="OS68" s="191"/>
      <c r="OT68" s="191"/>
      <c r="OU68" s="191"/>
      <c r="OV68" s="191"/>
      <c r="OW68" s="191"/>
      <c r="OX68" s="191"/>
      <c r="OY68" s="191"/>
      <c r="OZ68" s="191"/>
      <c r="PA68" s="191"/>
      <c r="PB68" s="193"/>
      <c r="PC68" s="47"/>
      <c r="PD68" s="154" t="s">
        <v>97</v>
      </c>
      <c r="PE68" s="155" t="s">
        <v>98</v>
      </c>
      <c r="PF68" s="155" t="s">
        <v>98</v>
      </c>
      <c r="PG68" s="155" t="s">
        <v>98</v>
      </c>
      <c r="PH68" s="155" t="s">
        <v>98</v>
      </c>
      <c r="PI68" s="155" t="s">
        <v>98</v>
      </c>
      <c r="PJ68" s="155" t="s">
        <v>98</v>
      </c>
      <c r="PK68" s="155" t="s">
        <v>98</v>
      </c>
      <c r="PL68" s="155" t="s">
        <v>98</v>
      </c>
      <c r="PM68" s="155" t="s">
        <v>98</v>
      </c>
      <c r="PN68" s="155" t="s">
        <v>98</v>
      </c>
      <c r="PO68" s="156"/>
      <c r="PP68" s="156"/>
      <c r="PQ68" s="156"/>
      <c r="PR68" s="156"/>
      <c r="PS68" s="156"/>
      <c r="PT68" s="156"/>
      <c r="PU68" s="156"/>
      <c r="PV68" s="156"/>
      <c r="PW68" s="156"/>
      <c r="PX68" s="195"/>
      <c r="PY68" s="1"/>
      <c r="PZ68" s="196">
        <f t="shared" si="20"/>
        <v>350</v>
      </c>
      <c r="QA68" s="176">
        <f t="shared" si="21"/>
        <v>2.9198298156336033E-3</v>
      </c>
      <c r="QB68" s="177" t="str">
        <f t="shared" ca="1" si="22"/>
        <v>Attente…</v>
      </c>
      <c r="QC68" s="197">
        <f t="shared" si="23"/>
        <v>60</v>
      </c>
      <c r="QD68" s="179">
        <f t="shared" si="24"/>
        <v>5.6179775280898881E-4</v>
      </c>
      <c r="QE68" s="180" t="str">
        <f t="shared" ca="1" si="25"/>
        <v>Attente…</v>
      </c>
      <c r="QF68" s="196">
        <f t="shared" si="26"/>
        <v>400</v>
      </c>
      <c r="QG68" s="176">
        <f t="shared" si="27"/>
        <v>3.1852205765249245E-3</v>
      </c>
      <c r="QH68" s="177" t="str">
        <f t="shared" ca="1" si="28"/>
        <v>Attente…</v>
      </c>
      <c r="QI68" s="197">
        <f t="shared" si="29"/>
        <v>450</v>
      </c>
      <c r="QJ68" s="179">
        <f t="shared" si="30"/>
        <v>3.1561228783840651E-3</v>
      </c>
      <c r="QK68" s="180" t="str">
        <f t="shared" ca="1" si="31"/>
        <v>Attente…</v>
      </c>
      <c r="QL68" s="196">
        <f t="shared" si="32"/>
        <v>400</v>
      </c>
      <c r="QM68" s="176">
        <f t="shared" si="33"/>
        <v>2.9265437518290896E-3</v>
      </c>
      <c r="QN68" s="177" t="str">
        <f t="shared" ca="1" si="34"/>
        <v>Attente…</v>
      </c>
      <c r="QO68" s="197">
        <f t="shared" si="35"/>
        <v>310</v>
      </c>
      <c r="QP68" s="179">
        <f t="shared" si="36"/>
        <v>2.4269944413998277E-3</v>
      </c>
      <c r="QQ68" s="180" t="str">
        <f t="shared" ca="1" si="37"/>
        <v>Attente…</v>
      </c>
      <c r="QR68" s="196">
        <f t="shared" si="38"/>
        <v>550</v>
      </c>
      <c r="QS68" s="176">
        <f t="shared" si="39"/>
        <v>3.9595406932795797E-3</v>
      </c>
      <c r="QT68" s="177" t="str">
        <f t="shared" ca="1" si="40"/>
        <v>Attente…</v>
      </c>
      <c r="QU68" s="197">
        <f t="shared" si="41"/>
        <v>400</v>
      </c>
      <c r="QV68" s="179">
        <f t="shared" si="42"/>
        <v>2.7578599007170436E-3</v>
      </c>
      <c r="QW68" s="180" t="str">
        <f t="shared" ca="1" si="43"/>
        <v>Attente…</v>
      </c>
      <c r="QX68" s="196">
        <f t="shared" si="44"/>
        <v>450</v>
      </c>
      <c r="QY68" s="176">
        <f t="shared" si="45"/>
        <v>3.2838086342275022E-3</v>
      </c>
      <c r="QZ68" s="177" t="str">
        <f t="shared" ca="1" si="46"/>
        <v>Attente…</v>
      </c>
      <c r="RA68" s="197">
        <f t="shared" si="47"/>
        <v>350</v>
      </c>
      <c r="RB68" s="179">
        <f t="shared" si="48"/>
        <v>2.7384398716845319E-3</v>
      </c>
      <c r="RC68" s="180" t="str">
        <f t="shared" ca="1" si="49"/>
        <v>Attente…</v>
      </c>
      <c r="RD68" s="196">
        <f t="shared" si="50"/>
        <v>250</v>
      </c>
      <c r="RE68" s="176">
        <f t="shared" si="51"/>
        <v>2.4910322837783977E-3</v>
      </c>
      <c r="RF68" s="177" t="str">
        <f t="shared" ca="1" si="52"/>
        <v>Attente…</v>
      </c>
      <c r="RG68" s="197">
        <f t="shared" si="53"/>
        <v>210</v>
      </c>
      <c r="RH68" s="179">
        <f t="shared" si="54"/>
        <v>3.8624241309545707E-3</v>
      </c>
      <c r="RI68" s="198" t="str">
        <f t="shared" ca="1" si="55"/>
        <v>Attente…</v>
      </c>
      <c r="RJ68" s="199">
        <f t="shared" si="56"/>
        <v>810</v>
      </c>
      <c r="RK68" s="200" t="str">
        <f t="shared" ca="1" si="13"/>
        <v>Attente…</v>
      </c>
      <c r="RL68" s="199">
        <f t="shared" si="57"/>
        <v>1160</v>
      </c>
      <c r="RM68" s="200" t="str">
        <f t="shared" ca="1" si="58"/>
        <v>Atttente…</v>
      </c>
      <c r="RN68" s="199">
        <f t="shared" si="59"/>
        <v>1400</v>
      </c>
      <c r="RO68" s="200" t="str">
        <f t="shared" ca="1" si="14"/>
        <v>Attente…</v>
      </c>
      <c r="RP68" s="199">
        <f t="shared" si="60"/>
        <v>810</v>
      </c>
      <c r="RQ68" s="200" t="str">
        <f t="shared" ca="1" si="15"/>
        <v>Attente…</v>
      </c>
      <c r="RR68" s="201">
        <f t="shared" si="61"/>
        <v>4180</v>
      </c>
      <c r="RS68" s="202" t="str">
        <f t="shared" ca="1" si="16"/>
        <v>Attente…</v>
      </c>
      <c r="RT68" s="103"/>
      <c r="RU68" s="203">
        <f t="shared" si="62"/>
        <v>0.47499999999999998</v>
      </c>
      <c r="RV68" s="204">
        <f t="shared" si="65"/>
        <v>1</v>
      </c>
      <c r="RW68" s="204">
        <f t="shared" si="65"/>
        <v>1</v>
      </c>
      <c r="RX68" s="204">
        <f t="shared" si="63"/>
        <v>44</v>
      </c>
      <c r="RY68" s="205" t="str">
        <f t="shared" si="64"/>
        <v>HÉNOUVILLE - 9 rue du Stade (Salle polyvalente - Ecole)</v>
      </c>
      <c r="RZ68" s="189" t="str">
        <f>IF(OR(RZ67="",RZ67="  &lt;/Document&gt;
&lt;/kml&gt;"),"",
IF(B68="","  &lt;/Document&gt;
&lt;/kml&gt;",
IF(TournéesCAV!Q68=""," ",
"    &lt;Placemark&gt;
      &lt;description&gt;&lt;![CDATA["&amp;B68&amp;"&lt;br&gt;&lt;br&gt;"&amp;RV68&amp;" CAV&lt;br&gt;&lt;br&gt;Présent sur "&amp;RW68&amp;" tournée(s)&lt;br&gt;&lt;br&gt;Taux de remplissage moyen "&amp;TEXT(RU68*1000,"0 %")&amp;"]]&gt;&lt;/description&gt;
      &lt;Style&gt;
        &lt;IconStyle&gt;
          &lt;color&gt;ff"&amp;
          DEC2HEX(0,2)&amp;
          DEC2HEX(
            IF(RU68&lt;=0.5,
               INT(255*(RU68*2)),
               255
            ),2)&amp;
          DEC2HEX(
            IF(RU68&lt;=0.5,
               255,
               INT(255*(1-(RU68-0.5)*2))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&lt;Point&gt;&lt;coordinates&gt;"&amp;R68&amp;","&amp;Q68&amp;",0&lt;/coordinates&gt;&lt;/Point&gt;
    &lt;/Placemark&gt;"
)))</f>
        <v xml:space="preserve">    &lt;Placemark&gt;
      &lt;description&gt;&lt;![CDATA[HÉNOUVILLE - 9 rue du Stade (Salle polyvalente - Ecole)&lt;br&gt;&lt;br&gt;1 CAV&lt;br&gt;&lt;br&gt;Présent sur 1 tournée(s)&lt;br&gt;&lt;br&gt;Taux de remplissage moyen 48%]]&gt;&lt;/description&gt;
      &lt;Style&gt;
        &lt;IconStyle&gt;
          &lt;color&gt;ff00F2FF&lt;/color&gt;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&lt;Point&gt;&lt;coordinates&gt;0.9594667,49.4796359,0&lt;/coordinates&gt;&lt;/Point&gt;
    &lt;/Placemark&gt;</v>
      </c>
    </row>
    <row r="69" spans="2:494" ht="15" hidden="1" customHeight="1" x14ac:dyDescent="0.35">
      <c r="B69" s="153" t="str">
        <f t="shared" si="17"/>
        <v>JUMIÈGES - 752 Rue Alphonse Calais (Parking Camping-car)</v>
      </c>
      <c r="C69" s="154">
        <v>146</v>
      </c>
      <c r="D69" s="155"/>
      <c r="E69" s="155"/>
      <c r="F69" s="155"/>
      <c r="G69" s="155"/>
      <c r="H69" s="155"/>
      <c r="I69" s="155"/>
      <c r="J69" s="156"/>
      <c r="K69" s="157">
        <f t="shared" si="18"/>
        <v>1</v>
      </c>
      <c r="L69" s="157">
        <f t="shared" si="19"/>
        <v>1</v>
      </c>
      <c r="M69" s="158" t="s">
        <v>437</v>
      </c>
      <c r="N69" s="159" t="s">
        <v>438</v>
      </c>
      <c r="O69" s="159">
        <v>76480</v>
      </c>
      <c r="P69" s="159" t="s">
        <v>439</v>
      </c>
      <c r="Q69" s="159" t="s">
        <v>440</v>
      </c>
      <c r="R69" s="159" t="s">
        <v>441</v>
      </c>
      <c r="S69" s="159" t="s">
        <v>93</v>
      </c>
      <c r="T69" s="159" t="s">
        <v>94</v>
      </c>
      <c r="U69" s="159" t="s">
        <v>442</v>
      </c>
      <c r="V69" s="160" t="s">
        <v>96</v>
      </c>
      <c r="W69" s="161"/>
      <c r="X69" s="162"/>
      <c r="Y69" s="163"/>
      <c r="Z69" s="162"/>
      <c r="AA69" s="163"/>
      <c r="AB69" s="162"/>
      <c r="AC69" s="163">
        <v>11</v>
      </c>
      <c r="AD69" s="162"/>
      <c r="AE69" s="163"/>
      <c r="AF69" s="162"/>
      <c r="AG69" s="163"/>
      <c r="AH69" s="163"/>
      <c r="AI69" s="162"/>
      <c r="AJ69" s="163"/>
      <c r="AK69" s="162"/>
      <c r="AL69" s="163"/>
      <c r="AM69" s="162"/>
      <c r="AN69" s="163"/>
      <c r="AO69" s="162"/>
      <c r="AP69" s="164"/>
      <c r="AQ69" s="164"/>
      <c r="AR69" s="164"/>
      <c r="AS69" s="164"/>
      <c r="AT69" s="164"/>
      <c r="AU69" s="164"/>
      <c r="AV69" s="164"/>
      <c r="AW69" s="164"/>
      <c r="AX69" s="164"/>
      <c r="AY69" s="165"/>
      <c r="AZ69" s="41"/>
      <c r="BA69" s="190"/>
      <c r="BB69" s="191"/>
      <c r="BC69" s="191"/>
      <c r="BD69" s="191"/>
      <c r="BE69" s="191"/>
      <c r="BF69" s="191"/>
      <c r="BG69" s="191">
        <v>100</v>
      </c>
      <c r="BH69" s="191"/>
      <c r="BI69" s="191"/>
      <c r="BJ69" s="191"/>
      <c r="BK69" s="191"/>
      <c r="BL69" s="191"/>
      <c r="BM69" s="191"/>
      <c r="BN69" s="191">
        <v>50</v>
      </c>
      <c r="BO69" s="191"/>
      <c r="BP69" s="191"/>
      <c r="BQ69" s="191"/>
      <c r="BR69" s="191"/>
      <c r="BS69" s="191"/>
      <c r="BT69" s="191"/>
      <c r="BU69" s="191">
        <v>100</v>
      </c>
      <c r="BV69" s="191"/>
      <c r="BW69" s="191"/>
      <c r="BX69" s="191"/>
      <c r="BY69" s="191"/>
      <c r="BZ69" s="191"/>
      <c r="CA69" s="191"/>
      <c r="CB69" s="191">
        <v>10</v>
      </c>
      <c r="CC69" s="191"/>
      <c r="CD69" s="191"/>
      <c r="CE69" s="192"/>
      <c r="CF69" s="190"/>
      <c r="CG69" s="191"/>
      <c r="CH69" s="191"/>
      <c r="CI69" s="191">
        <v>100</v>
      </c>
      <c r="CJ69" s="191"/>
      <c r="CK69" s="191"/>
      <c r="CL69" s="191"/>
      <c r="CM69" s="191"/>
      <c r="CN69" s="191"/>
      <c r="CO69" s="191"/>
      <c r="CP69" s="191">
        <v>150</v>
      </c>
      <c r="CQ69" s="191"/>
      <c r="CR69" s="191"/>
      <c r="CS69" s="191"/>
      <c r="CT69" s="191"/>
      <c r="CU69" s="191"/>
      <c r="CV69" s="191"/>
      <c r="CW69" s="191"/>
      <c r="CX69" s="191"/>
      <c r="CY69" s="191"/>
      <c r="CZ69" s="191"/>
      <c r="DA69" s="191"/>
      <c r="DB69" s="191"/>
      <c r="DC69" s="191"/>
      <c r="DD69" s="191">
        <v>100</v>
      </c>
      <c r="DE69" s="191"/>
      <c r="DF69" s="191"/>
      <c r="DG69" s="191"/>
      <c r="DH69" s="193"/>
      <c r="DI69" s="194"/>
      <c r="DJ69" s="191"/>
      <c r="DK69" s="191"/>
      <c r="DL69" s="191">
        <v>100</v>
      </c>
      <c r="DM69" s="191"/>
      <c r="DN69" s="191"/>
      <c r="DO69" s="191"/>
      <c r="DP69" s="191"/>
      <c r="DQ69" s="191"/>
      <c r="DR69" s="191"/>
      <c r="DS69" s="191">
        <v>50</v>
      </c>
      <c r="DT69" s="191"/>
      <c r="DU69" s="191"/>
      <c r="DV69" s="191"/>
      <c r="DW69" s="191"/>
      <c r="DX69" s="191"/>
      <c r="DY69" s="191"/>
      <c r="DZ69" s="191">
        <v>50</v>
      </c>
      <c r="EA69" s="191"/>
      <c r="EB69" s="191"/>
      <c r="EC69" s="191"/>
      <c r="ED69" s="191"/>
      <c r="EE69" s="191"/>
      <c r="EF69" s="191"/>
      <c r="EG69" s="191">
        <v>50</v>
      </c>
      <c r="EH69" s="191"/>
      <c r="EI69" s="191"/>
      <c r="EJ69" s="191"/>
      <c r="EK69" s="191"/>
      <c r="EL69" s="191"/>
      <c r="EM69" s="192"/>
      <c r="EN69" s="190">
        <v>100</v>
      </c>
      <c r="EO69" s="191"/>
      <c r="EP69" s="191"/>
      <c r="EQ69" s="191"/>
      <c r="ER69" s="191"/>
      <c r="ES69" s="191"/>
      <c r="ET69" s="191"/>
      <c r="EU69" s="191">
        <v>200</v>
      </c>
      <c r="EV69" s="191"/>
      <c r="EW69" s="191"/>
      <c r="EX69" s="191"/>
      <c r="EY69" s="191"/>
      <c r="EZ69" s="191"/>
      <c r="FA69" s="191"/>
      <c r="FB69" s="191">
        <v>150</v>
      </c>
      <c r="FC69" s="191"/>
      <c r="FD69" s="191"/>
      <c r="FE69" s="191"/>
      <c r="FF69" s="191"/>
      <c r="FG69" s="191"/>
      <c r="FH69" s="191"/>
      <c r="FI69" s="191"/>
      <c r="FJ69" s="191"/>
      <c r="FK69" s="191">
        <v>150</v>
      </c>
      <c r="FL69" s="191"/>
      <c r="FM69" s="191"/>
      <c r="FN69" s="191"/>
      <c r="FO69" s="191"/>
      <c r="FP69" s="191"/>
      <c r="FQ69" s="193"/>
      <c r="FR69" s="194"/>
      <c r="FS69" s="191"/>
      <c r="FT69" s="191"/>
      <c r="FU69" s="191"/>
      <c r="FV69" s="191"/>
      <c r="FW69" s="191">
        <v>100</v>
      </c>
      <c r="FX69" s="191"/>
      <c r="FY69" s="191"/>
      <c r="FZ69" s="191"/>
      <c r="GA69" s="191"/>
      <c r="GB69" s="191"/>
      <c r="GC69" s="191"/>
      <c r="GD69" s="191">
        <v>100</v>
      </c>
      <c r="GE69" s="191"/>
      <c r="GF69" s="191"/>
      <c r="GG69" s="191"/>
      <c r="GH69" s="191"/>
      <c r="GI69" s="191"/>
      <c r="GJ69" s="191"/>
      <c r="GK69" s="191">
        <v>50</v>
      </c>
      <c r="GL69" s="191"/>
      <c r="GM69" s="191"/>
      <c r="GN69" s="191"/>
      <c r="GO69" s="191"/>
      <c r="GP69" s="191"/>
      <c r="GQ69" s="191"/>
      <c r="GR69" s="191">
        <v>50</v>
      </c>
      <c r="GS69" s="191"/>
      <c r="GT69" s="191"/>
      <c r="GU69" s="191"/>
      <c r="GV69" s="192"/>
      <c r="GW69" s="190"/>
      <c r="GX69" s="191"/>
      <c r="GY69" s="191">
        <v>50</v>
      </c>
      <c r="GZ69" s="191"/>
      <c r="HA69" s="191"/>
      <c r="HB69" s="191"/>
      <c r="HC69" s="191"/>
      <c r="HD69" s="191"/>
      <c r="HE69" s="191"/>
      <c r="HF69" s="191"/>
      <c r="HG69" s="191"/>
      <c r="HH69" s="191">
        <v>150</v>
      </c>
      <c r="HI69" s="191"/>
      <c r="HJ69" s="191"/>
      <c r="HK69" s="191"/>
      <c r="HL69" s="191"/>
      <c r="HM69" s="191"/>
      <c r="HN69" s="191"/>
      <c r="HO69" s="191"/>
      <c r="HP69" s="191"/>
      <c r="HQ69" s="191"/>
      <c r="HR69" s="191"/>
      <c r="HS69" s="191"/>
      <c r="HT69" s="191">
        <v>100</v>
      </c>
      <c r="HU69" s="191"/>
      <c r="HV69" s="191"/>
      <c r="HW69" s="191"/>
      <c r="HX69" s="191"/>
      <c r="HY69" s="191"/>
      <c r="HZ69" s="193"/>
      <c r="IA69" s="194">
        <v>10</v>
      </c>
      <c r="IB69" s="191"/>
      <c r="IC69" s="191"/>
      <c r="ID69" s="191"/>
      <c r="IE69" s="191"/>
      <c r="IF69" s="191"/>
      <c r="IG69" s="191"/>
      <c r="IH69" s="191">
        <v>100</v>
      </c>
      <c r="II69" s="191"/>
      <c r="IJ69" s="191"/>
      <c r="IK69" s="191"/>
      <c r="IL69" s="191"/>
      <c r="IM69" s="191"/>
      <c r="IN69" s="191"/>
      <c r="IO69" s="191"/>
      <c r="IP69" s="191">
        <v>100</v>
      </c>
      <c r="IQ69" s="191"/>
      <c r="IR69" s="191"/>
      <c r="IS69" s="191"/>
      <c r="IT69" s="191"/>
      <c r="IU69" s="191"/>
      <c r="IV69" s="191">
        <v>50</v>
      </c>
      <c r="IW69" s="191"/>
      <c r="IX69" s="191"/>
      <c r="IY69" s="191"/>
      <c r="IZ69" s="191"/>
      <c r="JA69" s="191"/>
      <c r="JB69" s="191"/>
      <c r="JC69" s="191"/>
      <c r="JD69" s="191"/>
      <c r="JE69" s="192">
        <v>100</v>
      </c>
      <c r="JF69" s="190"/>
      <c r="JG69" s="191"/>
      <c r="JH69" s="191"/>
      <c r="JI69" s="191"/>
      <c r="JJ69" s="191">
        <v>50</v>
      </c>
      <c r="JK69" s="191"/>
      <c r="JL69" s="191"/>
      <c r="JM69" s="191"/>
      <c r="JN69" s="191"/>
      <c r="JO69" s="191"/>
      <c r="JP69" s="191"/>
      <c r="JQ69" s="191">
        <v>100</v>
      </c>
      <c r="JR69" s="191"/>
      <c r="JS69" s="191"/>
      <c r="JT69" s="191"/>
      <c r="JU69" s="191"/>
      <c r="JV69" s="191"/>
      <c r="JW69" s="191"/>
      <c r="JX69" s="191"/>
      <c r="JY69" s="191"/>
      <c r="JZ69" s="191"/>
      <c r="KA69" s="191"/>
      <c r="KB69" s="191"/>
      <c r="KC69" s="191"/>
      <c r="KD69" s="191"/>
      <c r="KE69" s="191">
        <v>150</v>
      </c>
      <c r="KF69" s="191"/>
      <c r="KG69" s="191"/>
      <c r="KH69" s="191"/>
      <c r="KI69" s="191"/>
      <c r="KJ69" s="193"/>
      <c r="KK69" s="194"/>
      <c r="KL69" s="191">
        <v>100</v>
      </c>
      <c r="KM69" s="191"/>
      <c r="KN69" s="191"/>
      <c r="KO69" s="191"/>
      <c r="KP69" s="191"/>
      <c r="KQ69" s="191"/>
      <c r="KR69" s="191"/>
      <c r="KS69" s="191"/>
      <c r="KT69" s="191"/>
      <c r="KU69" s="191"/>
      <c r="KV69" s="191"/>
      <c r="KW69" s="191"/>
      <c r="KX69" s="191"/>
      <c r="KY69" s="191"/>
      <c r="KZ69" s="191"/>
      <c r="LA69" s="191"/>
      <c r="LB69" s="191"/>
      <c r="LC69" s="191"/>
      <c r="LD69" s="191"/>
      <c r="LE69" s="191"/>
      <c r="LF69" s="191"/>
      <c r="LG69" s="191"/>
      <c r="LH69" s="191"/>
      <c r="LI69" s="191"/>
      <c r="LJ69" s="191"/>
      <c r="LK69" s="191"/>
      <c r="LL69" s="191"/>
      <c r="LM69" s="191"/>
      <c r="LN69" s="192">
        <v>100</v>
      </c>
      <c r="LO69" s="190"/>
      <c r="LP69" s="191"/>
      <c r="LQ69" s="191"/>
      <c r="LR69" s="191"/>
      <c r="LS69" s="191"/>
      <c r="LT69" s="191"/>
      <c r="LU69" s="191"/>
      <c r="LV69" s="191"/>
      <c r="LW69" s="191"/>
      <c r="LX69" s="191"/>
      <c r="LY69" s="191"/>
      <c r="LZ69" s="191"/>
      <c r="MA69" s="191"/>
      <c r="MB69" s="191"/>
      <c r="MC69" s="191"/>
      <c r="MD69" s="191">
        <v>100</v>
      </c>
      <c r="ME69" s="191"/>
      <c r="MF69" s="191"/>
      <c r="MG69" s="191"/>
      <c r="MH69" s="191"/>
      <c r="MI69" s="191">
        <v>10</v>
      </c>
      <c r="MJ69" s="191"/>
      <c r="MK69" s="191"/>
      <c r="ML69" s="191"/>
      <c r="MM69" s="191"/>
      <c r="MN69" s="191"/>
      <c r="MO69" s="191"/>
      <c r="MP69" s="191">
        <v>50</v>
      </c>
      <c r="MQ69" s="191"/>
      <c r="MR69" s="191"/>
      <c r="MS69" s="193"/>
      <c r="MT69" s="194"/>
      <c r="MU69" s="191"/>
      <c r="MV69" s="191"/>
      <c r="MW69" s="191"/>
      <c r="MX69" s="191"/>
      <c r="MY69" s="191"/>
      <c r="MZ69" s="191"/>
      <c r="NA69" s="191"/>
      <c r="NB69" s="191"/>
      <c r="NC69" s="191"/>
      <c r="ND69" s="191"/>
      <c r="NE69" s="191">
        <v>50</v>
      </c>
      <c r="NF69" s="191"/>
      <c r="NG69" s="191"/>
      <c r="NH69" s="191"/>
      <c r="NI69" s="191"/>
      <c r="NJ69" s="191"/>
      <c r="NK69" s="191">
        <v>10</v>
      </c>
      <c r="NL69" s="191"/>
      <c r="NM69" s="191"/>
      <c r="NN69" s="191"/>
      <c r="NO69" s="191"/>
      <c r="NP69" s="191"/>
      <c r="NQ69" s="191"/>
      <c r="NR69" s="191">
        <v>50</v>
      </c>
      <c r="NS69" s="191"/>
      <c r="NT69" s="191"/>
      <c r="NU69" s="191"/>
      <c r="NV69" s="191"/>
      <c r="NW69" s="192"/>
      <c r="NX69" s="190"/>
      <c r="NY69" s="191">
        <v>10</v>
      </c>
      <c r="NZ69" s="191"/>
      <c r="OA69" s="191"/>
      <c r="OB69" s="191"/>
      <c r="OC69" s="191"/>
      <c r="OD69" s="191"/>
      <c r="OE69" s="191"/>
      <c r="OF69" s="191">
        <v>50</v>
      </c>
      <c r="OG69" s="191"/>
      <c r="OH69" s="191"/>
      <c r="OI69" s="191"/>
      <c r="OJ69" s="191"/>
      <c r="OK69" s="191"/>
      <c r="OL69" s="191"/>
      <c r="OM69" s="191"/>
      <c r="ON69" s="191"/>
      <c r="OO69" s="191"/>
      <c r="OP69" s="191"/>
      <c r="OQ69" s="191"/>
      <c r="OR69" s="191"/>
      <c r="OS69" s="191"/>
      <c r="OT69" s="191"/>
      <c r="OU69" s="191"/>
      <c r="OV69" s="191"/>
      <c r="OW69" s="191"/>
      <c r="OX69" s="191"/>
      <c r="OY69" s="191"/>
      <c r="OZ69" s="191"/>
      <c r="PA69" s="191"/>
      <c r="PB69" s="193"/>
      <c r="PC69" s="47"/>
      <c r="PD69" s="154" t="s">
        <v>97</v>
      </c>
      <c r="PE69" s="155" t="s">
        <v>98</v>
      </c>
      <c r="PF69" s="155" t="s">
        <v>98</v>
      </c>
      <c r="PG69" s="155" t="s">
        <v>98</v>
      </c>
      <c r="PH69" s="155" t="s">
        <v>98</v>
      </c>
      <c r="PI69" s="155" t="s">
        <v>98</v>
      </c>
      <c r="PJ69" s="155" t="s">
        <v>98</v>
      </c>
      <c r="PK69" s="155" t="s">
        <v>98</v>
      </c>
      <c r="PL69" s="155" t="s">
        <v>98</v>
      </c>
      <c r="PM69" s="155" t="s">
        <v>98</v>
      </c>
      <c r="PN69" s="155" t="s">
        <v>98</v>
      </c>
      <c r="PO69" s="156"/>
      <c r="PP69" s="156"/>
      <c r="PQ69" s="156"/>
      <c r="PR69" s="156"/>
      <c r="PS69" s="156"/>
      <c r="PT69" s="156"/>
      <c r="PU69" s="156"/>
      <c r="PV69" s="156"/>
      <c r="PW69" s="156"/>
      <c r="PX69" s="195"/>
      <c r="PY69" s="1"/>
      <c r="PZ69" s="196">
        <f t="shared" si="20"/>
        <v>260</v>
      </c>
      <c r="QA69" s="176">
        <f t="shared" si="21"/>
        <v>2.1690164344706766E-3</v>
      </c>
      <c r="QB69" s="177" t="str">
        <f t="shared" ca="1" si="22"/>
        <v>Attente…</v>
      </c>
      <c r="QC69" s="197">
        <f t="shared" si="23"/>
        <v>350</v>
      </c>
      <c r="QD69" s="179">
        <f t="shared" si="24"/>
        <v>3.2771535580524347E-3</v>
      </c>
      <c r="QE69" s="180" t="str">
        <f t="shared" ca="1" si="25"/>
        <v>Attente…</v>
      </c>
      <c r="QF69" s="196">
        <f t="shared" si="26"/>
        <v>250</v>
      </c>
      <c r="QG69" s="176">
        <f t="shared" si="27"/>
        <v>1.9907628603280775E-3</v>
      </c>
      <c r="QH69" s="177" t="str">
        <f t="shared" ca="1" si="28"/>
        <v>Attente…</v>
      </c>
      <c r="QI69" s="197">
        <f t="shared" si="29"/>
        <v>600</v>
      </c>
      <c r="QJ69" s="179">
        <f t="shared" si="30"/>
        <v>4.2081638378454198E-3</v>
      </c>
      <c r="QK69" s="180" t="str">
        <f t="shared" ca="1" si="31"/>
        <v>Attente…</v>
      </c>
      <c r="QL69" s="196">
        <f t="shared" si="32"/>
        <v>300</v>
      </c>
      <c r="QM69" s="176">
        <f t="shared" si="33"/>
        <v>2.1949078138718174E-3</v>
      </c>
      <c r="QN69" s="177" t="str">
        <f t="shared" ca="1" si="34"/>
        <v>Attente…</v>
      </c>
      <c r="QO69" s="197">
        <f t="shared" si="35"/>
        <v>300</v>
      </c>
      <c r="QP69" s="179">
        <f t="shared" si="36"/>
        <v>2.3487042981288654E-3</v>
      </c>
      <c r="QQ69" s="180" t="str">
        <f t="shared" ca="1" si="37"/>
        <v>Attente…</v>
      </c>
      <c r="QR69" s="196">
        <f t="shared" si="38"/>
        <v>360</v>
      </c>
      <c r="QS69" s="176">
        <f t="shared" si="39"/>
        <v>2.5916993628739065E-3</v>
      </c>
      <c r="QT69" s="177" t="str">
        <f t="shared" ca="1" si="40"/>
        <v>Attente…</v>
      </c>
      <c r="QU69" s="197">
        <f t="shared" si="41"/>
        <v>300</v>
      </c>
      <c r="QV69" s="179">
        <f t="shared" si="42"/>
        <v>2.0683949255377826E-3</v>
      </c>
      <c r="QW69" s="180" t="str">
        <f t="shared" ca="1" si="43"/>
        <v>Attente…</v>
      </c>
      <c r="QX69" s="196">
        <f t="shared" si="44"/>
        <v>200</v>
      </c>
      <c r="QY69" s="176">
        <f t="shared" si="45"/>
        <v>1.459470504101112E-3</v>
      </c>
      <c r="QZ69" s="177" t="str">
        <f t="shared" ca="1" si="46"/>
        <v>Attente…</v>
      </c>
      <c r="RA69" s="197">
        <f t="shared" si="47"/>
        <v>160</v>
      </c>
      <c r="RB69" s="179">
        <f t="shared" si="48"/>
        <v>1.2518582270557859E-3</v>
      </c>
      <c r="RC69" s="180" t="str">
        <f t="shared" ca="1" si="49"/>
        <v>Attente…</v>
      </c>
      <c r="RD69" s="196">
        <f t="shared" si="50"/>
        <v>110</v>
      </c>
      <c r="RE69" s="176">
        <f t="shared" si="51"/>
        <v>1.096054204862495E-3</v>
      </c>
      <c r="RF69" s="177" t="str">
        <f t="shared" ca="1" si="52"/>
        <v>Attente…</v>
      </c>
      <c r="RG69" s="197">
        <f t="shared" si="53"/>
        <v>60</v>
      </c>
      <c r="RH69" s="179">
        <f t="shared" si="54"/>
        <v>1.1035497517013059E-3</v>
      </c>
      <c r="RI69" s="198" t="str">
        <f t="shared" ca="1" si="55"/>
        <v>Attente…</v>
      </c>
      <c r="RJ69" s="199">
        <f t="shared" si="56"/>
        <v>860</v>
      </c>
      <c r="RK69" s="200" t="str">
        <f t="shared" ref="RK69:RK132" ca="1" si="66">IFERROR(QB69+QE69+QH69,"Attente…")</f>
        <v>Attente…</v>
      </c>
      <c r="RL69" s="199">
        <f t="shared" si="57"/>
        <v>1200</v>
      </c>
      <c r="RM69" s="200" t="str">
        <f t="shared" ca="1" si="58"/>
        <v>Atttente…</v>
      </c>
      <c r="RN69" s="199">
        <f t="shared" si="59"/>
        <v>860</v>
      </c>
      <c r="RO69" s="200" t="str">
        <f t="shared" ref="RO69:RO132" ca="1" si="67">IFERROR(QT69+QW69+QZ69,"Attente…")</f>
        <v>Attente…</v>
      </c>
      <c r="RP69" s="199">
        <f t="shared" si="60"/>
        <v>330</v>
      </c>
      <c r="RQ69" s="200" t="str">
        <f t="shared" ref="RQ69:RQ132" ca="1" si="68">IFERROR(RC69+RF69+RI69,"Attente…")</f>
        <v>Attente…</v>
      </c>
      <c r="RR69" s="201">
        <f t="shared" si="61"/>
        <v>3250</v>
      </c>
      <c r="RS69" s="202" t="str">
        <f t="shared" ref="RS69:RS132" ca="1" si="69">IFERROR(RK69+RM69+RO69+RQ69,"Attente…")</f>
        <v>Attente…</v>
      </c>
      <c r="RT69" s="103"/>
      <c r="RU69" s="203">
        <f t="shared" si="62"/>
        <v>0.40625</v>
      </c>
      <c r="RV69" s="204">
        <f t="shared" si="65"/>
        <v>1</v>
      </c>
      <c r="RW69" s="204">
        <f t="shared" si="65"/>
        <v>1</v>
      </c>
      <c r="RX69" s="204">
        <f t="shared" si="63"/>
        <v>40</v>
      </c>
      <c r="RY69" s="205" t="str">
        <f t="shared" si="64"/>
        <v>JUMIÈGES - 752 Rue Alphonse Calais (Parking Camping-car)</v>
      </c>
      <c r="RZ69" s="189" t="str">
        <f>IF(OR(RZ68="",RZ68="  &lt;/Document&gt;
&lt;/kml&gt;"),"",
IF(B69="","  &lt;/Document&gt;
&lt;/kml&gt;",
IF(TournéesCAV!Q69=""," ",
"    &lt;Placemark&gt;
      &lt;description&gt;&lt;![CDATA["&amp;B69&amp;"&lt;br&gt;&lt;br&gt;"&amp;RV69&amp;" CAV&lt;br&gt;&lt;br&gt;Présent sur "&amp;RW69&amp;" tournée(s)&lt;br&gt;&lt;br&gt;Taux de remplissage moyen "&amp;TEXT(RU69*1000,"0 %")&amp;"]]&gt;&lt;/description&gt;
      &lt;Style&gt;
        &lt;IconStyle&gt;
          &lt;color&gt;ff"&amp;
          DEC2HEX(0,2)&amp;
          DEC2HEX(
            IF(RU69&lt;=0.5,
               INT(255*(RU69*2)),
               255
            ),2)&amp;
          DEC2HEX(
            IF(RU69&lt;=0.5,
               255,
               INT(255*(1-(RU69-0.5)*2))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&lt;Point&gt;&lt;coordinates&gt;"&amp;R69&amp;","&amp;Q69&amp;",0&lt;/coordinates&gt;&lt;/Point&gt;
    &lt;/Placemark&gt;"
)))</f>
        <v xml:space="preserve">    &lt;Placemark&gt;
      &lt;description&gt;&lt;![CDATA[JUMIÈGES - 752 Rue Alphonse Calais (Parking Camping-car)&lt;br&gt;&lt;br&gt;1 CAV&lt;br&gt;&lt;br&gt;Présent sur 1 tournée(s)&lt;br&gt;&lt;br&gt;Taux de remplissage moyen 41%]]&gt;&lt;/description&gt;
      &lt;Style&gt;
        &lt;IconStyle&gt;
          &lt;color&gt;ff00CFFF&lt;/color&gt;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&lt;Point&gt;&lt;coordinates&gt;0.8143114,49.4304292,0&lt;/coordinates&gt;&lt;/Point&gt;
    &lt;/Placemark&gt;</v>
      </c>
    </row>
    <row r="70" spans="2:494" ht="15" hidden="1" customHeight="1" x14ac:dyDescent="0.35">
      <c r="B70" s="153" t="str">
        <f t="shared" ref="B70:B133" si="70">UPPER(P70)&amp;" - "&amp;M70&amp;IF(N70="",""," ("&amp;N70&amp;")")</f>
        <v>YAINVILLE - 1 Rue de la République (Allée derrière la pharmacie)</v>
      </c>
      <c r="C70" s="154">
        <v>33</v>
      </c>
      <c r="D70" s="155"/>
      <c r="E70" s="155"/>
      <c r="F70" s="155"/>
      <c r="G70" s="155"/>
      <c r="H70" s="155"/>
      <c r="I70" s="155"/>
      <c r="J70" s="156"/>
      <c r="K70" s="157">
        <f t="shared" ref="K70:K133" si="71">COUNTA(C70:J70)</f>
        <v>1</v>
      </c>
      <c r="L70" s="157">
        <f t="shared" ref="L70:L133" si="72">COUNTA(W70:AY70)</f>
        <v>1</v>
      </c>
      <c r="M70" s="158" t="s">
        <v>443</v>
      </c>
      <c r="N70" s="159" t="s">
        <v>444</v>
      </c>
      <c r="O70" s="159">
        <v>76480</v>
      </c>
      <c r="P70" s="159" t="s">
        <v>445</v>
      </c>
      <c r="Q70" s="159" t="s">
        <v>446</v>
      </c>
      <c r="R70" s="159" t="s">
        <v>447</v>
      </c>
      <c r="S70" s="159" t="s">
        <v>93</v>
      </c>
      <c r="T70" s="159" t="s">
        <v>94</v>
      </c>
      <c r="U70" s="159" t="s">
        <v>448</v>
      </c>
      <c r="V70" s="160" t="s">
        <v>96</v>
      </c>
      <c r="W70" s="161"/>
      <c r="X70" s="162"/>
      <c r="Y70" s="163"/>
      <c r="Z70" s="162"/>
      <c r="AA70" s="163"/>
      <c r="AB70" s="162"/>
      <c r="AC70" s="163">
        <v>12</v>
      </c>
      <c r="AD70" s="162"/>
      <c r="AE70" s="163"/>
      <c r="AF70" s="162"/>
      <c r="AG70" s="163"/>
      <c r="AH70" s="163"/>
      <c r="AI70" s="162"/>
      <c r="AJ70" s="163"/>
      <c r="AK70" s="162"/>
      <c r="AL70" s="163"/>
      <c r="AM70" s="162"/>
      <c r="AN70" s="163"/>
      <c r="AO70" s="162"/>
      <c r="AP70" s="164"/>
      <c r="AQ70" s="164"/>
      <c r="AR70" s="164"/>
      <c r="AS70" s="164"/>
      <c r="AT70" s="164"/>
      <c r="AU70" s="164"/>
      <c r="AV70" s="164"/>
      <c r="AW70" s="164"/>
      <c r="AX70" s="164"/>
      <c r="AY70" s="165"/>
      <c r="AZ70" s="41"/>
      <c r="BA70" s="190"/>
      <c r="BB70" s="191"/>
      <c r="BC70" s="191"/>
      <c r="BD70" s="191"/>
      <c r="BE70" s="191"/>
      <c r="BF70" s="191"/>
      <c r="BG70" s="191">
        <v>50</v>
      </c>
      <c r="BH70" s="191"/>
      <c r="BI70" s="191"/>
      <c r="BJ70" s="191"/>
      <c r="BK70" s="191"/>
      <c r="BL70" s="191"/>
      <c r="BM70" s="191"/>
      <c r="BN70" s="191">
        <v>100</v>
      </c>
      <c r="BO70" s="191"/>
      <c r="BP70" s="191"/>
      <c r="BQ70" s="191"/>
      <c r="BR70" s="191"/>
      <c r="BS70" s="191"/>
      <c r="BT70" s="191"/>
      <c r="BU70" s="191">
        <v>10</v>
      </c>
      <c r="BV70" s="191"/>
      <c r="BW70" s="191"/>
      <c r="BX70" s="191"/>
      <c r="BY70" s="191"/>
      <c r="BZ70" s="191"/>
      <c r="CA70" s="191"/>
      <c r="CB70" s="191">
        <v>10</v>
      </c>
      <c r="CC70" s="191"/>
      <c r="CD70" s="191"/>
      <c r="CE70" s="192"/>
      <c r="CF70" s="190"/>
      <c r="CG70" s="191"/>
      <c r="CH70" s="191"/>
      <c r="CI70" s="191">
        <v>50</v>
      </c>
      <c r="CJ70" s="191"/>
      <c r="CK70" s="191"/>
      <c r="CL70" s="191"/>
      <c r="CM70" s="191"/>
      <c r="CN70" s="191"/>
      <c r="CO70" s="191"/>
      <c r="CP70" s="191">
        <v>50</v>
      </c>
      <c r="CQ70" s="191"/>
      <c r="CR70" s="191"/>
      <c r="CS70" s="191"/>
      <c r="CT70" s="191"/>
      <c r="CU70" s="191"/>
      <c r="CV70" s="191"/>
      <c r="CW70" s="191"/>
      <c r="CX70" s="191"/>
      <c r="CY70" s="191"/>
      <c r="CZ70" s="191"/>
      <c r="DA70" s="191"/>
      <c r="DB70" s="191"/>
      <c r="DC70" s="191"/>
      <c r="DD70" s="191">
        <v>100</v>
      </c>
      <c r="DE70" s="191"/>
      <c r="DF70" s="191"/>
      <c r="DG70" s="191"/>
      <c r="DH70" s="193"/>
      <c r="DI70" s="194"/>
      <c r="DJ70" s="191"/>
      <c r="DK70" s="191"/>
      <c r="DL70" s="191">
        <v>50</v>
      </c>
      <c r="DM70" s="191"/>
      <c r="DN70" s="191"/>
      <c r="DO70" s="191"/>
      <c r="DP70" s="191"/>
      <c r="DQ70" s="191"/>
      <c r="DR70" s="191"/>
      <c r="DS70" s="191">
        <v>100</v>
      </c>
      <c r="DT70" s="191"/>
      <c r="DU70" s="191"/>
      <c r="DV70" s="191"/>
      <c r="DW70" s="191"/>
      <c r="DX70" s="191"/>
      <c r="DY70" s="191"/>
      <c r="DZ70" s="191">
        <v>50</v>
      </c>
      <c r="EA70" s="191"/>
      <c r="EB70" s="191"/>
      <c r="EC70" s="191"/>
      <c r="ED70" s="191"/>
      <c r="EE70" s="191"/>
      <c r="EF70" s="191"/>
      <c r="EG70" s="191">
        <v>50</v>
      </c>
      <c r="EH70" s="191"/>
      <c r="EI70" s="191"/>
      <c r="EJ70" s="191"/>
      <c r="EK70" s="191"/>
      <c r="EL70" s="191"/>
      <c r="EM70" s="192"/>
      <c r="EN70" s="190">
        <v>50</v>
      </c>
      <c r="EO70" s="191"/>
      <c r="EP70" s="191"/>
      <c r="EQ70" s="191"/>
      <c r="ER70" s="191"/>
      <c r="ES70" s="191"/>
      <c r="ET70" s="191"/>
      <c r="EU70" s="191">
        <v>50</v>
      </c>
      <c r="EV70" s="191"/>
      <c r="EW70" s="191"/>
      <c r="EX70" s="191"/>
      <c r="EY70" s="191"/>
      <c r="EZ70" s="191"/>
      <c r="FA70" s="191"/>
      <c r="FB70" s="191">
        <v>200</v>
      </c>
      <c r="FC70" s="191"/>
      <c r="FD70" s="191"/>
      <c r="FE70" s="191"/>
      <c r="FF70" s="191"/>
      <c r="FG70" s="191"/>
      <c r="FH70" s="191"/>
      <c r="FI70" s="191"/>
      <c r="FJ70" s="191"/>
      <c r="FK70" s="191">
        <v>150</v>
      </c>
      <c r="FL70" s="191"/>
      <c r="FM70" s="191"/>
      <c r="FN70" s="191"/>
      <c r="FO70" s="191"/>
      <c r="FP70" s="191"/>
      <c r="FQ70" s="193"/>
      <c r="FR70" s="194"/>
      <c r="FS70" s="191"/>
      <c r="FT70" s="191"/>
      <c r="FU70" s="191"/>
      <c r="FV70" s="191"/>
      <c r="FW70" s="191">
        <v>100</v>
      </c>
      <c r="FX70" s="191"/>
      <c r="FY70" s="191"/>
      <c r="FZ70" s="191"/>
      <c r="GA70" s="191"/>
      <c r="GB70" s="191"/>
      <c r="GC70" s="191"/>
      <c r="GD70" s="191">
        <v>10</v>
      </c>
      <c r="GE70" s="191"/>
      <c r="GF70" s="191"/>
      <c r="GG70" s="191"/>
      <c r="GH70" s="191"/>
      <c r="GI70" s="191"/>
      <c r="GJ70" s="191"/>
      <c r="GK70" s="191">
        <v>50</v>
      </c>
      <c r="GL70" s="191"/>
      <c r="GM70" s="191"/>
      <c r="GN70" s="191"/>
      <c r="GO70" s="191"/>
      <c r="GP70" s="191"/>
      <c r="GQ70" s="191"/>
      <c r="GR70" s="191">
        <v>100</v>
      </c>
      <c r="GS70" s="191"/>
      <c r="GT70" s="191"/>
      <c r="GU70" s="191"/>
      <c r="GV70" s="192"/>
      <c r="GW70" s="190"/>
      <c r="GX70" s="191"/>
      <c r="GY70" s="191">
        <v>50</v>
      </c>
      <c r="GZ70" s="191"/>
      <c r="HA70" s="191"/>
      <c r="HB70" s="191"/>
      <c r="HC70" s="191"/>
      <c r="HD70" s="191"/>
      <c r="HE70" s="191"/>
      <c r="HF70" s="191"/>
      <c r="HG70" s="191"/>
      <c r="HH70" s="191">
        <v>10</v>
      </c>
      <c r="HI70" s="191"/>
      <c r="HJ70" s="191"/>
      <c r="HK70" s="191"/>
      <c r="HL70" s="191"/>
      <c r="HM70" s="191"/>
      <c r="HN70" s="191"/>
      <c r="HO70" s="191"/>
      <c r="HP70" s="191"/>
      <c r="HQ70" s="191"/>
      <c r="HR70" s="191"/>
      <c r="HS70" s="191"/>
      <c r="HT70" s="191">
        <v>100</v>
      </c>
      <c r="HU70" s="191"/>
      <c r="HV70" s="191"/>
      <c r="HW70" s="191"/>
      <c r="HX70" s="191"/>
      <c r="HY70" s="191"/>
      <c r="HZ70" s="193"/>
      <c r="IA70" s="194">
        <v>50</v>
      </c>
      <c r="IB70" s="191"/>
      <c r="IC70" s="191"/>
      <c r="ID70" s="191"/>
      <c r="IE70" s="191"/>
      <c r="IF70" s="191"/>
      <c r="IG70" s="191"/>
      <c r="IH70" s="191">
        <v>50</v>
      </c>
      <c r="II70" s="191"/>
      <c r="IJ70" s="191"/>
      <c r="IK70" s="191"/>
      <c r="IL70" s="191"/>
      <c r="IM70" s="191"/>
      <c r="IN70" s="191"/>
      <c r="IO70" s="191"/>
      <c r="IP70" s="191">
        <v>10</v>
      </c>
      <c r="IQ70" s="191"/>
      <c r="IR70" s="191"/>
      <c r="IS70" s="191"/>
      <c r="IT70" s="191"/>
      <c r="IU70" s="191"/>
      <c r="IV70" s="191">
        <v>50</v>
      </c>
      <c r="IW70" s="191"/>
      <c r="IX70" s="191"/>
      <c r="IY70" s="191"/>
      <c r="IZ70" s="191"/>
      <c r="JA70" s="191"/>
      <c r="JB70" s="191"/>
      <c r="JC70" s="191"/>
      <c r="JD70" s="191"/>
      <c r="JE70" s="192">
        <v>100</v>
      </c>
      <c r="JF70" s="190"/>
      <c r="JG70" s="191"/>
      <c r="JH70" s="191"/>
      <c r="JI70" s="191"/>
      <c r="JJ70" s="191">
        <v>50</v>
      </c>
      <c r="JK70" s="191"/>
      <c r="JL70" s="191"/>
      <c r="JM70" s="191"/>
      <c r="JN70" s="191"/>
      <c r="JO70" s="191"/>
      <c r="JP70" s="191"/>
      <c r="JQ70" s="191">
        <v>100</v>
      </c>
      <c r="JR70" s="191"/>
      <c r="JS70" s="191"/>
      <c r="JT70" s="191"/>
      <c r="JU70" s="191"/>
      <c r="JV70" s="191"/>
      <c r="JW70" s="191"/>
      <c r="JX70" s="191"/>
      <c r="JY70" s="191"/>
      <c r="JZ70" s="191"/>
      <c r="KA70" s="191"/>
      <c r="KB70" s="191"/>
      <c r="KC70" s="191"/>
      <c r="KD70" s="191"/>
      <c r="KE70" s="191">
        <v>150</v>
      </c>
      <c r="KF70" s="191"/>
      <c r="KG70" s="191"/>
      <c r="KH70" s="191"/>
      <c r="KI70" s="191"/>
      <c r="KJ70" s="193"/>
      <c r="KK70" s="194"/>
      <c r="KL70" s="191">
        <v>100</v>
      </c>
      <c r="KM70" s="191"/>
      <c r="KN70" s="191"/>
      <c r="KO70" s="191"/>
      <c r="KP70" s="191"/>
      <c r="KQ70" s="191"/>
      <c r="KR70" s="191"/>
      <c r="KS70" s="191">
        <v>50</v>
      </c>
      <c r="KT70" s="191"/>
      <c r="KU70" s="191"/>
      <c r="KV70" s="191"/>
      <c r="KW70" s="191"/>
      <c r="KX70" s="191"/>
      <c r="KY70" s="191"/>
      <c r="KZ70" s="191">
        <v>50</v>
      </c>
      <c r="LA70" s="191"/>
      <c r="LB70" s="191"/>
      <c r="LC70" s="191"/>
      <c r="LD70" s="191"/>
      <c r="LE70" s="191"/>
      <c r="LF70" s="191"/>
      <c r="LG70" s="191">
        <v>10</v>
      </c>
      <c r="LH70" s="191"/>
      <c r="LI70" s="191"/>
      <c r="LJ70" s="191"/>
      <c r="LK70" s="191"/>
      <c r="LL70" s="191"/>
      <c r="LM70" s="191"/>
      <c r="LN70" s="192">
        <v>100</v>
      </c>
      <c r="LO70" s="190"/>
      <c r="LP70" s="191"/>
      <c r="LQ70" s="191"/>
      <c r="LR70" s="191"/>
      <c r="LS70" s="191"/>
      <c r="LT70" s="191"/>
      <c r="LU70" s="191">
        <v>10</v>
      </c>
      <c r="LV70" s="191"/>
      <c r="LW70" s="191"/>
      <c r="LX70" s="191"/>
      <c r="LY70" s="191"/>
      <c r="LZ70" s="191"/>
      <c r="MA70" s="191"/>
      <c r="MB70" s="191"/>
      <c r="MC70" s="191"/>
      <c r="MD70" s="191">
        <v>100</v>
      </c>
      <c r="ME70" s="191"/>
      <c r="MF70" s="191"/>
      <c r="MG70" s="191"/>
      <c r="MH70" s="191"/>
      <c r="MI70" s="191">
        <v>50</v>
      </c>
      <c r="MJ70" s="191"/>
      <c r="MK70" s="191"/>
      <c r="ML70" s="191"/>
      <c r="MM70" s="191"/>
      <c r="MN70" s="191"/>
      <c r="MO70" s="191"/>
      <c r="MP70" s="191">
        <v>50</v>
      </c>
      <c r="MQ70" s="191"/>
      <c r="MR70" s="191"/>
      <c r="MS70" s="193"/>
      <c r="MT70" s="194"/>
      <c r="MU70" s="191"/>
      <c r="MV70" s="191"/>
      <c r="MW70" s="191"/>
      <c r="MX70" s="191"/>
      <c r="MY70" s="191"/>
      <c r="MZ70" s="191"/>
      <c r="NA70" s="191"/>
      <c r="NB70" s="191"/>
      <c r="NC70" s="191"/>
      <c r="ND70" s="191"/>
      <c r="NE70" s="191">
        <v>100</v>
      </c>
      <c r="NF70" s="191"/>
      <c r="NG70" s="191"/>
      <c r="NH70" s="191"/>
      <c r="NI70" s="191"/>
      <c r="NJ70" s="191"/>
      <c r="NK70" s="191">
        <v>100</v>
      </c>
      <c r="NL70" s="191"/>
      <c r="NM70" s="191"/>
      <c r="NN70" s="191"/>
      <c r="NO70" s="191"/>
      <c r="NP70" s="191"/>
      <c r="NQ70" s="191"/>
      <c r="NR70" s="191">
        <v>10</v>
      </c>
      <c r="NS70" s="191"/>
      <c r="NT70" s="191"/>
      <c r="NU70" s="191"/>
      <c r="NV70" s="191"/>
      <c r="NW70" s="192"/>
      <c r="NX70" s="190"/>
      <c r="NY70" s="191">
        <v>150</v>
      </c>
      <c r="NZ70" s="191"/>
      <c r="OA70" s="191"/>
      <c r="OB70" s="191"/>
      <c r="OC70" s="191"/>
      <c r="OD70" s="191"/>
      <c r="OE70" s="191"/>
      <c r="OF70" s="191">
        <v>100</v>
      </c>
      <c r="OG70" s="191"/>
      <c r="OH70" s="191"/>
      <c r="OI70" s="191"/>
      <c r="OJ70" s="191"/>
      <c r="OK70" s="191"/>
      <c r="OL70" s="191"/>
      <c r="OM70" s="191">
        <v>100</v>
      </c>
      <c r="ON70" s="191"/>
      <c r="OO70" s="191"/>
      <c r="OP70" s="191"/>
      <c r="OQ70" s="191"/>
      <c r="OR70" s="191"/>
      <c r="OS70" s="191"/>
      <c r="OT70" s="191"/>
      <c r="OU70" s="191"/>
      <c r="OV70" s="191"/>
      <c r="OW70" s="191"/>
      <c r="OX70" s="191"/>
      <c r="OY70" s="191"/>
      <c r="OZ70" s="191"/>
      <c r="PA70" s="191"/>
      <c r="PB70" s="193"/>
      <c r="PC70" s="47"/>
      <c r="PD70" s="154" t="s">
        <v>97</v>
      </c>
      <c r="PE70" s="155" t="s">
        <v>98</v>
      </c>
      <c r="PF70" s="155" t="s">
        <v>98</v>
      </c>
      <c r="PG70" s="155" t="s">
        <v>98</v>
      </c>
      <c r="PH70" s="155" t="s">
        <v>98</v>
      </c>
      <c r="PI70" s="155" t="s">
        <v>98</v>
      </c>
      <c r="PJ70" s="155" t="s">
        <v>98</v>
      </c>
      <c r="PK70" s="155" t="s">
        <v>98</v>
      </c>
      <c r="PL70" s="155" t="s">
        <v>98</v>
      </c>
      <c r="PM70" s="155" t="s">
        <v>98</v>
      </c>
      <c r="PN70" s="155" t="s">
        <v>98</v>
      </c>
      <c r="PO70" s="156"/>
      <c r="PP70" s="156"/>
      <c r="PQ70" s="156"/>
      <c r="PR70" s="156"/>
      <c r="PS70" s="156"/>
      <c r="PT70" s="156"/>
      <c r="PU70" s="156"/>
      <c r="PV70" s="156"/>
      <c r="PW70" s="156"/>
      <c r="PX70" s="195"/>
      <c r="PY70" s="1"/>
      <c r="PZ70" s="196">
        <f t="shared" ref="PZ70:PZ133" si="73">SUM(BA70:CE70)</f>
        <v>170</v>
      </c>
      <c r="QA70" s="176">
        <f t="shared" ref="QA70:QA133" si="74">IFERROR(PZ70/PZ$5,"Attente…")</f>
        <v>1.41820305330775E-3</v>
      </c>
      <c r="QB70" s="177" t="str">
        <f t="shared" ref="QB70:QB133" ca="1" si="75">IFERROR(QA70*QB$5,"Attente…")</f>
        <v>Attente…</v>
      </c>
      <c r="QC70" s="197">
        <f t="shared" ref="QC70:QC133" si="76">SUM(CF70:DH70)</f>
        <v>200</v>
      </c>
      <c r="QD70" s="179">
        <f t="shared" ref="QD70:QD133" si="77">IFERROR(QC70/QC$5,"Attente…")</f>
        <v>1.8726591760299626E-3</v>
      </c>
      <c r="QE70" s="180" t="str">
        <f t="shared" ref="QE70:QE133" ca="1" si="78">IFERROR(QD70*QE$5,"Attente…")</f>
        <v>Attente…</v>
      </c>
      <c r="QF70" s="196">
        <f t="shared" ref="QF70:QF133" si="79">SUM(DI70:EM70)</f>
        <v>250</v>
      </c>
      <c r="QG70" s="176">
        <f t="shared" ref="QG70:QG133" si="80">IFERROR(QF70/QF$5,"Attente…")</f>
        <v>1.9907628603280775E-3</v>
      </c>
      <c r="QH70" s="177" t="str">
        <f t="shared" ref="QH70:QH133" ca="1" si="81">IFERROR(QG70*QH$5,"Attente…")</f>
        <v>Attente…</v>
      </c>
      <c r="QI70" s="197">
        <f t="shared" ref="QI70:QI133" si="82">SUM(EN70:FQ70)</f>
        <v>450</v>
      </c>
      <c r="QJ70" s="179">
        <f t="shared" ref="QJ70:QJ133" si="83">IFERROR(QI70/QI$5,"Attente…")</f>
        <v>3.1561228783840651E-3</v>
      </c>
      <c r="QK70" s="180" t="str">
        <f t="shared" ref="QK70:QK133" ca="1" si="84">IFERROR(QJ70*QK$5,"Attente…")</f>
        <v>Attente…</v>
      </c>
      <c r="QL70" s="196">
        <f t="shared" ref="QL70:QL133" si="85">SUM(FR70:GV70)</f>
        <v>260</v>
      </c>
      <c r="QM70" s="176">
        <f t="shared" ref="QM70:QM133" si="86">IFERROR(QL70/QL$5,"Attente…")</f>
        <v>1.9022534386889084E-3</v>
      </c>
      <c r="QN70" s="177" t="str">
        <f t="shared" ref="QN70:QN133" ca="1" si="87">IFERROR(QM70*QN$5,"Attente…")</f>
        <v>Attente…</v>
      </c>
      <c r="QO70" s="197">
        <f t="shared" ref="QO70:QO133" si="88">SUM(GW70:HZ70)</f>
        <v>160</v>
      </c>
      <c r="QP70" s="179">
        <f t="shared" ref="QP70:QP133" si="89">IFERROR(QO70/QO$5,"Attente…")</f>
        <v>1.252642292335395E-3</v>
      </c>
      <c r="QQ70" s="180" t="str">
        <f t="shared" ref="QQ70:QQ133" ca="1" si="90">IFERROR(QP70*QQ$5,"Attente…")</f>
        <v>Attente…</v>
      </c>
      <c r="QR70" s="196">
        <f t="shared" ref="QR70:QR133" si="91">SUM(IA70:JE70)</f>
        <v>260</v>
      </c>
      <c r="QS70" s="176">
        <f t="shared" ref="QS70:QS133" si="92">IFERROR(QR70/QR$5,"Attente…")</f>
        <v>1.8717828731867104E-3</v>
      </c>
      <c r="QT70" s="177" t="str">
        <f t="shared" ref="QT70:QT133" ca="1" si="93">IFERROR(QS70*QT$5,"Attente…")</f>
        <v>Attente…</v>
      </c>
      <c r="QU70" s="197">
        <f t="shared" ref="QU70:QU133" si="94">SUM(JF70:KJ70)</f>
        <v>300</v>
      </c>
      <c r="QV70" s="179">
        <f t="shared" ref="QV70:QV133" si="95">IFERROR(QU70/QU$5,"Attente…")</f>
        <v>2.0683949255377826E-3</v>
      </c>
      <c r="QW70" s="180" t="str">
        <f t="shared" ref="QW70:QW133" ca="1" si="96">IFERROR(QV70*QW$5,"Attente…")</f>
        <v>Attente…</v>
      </c>
      <c r="QX70" s="196">
        <f t="shared" ref="QX70:QX133" si="97">SUM(KK70:LN70)</f>
        <v>310</v>
      </c>
      <c r="QY70" s="176">
        <f t="shared" ref="QY70:QY133" si="98">IFERROR(QX70/QX$5,"Attente…")</f>
        <v>2.262179281356724E-3</v>
      </c>
      <c r="QZ70" s="177" t="str">
        <f t="shared" ref="QZ70:QZ133" ca="1" si="99">IFERROR(QY70*QZ$5,"Attente…")</f>
        <v>Attente…</v>
      </c>
      <c r="RA70" s="197">
        <f t="shared" ref="RA70:RA133" si="100">SUM(LO70:MS70)</f>
        <v>210</v>
      </c>
      <c r="RB70" s="179">
        <f t="shared" ref="RB70:RB133" si="101">IFERROR(RA70/RA$5,"Attente…")</f>
        <v>1.643063923010719E-3</v>
      </c>
      <c r="RC70" s="180" t="str">
        <f t="shared" ref="RC70:RC133" ca="1" si="102">IFERROR(RB70*RC$5,"Attente…")</f>
        <v>Attente…</v>
      </c>
      <c r="RD70" s="196">
        <f t="shared" ref="RD70:RD133" si="103">SUM(MT70:NW70)</f>
        <v>210</v>
      </c>
      <c r="RE70" s="176">
        <f t="shared" ref="RE70:RE133" si="104">IFERROR(RD70/RD$5,"Attente…")</f>
        <v>2.0924671183738543E-3</v>
      </c>
      <c r="RF70" s="177" t="str">
        <f t="shared" ref="RF70:RF133" ca="1" si="105">IFERROR(RE70*RF$5,"Attente…")</f>
        <v>Attente…</v>
      </c>
      <c r="RG70" s="197">
        <f t="shared" ref="RG70:RG133" si="106">SUM(NX70:PB70)</f>
        <v>350</v>
      </c>
      <c r="RH70" s="179">
        <f t="shared" ref="RH70:RH133" si="107">IFERROR(RG70/RG$5,"Attente…")</f>
        <v>6.4373735515909506E-3</v>
      </c>
      <c r="RI70" s="198" t="str">
        <f t="shared" ref="RI70:RI133" ca="1" si="108">IFERROR(RH70*RI$5,"Attente…")</f>
        <v>Attente…</v>
      </c>
      <c r="RJ70" s="199">
        <f t="shared" ref="RJ70:RJ133" si="109">IF(RJ$5="Attente...","Attente…",PZ70+QC70+QF70)</f>
        <v>620</v>
      </c>
      <c r="RK70" s="200" t="str">
        <f t="shared" ca="1" si="66"/>
        <v>Attente…</v>
      </c>
      <c r="RL70" s="199">
        <f t="shared" ref="RL70:RL133" si="110">IF(RL$5="Attente...","Attente…",QI70+QL70+QO70)</f>
        <v>870</v>
      </c>
      <c r="RM70" s="200" t="str">
        <f t="shared" ref="RM70:RM133" ca="1" si="111">IFERROR(QK70+QN70+QQ70,"Atttente…")</f>
        <v>Atttente…</v>
      </c>
      <c r="RN70" s="199">
        <f t="shared" ref="RN70:RN133" si="112">IF(RN$5="Attente...","Attente…",QR70+QU70+QX70)</f>
        <v>870</v>
      </c>
      <c r="RO70" s="200" t="str">
        <f t="shared" ca="1" si="67"/>
        <v>Attente…</v>
      </c>
      <c r="RP70" s="199">
        <f t="shared" ref="RP70:RP133" si="113">IF(RP$5="Attente...","Attente…",RA70+RD70+RG70)</f>
        <v>770</v>
      </c>
      <c r="RQ70" s="200" t="str">
        <f t="shared" ca="1" si="68"/>
        <v>Attente…</v>
      </c>
      <c r="RR70" s="201">
        <f t="shared" ref="RR70:RR133" si="114">IF(RR$5="Attente...","Attente…",RJ70+RL70+RN70+RP70)</f>
        <v>3130</v>
      </c>
      <c r="RS70" s="202" t="str">
        <f t="shared" ca="1" si="69"/>
        <v>Attente…</v>
      </c>
      <c r="RT70" s="103"/>
      <c r="RU70" s="203">
        <f t="shared" ref="RU70:RU133" si="115">IFERROR(AVERAGE(BA70:PB70)/K70/2/100,"")</f>
        <v>0.3477777777777778</v>
      </c>
      <c r="RV70" s="204">
        <f t="shared" si="65"/>
        <v>1</v>
      </c>
      <c r="RW70" s="204">
        <f t="shared" si="65"/>
        <v>1</v>
      </c>
      <c r="RX70" s="204">
        <f t="shared" ref="RX70:RX133" si="116">COUNTA(BA70:PB70)</f>
        <v>45</v>
      </c>
      <c r="RY70" s="205" t="str">
        <f t="shared" ref="RY70:RY133" si="117">IF(B70="","",B70)</f>
        <v>YAINVILLE - 1 Rue de la République (Allée derrière la pharmacie)</v>
      </c>
      <c r="RZ70" s="189" t="str">
        <f>IF(OR(RZ69="",RZ69="  &lt;/Document&gt;
&lt;/kml&gt;"),"",
IF(B70="","  &lt;/Document&gt;
&lt;/kml&gt;",
IF(TournéesCAV!Q70=""," ",
"    &lt;Placemark&gt;
      &lt;description&gt;&lt;![CDATA["&amp;B70&amp;"&lt;br&gt;&lt;br&gt;"&amp;RV70&amp;" CAV&lt;br&gt;&lt;br&gt;Présent sur "&amp;RW70&amp;" tournée(s)&lt;br&gt;&lt;br&gt;Taux de remplissage moyen "&amp;TEXT(RU70*1000,"0 %")&amp;"]]&gt;&lt;/description&gt;
      &lt;Style&gt;
        &lt;IconStyle&gt;
          &lt;color&gt;ff"&amp;
          DEC2HEX(0,2)&amp;
          DEC2HEX(
            IF(RU70&lt;=0.5,
               INT(255*(RU70*2)),
               255
            ),2)&amp;
          DEC2HEX(
            IF(RU70&lt;=0.5,
               255,
               INT(255*(1-(RU70-0.5)*2))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&lt;Point&gt;&lt;coordinates&gt;"&amp;R70&amp;","&amp;Q70&amp;",0&lt;/coordinates&gt;&lt;/Point&gt;
    &lt;/Placemark&gt;"
)))</f>
        <v xml:space="preserve">    &lt;Placemark&gt;
      &lt;description&gt;&lt;![CDATA[YAINVILLE - 1 Rue de la République (Allée derrière la pharmacie)&lt;br&gt;&lt;br&gt;1 CAV&lt;br&gt;&lt;br&gt;Présent sur 1 tournée(s)&lt;br&gt;&lt;br&gt;Taux de remplissage moyen 35%]]&gt;&lt;/description&gt;
      &lt;Style&gt;
        &lt;IconStyle&gt;
          &lt;color&gt;ff00B1FF&lt;/color&gt;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&lt;Point&gt;&lt;coordinates&gt;0.8300998,49.4540569,0&lt;/coordinates&gt;&lt;/Point&gt;
    &lt;/Placemark&gt;</v>
      </c>
    </row>
    <row r="71" spans="2:494" ht="15" hidden="1" customHeight="1" x14ac:dyDescent="0.35">
      <c r="B71" s="208" t="str">
        <f t="shared" si="70"/>
        <v>SAINT-MARTIN-DE-BOSCHERVILLE - Chaussée Saint-Georges (Dechetterie)</v>
      </c>
      <c r="C71" s="154"/>
      <c r="D71" s="155"/>
      <c r="E71" s="155"/>
      <c r="F71" s="155"/>
      <c r="G71" s="155"/>
      <c r="H71" s="155"/>
      <c r="I71" s="155"/>
      <c r="J71" s="156"/>
      <c r="K71" s="157">
        <f t="shared" si="71"/>
        <v>0</v>
      </c>
      <c r="L71" s="157">
        <f t="shared" si="72"/>
        <v>0</v>
      </c>
      <c r="M71" s="158" t="s">
        <v>449</v>
      </c>
      <c r="N71" s="159" t="s">
        <v>450</v>
      </c>
      <c r="O71" s="159">
        <v>76840</v>
      </c>
      <c r="P71" s="159" t="s">
        <v>357</v>
      </c>
      <c r="Q71" s="159"/>
      <c r="R71" s="159"/>
      <c r="S71" s="159" t="s">
        <v>93</v>
      </c>
      <c r="T71" s="159" t="s">
        <v>159</v>
      </c>
      <c r="U71" s="159" t="s">
        <v>451</v>
      </c>
      <c r="V71" s="160" t="s">
        <v>96</v>
      </c>
      <c r="W71" s="161"/>
      <c r="X71" s="162"/>
      <c r="Y71" s="163"/>
      <c r="Z71" s="162"/>
      <c r="AA71" s="163"/>
      <c r="AB71" s="162"/>
      <c r="AC71" s="163"/>
      <c r="AD71" s="162"/>
      <c r="AE71" s="163"/>
      <c r="AF71" s="162"/>
      <c r="AG71" s="163"/>
      <c r="AH71" s="163"/>
      <c r="AI71" s="162"/>
      <c r="AJ71" s="163"/>
      <c r="AK71" s="162"/>
      <c r="AL71" s="163"/>
      <c r="AM71" s="162"/>
      <c r="AN71" s="163"/>
      <c r="AO71" s="162"/>
      <c r="AP71" s="164"/>
      <c r="AQ71" s="164"/>
      <c r="AR71" s="164"/>
      <c r="AS71" s="164"/>
      <c r="AT71" s="164"/>
      <c r="AU71" s="164"/>
      <c r="AV71" s="164"/>
      <c r="AW71" s="164"/>
      <c r="AX71" s="164"/>
      <c r="AY71" s="165"/>
      <c r="AZ71" s="41"/>
      <c r="BA71" s="190"/>
      <c r="BB71" s="191"/>
      <c r="BC71" s="191"/>
      <c r="BD71" s="191"/>
      <c r="BE71" s="191"/>
      <c r="BF71" s="191"/>
      <c r="BG71" s="191"/>
      <c r="BH71" s="191"/>
      <c r="BI71" s="191"/>
      <c r="BJ71" s="191"/>
      <c r="BK71" s="191"/>
      <c r="BL71" s="191"/>
      <c r="BM71" s="191"/>
      <c r="BN71" s="191"/>
      <c r="BO71" s="191"/>
      <c r="BP71" s="191"/>
      <c r="BQ71" s="191"/>
      <c r="BR71" s="191"/>
      <c r="BS71" s="191"/>
      <c r="BT71" s="191"/>
      <c r="BU71" s="191"/>
      <c r="BV71" s="191"/>
      <c r="BW71" s="191"/>
      <c r="BX71" s="191"/>
      <c r="BY71" s="191"/>
      <c r="BZ71" s="191"/>
      <c r="CA71" s="191"/>
      <c r="CB71" s="191"/>
      <c r="CC71" s="191"/>
      <c r="CD71" s="191"/>
      <c r="CE71" s="192"/>
      <c r="CF71" s="190"/>
      <c r="CG71" s="191"/>
      <c r="CH71" s="191"/>
      <c r="CI71" s="191"/>
      <c r="CJ71" s="191"/>
      <c r="CK71" s="191"/>
      <c r="CL71" s="191"/>
      <c r="CM71" s="191"/>
      <c r="CN71" s="191"/>
      <c r="CO71" s="191"/>
      <c r="CP71" s="191"/>
      <c r="CQ71" s="191"/>
      <c r="CR71" s="191"/>
      <c r="CS71" s="191"/>
      <c r="CT71" s="191"/>
      <c r="CU71" s="191"/>
      <c r="CV71" s="191"/>
      <c r="CW71" s="191"/>
      <c r="CX71" s="191"/>
      <c r="CY71" s="191"/>
      <c r="CZ71" s="191"/>
      <c r="DA71" s="191"/>
      <c r="DB71" s="191"/>
      <c r="DC71" s="191"/>
      <c r="DD71" s="191"/>
      <c r="DE71" s="191"/>
      <c r="DF71" s="191"/>
      <c r="DG71" s="191"/>
      <c r="DH71" s="193"/>
      <c r="DI71" s="194"/>
      <c r="DJ71" s="191"/>
      <c r="DK71" s="191"/>
      <c r="DL71" s="191"/>
      <c r="DM71" s="191"/>
      <c r="DN71" s="191"/>
      <c r="DO71" s="191"/>
      <c r="DP71" s="191"/>
      <c r="DQ71" s="191"/>
      <c r="DR71" s="191"/>
      <c r="DS71" s="191"/>
      <c r="DT71" s="191"/>
      <c r="DU71" s="191"/>
      <c r="DV71" s="191"/>
      <c r="DW71" s="191"/>
      <c r="DX71" s="191"/>
      <c r="DY71" s="191"/>
      <c r="DZ71" s="191"/>
      <c r="EA71" s="191"/>
      <c r="EB71" s="191"/>
      <c r="EC71" s="191"/>
      <c r="ED71" s="191"/>
      <c r="EE71" s="191"/>
      <c r="EF71" s="191"/>
      <c r="EG71" s="191"/>
      <c r="EH71" s="191"/>
      <c r="EI71" s="191"/>
      <c r="EJ71" s="191"/>
      <c r="EK71" s="191"/>
      <c r="EL71" s="191"/>
      <c r="EM71" s="192"/>
      <c r="EN71" s="190"/>
      <c r="EO71" s="191"/>
      <c r="EP71" s="191"/>
      <c r="EQ71" s="191"/>
      <c r="ER71" s="191"/>
      <c r="ES71" s="191"/>
      <c r="ET71" s="191"/>
      <c r="EU71" s="191"/>
      <c r="EV71" s="191"/>
      <c r="EW71" s="191"/>
      <c r="EX71" s="191"/>
      <c r="EY71" s="191"/>
      <c r="EZ71" s="191"/>
      <c r="FA71" s="191"/>
      <c r="FB71" s="191"/>
      <c r="FC71" s="191"/>
      <c r="FD71" s="191"/>
      <c r="FE71" s="191"/>
      <c r="FF71" s="191"/>
      <c r="FG71" s="191"/>
      <c r="FH71" s="191"/>
      <c r="FI71" s="191"/>
      <c r="FJ71" s="191"/>
      <c r="FK71" s="191"/>
      <c r="FL71" s="191"/>
      <c r="FM71" s="191"/>
      <c r="FN71" s="191"/>
      <c r="FO71" s="191"/>
      <c r="FP71" s="191"/>
      <c r="FQ71" s="193"/>
      <c r="FR71" s="194"/>
      <c r="FS71" s="191"/>
      <c r="FT71" s="191"/>
      <c r="FU71" s="191"/>
      <c r="FV71" s="191"/>
      <c r="FW71" s="191"/>
      <c r="FX71" s="191"/>
      <c r="FY71" s="191"/>
      <c r="FZ71" s="191"/>
      <c r="GA71" s="191"/>
      <c r="GB71" s="191"/>
      <c r="GC71" s="191"/>
      <c r="GD71" s="191"/>
      <c r="GE71" s="191"/>
      <c r="GF71" s="191"/>
      <c r="GG71" s="191"/>
      <c r="GH71" s="191"/>
      <c r="GI71" s="191"/>
      <c r="GJ71" s="191"/>
      <c r="GK71" s="191"/>
      <c r="GL71" s="191"/>
      <c r="GM71" s="191"/>
      <c r="GN71" s="191"/>
      <c r="GO71" s="191"/>
      <c r="GP71" s="191"/>
      <c r="GQ71" s="191"/>
      <c r="GR71" s="191"/>
      <c r="GS71" s="191"/>
      <c r="GT71" s="191"/>
      <c r="GU71" s="191"/>
      <c r="GV71" s="192"/>
      <c r="GW71" s="190"/>
      <c r="GX71" s="191"/>
      <c r="GY71" s="191"/>
      <c r="GZ71" s="191"/>
      <c r="HA71" s="191"/>
      <c r="HB71" s="191"/>
      <c r="HC71" s="191"/>
      <c r="HD71" s="191"/>
      <c r="HE71" s="191"/>
      <c r="HF71" s="191"/>
      <c r="HG71" s="191"/>
      <c r="HH71" s="191"/>
      <c r="HI71" s="191"/>
      <c r="HJ71" s="191"/>
      <c r="HK71" s="191"/>
      <c r="HL71" s="191"/>
      <c r="HM71" s="191"/>
      <c r="HN71" s="191"/>
      <c r="HO71" s="191"/>
      <c r="HP71" s="191"/>
      <c r="HQ71" s="191"/>
      <c r="HR71" s="191"/>
      <c r="HS71" s="191"/>
      <c r="HT71" s="191"/>
      <c r="HU71" s="191"/>
      <c r="HV71" s="191"/>
      <c r="HW71" s="191"/>
      <c r="HX71" s="191"/>
      <c r="HY71" s="191"/>
      <c r="HZ71" s="193"/>
      <c r="IA71" s="194"/>
      <c r="IB71" s="191"/>
      <c r="IC71" s="191"/>
      <c r="ID71" s="191"/>
      <c r="IE71" s="191"/>
      <c r="IF71" s="191"/>
      <c r="IG71" s="191"/>
      <c r="IH71" s="191"/>
      <c r="II71" s="191"/>
      <c r="IJ71" s="191"/>
      <c r="IK71" s="191"/>
      <c r="IL71" s="191"/>
      <c r="IM71" s="191"/>
      <c r="IN71" s="191"/>
      <c r="IO71" s="191"/>
      <c r="IP71" s="191"/>
      <c r="IQ71" s="191"/>
      <c r="IR71" s="191"/>
      <c r="IS71" s="191"/>
      <c r="IT71" s="191"/>
      <c r="IU71" s="191"/>
      <c r="IV71" s="191"/>
      <c r="IW71" s="191"/>
      <c r="IX71" s="191"/>
      <c r="IY71" s="191"/>
      <c r="IZ71" s="191"/>
      <c r="JA71" s="191"/>
      <c r="JB71" s="191"/>
      <c r="JC71" s="191"/>
      <c r="JD71" s="191"/>
      <c r="JE71" s="192"/>
      <c r="JF71" s="190"/>
      <c r="JG71" s="191"/>
      <c r="JH71" s="191"/>
      <c r="JI71" s="191"/>
      <c r="JJ71" s="191"/>
      <c r="JK71" s="191"/>
      <c r="JL71" s="191"/>
      <c r="JM71" s="191"/>
      <c r="JN71" s="191"/>
      <c r="JO71" s="191"/>
      <c r="JP71" s="191"/>
      <c r="JQ71" s="191"/>
      <c r="JR71" s="191"/>
      <c r="JS71" s="191"/>
      <c r="JT71" s="191"/>
      <c r="JU71" s="191"/>
      <c r="JV71" s="191"/>
      <c r="JW71" s="191"/>
      <c r="JX71" s="191"/>
      <c r="JY71" s="191"/>
      <c r="JZ71" s="191"/>
      <c r="KA71" s="191"/>
      <c r="KB71" s="191"/>
      <c r="KC71" s="191"/>
      <c r="KD71" s="191"/>
      <c r="KE71" s="191"/>
      <c r="KF71" s="191"/>
      <c r="KG71" s="191"/>
      <c r="KH71" s="191"/>
      <c r="KI71" s="191"/>
      <c r="KJ71" s="193"/>
      <c r="KK71" s="194"/>
      <c r="KL71" s="191"/>
      <c r="KM71" s="191"/>
      <c r="KN71" s="191"/>
      <c r="KO71" s="191"/>
      <c r="KP71" s="191"/>
      <c r="KQ71" s="191"/>
      <c r="KR71" s="191"/>
      <c r="KS71" s="191"/>
      <c r="KT71" s="191"/>
      <c r="KU71" s="191"/>
      <c r="KV71" s="191"/>
      <c r="KW71" s="191"/>
      <c r="KX71" s="191"/>
      <c r="KY71" s="191"/>
      <c r="KZ71" s="191"/>
      <c r="LA71" s="191"/>
      <c r="LB71" s="191"/>
      <c r="LC71" s="191"/>
      <c r="LD71" s="191"/>
      <c r="LE71" s="191"/>
      <c r="LF71" s="191"/>
      <c r="LG71" s="191"/>
      <c r="LH71" s="191"/>
      <c r="LI71" s="191"/>
      <c r="LJ71" s="191"/>
      <c r="LK71" s="191"/>
      <c r="LL71" s="191"/>
      <c r="LM71" s="191"/>
      <c r="LN71" s="192"/>
      <c r="LO71" s="190"/>
      <c r="LP71" s="191"/>
      <c r="LQ71" s="191"/>
      <c r="LR71" s="191"/>
      <c r="LS71" s="191"/>
      <c r="LT71" s="191"/>
      <c r="LU71" s="191"/>
      <c r="LV71" s="191"/>
      <c r="LW71" s="191"/>
      <c r="LX71" s="191"/>
      <c r="LY71" s="191"/>
      <c r="LZ71" s="191"/>
      <c r="MA71" s="191"/>
      <c r="MB71" s="191"/>
      <c r="MC71" s="191"/>
      <c r="MD71" s="191"/>
      <c r="ME71" s="191"/>
      <c r="MF71" s="191"/>
      <c r="MG71" s="191"/>
      <c r="MH71" s="191"/>
      <c r="MI71" s="191"/>
      <c r="MJ71" s="191"/>
      <c r="MK71" s="191"/>
      <c r="ML71" s="191"/>
      <c r="MM71" s="191"/>
      <c r="MN71" s="191"/>
      <c r="MO71" s="191"/>
      <c r="MP71" s="191"/>
      <c r="MQ71" s="191"/>
      <c r="MR71" s="191"/>
      <c r="MS71" s="193"/>
      <c r="MT71" s="194"/>
      <c r="MU71" s="191"/>
      <c r="MV71" s="191"/>
      <c r="MW71" s="191"/>
      <c r="MX71" s="191"/>
      <c r="MY71" s="191"/>
      <c r="MZ71" s="191"/>
      <c r="NA71" s="191"/>
      <c r="NB71" s="191"/>
      <c r="NC71" s="191"/>
      <c r="ND71" s="191"/>
      <c r="NE71" s="191"/>
      <c r="NF71" s="191"/>
      <c r="NG71" s="191"/>
      <c r="NH71" s="191"/>
      <c r="NI71" s="191"/>
      <c r="NJ71" s="191"/>
      <c r="NK71" s="191"/>
      <c r="NL71" s="191"/>
      <c r="NM71" s="191"/>
      <c r="NN71" s="191"/>
      <c r="NO71" s="191"/>
      <c r="NP71" s="191"/>
      <c r="NQ71" s="191"/>
      <c r="NR71" s="191"/>
      <c r="NS71" s="191"/>
      <c r="NT71" s="191"/>
      <c r="NU71" s="191"/>
      <c r="NV71" s="191"/>
      <c r="NW71" s="192"/>
      <c r="NX71" s="190"/>
      <c r="NY71" s="191"/>
      <c r="NZ71" s="191"/>
      <c r="OA71" s="191"/>
      <c r="OB71" s="191"/>
      <c r="OC71" s="191"/>
      <c r="OD71" s="191"/>
      <c r="OE71" s="191"/>
      <c r="OF71" s="191"/>
      <c r="OG71" s="191"/>
      <c r="OH71" s="191"/>
      <c r="OI71" s="191"/>
      <c r="OJ71" s="191"/>
      <c r="OK71" s="191"/>
      <c r="OL71" s="191"/>
      <c r="OM71" s="191"/>
      <c r="ON71" s="191"/>
      <c r="OO71" s="191"/>
      <c r="OP71" s="191"/>
      <c r="OQ71" s="191"/>
      <c r="OR71" s="191"/>
      <c r="OS71" s="191"/>
      <c r="OT71" s="191"/>
      <c r="OU71" s="191"/>
      <c r="OV71" s="191"/>
      <c r="OW71" s="191"/>
      <c r="OX71" s="191"/>
      <c r="OY71" s="191"/>
      <c r="OZ71" s="191"/>
      <c r="PA71" s="191"/>
      <c r="PB71" s="193"/>
      <c r="PC71" s="47"/>
      <c r="PD71" s="154" t="s">
        <v>97</v>
      </c>
      <c r="PE71" s="155" t="s">
        <v>97</v>
      </c>
      <c r="PF71" s="155" t="s">
        <v>98</v>
      </c>
      <c r="PG71" s="155" t="s">
        <v>98</v>
      </c>
      <c r="PH71" s="155" t="s">
        <v>98</v>
      </c>
      <c r="PI71" s="155" t="s">
        <v>98</v>
      </c>
      <c r="PJ71" s="155" t="s">
        <v>98</v>
      </c>
      <c r="PK71" s="155" t="s">
        <v>98</v>
      </c>
      <c r="PL71" s="155" t="s">
        <v>98</v>
      </c>
      <c r="PM71" s="155" t="s">
        <v>98</v>
      </c>
      <c r="PN71" s="155" t="s">
        <v>98</v>
      </c>
      <c r="PO71" s="156"/>
      <c r="PP71" s="156"/>
      <c r="PQ71" s="156"/>
      <c r="PR71" s="156"/>
      <c r="PS71" s="156"/>
      <c r="PT71" s="156"/>
      <c r="PU71" s="156"/>
      <c r="PV71" s="156"/>
      <c r="PW71" s="156"/>
      <c r="PX71" s="195"/>
      <c r="PY71" s="1"/>
      <c r="PZ71" s="196">
        <f t="shared" si="73"/>
        <v>0</v>
      </c>
      <c r="QA71" s="176">
        <f t="shared" si="74"/>
        <v>0</v>
      </c>
      <c r="QB71" s="177" t="str">
        <f t="shared" ca="1" si="75"/>
        <v>Attente…</v>
      </c>
      <c r="QC71" s="197">
        <f t="shared" si="76"/>
        <v>0</v>
      </c>
      <c r="QD71" s="179">
        <f t="shared" si="77"/>
        <v>0</v>
      </c>
      <c r="QE71" s="180" t="str">
        <f t="shared" ca="1" si="78"/>
        <v>Attente…</v>
      </c>
      <c r="QF71" s="196">
        <f t="shared" si="79"/>
        <v>0</v>
      </c>
      <c r="QG71" s="176">
        <f t="shared" si="80"/>
        <v>0</v>
      </c>
      <c r="QH71" s="177" t="str">
        <f t="shared" ca="1" si="81"/>
        <v>Attente…</v>
      </c>
      <c r="QI71" s="197">
        <f t="shared" si="82"/>
        <v>0</v>
      </c>
      <c r="QJ71" s="179">
        <f t="shared" si="83"/>
        <v>0</v>
      </c>
      <c r="QK71" s="180" t="str">
        <f t="shared" ca="1" si="84"/>
        <v>Attente…</v>
      </c>
      <c r="QL71" s="196">
        <f t="shared" si="85"/>
        <v>0</v>
      </c>
      <c r="QM71" s="176">
        <f t="shared" si="86"/>
        <v>0</v>
      </c>
      <c r="QN71" s="177" t="str">
        <f t="shared" ca="1" si="87"/>
        <v>Attente…</v>
      </c>
      <c r="QO71" s="197">
        <f t="shared" si="88"/>
        <v>0</v>
      </c>
      <c r="QP71" s="179">
        <f t="shared" si="89"/>
        <v>0</v>
      </c>
      <c r="QQ71" s="180" t="str">
        <f t="shared" ca="1" si="90"/>
        <v>Attente…</v>
      </c>
      <c r="QR71" s="196">
        <f t="shared" si="91"/>
        <v>0</v>
      </c>
      <c r="QS71" s="176">
        <f t="shared" si="92"/>
        <v>0</v>
      </c>
      <c r="QT71" s="177" t="str">
        <f t="shared" ca="1" si="93"/>
        <v>Attente…</v>
      </c>
      <c r="QU71" s="197">
        <f t="shared" si="94"/>
        <v>0</v>
      </c>
      <c r="QV71" s="179">
        <f t="shared" si="95"/>
        <v>0</v>
      </c>
      <c r="QW71" s="180" t="str">
        <f t="shared" ca="1" si="96"/>
        <v>Attente…</v>
      </c>
      <c r="QX71" s="196">
        <f t="shared" si="97"/>
        <v>0</v>
      </c>
      <c r="QY71" s="176">
        <f t="shared" si="98"/>
        <v>0</v>
      </c>
      <c r="QZ71" s="177" t="str">
        <f t="shared" ca="1" si="99"/>
        <v>Attente…</v>
      </c>
      <c r="RA71" s="197">
        <f t="shared" si="100"/>
        <v>0</v>
      </c>
      <c r="RB71" s="179">
        <f t="shared" si="101"/>
        <v>0</v>
      </c>
      <c r="RC71" s="180" t="str">
        <f t="shared" ca="1" si="102"/>
        <v>Attente…</v>
      </c>
      <c r="RD71" s="196">
        <f t="shared" si="103"/>
        <v>0</v>
      </c>
      <c r="RE71" s="176">
        <f t="shared" si="104"/>
        <v>0</v>
      </c>
      <c r="RF71" s="177" t="str">
        <f t="shared" ca="1" si="105"/>
        <v>Attente…</v>
      </c>
      <c r="RG71" s="197">
        <f t="shared" si="106"/>
        <v>0</v>
      </c>
      <c r="RH71" s="179">
        <f t="shared" si="107"/>
        <v>0</v>
      </c>
      <c r="RI71" s="198" t="str">
        <f t="shared" ca="1" si="108"/>
        <v>Attente…</v>
      </c>
      <c r="RJ71" s="199">
        <f t="shared" si="109"/>
        <v>0</v>
      </c>
      <c r="RK71" s="200" t="str">
        <f t="shared" ca="1" si="66"/>
        <v>Attente…</v>
      </c>
      <c r="RL71" s="199">
        <f t="shared" si="110"/>
        <v>0</v>
      </c>
      <c r="RM71" s="200" t="str">
        <f t="shared" ca="1" si="111"/>
        <v>Atttente…</v>
      </c>
      <c r="RN71" s="199">
        <f t="shared" si="112"/>
        <v>0</v>
      </c>
      <c r="RO71" s="200" t="str">
        <f t="shared" ca="1" si="67"/>
        <v>Attente…</v>
      </c>
      <c r="RP71" s="199">
        <f t="shared" si="113"/>
        <v>0</v>
      </c>
      <c r="RQ71" s="200" t="str">
        <f t="shared" ca="1" si="68"/>
        <v>Attente…</v>
      </c>
      <c r="RR71" s="201">
        <f t="shared" si="114"/>
        <v>0</v>
      </c>
      <c r="RS71" s="202" t="str">
        <f t="shared" ca="1" si="69"/>
        <v>Attente…</v>
      </c>
      <c r="RT71" s="103"/>
      <c r="RU71" s="203" t="str">
        <f t="shared" si="115"/>
        <v/>
      </c>
      <c r="RV71" s="204">
        <f t="shared" si="65"/>
        <v>0</v>
      </c>
      <c r="RW71" s="204">
        <f t="shared" si="65"/>
        <v>0</v>
      </c>
      <c r="RX71" s="204">
        <f t="shared" si="116"/>
        <v>0</v>
      </c>
      <c r="RY71" s="205" t="str">
        <f t="shared" si="117"/>
        <v>SAINT-MARTIN-DE-BOSCHERVILLE - Chaussée Saint-Georges (Dechetterie)</v>
      </c>
      <c r="RZ71" s="189" t="str">
        <f>IF(OR(RZ70="",RZ70="  &lt;/Document&gt;
&lt;/kml&gt;"),"",
IF(B71="","  &lt;/Document&gt;
&lt;/kml&gt;",
IF(TournéesCAV!Q71=""," ",
"    &lt;Placemark&gt;
      &lt;description&gt;&lt;![CDATA["&amp;B71&amp;"&lt;br&gt;&lt;br&gt;"&amp;RV71&amp;" CAV&lt;br&gt;&lt;br&gt;Présent sur "&amp;RW71&amp;" tournée(s)&lt;br&gt;&lt;br&gt;Taux de remplissage moyen "&amp;TEXT(RU71*1000,"0 %")&amp;"]]&gt;&lt;/description&gt;
      &lt;Style&gt;
        &lt;IconStyle&gt;
          &lt;color&gt;ff"&amp;
          DEC2HEX(0,2)&amp;
          DEC2HEX(
            IF(RU71&lt;=0.5,
               INT(255*(RU71*2)),
               255
            ),2)&amp;
          DEC2HEX(
            IF(RU71&lt;=0.5,
               255,
               INT(255*(1-(RU71-0.5)*2))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&lt;Point&gt;&lt;coordinates&gt;"&amp;R71&amp;","&amp;Q71&amp;",0&lt;/coordinates&gt;&lt;/Point&gt;
    &lt;/Placemark&gt;"
)))</f>
        <v xml:space="preserve"> </v>
      </c>
    </row>
    <row r="72" spans="2:494" ht="15" hidden="1" customHeight="1" x14ac:dyDescent="0.35">
      <c r="B72" s="153" t="str">
        <f t="shared" si="70"/>
        <v>LE PETIT-QUEVILLY - 87 rue Jean Macé (Croisement rue Francois Mitterand)</v>
      </c>
      <c r="C72" s="154">
        <v>131</v>
      </c>
      <c r="D72" s="155"/>
      <c r="E72" s="155"/>
      <c r="F72" s="155"/>
      <c r="G72" s="155"/>
      <c r="H72" s="155"/>
      <c r="I72" s="155"/>
      <c r="J72" s="156"/>
      <c r="K72" s="157">
        <f t="shared" si="71"/>
        <v>1</v>
      </c>
      <c r="L72" s="157">
        <f t="shared" si="72"/>
        <v>2</v>
      </c>
      <c r="M72" s="158" t="s">
        <v>452</v>
      </c>
      <c r="N72" s="159" t="s">
        <v>453</v>
      </c>
      <c r="O72" s="159">
        <v>76140</v>
      </c>
      <c r="P72" s="159" t="s">
        <v>169</v>
      </c>
      <c r="Q72" s="159" t="s">
        <v>454</v>
      </c>
      <c r="R72" s="159" t="s">
        <v>455</v>
      </c>
      <c r="S72" s="159" t="s">
        <v>93</v>
      </c>
      <c r="T72" s="159" t="s">
        <v>94</v>
      </c>
      <c r="U72" s="159" t="s">
        <v>456</v>
      </c>
      <c r="V72" s="160" t="s">
        <v>96</v>
      </c>
      <c r="W72" s="161"/>
      <c r="X72" s="162"/>
      <c r="Y72" s="163">
        <v>4</v>
      </c>
      <c r="Z72" s="162">
        <v>4</v>
      </c>
      <c r="AA72" s="163"/>
      <c r="AB72" s="162"/>
      <c r="AC72" s="163"/>
      <c r="AD72" s="162"/>
      <c r="AE72" s="163"/>
      <c r="AF72" s="162"/>
      <c r="AG72" s="163"/>
      <c r="AH72" s="163"/>
      <c r="AI72" s="162"/>
      <c r="AJ72" s="163"/>
      <c r="AK72" s="162"/>
      <c r="AL72" s="163"/>
      <c r="AM72" s="162"/>
      <c r="AN72" s="163"/>
      <c r="AO72" s="162"/>
      <c r="AP72" s="164"/>
      <c r="AQ72" s="164"/>
      <c r="AR72" s="164"/>
      <c r="AS72" s="164"/>
      <c r="AT72" s="164"/>
      <c r="AU72" s="164"/>
      <c r="AV72" s="164"/>
      <c r="AW72" s="164"/>
      <c r="AX72" s="164"/>
      <c r="AY72" s="165"/>
      <c r="AZ72" s="41"/>
      <c r="BA72" s="190"/>
      <c r="BB72" s="191">
        <v>50</v>
      </c>
      <c r="BC72" s="191"/>
      <c r="BD72" s="191"/>
      <c r="BE72" s="191"/>
      <c r="BF72" s="191"/>
      <c r="BG72" s="191"/>
      <c r="BH72" s="191"/>
      <c r="BI72" s="191">
        <v>150</v>
      </c>
      <c r="BJ72" s="191"/>
      <c r="BK72" s="191"/>
      <c r="BL72" s="191"/>
      <c r="BM72" s="191"/>
      <c r="BN72" s="191"/>
      <c r="BO72" s="191"/>
      <c r="BP72" s="191">
        <v>100</v>
      </c>
      <c r="BQ72" s="191"/>
      <c r="BR72" s="191"/>
      <c r="BS72" s="191"/>
      <c r="BT72" s="191">
        <v>150</v>
      </c>
      <c r="BU72" s="191"/>
      <c r="BV72" s="191"/>
      <c r="BW72" s="191">
        <v>100</v>
      </c>
      <c r="BX72" s="191"/>
      <c r="BY72" s="191"/>
      <c r="BZ72" s="191"/>
      <c r="CA72" s="191"/>
      <c r="CB72" s="191"/>
      <c r="CC72" s="191"/>
      <c r="CD72" s="191">
        <v>150</v>
      </c>
      <c r="CE72" s="192"/>
      <c r="CF72" s="190"/>
      <c r="CG72" s="191"/>
      <c r="CH72" s="191">
        <v>50</v>
      </c>
      <c r="CI72" s="191"/>
      <c r="CJ72" s="191"/>
      <c r="CK72" s="191">
        <v>50</v>
      </c>
      <c r="CL72" s="191"/>
      <c r="CM72" s="191"/>
      <c r="CN72" s="191"/>
      <c r="CO72" s="191">
        <v>50</v>
      </c>
      <c r="CP72" s="191"/>
      <c r="CQ72" s="191"/>
      <c r="CR72" s="191">
        <v>10</v>
      </c>
      <c r="CS72" s="191"/>
      <c r="CT72" s="191"/>
      <c r="CU72" s="191"/>
      <c r="CV72" s="191">
        <v>100</v>
      </c>
      <c r="CW72" s="191"/>
      <c r="CX72" s="191"/>
      <c r="CY72" s="191">
        <v>100</v>
      </c>
      <c r="CZ72" s="191"/>
      <c r="DA72" s="191"/>
      <c r="DB72" s="191"/>
      <c r="DC72" s="191">
        <v>100</v>
      </c>
      <c r="DD72" s="191"/>
      <c r="DE72" s="191"/>
      <c r="DF72" s="191">
        <v>10</v>
      </c>
      <c r="DG72" s="191"/>
      <c r="DH72" s="193"/>
      <c r="DI72" s="194"/>
      <c r="DJ72" s="191"/>
      <c r="DK72" s="191">
        <v>150</v>
      </c>
      <c r="DL72" s="191"/>
      <c r="DM72" s="191"/>
      <c r="DN72" s="191">
        <v>100</v>
      </c>
      <c r="DO72" s="191"/>
      <c r="DP72" s="191"/>
      <c r="DQ72" s="191"/>
      <c r="DR72" s="191">
        <v>150</v>
      </c>
      <c r="DS72" s="191"/>
      <c r="DT72" s="191"/>
      <c r="DU72" s="191">
        <v>100</v>
      </c>
      <c r="DV72" s="191"/>
      <c r="DW72" s="191"/>
      <c r="DX72" s="191"/>
      <c r="DY72" s="191">
        <v>100</v>
      </c>
      <c r="DZ72" s="191"/>
      <c r="EA72" s="191"/>
      <c r="EB72" s="191">
        <v>10</v>
      </c>
      <c r="EC72" s="191"/>
      <c r="ED72" s="191"/>
      <c r="EE72" s="191"/>
      <c r="EF72" s="191">
        <v>10</v>
      </c>
      <c r="EG72" s="191"/>
      <c r="EH72" s="191"/>
      <c r="EI72" s="191">
        <v>10</v>
      </c>
      <c r="EJ72" s="191"/>
      <c r="EK72" s="191"/>
      <c r="EL72" s="191"/>
      <c r="EM72" s="192">
        <v>50</v>
      </c>
      <c r="EN72" s="190"/>
      <c r="EO72" s="191"/>
      <c r="EP72" s="191">
        <v>100</v>
      </c>
      <c r="EQ72" s="191"/>
      <c r="ER72" s="191"/>
      <c r="ES72" s="191"/>
      <c r="ET72" s="191">
        <v>150</v>
      </c>
      <c r="EU72" s="191"/>
      <c r="EV72" s="191"/>
      <c r="EW72" s="191">
        <v>50</v>
      </c>
      <c r="EX72" s="191"/>
      <c r="EY72" s="191"/>
      <c r="EZ72" s="191"/>
      <c r="FA72" s="191">
        <v>100</v>
      </c>
      <c r="FB72" s="191"/>
      <c r="FC72" s="191"/>
      <c r="FD72" s="191">
        <v>50</v>
      </c>
      <c r="FE72" s="191"/>
      <c r="FF72" s="191"/>
      <c r="FG72" s="191"/>
      <c r="FH72" s="191"/>
      <c r="FI72" s="191">
        <v>150</v>
      </c>
      <c r="FJ72" s="191"/>
      <c r="FK72" s="191"/>
      <c r="FL72" s="191"/>
      <c r="FM72" s="191"/>
      <c r="FN72" s="191"/>
      <c r="FO72" s="191">
        <v>100</v>
      </c>
      <c r="FP72" s="191"/>
      <c r="FQ72" s="193"/>
      <c r="FR72" s="194"/>
      <c r="FS72" s="191"/>
      <c r="FT72" s="191"/>
      <c r="FU72" s="191"/>
      <c r="FV72" s="191"/>
      <c r="FW72" s="191">
        <v>200</v>
      </c>
      <c r="FX72" s="191"/>
      <c r="FY72" s="191"/>
      <c r="FZ72" s="191"/>
      <c r="GA72" s="191"/>
      <c r="GB72" s="191"/>
      <c r="GC72" s="191">
        <v>150</v>
      </c>
      <c r="GD72" s="191"/>
      <c r="GE72" s="191"/>
      <c r="GF72" s="191">
        <v>10</v>
      </c>
      <c r="GG72" s="191"/>
      <c r="GH72" s="191"/>
      <c r="GI72" s="191"/>
      <c r="GJ72" s="191">
        <v>200</v>
      </c>
      <c r="GK72" s="191"/>
      <c r="GL72" s="191"/>
      <c r="GM72" s="191">
        <v>50</v>
      </c>
      <c r="GN72" s="191"/>
      <c r="GO72" s="191"/>
      <c r="GP72" s="191"/>
      <c r="GQ72" s="191">
        <v>100</v>
      </c>
      <c r="GR72" s="191"/>
      <c r="GS72" s="191"/>
      <c r="GT72" s="191"/>
      <c r="GU72" s="191"/>
      <c r="GV72" s="192"/>
      <c r="GW72" s="190"/>
      <c r="GX72" s="191">
        <v>100</v>
      </c>
      <c r="GY72" s="191"/>
      <c r="GZ72" s="191"/>
      <c r="HA72" s="191">
        <v>100</v>
      </c>
      <c r="HB72" s="191"/>
      <c r="HC72" s="191"/>
      <c r="HD72" s="191"/>
      <c r="HE72" s="191"/>
      <c r="HF72" s="191"/>
      <c r="HG72" s="191">
        <v>200</v>
      </c>
      <c r="HH72" s="191"/>
      <c r="HI72" s="191"/>
      <c r="HJ72" s="191"/>
      <c r="HK72" s="191"/>
      <c r="HL72" s="191">
        <v>150</v>
      </c>
      <c r="HM72" s="191"/>
      <c r="HN72" s="191"/>
      <c r="HO72" s="191"/>
      <c r="HP72" s="191"/>
      <c r="HQ72" s="191"/>
      <c r="HR72" s="191"/>
      <c r="HS72" s="191"/>
      <c r="HT72" s="191"/>
      <c r="HU72" s="191"/>
      <c r="HV72" s="191">
        <v>150</v>
      </c>
      <c r="HW72" s="191"/>
      <c r="HX72" s="191"/>
      <c r="HY72" s="191"/>
      <c r="HZ72" s="193">
        <v>100</v>
      </c>
      <c r="IA72" s="194"/>
      <c r="IB72" s="191"/>
      <c r="IC72" s="191">
        <v>150</v>
      </c>
      <c r="ID72" s="191"/>
      <c r="IE72" s="191"/>
      <c r="IF72" s="191"/>
      <c r="IG72" s="191">
        <v>150</v>
      </c>
      <c r="IH72" s="191"/>
      <c r="II72" s="191"/>
      <c r="IJ72" s="191">
        <v>50</v>
      </c>
      <c r="IK72" s="191"/>
      <c r="IL72" s="191"/>
      <c r="IM72" s="191"/>
      <c r="IN72" s="191">
        <v>150</v>
      </c>
      <c r="IO72" s="191"/>
      <c r="IP72" s="191"/>
      <c r="IQ72" s="191"/>
      <c r="IR72" s="191"/>
      <c r="IS72" s="191"/>
      <c r="IT72" s="191"/>
      <c r="IU72" s="191">
        <v>150</v>
      </c>
      <c r="IV72" s="191"/>
      <c r="IW72" s="191"/>
      <c r="IX72" s="191">
        <v>100</v>
      </c>
      <c r="IY72" s="191"/>
      <c r="IZ72" s="191"/>
      <c r="JA72" s="191"/>
      <c r="JB72" s="191"/>
      <c r="JC72" s="191"/>
      <c r="JD72" s="191"/>
      <c r="JE72" s="192">
        <v>10</v>
      </c>
      <c r="JF72" s="190"/>
      <c r="JG72" s="191"/>
      <c r="JH72" s="191"/>
      <c r="JI72" s="191">
        <v>100</v>
      </c>
      <c r="JJ72" s="191"/>
      <c r="JK72" s="191"/>
      <c r="JL72" s="191">
        <v>100</v>
      </c>
      <c r="JM72" s="191"/>
      <c r="JN72" s="191"/>
      <c r="JO72" s="191"/>
      <c r="JP72" s="191"/>
      <c r="JQ72" s="191"/>
      <c r="JR72" s="191">
        <v>200</v>
      </c>
      <c r="JS72" s="191"/>
      <c r="JT72" s="191"/>
      <c r="JU72" s="191"/>
      <c r="JV72" s="191"/>
      <c r="JW72" s="191"/>
      <c r="JX72" s="191"/>
      <c r="JY72" s="191"/>
      <c r="JZ72" s="191">
        <v>150</v>
      </c>
      <c r="KA72" s="191"/>
      <c r="KB72" s="191"/>
      <c r="KC72" s="191"/>
      <c r="KD72" s="191"/>
      <c r="KE72" s="191"/>
      <c r="KF72" s="191">
        <v>200</v>
      </c>
      <c r="KG72" s="191">
        <v>50</v>
      </c>
      <c r="KH72" s="191"/>
      <c r="KI72" s="191"/>
      <c r="KJ72" s="193"/>
      <c r="KK72" s="194">
        <v>100</v>
      </c>
      <c r="KL72" s="191"/>
      <c r="KM72" s="191"/>
      <c r="KN72" s="191">
        <v>50</v>
      </c>
      <c r="KO72" s="191"/>
      <c r="KP72" s="191"/>
      <c r="KQ72" s="191"/>
      <c r="KR72" s="191"/>
      <c r="KS72" s="191"/>
      <c r="KT72" s="191"/>
      <c r="KU72" s="191"/>
      <c r="KV72" s="191"/>
      <c r="KW72" s="191"/>
      <c r="KX72" s="191"/>
      <c r="KY72" s="191">
        <v>200</v>
      </c>
      <c r="KZ72" s="191"/>
      <c r="LA72" s="191"/>
      <c r="LB72" s="191">
        <v>50</v>
      </c>
      <c r="LC72" s="191"/>
      <c r="LD72" s="191"/>
      <c r="LE72" s="191"/>
      <c r="LF72" s="191">
        <v>150</v>
      </c>
      <c r="LG72" s="191"/>
      <c r="LH72" s="191"/>
      <c r="LI72" s="191">
        <v>50</v>
      </c>
      <c r="LJ72" s="191"/>
      <c r="LK72" s="191"/>
      <c r="LL72" s="191"/>
      <c r="LM72" s="191"/>
      <c r="LN72" s="192"/>
      <c r="LO72" s="190"/>
      <c r="LP72" s="191">
        <v>200</v>
      </c>
      <c r="LQ72" s="191"/>
      <c r="LR72" s="191"/>
      <c r="LS72" s="191"/>
      <c r="LT72" s="191">
        <v>100</v>
      </c>
      <c r="LU72" s="191"/>
      <c r="LV72" s="191"/>
      <c r="LW72" s="191">
        <v>50</v>
      </c>
      <c r="LX72" s="191"/>
      <c r="LY72" s="191"/>
      <c r="LZ72" s="191"/>
      <c r="MA72" s="191">
        <v>100</v>
      </c>
      <c r="MB72" s="191"/>
      <c r="MC72" s="191"/>
      <c r="MD72" s="191">
        <v>10</v>
      </c>
      <c r="ME72" s="191"/>
      <c r="MF72" s="191"/>
      <c r="MG72" s="191"/>
      <c r="MH72" s="191">
        <v>100</v>
      </c>
      <c r="MI72" s="191"/>
      <c r="MJ72" s="191"/>
      <c r="MK72" s="191">
        <v>10</v>
      </c>
      <c r="ML72" s="191"/>
      <c r="MM72" s="191"/>
      <c r="MN72" s="191"/>
      <c r="MO72" s="191">
        <v>150</v>
      </c>
      <c r="MP72" s="191"/>
      <c r="MQ72" s="191"/>
      <c r="MR72" s="191">
        <v>100</v>
      </c>
      <c r="MS72" s="193"/>
      <c r="MT72" s="194"/>
      <c r="MU72" s="191"/>
      <c r="MV72" s="191">
        <v>100</v>
      </c>
      <c r="MW72" s="191"/>
      <c r="MX72" s="191"/>
      <c r="MY72" s="191">
        <v>50</v>
      </c>
      <c r="MZ72" s="191"/>
      <c r="NA72" s="191"/>
      <c r="NB72" s="191"/>
      <c r="NC72" s="191">
        <v>100</v>
      </c>
      <c r="ND72" s="191"/>
      <c r="NE72" s="191"/>
      <c r="NF72" s="191"/>
      <c r="NG72" s="191"/>
      <c r="NH72" s="191"/>
      <c r="NI72" s="191"/>
      <c r="NJ72" s="191">
        <v>100</v>
      </c>
      <c r="NK72" s="191"/>
      <c r="NL72" s="191"/>
      <c r="NM72" s="191"/>
      <c r="NN72" s="191"/>
      <c r="NO72" s="191"/>
      <c r="NP72" s="191"/>
      <c r="NQ72" s="191">
        <v>150</v>
      </c>
      <c r="NR72" s="191"/>
      <c r="NS72" s="191"/>
      <c r="NT72" s="191">
        <v>10</v>
      </c>
      <c r="NU72" s="191"/>
      <c r="NV72" s="191"/>
      <c r="NW72" s="192"/>
      <c r="NX72" s="190">
        <v>50</v>
      </c>
      <c r="NY72" s="191"/>
      <c r="NZ72" s="191"/>
      <c r="OA72" s="191">
        <v>100</v>
      </c>
      <c r="OB72" s="191"/>
      <c r="OC72" s="191"/>
      <c r="OD72" s="191"/>
      <c r="OE72" s="191">
        <v>50</v>
      </c>
      <c r="OF72" s="191"/>
      <c r="OG72" s="191"/>
      <c r="OH72" s="191">
        <v>10</v>
      </c>
      <c r="OI72" s="191"/>
      <c r="OJ72" s="191"/>
      <c r="OK72" s="191"/>
      <c r="OL72" s="191">
        <v>50</v>
      </c>
      <c r="OM72" s="191"/>
      <c r="ON72" s="191"/>
      <c r="OO72" s="191">
        <v>100</v>
      </c>
      <c r="OP72" s="191"/>
      <c r="OQ72" s="191"/>
      <c r="OR72" s="191"/>
      <c r="OS72" s="191"/>
      <c r="OT72" s="191"/>
      <c r="OU72" s="191"/>
      <c r="OV72" s="191"/>
      <c r="OW72" s="191"/>
      <c r="OX72" s="191"/>
      <c r="OY72" s="191"/>
      <c r="OZ72" s="191"/>
      <c r="PA72" s="191"/>
      <c r="PB72" s="193"/>
      <c r="PC72" s="47"/>
      <c r="PD72" s="154" t="s">
        <v>97</v>
      </c>
      <c r="PE72" s="155" t="s">
        <v>98</v>
      </c>
      <c r="PF72" s="155" t="s">
        <v>98</v>
      </c>
      <c r="PG72" s="155" t="s">
        <v>98</v>
      </c>
      <c r="PH72" s="155" t="s">
        <v>98</v>
      </c>
      <c r="PI72" s="155" t="s">
        <v>98</v>
      </c>
      <c r="PJ72" s="155" t="s">
        <v>98</v>
      </c>
      <c r="PK72" s="155" t="s">
        <v>98</v>
      </c>
      <c r="PL72" s="155" t="s">
        <v>98</v>
      </c>
      <c r="PM72" s="155" t="s">
        <v>98</v>
      </c>
      <c r="PN72" s="155" t="s">
        <v>98</v>
      </c>
      <c r="PO72" s="156"/>
      <c r="PP72" s="156"/>
      <c r="PQ72" s="156"/>
      <c r="PR72" s="156"/>
      <c r="PS72" s="156"/>
      <c r="PT72" s="156"/>
      <c r="PU72" s="156"/>
      <c r="PV72" s="156"/>
      <c r="PW72" s="156"/>
      <c r="PX72" s="195"/>
      <c r="PY72" s="1"/>
      <c r="PZ72" s="196">
        <f t="shared" si="73"/>
        <v>700</v>
      </c>
      <c r="QA72" s="176">
        <f t="shared" si="74"/>
        <v>5.8396596312672066E-3</v>
      </c>
      <c r="QB72" s="177" t="str">
        <f t="shared" ca="1" si="75"/>
        <v>Attente…</v>
      </c>
      <c r="QC72" s="197">
        <f t="shared" si="76"/>
        <v>470</v>
      </c>
      <c r="QD72" s="179">
        <f t="shared" si="77"/>
        <v>4.4007490636704116E-3</v>
      </c>
      <c r="QE72" s="180" t="str">
        <f t="shared" ca="1" si="78"/>
        <v>Attente…</v>
      </c>
      <c r="QF72" s="196">
        <f t="shared" si="79"/>
        <v>680</v>
      </c>
      <c r="QG72" s="176">
        <f t="shared" si="80"/>
        <v>5.4148749800923711E-3</v>
      </c>
      <c r="QH72" s="177" t="str">
        <f t="shared" ca="1" si="81"/>
        <v>Attente…</v>
      </c>
      <c r="QI72" s="197">
        <f t="shared" si="82"/>
        <v>700</v>
      </c>
      <c r="QJ72" s="179">
        <f t="shared" si="83"/>
        <v>4.9095244774863232E-3</v>
      </c>
      <c r="QK72" s="180" t="str">
        <f t="shared" ca="1" si="84"/>
        <v>Attente…</v>
      </c>
      <c r="QL72" s="196">
        <f t="shared" si="85"/>
        <v>710</v>
      </c>
      <c r="QM72" s="176">
        <f t="shared" si="86"/>
        <v>5.1946151594966343E-3</v>
      </c>
      <c r="QN72" s="177" t="str">
        <f t="shared" ca="1" si="87"/>
        <v>Attente…</v>
      </c>
      <c r="QO72" s="197">
        <f t="shared" si="88"/>
        <v>800</v>
      </c>
      <c r="QP72" s="179">
        <f t="shared" si="89"/>
        <v>6.2632114616769747E-3</v>
      </c>
      <c r="QQ72" s="180" t="str">
        <f t="shared" ca="1" si="90"/>
        <v>Attente…</v>
      </c>
      <c r="QR72" s="196">
        <f t="shared" si="91"/>
        <v>760</v>
      </c>
      <c r="QS72" s="176">
        <f t="shared" si="92"/>
        <v>5.4713653216226918E-3</v>
      </c>
      <c r="QT72" s="177" t="str">
        <f t="shared" ca="1" si="93"/>
        <v>Attente…</v>
      </c>
      <c r="QU72" s="197">
        <f t="shared" si="94"/>
        <v>800</v>
      </c>
      <c r="QV72" s="179">
        <f t="shared" si="95"/>
        <v>5.5157198014340872E-3</v>
      </c>
      <c r="QW72" s="180" t="str">
        <f t="shared" ca="1" si="96"/>
        <v>Attente…</v>
      </c>
      <c r="QX72" s="196">
        <f t="shared" si="97"/>
        <v>600</v>
      </c>
      <c r="QY72" s="176">
        <f t="shared" si="98"/>
        <v>4.3784115123033365E-3</v>
      </c>
      <c r="QZ72" s="177" t="str">
        <f t="shared" ca="1" si="99"/>
        <v>Attente…</v>
      </c>
      <c r="RA72" s="197">
        <f t="shared" si="100"/>
        <v>820</v>
      </c>
      <c r="RB72" s="179">
        <f t="shared" si="101"/>
        <v>6.4157734136609029E-3</v>
      </c>
      <c r="RC72" s="180" t="str">
        <f t="shared" ca="1" si="102"/>
        <v>Attente…</v>
      </c>
      <c r="RD72" s="196">
        <f t="shared" si="103"/>
        <v>510</v>
      </c>
      <c r="RE72" s="176">
        <f t="shared" si="104"/>
        <v>5.0817058589079315E-3</v>
      </c>
      <c r="RF72" s="177" t="str">
        <f t="shared" ca="1" si="105"/>
        <v>Attente…</v>
      </c>
      <c r="RG72" s="197">
        <f t="shared" si="106"/>
        <v>360</v>
      </c>
      <c r="RH72" s="179">
        <f t="shared" si="107"/>
        <v>6.6212985102078355E-3</v>
      </c>
      <c r="RI72" s="198" t="str">
        <f t="shared" ca="1" si="108"/>
        <v>Attente…</v>
      </c>
      <c r="RJ72" s="199">
        <f t="shared" si="109"/>
        <v>1850</v>
      </c>
      <c r="RK72" s="200" t="str">
        <f t="shared" ca="1" si="66"/>
        <v>Attente…</v>
      </c>
      <c r="RL72" s="199">
        <f t="shared" si="110"/>
        <v>2210</v>
      </c>
      <c r="RM72" s="200" t="str">
        <f t="shared" ca="1" si="111"/>
        <v>Atttente…</v>
      </c>
      <c r="RN72" s="199">
        <f t="shared" si="112"/>
        <v>2160</v>
      </c>
      <c r="RO72" s="200" t="str">
        <f t="shared" ca="1" si="67"/>
        <v>Attente…</v>
      </c>
      <c r="RP72" s="199">
        <f t="shared" si="113"/>
        <v>1690</v>
      </c>
      <c r="RQ72" s="200" t="str">
        <f t="shared" ca="1" si="68"/>
        <v>Attente…</v>
      </c>
      <c r="RR72" s="201">
        <f t="shared" si="114"/>
        <v>7910</v>
      </c>
      <c r="RS72" s="202" t="str">
        <f t="shared" ca="1" si="69"/>
        <v>Attente…</v>
      </c>
      <c r="RT72" s="103"/>
      <c r="RU72" s="203">
        <f t="shared" si="115"/>
        <v>0.48231707317073175</v>
      </c>
      <c r="RV72" s="204">
        <f t="shared" si="65"/>
        <v>1</v>
      </c>
      <c r="RW72" s="204">
        <f t="shared" si="65"/>
        <v>2</v>
      </c>
      <c r="RX72" s="204">
        <f t="shared" si="116"/>
        <v>82</v>
      </c>
      <c r="RY72" s="205" t="str">
        <f t="shared" si="117"/>
        <v>LE PETIT-QUEVILLY - 87 rue Jean Macé (Croisement rue Francois Mitterand)</v>
      </c>
      <c r="RZ72" s="189" t="str">
        <f>IF(OR(RZ71="",RZ71="  &lt;/Document&gt;
&lt;/kml&gt;"),"",
IF(B72="","  &lt;/Document&gt;
&lt;/kml&gt;",
IF(TournéesCAV!Q72=""," ",
"    &lt;Placemark&gt;
      &lt;description&gt;&lt;![CDATA["&amp;B72&amp;"&lt;br&gt;&lt;br&gt;"&amp;RV72&amp;" CAV&lt;br&gt;&lt;br&gt;Présent sur "&amp;RW72&amp;" tournée(s)&lt;br&gt;&lt;br&gt;Taux de remplissage moyen "&amp;TEXT(RU72*1000,"0 %")&amp;"]]&gt;&lt;/description&gt;
      &lt;Style&gt;
        &lt;IconStyle&gt;
          &lt;color&gt;ff"&amp;
          DEC2HEX(0,2)&amp;
          DEC2HEX(
            IF(RU72&lt;=0.5,
               INT(255*(RU72*2)),
               255
            ),2)&amp;
          DEC2HEX(
            IF(RU72&lt;=0.5,
               255,
               INT(255*(1-(RU72-0.5)*2))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&lt;Point&gt;&lt;coordinates&gt;"&amp;R72&amp;","&amp;Q72&amp;",0&lt;/coordinates&gt;&lt;/Point&gt;
    &lt;/Placemark&gt;"
)))</f>
        <v xml:space="preserve">    &lt;Placemark&gt;
      &lt;description&gt;&lt;![CDATA[LE PETIT-QUEVILLY - 87 rue Jean Macé (Croisement rue Francois Mitterand)&lt;br&gt;&lt;br&gt;1 CAV&lt;br&gt;&lt;br&gt;Présent sur 2 tournée(s)&lt;br&gt;&lt;br&gt;Taux de remplissage moyen 48%]]&gt;&lt;/description&gt;
      &lt;Style&gt;
        &lt;IconStyle&gt;
          &lt;color&gt;ff00F5FF&lt;/color&gt;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&lt;Point&gt;&lt;coordinates&gt;1.0626464,49.4242357,0&lt;/coordinates&gt;&lt;/Point&gt;
    &lt;/Placemark&gt;</v>
      </c>
    </row>
    <row r="73" spans="2:494" ht="15" hidden="1" customHeight="1" x14ac:dyDescent="0.35">
      <c r="B73" s="153" t="str">
        <f t="shared" si="70"/>
        <v>LE PETIT-QUEVILLY - 152 rue Gambetta (Croisement rue Paul Langevin - Près école de musique)</v>
      </c>
      <c r="C73" s="154">
        <v>132</v>
      </c>
      <c r="D73" s="155"/>
      <c r="E73" s="155"/>
      <c r="F73" s="155"/>
      <c r="G73" s="155"/>
      <c r="H73" s="155"/>
      <c r="I73" s="155"/>
      <c r="J73" s="156"/>
      <c r="K73" s="157">
        <f t="shared" si="71"/>
        <v>1</v>
      </c>
      <c r="L73" s="157">
        <f t="shared" si="72"/>
        <v>2</v>
      </c>
      <c r="M73" s="158" t="s">
        <v>457</v>
      </c>
      <c r="N73" s="159" t="s">
        <v>458</v>
      </c>
      <c r="O73" s="159">
        <v>76140</v>
      </c>
      <c r="P73" s="159" t="s">
        <v>169</v>
      </c>
      <c r="Q73" s="159" t="s">
        <v>459</v>
      </c>
      <c r="R73" s="159" t="s">
        <v>460</v>
      </c>
      <c r="S73" s="159" t="s">
        <v>93</v>
      </c>
      <c r="T73" s="159" t="s">
        <v>94</v>
      </c>
      <c r="U73" s="159" t="s">
        <v>461</v>
      </c>
      <c r="V73" s="160" t="s">
        <v>96</v>
      </c>
      <c r="W73" s="161"/>
      <c r="X73" s="162"/>
      <c r="Y73" s="163">
        <v>5</v>
      </c>
      <c r="Z73" s="162">
        <v>5</v>
      </c>
      <c r="AA73" s="163"/>
      <c r="AB73" s="162"/>
      <c r="AC73" s="163"/>
      <c r="AD73" s="162"/>
      <c r="AE73" s="163"/>
      <c r="AF73" s="162"/>
      <c r="AG73" s="163"/>
      <c r="AH73" s="163"/>
      <c r="AI73" s="162"/>
      <c r="AJ73" s="163"/>
      <c r="AK73" s="162"/>
      <c r="AL73" s="163"/>
      <c r="AM73" s="162"/>
      <c r="AN73" s="163"/>
      <c r="AO73" s="162"/>
      <c r="AP73" s="164"/>
      <c r="AQ73" s="164"/>
      <c r="AR73" s="164"/>
      <c r="AS73" s="164"/>
      <c r="AT73" s="164"/>
      <c r="AU73" s="164"/>
      <c r="AV73" s="164"/>
      <c r="AW73" s="164"/>
      <c r="AX73" s="164"/>
      <c r="AY73" s="165"/>
      <c r="AZ73" s="41"/>
      <c r="BA73" s="190"/>
      <c r="BB73" s="191">
        <v>100</v>
      </c>
      <c r="BC73" s="191"/>
      <c r="BD73" s="191"/>
      <c r="BE73" s="191"/>
      <c r="BF73" s="191"/>
      <c r="BG73" s="191"/>
      <c r="BH73" s="191"/>
      <c r="BI73" s="191">
        <v>150</v>
      </c>
      <c r="BJ73" s="191"/>
      <c r="BK73" s="191"/>
      <c r="BL73" s="191"/>
      <c r="BM73" s="191"/>
      <c r="BN73" s="191"/>
      <c r="BO73" s="191"/>
      <c r="BP73" s="191">
        <v>50</v>
      </c>
      <c r="BQ73" s="191"/>
      <c r="BR73" s="191"/>
      <c r="BS73" s="191"/>
      <c r="BT73" s="191">
        <v>50</v>
      </c>
      <c r="BU73" s="191"/>
      <c r="BV73" s="191"/>
      <c r="BW73" s="191">
        <v>50</v>
      </c>
      <c r="BX73" s="191"/>
      <c r="BY73" s="191"/>
      <c r="BZ73" s="191"/>
      <c r="CA73" s="191"/>
      <c r="CB73" s="191"/>
      <c r="CC73" s="191"/>
      <c r="CD73" s="191">
        <v>100</v>
      </c>
      <c r="CE73" s="192"/>
      <c r="CF73" s="190"/>
      <c r="CG73" s="191"/>
      <c r="CH73" s="191">
        <v>50</v>
      </c>
      <c r="CI73" s="191"/>
      <c r="CJ73" s="191"/>
      <c r="CK73" s="191">
        <v>50</v>
      </c>
      <c r="CL73" s="191"/>
      <c r="CM73" s="191"/>
      <c r="CN73" s="191"/>
      <c r="CO73" s="191">
        <v>100</v>
      </c>
      <c r="CP73" s="191"/>
      <c r="CQ73" s="191"/>
      <c r="CR73" s="191">
        <v>50</v>
      </c>
      <c r="CS73" s="191"/>
      <c r="CT73" s="191"/>
      <c r="CU73" s="191"/>
      <c r="CV73" s="191">
        <v>100</v>
      </c>
      <c r="CW73" s="191"/>
      <c r="CX73" s="191"/>
      <c r="CY73" s="191">
        <v>150</v>
      </c>
      <c r="CZ73" s="191"/>
      <c r="DA73" s="191"/>
      <c r="DB73" s="191"/>
      <c r="DC73" s="191">
        <v>50</v>
      </c>
      <c r="DD73" s="191"/>
      <c r="DE73" s="191"/>
      <c r="DF73" s="191">
        <v>10</v>
      </c>
      <c r="DG73" s="191"/>
      <c r="DH73" s="193"/>
      <c r="DI73" s="194"/>
      <c r="DJ73" s="191"/>
      <c r="DK73" s="191">
        <v>50</v>
      </c>
      <c r="DL73" s="191"/>
      <c r="DM73" s="191"/>
      <c r="DN73" s="191">
        <v>50</v>
      </c>
      <c r="DO73" s="191"/>
      <c r="DP73" s="191"/>
      <c r="DQ73" s="191"/>
      <c r="DR73" s="191">
        <v>50</v>
      </c>
      <c r="DS73" s="191"/>
      <c r="DT73" s="191"/>
      <c r="DU73" s="191">
        <v>100</v>
      </c>
      <c r="DV73" s="191"/>
      <c r="DW73" s="191"/>
      <c r="DX73" s="191"/>
      <c r="DY73" s="191">
        <v>50</v>
      </c>
      <c r="DZ73" s="191"/>
      <c r="EA73" s="191"/>
      <c r="EB73" s="191">
        <v>50</v>
      </c>
      <c r="EC73" s="191"/>
      <c r="ED73" s="191"/>
      <c r="EE73" s="191"/>
      <c r="EF73" s="191">
        <v>50</v>
      </c>
      <c r="EG73" s="191"/>
      <c r="EH73" s="191"/>
      <c r="EI73" s="191">
        <v>10</v>
      </c>
      <c r="EJ73" s="191"/>
      <c r="EK73" s="191"/>
      <c r="EL73" s="191"/>
      <c r="EM73" s="192">
        <v>10</v>
      </c>
      <c r="EN73" s="190"/>
      <c r="EO73" s="191"/>
      <c r="EP73" s="191">
        <v>100</v>
      </c>
      <c r="EQ73" s="191"/>
      <c r="ER73" s="191"/>
      <c r="ES73" s="191"/>
      <c r="ET73" s="191">
        <v>50</v>
      </c>
      <c r="EU73" s="191"/>
      <c r="EV73" s="191"/>
      <c r="EW73" s="191">
        <v>10</v>
      </c>
      <c r="EX73" s="191"/>
      <c r="EY73" s="191"/>
      <c r="EZ73" s="191"/>
      <c r="FA73" s="191">
        <v>50</v>
      </c>
      <c r="FB73" s="191"/>
      <c r="FC73" s="191"/>
      <c r="FD73" s="191">
        <v>50</v>
      </c>
      <c r="FE73" s="191"/>
      <c r="FF73" s="191"/>
      <c r="FG73" s="191"/>
      <c r="FH73" s="191"/>
      <c r="FI73" s="191">
        <v>200</v>
      </c>
      <c r="FJ73" s="191"/>
      <c r="FK73" s="191"/>
      <c r="FL73" s="191"/>
      <c r="FM73" s="191"/>
      <c r="FN73" s="191"/>
      <c r="FO73" s="191"/>
      <c r="FP73" s="191"/>
      <c r="FQ73" s="193"/>
      <c r="FR73" s="194"/>
      <c r="FS73" s="191"/>
      <c r="FT73" s="191"/>
      <c r="FU73" s="191"/>
      <c r="FV73" s="191">
        <v>200</v>
      </c>
      <c r="FW73" s="191"/>
      <c r="FX73" s="191"/>
      <c r="FY73" s="191"/>
      <c r="FZ73" s="191"/>
      <c r="GA73" s="191"/>
      <c r="GB73" s="191"/>
      <c r="GC73" s="191">
        <v>200</v>
      </c>
      <c r="GD73" s="191"/>
      <c r="GE73" s="191"/>
      <c r="GF73" s="191">
        <v>10</v>
      </c>
      <c r="GG73" s="191"/>
      <c r="GH73" s="191"/>
      <c r="GI73" s="191"/>
      <c r="GJ73" s="191">
        <v>50</v>
      </c>
      <c r="GK73" s="191"/>
      <c r="GL73" s="191"/>
      <c r="GM73" s="191">
        <v>100</v>
      </c>
      <c r="GN73" s="191"/>
      <c r="GO73" s="191"/>
      <c r="GP73" s="191"/>
      <c r="GQ73" s="191">
        <v>100</v>
      </c>
      <c r="GR73" s="191"/>
      <c r="GS73" s="191"/>
      <c r="GT73" s="191"/>
      <c r="GU73" s="191"/>
      <c r="GV73" s="192"/>
      <c r="GW73" s="190"/>
      <c r="GX73" s="191"/>
      <c r="GY73" s="191"/>
      <c r="GZ73" s="191"/>
      <c r="HA73" s="191">
        <v>100</v>
      </c>
      <c r="HB73" s="191"/>
      <c r="HC73" s="191"/>
      <c r="HD73" s="191"/>
      <c r="HE73" s="191"/>
      <c r="HF73" s="191"/>
      <c r="HG73" s="191">
        <v>10</v>
      </c>
      <c r="HH73" s="191"/>
      <c r="HI73" s="191"/>
      <c r="HJ73" s="191"/>
      <c r="HK73" s="191"/>
      <c r="HL73" s="191">
        <v>150</v>
      </c>
      <c r="HM73" s="191"/>
      <c r="HN73" s="191"/>
      <c r="HO73" s="191"/>
      <c r="HP73" s="191"/>
      <c r="HQ73" s="191"/>
      <c r="HR73" s="191"/>
      <c r="HS73" s="191"/>
      <c r="HT73" s="191"/>
      <c r="HU73" s="191"/>
      <c r="HV73" s="191">
        <v>150</v>
      </c>
      <c r="HW73" s="191"/>
      <c r="HX73" s="191"/>
      <c r="HY73" s="191"/>
      <c r="HZ73" s="193">
        <v>50</v>
      </c>
      <c r="IA73" s="194"/>
      <c r="IB73" s="191"/>
      <c r="IC73" s="191">
        <v>100</v>
      </c>
      <c r="ID73" s="191"/>
      <c r="IE73" s="191"/>
      <c r="IF73" s="191"/>
      <c r="IG73" s="191">
        <v>50</v>
      </c>
      <c r="IH73" s="191"/>
      <c r="II73" s="191"/>
      <c r="IJ73" s="191">
        <v>50</v>
      </c>
      <c r="IK73" s="191"/>
      <c r="IL73" s="191"/>
      <c r="IM73" s="191"/>
      <c r="IN73" s="191">
        <v>150</v>
      </c>
      <c r="IO73" s="191"/>
      <c r="IP73" s="191"/>
      <c r="IQ73" s="191"/>
      <c r="IR73" s="191"/>
      <c r="IS73" s="191"/>
      <c r="IT73" s="191"/>
      <c r="IU73" s="191">
        <v>200</v>
      </c>
      <c r="IV73" s="191"/>
      <c r="IW73" s="191"/>
      <c r="IX73" s="191">
        <v>50</v>
      </c>
      <c r="IY73" s="191"/>
      <c r="IZ73" s="191"/>
      <c r="JA73" s="191"/>
      <c r="JB73" s="191"/>
      <c r="JC73" s="191"/>
      <c r="JD73" s="191"/>
      <c r="JE73" s="192">
        <v>10</v>
      </c>
      <c r="JF73" s="190"/>
      <c r="JG73" s="191"/>
      <c r="JH73" s="191"/>
      <c r="JI73" s="191">
        <v>100</v>
      </c>
      <c r="JJ73" s="191"/>
      <c r="JK73" s="191"/>
      <c r="JL73" s="191">
        <v>50</v>
      </c>
      <c r="JM73" s="191"/>
      <c r="JN73" s="191"/>
      <c r="JO73" s="191"/>
      <c r="JP73" s="191"/>
      <c r="JQ73" s="191"/>
      <c r="JR73" s="191">
        <v>100</v>
      </c>
      <c r="JS73" s="191"/>
      <c r="JT73" s="191"/>
      <c r="JU73" s="191"/>
      <c r="JV73" s="191"/>
      <c r="JW73" s="191">
        <v>50</v>
      </c>
      <c r="JX73" s="191"/>
      <c r="JY73" s="191"/>
      <c r="JZ73" s="191">
        <v>50</v>
      </c>
      <c r="KA73" s="191"/>
      <c r="KB73" s="191"/>
      <c r="KC73" s="191"/>
      <c r="KD73" s="191"/>
      <c r="KE73" s="191"/>
      <c r="KF73" s="191">
        <v>200</v>
      </c>
      <c r="KG73" s="191">
        <v>50</v>
      </c>
      <c r="KH73" s="191"/>
      <c r="KI73" s="191"/>
      <c r="KJ73" s="193"/>
      <c r="KK73" s="194">
        <v>100</v>
      </c>
      <c r="KL73" s="191"/>
      <c r="KM73" s="191"/>
      <c r="KN73" s="191">
        <v>10</v>
      </c>
      <c r="KO73" s="191"/>
      <c r="KP73" s="191"/>
      <c r="KQ73" s="191"/>
      <c r="KR73" s="191"/>
      <c r="KS73" s="191"/>
      <c r="KT73" s="191"/>
      <c r="KU73" s="191"/>
      <c r="KV73" s="191"/>
      <c r="KW73" s="191"/>
      <c r="KX73" s="191"/>
      <c r="KY73" s="191"/>
      <c r="KZ73" s="191"/>
      <c r="LA73" s="191"/>
      <c r="LB73" s="191">
        <v>200</v>
      </c>
      <c r="LC73" s="191"/>
      <c r="LD73" s="191"/>
      <c r="LE73" s="191"/>
      <c r="LF73" s="191">
        <v>50</v>
      </c>
      <c r="LG73" s="191"/>
      <c r="LH73" s="191"/>
      <c r="LI73" s="191">
        <v>100</v>
      </c>
      <c r="LJ73" s="191"/>
      <c r="LK73" s="191"/>
      <c r="LL73" s="191"/>
      <c r="LM73" s="191"/>
      <c r="LN73" s="192"/>
      <c r="LO73" s="190"/>
      <c r="LP73" s="191">
        <v>50</v>
      </c>
      <c r="LQ73" s="191"/>
      <c r="LR73" s="191"/>
      <c r="LS73" s="191"/>
      <c r="LT73" s="191">
        <v>100</v>
      </c>
      <c r="LU73" s="191"/>
      <c r="LV73" s="191"/>
      <c r="LW73" s="191">
        <v>100</v>
      </c>
      <c r="LX73" s="191"/>
      <c r="LY73" s="191"/>
      <c r="LZ73" s="191"/>
      <c r="MA73" s="191">
        <v>100</v>
      </c>
      <c r="MB73" s="191"/>
      <c r="MC73" s="191"/>
      <c r="MD73" s="191">
        <v>50</v>
      </c>
      <c r="ME73" s="191"/>
      <c r="MF73" s="191"/>
      <c r="MG73" s="191"/>
      <c r="MH73" s="191">
        <v>10</v>
      </c>
      <c r="MI73" s="191"/>
      <c r="MJ73" s="191"/>
      <c r="MK73" s="191">
        <v>10</v>
      </c>
      <c r="ML73" s="191"/>
      <c r="MM73" s="191"/>
      <c r="MN73" s="191"/>
      <c r="MO73" s="191">
        <v>50</v>
      </c>
      <c r="MP73" s="191"/>
      <c r="MQ73" s="191"/>
      <c r="MR73" s="191">
        <v>50</v>
      </c>
      <c r="MS73" s="193"/>
      <c r="MT73" s="194"/>
      <c r="MU73" s="191"/>
      <c r="MV73" s="191">
        <v>50</v>
      </c>
      <c r="MW73" s="191"/>
      <c r="MX73" s="191"/>
      <c r="MY73" s="191">
        <v>50</v>
      </c>
      <c r="MZ73" s="191"/>
      <c r="NA73" s="191"/>
      <c r="NB73" s="191"/>
      <c r="NC73" s="191">
        <v>100</v>
      </c>
      <c r="ND73" s="191"/>
      <c r="NE73" s="191"/>
      <c r="NF73" s="191"/>
      <c r="NG73" s="191"/>
      <c r="NH73" s="191"/>
      <c r="NI73" s="191"/>
      <c r="NJ73" s="191">
        <v>100</v>
      </c>
      <c r="NK73" s="191"/>
      <c r="NL73" s="191"/>
      <c r="NM73" s="191"/>
      <c r="NN73" s="191"/>
      <c r="NO73" s="191"/>
      <c r="NP73" s="191"/>
      <c r="NQ73" s="191">
        <v>50</v>
      </c>
      <c r="NR73" s="191"/>
      <c r="NS73" s="191"/>
      <c r="NT73" s="191">
        <v>10</v>
      </c>
      <c r="NU73" s="191"/>
      <c r="NV73" s="191"/>
      <c r="NW73" s="192"/>
      <c r="NX73" s="190">
        <v>50</v>
      </c>
      <c r="NY73" s="191"/>
      <c r="NZ73" s="191"/>
      <c r="OA73" s="191">
        <v>50</v>
      </c>
      <c r="OB73" s="191"/>
      <c r="OC73" s="191"/>
      <c r="OD73" s="191"/>
      <c r="OE73" s="191">
        <v>10</v>
      </c>
      <c r="OF73" s="191"/>
      <c r="OG73" s="191"/>
      <c r="OH73" s="191">
        <v>50</v>
      </c>
      <c r="OI73" s="191"/>
      <c r="OJ73" s="191"/>
      <c r="OK73" s="191"/>
      <c r="OL73" s="191">
        <v>50</v>
      </c>
      <c r="OM73" s="191"/>
      <c r="ON73" s="191"/>
      <c r="OO73" s="191">
        <v>50</v>
      </c>
      <c r="OP73" s="191"/>
      <c r="OQ73" s="191"/>
      <c r="OR73" s="191"/>
      <c r="OS73" s="191"/>
      <c r="OT73" s="191"/>
      <c r="OU73" s="191"/>
      <c r="OV73" s="191"/>
      <c r="OW73" s="191"/>
      <c r="OX73" s="191"/>
      <c r="OY73" s="191"/>
      <c r="OZ73" s="191"/>
      <c r="PA73" s="191"/>
      <c r="PB73" s="193"/>
      <c r="PC73" s="47"/>
      <c r="PD73" s="154" t="s">
        <v>97</v>
      </c>
      <c r="PE73" s="155" t="s">
        <v>98</v>
      </c>
      <c r="PF73" s="155" t="s">
        <v>98</v>
      </c>
      <c r="PG73" s="155" t="s">
        <v>98</v>
      </c>
      <c r="PH73" s="155" t="s">
        <v>98</v>
      </c>
      <c r="PI73" s="155" t="s">
        <v>98</v>
      </c>
      <c r="PJ73" s="155" t="s">
        <v>98</v>
      </c>
      <c r="PK73" s="155" t="s">
        <v>98</v>
      </c>
      <c r="PL73" s="155" t="s">
        <v>98</v>
      </c>
      <c r="PM73" s="155" t="s">
        <v>98</v>
      </c>
      <c r="PN73" s="155" t="s">
        <v>98</v>
      </c>
      <c r="PO73" s="156"/>
      <c r="PP73" s="156"/>
      <c r="PQ73" s="156"/>
      <c r="PR73" s="156"/>
      <c r="PS73" s="156"/>
      <c r="PT73" s="156"/>
      <c r="PU73" s="156"/>
      <c r="PV73" s="156"/>
      <c r="PW73" s="156"/>
      <c r="PX73" s="195"/>
      <c r="PY73" s="1"/>
      <c r="PZ73" s="196">
        <f t="shared" si="73"/>
        <v>500</v>
      </c>
      <c r="QA73" s="176">
        <f t="shared" si="74"/>
        <v>4.1711854509051474E-3</v>
      </c>
      <c r="QB73" s="177" t="str">
        <f t="shared" ca="1" si="75"/>
        <v>Attente…</v>
      </c>
      <c r="QC73" s="197">
        <f t="shared" si="76"/>
        <v>560</v>
      </c>
      <c r="QD73" s="179">
        <f t="shared" si="77"/>
        <v>5.2434456928838954E-3</v>
      </c>
      <c r="QE73" s="180" t="str">
        <f t="shared" ca="1" si="78"/>
        <v>Attente…</v>
      </c>
      <c r="QF73" s="196">
        <f t="shared" si="79"/>
        <v>420</v>
      </c>
      <c r="QG73" s="176">
        <f t="shared" si="80"/>
        <v>3.3444816053511705E-3</v>
      </c>
      <c r="QH73" s="177" t="str">
        <f t="shared" ca="1" si="81"/>
        <v>Attente…</v>
      </c>
      <c r="QI73" s="197">
        <f t="shared" si="82"/>
        <v>460</v>
      </c>
      <c r="QJ73" s="179">
        <f t="shared" si="83"/>
        <v>3.2262589423481553E-3</v>
      </c>
      <c r="QK73" s="180" t="str">
        <f t="shared" ca="1" si="84"/>
        <v>Attente…</v>
      </c>
      <c r="QL73" s="196">
        <f t="shared" si="85"/>
        <v>660</v>
      </c>
      <c r="QM73" s="176">
        <f t="shared" si="86"/>
        <v>4.8287971905179982E-3</v>
      </c>
      <c r="QN73" s="177" t="str">
        <f t="shared" ca="1" si="87"/>
        <v>Attente…</v>
      </c>
      <c r="QO73" s="197">
        <f t="shared" si="88"/>
        <v>460</v>
      </c>
      <c r="QP73" s="179">
        <f t="shared" si="89"/>
        <v>3.6013465904642604E-3</v>
      </c>
      <c r="QQ73" s="180" t="str">
        <f t="shared" ca="1" si="90"/>
        <v>Attente…</v>
      </c>
      <c r="QR73" s="196">
        <f t="shared" si="91"/>
        <v>610</v>
      </c>
      <c r="QS73" s="176">
        <f t="shared" si="92"/>
        <v>4.3914905870918973E-3</v>
      </c>
      <c r="QT73" s="177" t="str">
        <f t="shared" ca="1" si="93"/>
        <v>Attente…</v>
      </c>
      <c r="QU73" s="197">
        <f t="shared" si="94"/>
        <v>600</v>
      </c>
      <c r="QV73" s="179">
        <f t="shared" si="95"/>
        <v>4.1367898510755651E-3</v>
      </c>
      <c r="QW73" s="180" t="str">
        <f t="shared" ca="1" si="96"/>
        <v>Attente…</v>
      </c>
      <c r="QX73" s="196">
        <f t="shared" si="97"/>
        <v>460</v>
      </c>
      <c r="QY73" s="176">
        <f t="shared" si="98"/>
        <v>3.3567821594325579E-3</v>
      </c>
      <c r="QZ73" s="177" t="str">
        <f t="shared" ca="1" si="99"/>
        <v>Attente…</v>
      </c>
      <c r="RA73" s="197">
        <f t="shared" si="100"/>
        <v>520</v>
      </c>
      <c r="RB73" s="179">
        <f t="shared" si="101"/>
        <v>4.0685392379313044E-3</v>
      </c>
      <c r="RC73" s="180" t="str">
        <f t="shared" ca="1" si="102"/>
        <v>Attente…</v>
      </c>
      <c r="RD73" s="196">
        <f t="shared" si="103"/>
        <v>360</v>
      </c>
      <c r="RE73" s="176">
        <f t="shared" si="104"/>
        <v>3.5870864886408927E-3</v>
      </c>
      <c r="RF73" s="177" t="str">
        <f t="shared" ca="1" si="105"/>
        <v>Attente…</v>
      </c>
      <c r="RG73" s="197">
        <f t="shared" si="106"/>
        <v>260</v>
      </c>
      <c r="RH73" s="179">
        <f t="shared" si="107"/>
        <v>4.7820489240389917E-3</v>
      </c>
      <c r="RI73" s="198" t="str">
        <f t="shared" ca="1" si="108"/>
        <v>Attente…</v>
      </c>
      <c r="RJ73" s="199">
        <f t="shared" si="109"/>
        <v>1480</v>
      </c>
      <c r="RK73" s="200" t="str">
        <f t="shared" ca="1" si="66"/>
        <v>Attente…</v>
      </c>
      <c r="RL73" s="199">
        <f t="shared" si="110"/>
        <v>1580</v>
      </c>
      <c r="RM73" s="200" t="str">
        <f t="shared" ca="1" si="111"/>
        <v>Atttente…</v>
      </c>
      <c r="RN73" s="199">
        <f t="shared" si="112"/>
        <v>1670</v>
      </c>
      <c r="RO73" s="200" t="str">
        <f t="shared" ca="1" si="67"/>
        <v>Attente…</v>
      </c>
      <c r="RP73" s="199">
        <f t="shared" si="113"/>
        <v>1140</v>
      </c>
      <c r="RQ73" s="200" t="str">
        <f t="shared" ca="1" si="68"/>
        <v>Attente…</v>
      </c>
      <c r="RR73" s="201">
        <f t="shared" si="114"/>
        <v>5870</v>
      </c>
      <c r="RS73" s="202" t="str">
        <f t="shared" ca="1" si="69"/>
        <v>Attente…</v>
      </c>
      <c r="RT73" s="103"/>
      <c r="RU73" s="203">
        <f t="shared" si="115"/>
        <v>0.36687500000000001</v>
      </c>
      <c r="RV73" s="204">
        <f t="shared" si="65"/>
        <v>1</v>
      </c>
      <c r="RW73" s="204">
        <f t="shared" si="65"/>
        <v>2</v>
      </c>
      <c r="RX73" s="204">
        <f t="shared" si="116"/>
        <v>80</v>
      </c>
      <c r="RY73" s="205" t="str">
        <f t="shared" si="117"/>
        <v>LE PETIT-QUEVILLY - 152 rue Gambetta (Croisement rue Paul Langevin - Près école de musique)</v>
      </c>
      <c r="RZ73" s="189" t="str">
        <f>IF(OR(RZ72="",RZ72="  &lt;/Document&gt;
&lt;/kml&gt;"),"",
IF(B73="","  &lt;/Document&gt;
&lt;/kml&gt;",
IF(TournéesCAV!Q73=""," ",
"    &lt;Placemark&gt;
      &lt;description&gt;&lt;![CDATA["&amp;B73&amp;"&lt;br&gt;&lt;br&gt;"&amp;RV73&amp;" CAV&lt;br&gt;&lt;br&gt;Présent sur "&amp;RW73&amp;" tournée(s)&lt;br&gt;&lt;br&gt;Taux de remplissage moyen "&amp;TEXT(RU73*1000,"0 %")&amp;"]]&gt;&lt;/description&gt;
      &lt;Style&gt;
        &lt;IconStyle&gt;
          &lt;color&gt;ff"&amp;
          DEC2HEX(0,2)&amp;
          DEC2HEX(
            IF(RU73&lt;=0.5,
               INT(255*(RU73*2)),
               255
            ),2)&amp;
          DEC2HEX(
            IF(RU73&lt;=0.5,
               255,
               INT(255*(1-(RU73-0.5)*2))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&lt;Point&gt;&lt;coordinates&gt;"&amp;R73&amp;","&amp;Q73&amp;",0&lt;/coordinates&gt;&lt;/Point&gt;
    &lt;/Placemark&gt;"
)))</f>
        <v xml:space="preserve">    &lt;Placemark&gt;
      &lt;description&gt;&lt;![CDATA[LE PETIT-QUEVILLY - 152 rue Gambetta (Croisement rue Paul Langevin - Près école de musique)&lt;br&gt;&lt;br&gt;1 CAV&lt;br&gt;&lt;br&gt;Présent sur 2 tournée(s)&lt;br&gt;&lt;br&gt;Taux de remplissage moyen 37%]]&gt;&lt;/description&gt;
      &lt;Style&gt;
        &lt;IconStyle&gt;
          &lt;color&gt;ff00BBFF&lt;/color&gt;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&lt;Point&gt;&lt;coordinates&gt;1.0666575,49.4141603,0&lt;/coordinates&gt;&lt;/Point&gt;
    &lt;/Placemark&gt;</v>
      </c>
    </row>
    <row r="74" spans="2:494" ht="15" hidden="1" customHeight="1" x14ac:dyDescent="0.35">
      <c r="B74" s="153" t="str">
        <f t="shared" si="70"/>
        <v>ELBEUF - 26 Rue Leveillé</v>
      </c>
      <c r="C74" s="154">
        <v>9</v>
      </c>
      <c r="D74" s="155"/>
      <c r="E74" s="155"/>
      <c r="F74" s="155"/>
      <c r="G74" s="155"/>
      <c r="H74" s="155"/>
      <c r="I74" s="155"/>
      <c r="J74" s="156"/>
      <c r="K74" s="157">
        <f t="shared" si="71"/>
        <v>1</v>
      </c>
      <c r="L74" s="157">
        <f t="shared" si="72"/>
        <v>1</v>
      </c>
      <c r="M74" s="158" t="s">
        <v>462</v>
      </c>
      <c r="N74" s="159"/>
      <c r="O74" s="159">
        <v>76500</v>
      </c>
      <c r="P74" s="159" t="s">
        <v>463</v>
      </c>
      <c r="Q74" s="159" t="s">
        <v>464</v>
      </c>
      <c r="R74" s="159" t="s">
        <v>465</v>
      </c>
      <c r="S74" s="159" t="s">
        <v>93</v>
      </c>
      <c r="T74" s="159" t="s">
        <v>94</v>
      </c>
      <c r="U74" s="159" t="s">
        <v>466</v>
      </c>
      <c r="V74" s="160" t="s">
        <v>123</v>
      </c>
      <c r="W74" s="161"/>
      <c r="X74" s="162"/>
      <c r="Y74" s="163"/>
      <c r="Z74" s="162"/>
      <c r="AA74" s="163"/>
      <c r="AB74" s="162"/>
      <c r="AC74" s="163"/>
      <c r="AD74" s="162"/>
      <c r="AE74" s="163"/>
      <c r="AF74" s="162"/>
      <c r="AG74" s="163"/>
      <c r="AH74" s="163"/>
      <c r="AI74" s="162"/>
      <c r="AJ74" s="163"/>
      <c r="AK74" s="162"/>
      <c r="AL74" s="163"/>
      <c r="AM74" s="162">
        <v>1</v>
      </c>
      <c r="AN74" s="163"/>
      <c r="AO74" s="162"/>
      <c r="AP74" s="164"/>
      <c r="AQ74" s="164"/>
      <c r="AR74" s="164"/>
      <c r="AS74" s="164"/>
      <c r="AT74" s="164"/>
      <c r="AU74" s="164"/>
      <c r="AV74" s="164"/>
      <c r="AW74" s="164"/>
      <c r="AX74" s="164"/>
      <c r="AY74" s="165"/>
      <c r="AZ74" s="41"/>
      <c r="BA74" s="190"/>
      <c r="BB74" s="191"/>
      <c r="BC74" s="191"/>
      <c r="BD74" s="191"/>
      <c r="BE74" s="191"/>
      <c r="BF74" s="191"/>
      <c r="BG74" s="191">
        <v>150</v>
      </c>
      <c r="BH74" s="191"/>
      <c r="BI74" s="191"/>
      <c r="BJ74" s="191"/>
      <c r="BK74" s="191"/>
      <c r="BL74" s="191"/>
      <c r="BM74" s="191"/>
      <c r="BN74" s="191">
        <v>50</v>
      </c>
      <c r="BO74" s="191"/>
      <c r="BP74" s="191"/>
      <c r="BQ74" s="191"/>
      <c r="BR74" s="191"/>
      <c r="BS74" s="191"/>
      <c r="BT74" s="191"/>
      <c r="BU74" s="191">
        <v>50</v>
      </c>
      <c r="BV74" s="191"/>
      <c r="BW74" s="191"/>
      <c r="BX74" s="191"/>
      <c r="BY74" s="191"/>
      <c r="BZ74" s="191"/>
      <c r="CA74" s="191"/>
      <c r="CB74" s="191">
        <v>200</v>
      </c>
      <c r="CC74" s="191"/>
      <c r="CD74" s="191"/>
      <c r="CE74" s="192"/>
      <c r="CF74" s="190"/>
      <c r="CG74" s="191"/>
      <c r="CH74" s="191"/>
      <c r="CI74" s="191">
        <v>10</v>
      </c>
      <c r="CJ74" s="191"/>
      <c r="CK74" s="191"/>
      <c r="CL74" s="191"/>
      <c r="CM74" s="191"/>
      <c r="CN74" s="191"/>
      <c r="CO74" s="191"/>
      <c r="CP74" s="191">
        <v>50</v>
      </c>
      <c r="CQ74" s="191"/>
      <c r="CR74" s="191"/>
      <c r="CS74" s="191"/>
      <c r="CT74" s="191"/>
      <c r="CU74" s="191"/>
      <c r="CV74" s="191"/>
      <c r="CW74" s="191">
        <v>100</v>
      </c>
      <c r="CX74" s="191"/>
      <c r="CY74" s="191"/>
      <c r="CZ74" s="191"/>
      <c r="DA74" s="191"/>
      <c r="DB74" s="191"/>
      <c r="DC74" s="191"/>
      <c r="DD74" s="191">
        <v>100</v>
      </c>
      <c r="DE74" s="191"/>
      <c r="DF74" s="191"/>
      <c r="DG74" s="191"/>
      <c r="DH74" s="193"/>
      <c r="DI74" s="194"/>
      <c r="DJ74" s="191"/>
      <c r="DK74" s="191"/>
      <c r="DL74" s="191">
        <v>50</v>
      </c>
      <c r="DM74" s="191"/>
      <c r="DN74" s="191"/>
      <c r="DO74" s="191"/>
      <c r="DP74" s="191"/>
      <c r="DQ74" s="191"/>
      <c r="DR74" s="191"/>
      <c r="DS74" s="191">
        <v>150</v>
      </c>
      <c r="DT74" s="191"/>
      <c r="DU74" s="191"/>
      <c r="DV74" s="191"/>
      <c r="DW74" s="191"/>
      <c r="DX74" s="191"/>
      <c r="DY74" s="191"/>
      <c r="DZ74" s="191">
        <v>100</v>
      </c>
      <c r="EA74" s="191"/>
      <c r="EB74" s="191"/>
      <c r="EC74" s="191"/>
      <c r="ED74" s="191"/>
      <c r="EE74" s="191"/>
      <c r="EF74" s="191"/>
      <c r="EG74" s="191">
        <v>100</v>
      </c>
      <c r="EH74" s="191"/>
      <c r="EI74" s="191"/>
      <c r="EJ74" s="191"/>
      <c r="EK74" s="191"/>
      <c r="EL74" s="191"/>
      <c r="EM74" s="192"/>
      <c r="EN74" s="190">
        <v>150</v>
      </c>
      <c r="EO74" s="191"/>
      <c r="EP74" s="191"/>
      <c r="EQ74" s="191"/>
      <c r="ER74" s="191"/>
      <c r="ES74" s="191"/>
      <c r="ET74" s="191"/>
      <c r="EU74" s="191">
        <v>200</v>
      </c>
      <c r="EV74" s="191"/>
      <c r="EW74" s="191"/>
      <c r="EX74" s="191"/>
      <c r="EY74" s="191"/>
      <c r="EZ74" s="191"/>
      <c r="FA74" s="191"/>
      <c r="FB74" s="191">
        <v>200</v>
      </c>
      <c r="FC74" s="191"/>
      <c r="FD74" s="191"/>
      <c r="FE74" s="191"/>
      <c r="FF74" s="191"/>
      <c r="FG74" s="191"/>
      <c r="FH74" s="191"/>
      <c r="FI74" s="191">
        <v>150</v>
      </c>
      <c r="FJ74" s="191"/>
      <c r="FK74" s="191"/>
      <c r="FL74" s="191"/>
      <c r="FM74" s="191"/>
      <c r="FN74" s="191"/>
      <c r="FO74" s="191"/>
      <c r="FP74" s="191">
        <v>150</v>
      </c>
      <c r="FQ74" s="193"/>
      <c r="FR74" s="194"/>
      <c r="FS74" s="191"/>
      <c r="FT74" s="191"/>
      <c r="FU74" s="191"/>
      <c r="FV74" s="191"/>
      <c r="FW74" s="191"/>
      <c r="FX74" s="191"/>
      <c r="FY74" s="191"/>
      <c r="FZ74" s="191"/>
      <c r="GA74" s="191"/>
      <c r="GB74" s="191"/>
      <c r="GC74" s="191"/>
      <c r="GD74" s="191">
        <v>200</v>
      </c>
      <c r="GE74" s="191"/>
      <c r="GF74" s="191"/>
      <c r="GG74" s="191"/>
      <c r="GH74" s="191"/>
      <c r="GI74" s="191"/>
      <c r="GJ74" s="191"/>
      <c r="GK74" s="191">
        <v>200</v>
      </c>
      <c r="GL74" s="191"/>
      <c r="GM74" s="191"/>
      <c r="GN74" s="191"/>
      <c r="GO74" s="191"/>
      <c r="GP74" s="191"/>
      <c r="GQ74" s="191"/>
      <c r="GR74" s="191">
        <v>150</v>
      </c>
      <c r="GS74" s="191"/>
      <c r="GT74" s="191"/>
      <c r="GU74" s="191"/>
      <c r="GV74" s="192"/>
      <c r="GW74" s="190"/>
      <c r="GX74" s="191"/>
      <c r="GY74" s="191">
        <v>150</v>
      </c>
      <c r="GZ74" s="191"/>
      <c r="HA74" s="191"/>
      <c r="HB74" s="191"/>
      <c r="HC74" s="191"/>
      <c r="HD74" s="191"/>
      <c r="HE74" s="191"/>
      <c r="HF74" s="191"/>
      <c r="HG74" s="191"/>
      <c r="HH74" s="191">
        <v>150</v>
      </c>
      <c r="HI74" s="191"/>
      <c r="HJ74" s="191"/>
      <c r="HK74" s="191"/>
      <c r="HL74" s="191"/>
      <c r="HM74" s="191">
        <v>100</v>
      </c>
      <c r="HN74" s="191"/>
      <c r="HO74" s="191"/>
      <c r="HP74" s="191"/>
      <c r="HQ74" s="191"/>
      <c r="HR74" s="191"/>
      <c r="HS74" s="191"/>
      <c r="HT74" s="191">
        <v>100</v>
      </c>
      <c r="HU74" s="191"/>
      <c r="HV74" s="191"/>
      <c r="HW74" s="191"/>
      <c r="HX74" s="191"/>
      <c r="HY74" s="191"/>
      <c r="HZ74" s="193"/>
      <c r="IA74" s="194">
        <v>100</v>
      </c>
      <c r="IB74" s="191"/>
      <c r="IC74" s="191"/>
      <c r="ID74" s="191"/>
      <c r="IE74" s="191"/>
      <c r="IF74" s="191"/>
      <c r="IG74" s="191"/>
      <c r="IH74" s="191">
        <v>150</v>
      </c>
      <c r="II74" s="191"/>
      <c r="IJ74" s="191"/>
      <c r="IK74" s="191"/>
      <c r="IL74" s="191"/>
      <c r="IM74" s="191"/>
      <c r="IN74" s="191"/>
      <c r="IO74" s="191"/>
      <c r="IP74" s="191">
        <v>200</v>
      </c>
      <c r="IQ74" s="191"/>
      <c r="IR74" s="191"/>
      <c r="IS74" s="191"/>
      <c r="IT74" s="191"/>
      <c r="IU74" s="191"/>
      <c r="IV74" s="191">
        <v>200</v>
      </c>
      <c r="IW74" s="191"/>
      <c r="IX74" s="191"/>
      <c r="IY74" s="191"/>
      <c r="IZ74" s="191"/>
      <c r="JA74" s="191"/>
      <c r="JB74" s="191"/>
      <c r="JC74" s="191">
        <v>150</v>
      </c>
      <c r="JD74" s="191"/>
      <c r="JE74" s="192"/>
      <c r="JF74" s="190"/>
      <c r="JG74" s="191"/>
      <c r="JH74" s="191"/>
      <c r="JI74" s="191"/>
      <c r="JJ74" s="191">
        <v>100</v>
      </c>
      <c r="JK74" s="191"/>
      <c r="JL74" s="191"/>
      <c r="JM74" s="191"/>
      <c r="JN74" s="191"/>
      <c r="JO74" s="191"/>
      <c r="JP74" s="191"/>
      <c r="JQ74" s="191">
        <v>150</v>
      </c>
      <c r="JR74" s="191"/>
      <c r="JS74" s="191"/>
      <c r="JT74" s="191"/>
      <c r="JU74" s="191"/>
      <c r="JV74" s="191"/>
      <c r="JW74" s="191"/>
      <c r="JX74" s="191">
        <v>150</v>
      </c>
      <c r="JY74" s="191"/>
      <c r="JZ74" s="191"/>
      <c r="KA74" s="191"/>
      <c r="KB74" s="191"/>
      <c r="KC74" s="191"/>
      <c r="KD74" s="191"/>
      <c r="KE74" s="191">
        <v>150</v>
      </c>
      <c r="KF74" s="191"/>
      <c r="KG74" s="191"/>
      <c r="KH74" s="191"/>
      <c r="KI74" s="191"/>
      <c r="KJ74" s="193"/>
      <c r="KK74" s="194"/>
      <c r="KL74" s="191">
        <v>200</v>
      </c>
      <c r="KM74" s="191"/>
      <c r="KN74" s="191"/>
      <c r="KO74" s="191"/>
      <c r="KP74" s="191"/>
      <c r="KQ74" s="191"/>
      <c r="KR74" s="191"/>
      <c r="KS74" s="191">
        <v>200</v>
      </c>
      <c r="KT74" s="191"/>
      <c r="KU74" s="191"/>
      <c r="KV74" s="191"/>
      <c r="KW74" s="191"/>
      <c r="KX74" s="191"/>
      <c r="KY74" s="191"/>
      <c r="KZ74" s="191">
        <v>100</v>
      </c>
      <c r="LA74" s="191"/>
      <c r="LB74" s="191"/>
      <c r="LC74" s="191"/>
      <c r="LD74" s="191"/>
      <c r="LE74" s="191"/>
      <c r="LF74" s="191"/>
      <c r="LG74" s="191">
        <v>200</v>
      </c>
      <c r="LH74" s="191"/>
      <c r="LI74" s="191"/>
      <c r="LJ74" s="191"/>
      <c r="LK74" s="191"/>
      <c r="LL74" s="191"/>
      <c r="LM74" s="191"/>
      <c r="LN74" s="192">
        <v>150</v>
      </c>
      <c r="LO74" s="190"/>
      <c r="LP74" s="191"/>
      <c r="LQ74" s="191"/>
      <c r="LR74" s="191"/>
      <c r="LS74" s="191"/>
      <c r="LT74" s="191"/>
      <c r="LU74" s="191">
        <v>50</v>
      </c>
      <c r="LV74" s="191"/>
      <c r="LW74" s="191"/>
      <c r="LX74" s="191"/>
      <c r="LY74" s="191"/>
      <c r="LZ74" s="191"/>
      <c r="MA74" s="191"/>
      <c r="MB74" s="191">
        <v>150</v>
      </c>
      <c r="MC74" s="191"/>
      <c r="MD74" s="191"/>
      <c r="ME74" s="191"/>
      <c r="MF74" s="191"/>
      <c r="MG74" s="191"/>
      <c r="MH74" s="191"/>
      <c r="MI74" s="191">
        <v>50</v>
      </c>
      <c r="MJ74" s="191"/>
      <c r="MK74" s="191"/>
      <c r="ML74" s="191"/>
      <c r="MM74" s="191"/>
      <c r="MN74" s="191"/>
      <c r="MO74" s="191"/>
      <c r="MP74" s="191">
        <v>150</v>
      </c>
      <c r="MQ74" s="191"/>
      <c r="MR74" s="191"/>
      <c r="MS74" s="193"/>
      <c r="MT74" s="194"/>
      <c r="MU74" s="191"/>
      <c r="MV74" s="191"/>
      <c r="MW74" s="191">
        <v>100</v>
      </c>
      <c r="MX74" s="191"/>
      <c r="MY74" s="191"/>
      <c r="MZ74" s="191"/>
      <c r="NA74" s="191"/>
      <c r="NB74" s="191"/>
      <c r="NC74" s="191"/>
      <c r="ND74" s="191"/>
      <c r="NE74" s="191">
        <v>200</v>
      </c>
      <c r="NF74" s="191"/>
      <c r="NG74" s="191"/>
      <c r="NH74" s="191"/>
      <c r="NI74" s="191"/>
      <c r="NJ74" s="191"/>
      <c r="NK74" s="191">
        <v>100</v>
      </c>
      <c r="NL74" s="191"/>
      <c r="NM74" s="191"/>
      <c r="NN74" s="191"/>
      <c r="NO74" s="191"/>
      <c r="NP74" s="191"/>
      <c r="NQ74" s="191"/>
      <c r="NR74" s="191">
        <v>200</v>
      </c>
      <c r="NS74" s="191"/>
      <c r="NT74" s="191"/>
      <c r="NU74" s="191"/>
      <c r="NV74" s="191"/>
      <c r="NW74" s="192"/>
      <c r="NX74" s="190"/>
      <c r="NY74" s="191">
        <v>50</v>
      </c>
      <c r="NZ74" s="191"/>
      <c r="OA74" s="191"/>
      <c r="OB74" s="191"/>
      <c r="OC74" s="191"/>
      <c r="OD74" s="191"/>
      <c r="OE74" s="191"/>
      <c r="OF74" s="191">
        <v>200</v>
      </c>
      <c r="OG74" s="191"/>
      <c r="OH74" s="191"/>
      <c r="OI74" s="191"/>
      <c r="OJ74" s="191"/>
      <c r="OK74" s="191"/>
      <c r="OL74" s="191"/>
      <c r="OM74" s="191">
        <v>50</v>
      </c>
      <c r="ON74" s="191"/>
      <c r="OO74" s="191"/>
      <c r="OP74" s="191"/>
      <c r="OQ74" s="191"/>
      <c r="OR74" s="191"/>
      <c r="OS74" s="191"/>
      <c r="OT74" s="191"/>
      <c r="OU74" s="191"/>
      <c r="OV74" s="191"/>
      <c r="OW74" s="191"/>
      <c r="OX74" s="191"/>
      <c r="OY74" s="191"/>
      <c r="OZ74" s="191"/>
      <c r="PA74" s="191"/>
      <c r="PB74" s="193"/>
      <c r="PC74" s="47"/>
      <c r="PD74" s="154" t="s">
        <v>97</v>
      </c>
      <c r="PE74" s="155" t="s">
        <v>98</v>
      </c>
      <c r="PF74" s="155" t="s">
        <v>98</v>
      </c>
      <c r="PG74" s="155" t="s">
        <v>97</v>
      </c>
      <c r="PH74" s="155" t="s">
        <v>98</v>
      </c>
      <c r="PI74" s="155" t="s">
        <v>98</v>
      </c>
      <c r="PJ74" s="155" t="s">
        <v>98</v>
      </c>
      <c r="PK74" s="155" t="s">
        <v>98</v>
      </c>
      <c r="PL74" s="155" t="s">
        <v>98</v>
      </c>
      <c r="PM74" s="155" t="s">
        <v>98</v>
      </c>
      <c r="PN74" s="155" t="s">
        <v>98</v>
      </c>
      <c r="PO74" s="156"/>
      <c r="PP74" s="156"/>
      <c r="PQ74" s="156"/>
      <c r="PR74" s="156"/>
      <c r="PS74" s="156"/>
      <c r="PT74" s="156"/>
      <c r="PU74" s="156"/>
      <c r="PV74" s="156"/>
      <c r="PW74" s="156"/>
      <c r="PX74" s="195"/>
      <c r="PY74" s="1"/>
      <c r="PZ74" s="196">
        <f t="shared" si="73"/>
        <v>450</v>
      </c>
      <c r="QA74" s="176">
        <f t="shared" si="74"/>
        <v>3.7540669058146324E-3</v>
      </c>
      <c r="QB74" s="177" t="str">
        <f t="shared" ca="1" si="75"/>
        <v>Attente…</v>
      </c>
      <c r="QC74" s="197">
        <f t="shared" si="76"/>
        <v>260</v>
      </c>
      <c r="QD74" s="179">
        <f t="shared" si="77"/>
        <v>2.4344569288389513E-3</v>
      </c>
      <c r="QE74" s="180" t="str">
        <f t="shared" ca="1" si="78"/>
        <v>Attente…</v>
      </c>
      <c r="QF74" s="196">
        <f t="shared" si="79"/>
        <v>400</v>
      </c>
      <c r="QG74" s="176">
        <f t="shared" si="80"/>
        <v>3.1852205765249245E-3</v>
      </c>
      <c r="QH74" s="177" t="str">
        <f t="shared" ca="1" si="81"/>
        <v>Attente…</v>
      </c>
      <c r="QI74" s="197">
        <f t="shared" si="82"/>
        <v>850</v>
      </c>
      <c r="QJ74" s="179">
        <f t="shared" si="83"/>
        <v>5.9615654369476788E-3</v>
      </c>
      <c r="QK74" s="180" t="str">
        <f t="shared" ca="1" si="84"/>
        <v>Attente…</v>
      </c>
      <c r="QL74" s="196">
        <f t="shared" si="85"/>
        <v>550</v>
      </c>
      <c r="QM74" s="176">
        <f t="shared" si="86"/>
        <v>4.0239976587649988E-3</v>
      </c>
      <c r="QN74" s="177" t="str">
        <f t="shared" ca="1" si="87"/>
        <v>Attente…</v>
      </c>
      <c r="QO74" s="197">
        <f t="shared" si="88"/>
        <v>500</v>
      </c>
      <c r="QP74" s="179">
        <f t="shared" si="89"/>
        <v>3.9145071635481093E-3</v>
      </c>
      <c r="QQ74" s="180" t="str">
        <f t="shared" ca="1" si="90"/>
        <v>Attente…</v>
      </c>
      <c r="QR74" s="196">
        <f t="shared" si="91"/>
        <v>800</v>
      </c>
      <c r="QS74" s="176">
        <f t="shared" si="92"/>
        <v>5.7593319174975705E-3</v>
      </c>
      <c r="QT74" s="177" t="str">
        <f t="shared" ca="1" si="93"/>
        <v>Attente…</v>
      </c>
      <c r="QU74" s="197">
        <f t="shared" si="94"/>
        <v>550</v>
      </c>
      <c r="QV74" s="179">
        <f t="shared" si="95"/>
        <v>3.7920573634859351E-3</v>
      </c>
      <c r="QW74" s="180" t="str">
        <f t="shared" ca="1" si="96"/>
        <v>Attente…</v>
      </c>
      <c r="QX74" s="196">
        <f t="shared" si="97"/>
        <v>850</v>
      </c>
      <c r="QY74" s="176">
        <f t="shared" si="98"/>
        <v>6.2027496424297262E-3</v>
      </c>
      <c r="QZ74" s="177" t="str">
        <f t="shared" ca="1" si="99"/>
        <v>Attente…</v>
      </c>
      <c r="RA74" s="197">
        <f t="shared" si="100"/>
        <v>400</v>
      </c>
      <c r="RB74" s="179">
        <f t="shared" si="101"/>
        <v>3.1296455676394649E-3</v>
      </c>
      <c r="RC74" s="180" t="str">
        <f t="shared" ca="1" si="102"/>
        <v>Attente…</v>
      </c>
      <c r="RD74" s="196">
        <f t="shared" si="103"/>
        <v>600</v>
      </c>
      <c r="RE74" s="176">
        <f t="shared" si="104"/>
        <v>5.9784774810681543E-3</v>
      </c>
      <c r="RF74" s="177" t="str">
        <f t="shared" ca="1" si="105"/>
        <v>Attente…</v>
      </c>
      <c r="RG74" s="197">
        <f t="shared" si="106"/>
        <v>300</v>
      </c>
      <c r="RH74" s="179">
        <f t="shared" si="107"/>
        <v>5.5177487585065296E-3</v>
      </c>
      <c r="RI74" s="198" t="str">
        <f t="shared" ca="1" si="108"/>
        <v>Attente…</v>
      </c>
      <c r="RJ74" s="199">
        <f t="shared" si="109"/>
        <v>1110</v>
      </c>
      <c r="RK74" s="200" t="str">
        <f t="shared" ca="1" si="66"/>
        <v>Attente…</v>
      </c>
      <c r="RL74" s="199">
        <f t="shared" si="110"/>
        <v>1900</v>
      </c>
      <c r="RM74" s="200" t="str">
        <f t="shared" ca="1" si="111"/>
        <v>Atttente…</v>
      </c>
      <c r="RN74" s="199">
        <f t="shared" si="112"/>
        <v>2200</v>
      </c>
      <c r="RO74" s="200" t="str">
        <f t="shared" ca="1" si="67"/>
        <v>Attente…</v>
      </c>
      <c r="RP74" s="199">
        <f t="shared" si="113"/>
        <v>1300</v>
      </c>
      <c r="RQ74" s="200" t="str">
        <f t="shared" ca="1" si="68"/>
        <v>Attente…</v>
      </c>
      <c r="RR74" s="201">
        <f t="shared" si="114"/>
        <v>6510</v>
      </c>
      <c r="RS74" s="202" t="str">
        <f t="shared" ca="1" si="69"/>
        <v>Attente…</v>
      </c>
      <c r="RT74" s="103"/>
      <c r="RU74" s="203">
        <f t="shared" si="115"/>
        <v>0.66428571428571426</v>
      </c>
      <c r="RV74" s="204">
        <f t="shared" si="65"/>
        <v>1</v>
      </c>
      <c r="RW74" s="204">
        <f t="shared" si="65"/>
        <v>1</v>
      </c>
      <c r="RX74" s="204">
        <f t="shared" si="116"/>
        <v>49</v>
      </c>
      <c r="RY74" s="205" t="str">
        <f t="shared" si="117"/>
        <v>ELBEUF - 26 Rue Leveillé</v>
      </c>
      <c r="RZ74" s="189" t="str">
        <f>IF(OR(RZ73="",RZ73="  &lt;/Document&gt;
&lt;/kml&gt;"),"",
IF(B74="","  &lt;/Document&gt;
&lt;/kml&gt;",
IF(TournéesCAV!Q74=""," ",
"    &lt;Placemark&gt;
      &lt;description&gt;&lt;![CDATA["&amp;B74&amp;"&lt;br&gt;&lt;br&gt;"&amp;RV74&amp;" CAV&lt;br&gt;&lt;br&gt;Présent sur "&amp;RW74&amp;" tournée(s)&lt;br&gt;&lt;br&gt;Taux de remplissage moyen "&amp;TEXT(RU74*1000,"0 %")&amp;"]]&gt;&lt;/description&gt;
      &lt;Style&gt;
        &lt;IconStyle&gt;
          &lt;color&gt;ff"&amp;
          DEC2HEX(0,2)&amp;
          DEC2HEX(
            IF(RU74&lt;=0.5,
               INT(255*(RU74*2)),
               255
            ),2)&amp;
          DEC2HEX(
            IF(RU74&lt;=0.5,
               255,
               INT(255*(1-(RU74-0.5)*2))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&lt;Point&gt;&lt;coordinates&gt;"&amp;R74&amp;","&amp;Q74&amp;",0&lt;/coordinates&gt;&lt;/Point&gt;
    &lt;/Placemark&gt;"
)))</f>
        <v xml:space="preserve">    &lt;Placemark&gt;
      &lt;description&gt;&lt;![CDATA[ELBEUF - 26 Rue Leveillé&lt;br&gt;&lt;br&gt;1 CAV&lt;br&gt;&lt;br&gt;Présent sur 1 tournée(s)&lt;br&gt;&lt;br&gt;Taux de remplissage moyen 66%]]&gt;&lt;/description&gt;
      &lt;Style&gt;
        &lt;IconStyle&gt;
          &lt;color&gt;ff00FFAB&lt;/color&gt;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&lt;Point&gt;&lt;coordinates&gt;1.0063901,49.2844764,0&lt;/coordinates&gt;&lt;/Point&gt;
    &lt;/Placemark&gt;</v>
      </c>
    </row>
    <row r="75" spans="2:494" ht="15" hidden="1" customHeight="1" x14ac:dyDescent="0.35">
      <c r="B75" s="153" t="str">
        <f t="shared" si="70"/>
        <v>CLÉON - Rue Marie-Louise et Raymond Boucher (Déchetterie de Cléon - 10h / 18h)</v>
      </c>
      <c r="C75" s="154">
        <v>126</v>
      </c>
      <c r="D75" s="155"/>
      <c r="E75" s="155"/>
      <c r="F75" s="155"/>
      <c r="G75" s="155"/>
      <c r="H75" s="155"/>
      <c r="I75" s="155"/>
      <c r="J75" s="156"/>
      <c r="K75" s="157">
        <f t="shared" si="71"/>
        <v>1</v>
      </c>
      <c r="L75" s="157">
        <f t="shared" si="72"/>
        <v>1</v>
      </c>
      <c r="M75" s="158" t="s">
        <v>467</v>
      </c>
      <c r="N75" s="159" t="s">
        <v>468</v>
      </c>
      <c r="O75" s="159">
        <v>76410</v>
      </c>
      <c r="P75" s="159" t="s">
        <v>469</v>
      </c>
      <c r="Q75" s="159" t="s">
        <v>470</v>
      </c>
      <c r="R75" s="159" t="s">
        <v>471</v>
      </c>
      <c r="S75" s="159" t="s">
        <v>93</v>
      </c>
      <c r="T75" s="159" t="s">
        <v>159</v>
      </c>
      <c r="U75" s="159" t="s">
        <v>472</v>
      </c>
      <c r="V75" s="160" t="s">
        <v>96</v>
      </c>
      <c r="W75" s="161"/>
      <c r="X75" s="162"/>
      <c r="Y75" s="163"/>
      <c r="Z75" s="162"/>
      <c r="AA75" s="163"/>
      <c r="AB75" s="162"/>
      <c r="AC75" s="163"/>
      <c r="AD75" s="162"/>
      <c r="AE75" s="163"/>
      <c r="AF75" s="162"/>
      <c r="AG75" s="163"/>
      <c r="AH75" s="163"/>
      <c r="AI75" s="162"/>
      <c r="AJ75" s="163"/>
      <c r="AK75" s="162"/>
      <c r="AL75" s="163"/>
      <c r="AM75" s="162"/>
      <c r="AN75" s="163"/>
      <c r="AO75" s="162">
        <v>6</v>
      </c>
      <c r="AP75" s="164"/>
      <c r="AQ75" s="164"/>
      <c r="AR75" s="164"/>
      <c r="AS75" s="164"/>
      <c r="AT75" s="164"/>
      <c r="AU75" s="164"/>
      <c r="AV75" s="164"/>
      <c r="AW75" s="164"/>
      <c r="AX75" s="164"/>
      <c r="AY75" s="165"/>
      <c r="AZ75" s="41"/>
      <c r="BA75" s="190"/>
      <c r="BB75" s="191"/>
      <c r="BC75" s="191"/>
      <c r="BD75" s="191"/>
      <c r="BE75" s="191"/>
      <c r="BF75" s="191"/>
      <c r="BG75" s="191"/>
      <c r="BH75" s="191">
        <v>100</v>
      </c>
      <c r="BI75" s="191"/>
      <c r="BJ75" s="191"/>
      <c r="BK75" s="191"/>
      <c r="BL75" s="191"/>
      <c r="BM75" s="191"/>
      <c r="BN75" s="191"/>
      <c r="BO75" s="191">
        <v>10</v>
      </c>
      <c r="BP75" s="191"/>
      <c r="BQ75" s="191"/>
      <c r="BR75" s="191"/>
      <c r="BS75" s="191"/>
      <c r="BT75" s="191"/>
      <c r="BU75" s="191"/>
      <c r="BV75" s="191">
        <v>100</v>
      </c>
      <c r="BW75" s="191"/>
      <c r="BX75" s="191"/>
      <c r="BY75" s="191"/>
      <c r="BZ75" s="191"/>
      <c r="CA75" s="191"/>
      <c r="CB75" s="191"/>
      <c r="CC75" s="191">
        <v>10</v>
      </c>
      <c r="CD75" s="191"/>
      <c r="CE75" s="192"/>
      <c r="CF75" s="190"/>
      <c r="CG75" s="191"/>
      <c r="CH75" s="191"/>
      <c r="CI75" s="191"/>
      <c r="CJ75" s="191">
        <v>50</v>
      </c>
      <c r="CK75" s="191"/>
      <c r="CL75" s="191"/>
      <c r="CM75" s="191"/>
      <c r="CN75" s="191"/>
      <c r="CO75" s="191"/>
      <c r="CP75" s="191"/>
      <c r="CQ75" s="191">
        <v>50</v>
      </c>
      <c r="CR75" s="191"/>
      <c r="CS75" s="191"/>
      <c r="CT75" s="191"/>
      <c r="CU75" s="191"/>
      <c r="CV75" s="191"/>
      <c r="CW75" s="191"/>
      <c r="CX75" s="191"/>
      <c r="CY75" s="191"/>
      <c r="CZ75" s="191"/>
      <c r="DA75" s="191"/>
      <c r="DB75" s="191"/>
      <c r="DC75" s="191"/>
      <c r="DD75" s="191"/>
      <c r="DE75" s="191"/>
      <c r="DF75" s="191"/>
      <c r="DG75" s="191"/>
      <c r="DH75" s="193"/>
      <c r="DI75" s="194"/>
      <c r="DJ75" s="191"/>
      <c r="DK75" s="191"/>
      <c r="DL75" s="191"/>
      <c r="DM75" s="191"/>
      <c r="DN75" s="191"/>
      <c r="DO75" s="191"/>
      <c r="DP75" s="191"/>
      <c r="DQ75" s="191"/>
      <c r="DR75" s="191"/>
      <c r="DS75" s="191"/>
      <c r="DT75" s="191">
        <v>150</v>
      </c>
      <c r="DU75" s="191"/>
      <c r="DV75" s="191"/>
      <c r="DW75" s="191"/>
      <c r="DX75" s="191"/>
      <c r="DY75" s="191"/>
      <c r="DZ75" s="191"/>
      <c r="EA75" s="191">
        <v>100</v>
      </c>
      <c r="EB75" s="191"/>
      <c r="EC75" s="191"/>
      <c r="ED75" s="191"/>
      <c r="EE75" s="191"/>
      <c r="EF75" s="191"/>
      <c r="EG75" s="191"/>
      <c r="EH75" s="191">
        <v>100</v>
      </c>
      <c r="EI75" s="191"/>
      <c r="EJ75" s="191"/>
      <c r="EK75" s="191"/>
      <c r="EL75" s="191"/>
      <c r="EM75" s="192"/>
      <c r="EN75" s="190"/>
      <c r="EO75" s="191">
        <v>50</v>
      </c>
      <c r="EP75" s="191"/>
      <c r="EQ75" s="191"/>
      <c r="ER75" s="191"/>
      <c r="ES75" s="191"/>
      <c r="ET75" s="191"/>
      <c r="EU75" s="191"/>
      <c r="EV75" s="191">
        <v>50</v>
      </c>
      <c r="EW75" s="191"/>
      <c r="EX75" s="191"/>
      <c r="EY75" s="191"/>
      <c r="EZ75" s="191"/>
      <c r="FA75" s="191"/>
      <c r="FB75" s="191"/>
      <c r="FC75" s="191">
        <v>50</v>
      </c>
      <c r="FD75" s="191"/>
      <c r="FE75" s="191"/>
      <c r="FF75" s="191"/>
      <c r="FG75" s="191"/>
      <c r="FH75" s="191"/>
      <c r="FI75" s="191"/>
      <c r="FJ75" s="191">
        <v>50</v>
      </c>
      <c r="FK75" s="191"/>
      <c r="FL75" s="191"/>
      <c r="FM75" s="191"/>
      <c r="FN75" s="191"/>
      <c r="FO75" s="191"/>
      <c r="FP75" s="191"/>
      <c r="FQ75" s="193">
        <v>50</v>
      </c>
      <c r="FR75" s="194"/>
      <c r="FS75" s="191"/>
      <c r="FT75" s="191"/>
      <c r="FU75" s="191"/>
      <c r="FV75" s="191"/>
      <c r="FW75" s="191"/>
      <c r="FX75" s="191">
        <v>50</v>
      </c>
      <c r="FY75" s="191"/>
      <c r="FZ75" s="191"/>
      <c r="GA75" s="191"/>
      <c r="GB75" s="191"/>
      <c r="GC75" s="191"/>
      <c r="GD75" s="191"/>
      <c r="GE75" s="191">
        <v>200</v>
      </c>
      <c r="GF75" s="191"/>
      <c r="GG75" s="191"/>
      <c r="GH75" s="191"/>
      <c r="GI75" s="191"/>
      <c r="GJ75" s="191"/>
      <c r="GK75" s="191"/>
      <c r="GL75" s="191">
        <v>100</v>
      </c>
      <c r="GM75" s="191"/>
      <c r="GN75" s="191"/>
      <c r="GO75" s="191"/>
      <c r="GP75" s="191"/>
      <c r="GQ75" s="191"/>
      <c r="GR75" s="191"/>
      <c r="GS75" s="191">
        <v>50</v>
      </c>
      <c r="GT75" s="191"/>
      <c r="GU75" s="191"/>
      <c r="GV75" s="192"/>
      <c r="GW75" s="190"/>
      <c r="GX75" s="191"/>
      <c r="GY75" s="191"/>
      <c r="GZ75" s="191">
        <v>100</v>
      </c>
      <c r="HA75" s="191"/>
      <c r="HB75" s="191"/>
      <c r="HC75" s="191"/>
      <c r="HD75" s="191"/>
      <c r="HE75" s="191"/>
      <c r="HF75" s="191"/>
      <c r="HG75" s="191"/>
      <c r="HH75" s="191"/>
      <c r="HI75" s="191"/>
      <c r="HJ75" s="191"/>
      <c r="HK75" s="191"/>
      <c r="HL75" s="191"/>
      <c r="HM75" s="191"/>
      <c r="HN75" s="191">
        <v>100</v>
      </c>
      <c r="HO75" s="191"/>
      <c r="HP75" s="191"/>
      <c r="HQ75" s="191"/>
      <c r="HR75" s="191"/>
      <c r="HS75" s="191"/>
      <c r="HT75" s="191"/>
      <c r="HU75" s="191">
        <v>150</v>
      </c>
      <c r="HV75" s="191"/>
      <c r="HW75" s="191"/>
      <c r="HX75" s="191"/>
      <c r="HY75" s="191"/>
      <c r="HZ75" s="193"/>
      <c r="IA75" s="194"/>
      <c r="IB75" s="191"/>
      <c r="IC75" s="191"/>
      <c r="ID75" s="191"/>
      <c r="IE75" s="191"/>
      <c r="IF75" s="191"/>
      <c r="IG75" s="191"/>
      <c r="IH75" s="191"/>
      <c r="II75" s="191">
        <v>100</v>
      </c>
      <c r="IJ75" s="191"/>
      <c r="IK75" s="191"/>
      <c r="IL75" s="191"/>
      <c r="IM75" s="191"/>
      <c r="IN75" s="191"/>
      <c r="IO75" s="191"/>
      <c r="IP75" s="191"/>
      <c r="IQ75" s="191">
        <v>50</v>
      </c>
      <c r="IR75" s="191"/>
      <c r="IS75" s="191"/>
      <c r="IT75" s="191"/>
      <c r="IU75" s="191"/>
      <c r="IV75" s="191"/>
      <c r="IW75" s="191"/>
      <c r="IX75" s="191">
        <v>150</v>
      </c>
      <c r="IY75" s="191"/>
      <c r="IZ75" s="191"/>
      <c r="JA75" s="191"/>
      <c r="JB75" s="191"/>
      <c r="JC75" s="191"/>
      <c r="JD75" s="191">
        <v>50</v>
      </c>
      <c r="JE75" s="192"/>
      <c r="JF75" s="190"/>
      <c r="JG75" s="191"/>
      <c r="JH75" s="191"/>
      <c r="JI75" s="191"/>
      <c r="JJ75" s="191"/>
      <c r="JK75" s="191">
        <v>150</v>
      </c>
      <c r="JL75" s="191"/>
      <c r="JM75" s="191"/>
      <c r="JN75" s="191"/>
      <c r="JO75" s="191"/>
      <c r="JP75" s="191"/>
      <c r="JQ75" s="191"/>
      <c r="JR75" s="191"/>
      <c r="JS75" s="191">
        <v>100</v>
      </c>
      <c r="JT75" s="191"/>
      <c r="JU75" s="191"/>
      <c r="JV75" s="191"/>
      <c r="JW75" s="191"/>
      <c r="JX75" s="191"/>
      <c r="JY75" s="191">
        <v>150</v>
      </c>
      <c r="JZ75" s="191"/>
      <c r="KA75" s="191"/>
      <c r="KB75" s="191"/>
      <c r="KC75" s="191"/>
      <c r="KD75" s="191"/>
      <c r="KE75" s="191"/>
      <c r="KF75" s="191"/>
      <c r="KG75" s="191">
        <v>100</v>
      </c>
      <c r="KH75" s="191"/>
      <c r="KI75" s="191"/>
      <c r="KJ75" s="193"/>
      <c r="KK75" s="194"/>
      <c r="KL75" s="191"/>
      <c r="KM75" s="191">
        <v>100</v>
      </c>
      <c r="KN75" s="191"/>
      <c r="KO75" s="191"/>
      <c r="KP75" s="191"/>
      <c r="KQ75" s="191"/>
      <c r="KR75" s="191"/>
      <c r="KS75" s="191"/>
      <c r="KT75" s="191"/>
      <c r="KU75" s="191">
        <v>50</v>
      </c>
      <c r="KV75" s="191"/>
      <c r="KW75" s="191"/>
      <c r="KX75" s="191"/>
      <c r="KY75" s="191"/>
      <c r="KZ75" s="191"/>
      <c r="LA75" s="191">
        <v>100</v>
      </c>
      <c r="LB75" s="191"/>
      <c r="LC75" s="191"/>
      <c r="LD75" s="191"/>
      <c r="LE75" s="191"/>
      <c r="LF75" s="191"/>
      <c r="LG75" s="191"/>
      <c r="LH75" s="191">
        <v>50</v>
      </c>
      <c r="LI75" s="191"/>
      <c r="LJ75" s="191"/>
      <c r="LK75" s="191"/>
      <c r="LL75" s="191"/>
      <c r="LM75" s="191"/>
      <c r="LN75" s="192"/>
      <c r="LO75" s="190">
        <v>10</v>
      </c>
      <c r="LP75" s="191"/>
      <c r="LQ75" s="191"/>
      <c r="LR75" s="191"/>
      <c r="LS75" s="191"/>
      <c r="LT75" s="191"/>
      <c r="LU75" s="191"/>
      <c r="LV75" s="191">
        <v>50</v>
      </c>
      <c r="LW75" s="191"/>
      <c r="LX75" s="191"/>
      <c r="LY75" s="191"/>
      <c r="LZ75" s="191"/>
      <c r="MA75" s="191"/>
      <c r="MB75" s="191"/>
      <c r="MC75" s="191">
        <v>50</v>
      </c>
      <c r="MD75" s="191"/>
      <c r="ME75" s="191"/>
      <c r="MF75" s="191"/>
      <c r="MG75" s="191"/>
      <c r="MH75" s="191"/>
      <c r="MI75" s="191"/>
      <c r="MJ75" s="191">
        <v>50</v>
      </c>
      <c r="MK75" s="191"/>
      <c r="ML75" s="191"/>
      <c r="MM75" s="191"/>
      <c r="MN75" s="191"/>
      <c r="MO75" s="191"/>
      <c r="MP75" s="191"/>
      <c r="MQ75" s="191">
        <v>50</v>
      </c>
      <c r="MR75" s="191"/>
      <c r="MS75" s="193"/>
      <c r="MT75" s="194"/>
      <c r="MU75" s="191"/>
      <c r="MV75" s="191"/>
      <c r="MW75" s="191"/>
      <c r="MX75" s="191">
        <v>10</v>
      </c>
      <c r="MY75" s="191"/>
      <c r="MZ75" s="191"/>
      <c r="NA75" s="191"/>
      <c r="NB75" s="191"/>
      <c r="NC75" s="191"/>
      <c r="ND75" s="191"/>
      <c r="NE75" s="191"/>
      <c r="NF75" s="191"/>
      <c r="NG75" s="191"/>
      <c r="NH75" s="191"/>
      <c r="NI75" s="191"/>
      <c r="NJ75" s="191"/>
      <c r="NK75" s="191"/>
      <c r="NL75" s="191"/>
      <c r="NM75" s="191">
        <v>150</v>
      </c>
      <c r="NN75" s="191"/>
      <c r="NO75" s="191"/>
      <c r="NP75" s="191"/>
      <c r="NQ75" s="191"/>
      <c r="NR75" s="191"/>
      <c r="NS75" s="191"/>
      <c r="NT75" s="191"/>
      <c r="NU75" s="191"/>
      <c r="NV75" s="191"/>
      <c r="NW75" s="192"/>
      <c r="NX75" s="190"/>
      <c r="NY75" s="191"/>
      <c r="NZ75" s="191">
        <v>50</v>
      </c>
      <c r="OA75" s="191"/>
      <c r="OB75" s="191"/>
      <c r="OC75" s="191"/>
      <c r="OD75" s="191"/>
      <c r="OE75" s="191"/>
      <c r="OF75" s="191"/>
      <c r="OG75" s="191">
        <v>50</v>
      </c>
      <c r="OH75" s="191"/>
      <c r="OI75" s="191"/>
      <c r="OJ75" s="191"/>
      <c r="OK75" s="191"/>
      <c r="OL75" s="191"/>
      <c r="OM75" s="191"/>
      <c r="ON75" s="191">
        <v>100</v>
      </c>
      <c r="OO75" s="191"/>
      <c r="OP75" s="191"/>
      <c r="OQ75" s="191"/>
      <c r="OR75" s="191"/>
      <c r="OS75" s="191"/>
      <c r="OT75" s="191"/>
      <c r="OU75" s="191"/>
      <c r="OV75" s="191"/>
      <c r="OW75" s="191"/>
      <c r="OX75" s="191"/>
      <c r="OY75" s="191"/>
      <c r="OZ75" s="191"/>
      <c r="PA75" s="191"/>
      <c r="PB75" s="193"/>
      <c r="PC75" s="47"/>
      <c r="PD75" s="154" t="s">
        <v>97</v>
      </c>
      <c r="PE75" s="155" t="s">
        <v>97</v>
      </c>
      <c r="PF75" s="155" t="s">
        <v>98</v>
      </c>
      <c r="PG75" s="155" t="s">
        <v>98</v>
      </c>
      <c r="PH75" s="155" t="s">
        <v>98</v>
      </c>
      <c r="PI75" s="155" t="s">
        <v>98</v>
      </c>
      <c r="PJ75" s="155" t="s">
        <v>98</v>
      </c>
      <c r="PK75" s="155" t="s">
        <v>98</v>
      </c>
      <c r="PL75" s="155" t="s">
        <v>98</v>
      </c>
      <c r="PM75" s="155" t="s">
        <v>98</v>
      </c>
      <c r="PN75" s="155" t="s">
        <v>98</v>
      </c>
      <c r="PO75" s="156"/>
      <c r="PP75" s="156"/>
      <c r="PQ75" s="156"/>
      <c r="PR75" s="156"/>
      <c r="PS75" s="156"/>
      <c r="PT75" s="156"/>
      <c r="PU75" s="156"/>
      <c r="PV75" s="156"/>
      <c r="PW75" s="156"/>
      <c r="PX75" s="195"/>
      <c r="PY75" s="1"/>
      <c r="PZ75" s="196">
        <f t="shared" si="73"/>
        <v>220</v>
      </c>
      <c r="QA75" s="176">
        <f t="shared" si="74"/>
        <v>1.8353215983982648E-3</v>
      </c>
      <c r="QB75" s="177" t="str">
        <f t="shared" ca="1" si="75"/>
        <v>Attente…</v>
      </c>
      <c r="QC75" s="197">
        <f t="shared" si="76"/>
        <v>100</v>
      </c>
      <c r="QD75" s="179">
        <f t="shared" si="77"/>
        <v>9.3632958801498128E-4</v>
      </c>
      <c r="QE75" s="180" t="str">
        <f t="shared" ca="1" si="78"/>
        <v>Attente…</v>
      </c>
      <c r="QF75" s="196">
        <f t="shared" si="79"/>
        <v>350</v>
      </c>
      <c r="QG75" s="176">
        <f t="shared" si="80"/>
        <v>2.787068004459309E-3</v>
      </c>
      <c r="QH75" s="177" t="str">
        <f t="shared" ca="1" si="81"/>
        <v>Attente…</v>
      </c>
      <c r="QI75" s="197">
        <f t="shared" si="82"/>
        <v>250</v>
      </c>
      <c r="QJ75" s="179">
        <f t="shared" si="83"/>
        <v>1.7534015991022584E-3</v>
      </c>
      <c r="QK75" s="180" t="str">
        <f t="shared" ca="1" si="84"/>
        <v>Attente…</v>
      </c>
      <c r="QL75" s="196">
        <f t="shared" si="85"/>
        <v>400</v>
      </c>
      <c r="QM75" s="176">
        <f t="shared" si="86"/>
        <v>2.9265437518290896E-3</v>
      </c>
      <c r="QN75" s="177" t="str">
        <f t="shared" ca="1" si="87"/>
        <v>Attente…</v>
      </c>
      <c r="QO75" s="197">
        <f t="shared" si="88"/>
        <v>350</v>
      </c>
      <c r="QP75" s="179">
        <f t="shared" si="89"/>
        <v>2.7401550144836766E-3</v>
      </c>
      <c r="QQ75" s="180" t="str">
        <f t="shared" ca="1" si="90"/>
        <v>Attente…</v>
      </c>
      <c r="QR75" s="196">
        <f t="shared" si="91"/>
        <v>350</v>
      </c>
      <c r="QS75" s="176">
        <f t="shared" si="92"/>
        <v>2.5197077139051871E-3</v>
      </c>
      <c r="QT75" s="177" t="str">
        <f t="shared" ca="1" si="93"/>
        <v>Attente…</v>
      </c>
      <c r="QU75" s="197">
        <f t="shared" si="94"/>
        <v>500</v>
      </c>
      <c r="QV75" s="179">
        <f t="shared" si="95"/>
        <v>3.4473248758963046E-3</v>
      </c>
      <c r="QW75" s="180" t="str">
        <f t="shared" ca="1" si="96"/>
        <v>Attente…</v>
      </c>
      <c r="QX75" s="196">
        <f t="shared" si="97"/>
        <v>300</v>
      </c>
      <c r="QY75" s="176">
        <f t="shared" si="98"/>
        <v>2.1892057561516682E-3</v>
      </c>
      <c r="QZ75" s="177" t="str">
        <f t="shared" ca="1" si="99"/>
        <v>Attente…</v>
      </c>
      <c r="RA75" s="197">
        <f t="shared" si="100"/>
        <v>210</v>
      </c>
      <c r="RB75" s="179">
        <f t="shared" si="101"/>
        <v>1.643063923010719E-3</v>
      </c>
      <c r="RC75" s="180" t="str">
        <f t="shared" ca="1" si="102"/>
        <v>Attente…</v>
      </c>
      <c r="RD75" s="196">
        <f t="shared" si="103"/>
        <v>160</v>
      </c>
      <c r="RE75" s="176">
        <f t="shared" si="104"/>
        <v>1.5942606616181746E-3</v>
      </c>
      <c r="RF75" s="177" t="str">
        <f t="shared" ca="1" si="105"/>
        <v>Attente…</v>
      </c>
      <c r="RG75" s="197">
        <f t="shared" si="106"/>
        <v>200</v>
      </c>
      <c r="RH75" s="179">
        <f t="shared" si="107"/>
        <v>3.6784991723376862E-3</v>
      </c>
      <c r="RI75" s="198" t="str">
        <f t="shared" ca="1" si="108"/>
        <v>Attente…</v>
      </c>
      <c r="RJ75" s="199">
        <f t="shared" si="109"/>
        <v>670</v>
      </c>
      <c r="RK75" s="200" t="str">
        <f t="shared" ca="1" si="66"/>
        <v>Attente…</v>
      </c>
      <c r="RL75" s="199">
        <f t="shared" si="110"/>
        <v>1000</v>
      </c>
      <c r="RM75" s="200" t="str">
        <f t="shared" ca="1" si="111"/>
        <v>Atttente…</v>
      </c>
      <c r="RN75" s="199">
        <f t="shared" si="112"/>
        <v>1150</v>
      </c>
      <c r="RO75" s="200" t="str">
        <f t="shared" ca="1" si="67"/>
        <v>Attente…</v>
      </c>
      <c r="RP75" s="199">
        <f t="shared" si="113"/>
        <v>570</v>
      </c>
      <c r="RQ75" s="200" t="str">
        <f t="shared" ca="1" si="68"/>
        <v>Attente…</v>
      </c>
      <c r="RR75" s="201">
        <f t="shared" si="114"/>
        <v>3390</v>
      </c>
      <c r="RS75" s="202" t="str">
        <f t="shared" ca="1" si="69"/>
        <v>Attente…</v>
      </c>
      <c r="RT75" s="103"/>
      <c r="RU75" s="203">
        <f t="shared" si="115"/>
        <v>0.39418604651162786</v>
      </c>
      <c r="RV75" s="204">
        <f t="shared" si="65"/>
        <v>1</v>
      </c>
      <c r="RW75" s="204">
        <f t="shared" si="65"/>
        <v>1</v>
      </c>
      <c r="RX75" s="204">
        <f t="shared" si="116"/>
        <v>43</v>
      </c>
      <c r="RY75" s="205" t="str">
        <f t="shared" si="117"/>
        <v>CLÉON - Rue Marie-Louise et Raymond Boucher (Déchetterie de Cléon - 10h / 18h)</v>
      </c>
      <c r="RZ75" s="189" t="str">
        <f>IF(OR(RZ74="",RZ74="  &lt;/Document&gt;
&lt;/kml&gt;"),"",
IF(B75="","  &lt;/Document&gt;
&lt;/kml&gt;",
IF(TournéesCAV!Q75=""," ",
"    &lt;Placemark&gt;
      &lt;description&gt;&lt;![CDATA["&amp;B75&amp;"&lt;br&gt;&lt;br&gt;"&amp;RV75&amp;" CAV&lt;br&gt;&lt;br&gt;Présent sur "&amp;RW75&amp;" tournée(s)&lt;br&gt;&lt;br&gt;Taux de remplissage moyen "&amp;TEXT(RU75*1000,"0 %")&amp;"]]&gt;&lt;/description&gt;
      &lt;Style&gt;
        &lt;IconStyle&gt;
          &lt;color&gt;ff"&amp;
          DEC2HEX(0,2)&amp;
          DEC2HEX(
            IF(RU75&lt;=0.5,
               INT(255*(RU75*2)),
               255
            ),2)&amp;
          DEC2HEX(
            IF(RU75&lt;=0.5,
               255,
               INT(255*(1-(RU75-0.5)*2))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&lt;Point&gt;&lt;coordinates&gt;"&amp;R75&amp;","&amp;Q75&amp;",0&lt;/coordinates&gt;&lt;/Point&gt;
    &lt;/Placemark&gt;"
)))</f>
        <v xml:space="preserve">    &lt;Placemark&gt;
      &lt;description&gt;&lt;![CDATA[CLÉON - Rue Marie-Louise et Raymond Boucher (Déchetterie de Cléon - 10h / 18h)&lt;br&gt;&lt;br&gt;1 CAV&lt;br&gt;&lt;br&gt;Présent sur 1 tournée(s)&lt;br&gt;&lt;br&gt;Taux de remplissage moyen 39%]]&gt;&lt;/description&gt;
      &lt;Style&gt;
        &lt;IconStyle&gt;
          &lt;color&gt;ff00C9FF&lt;/color&gt;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&lt;Point&gt;&lt;coordinates&gt;1.0562184915405437,49.31915735339666,0&lt;/coordinates&gt;&lt;/Point&gt;
    &lt;/Placemark&gt;</v>
      </c>
    </row>
    <row r="76" spans="2:494" ht="15" hidden="1" customHeight="1" x14ac:dyDescent="0.35">
      <c r="B76" s="153" t="str">
        <f t="shared" si="70"/>
        <v>SOTTEVILLE-LÈS-ROUEN - 4 rue du Docteur Galouen</v>
      </c>
      <c r="C76" s="154" t="s">
        <v>104</v>
      </c>
      <c r="D76" s="155"/>
      <c r="E76" s="155"/>
      <c r="F76" s="155"/>
      <c r="G76" s="155"/>
      <c r="H76" s="155"/>
      <c r="I76" s="155"/>
      <c r="J76" s="156"/>
      <c r="K76" s="157">
        <f t="shared" si="71"/>
        <v>1</v>
      </c>
      <c r="L76" s="157">
        <f t="shared" si="72"/>
        <v>2</v>
      </c>
      <c r="M76" s="158" t="s">
        <v>473</v>
      </c>
      <c r="N76" s="159"/>
      <c r="O76" s="159">
        <v>76300</v>
      </c>
      <c r="P76" s="159" t="s">
        <v>275</v>
      </c>
      <c r="Q76" s="159" t="s">
        <v>474</v>
      </c>
      <c r="R76" s="159" t="s">
        <v>475</v>
      </c>
      <c r="S76" s="159" t="s">
        <v>93</v>
      </c>
      <c r="T76" s="159" t="s">
        <v>278</v>
      </c>
      <c r="U76" s="159" t="s">
        <v>476</v>
      </c>
      <c r="V76" s="160" t="s">
        <v>96</v>
      </c>
      <c r="W76" s="161"/>
      <c r="X76" s="162"/>
      <c r="Y76" s="163"/>
      <c r="Z76" s="162"/>
      <c r="AA76" s="163">
        <v>6</v>
      </c>
      <c r="AB76" s="162">
        <v>7</v>
      </c>
      <c r="AC76" s="163"/>
      <c r="AD76" s="162"/>
      <c r="AE76" s="163"/>
      <c r="AF76" s="162"/>
      <c r="AG76" s="163"/>
      <c r="AH76" s="163"/>
      <c r="AI76" s="162"/>
      <c r="AJ76" s="163"/>
      <c r="AK76" s="162"/>
      <c r="AL76" s="163"/>
      <c r="AM76" s="162"/>
      <c r="AN76" s="163"/>
      <c r="AO76" s="162"/>
      <c r="AP76" s="164"/>
      <c r="AQ76" s="164"/>
      <c r="AR76" s="164"/>
      <c r="AS76" s="164"/>
      <c r="AT76" s="164"/>
      <c r="AU76" s="164"/>
      <c r="AV76" s="164"/>
      <c r="AW76" s="164"/>
      <c r="AX76" s="164"/>
      <c r="AY76" s="165"/>
      <c r="AZ76" s="41"/>
      <c r="BA76" s="190"/>
      <c r="BB76" s="191"/>
      <c r="BC76" s="191">
        <v>200</v>
      </c>
      <c r="BD76" s="191"/>
      <c r="BE76" s="191"/>
      <c r="BF76" s="191"/>
      <c r="BG76" s="191">
        <v>150</v>
      </c>
      <c r="BH76" s="191"/>
      <c r="BI76" s="191"/>
      <c r="BJ76" s="191">
        <v>100</v>
      </c>
      <c r="BK76" s="191"/>
      <c r="BL76" s="191"/>
      <c r="BM76" s="191"/>
      <c r="BN76" s="191">
        <v>200</v>
      </c>
      <c r="BO76" s="191"/>
      <c r="BP76" s="191"/>
      <c r="BQ76" s="191">
        <v>200</v>
      </c>
      <c r="BR76" s="191"/>
      <c r="BS76" s="191"/>
      <c r="BT76" s="191"/>
      <c r="BU76" s="191">
        <v>50</v>
      </c>
      <c r="BV76" s="191"/>
      <c r="BW76" s="191"/>
      <c r="BX76" s="191">
        <v>50</v>
      </c>
      <c r="BY76" s="191"/>
      <c r="BZ76" s="191"/>
      <c r="CA76" s="191"/>
      <c r="CB76" s="191">
        <v>200</v>
      </c>
      <c r="CC76" s="191"/>
      <c r="CD76" s="191"/>
      <c r="CE76" s="192">
        <v>50</v>
      </c>
      <c r="CF76" s="190"/>
      <c r="CG76" s="191"/>
      <c r="CH76" s="191"/>
      <c r="CI76" s="191">
        <v>50</v>
      </c>
      <c r="CJ76" s="191"/>
      <c r="CK76" s="191"/>
      <c r="CL76" s="191">
        <v>150</v>
      </c>
      <c r="CM76" s="191"/>
      <c r="CN76" s="191"/>
      <c r="CO76" s="191"/>
      <c r="CP76" s="191">
        <v>150</v>
      </c>
      <c r="CQ76" s="191"/>
      <c r="CR76" s="191"/>
      <c r="CS76" s="191">
        <v>150</v>
      </c>
      <c r="CT76" s="191"/>
      <c r="CU76" s="191"/>
      <c r="CV76" s="191"/>
      <c r="CW76" s="191">
        <v>150</v>
      </c>
      <c r="CX76" s="191"/>
      <c r="CY76" s="191"/>
      <c r="CZ76" s="191">
        <v>150</v>
      </c>
      <c r="DA76" s="191"/>
      <c r="DB76" s="191"/>
      <c r="DC76" s="191"/>
      <c r="DD76" s="191">
        <v>200</v>
      </c>
      <c r="DE76" s="191"/>
      <c r="DF76" s="191"/>
      <c r="DG76" s="191">
        <v>200</v>
      </c>
      <c r="DH76" s="193"/>
      <c r="DI76" s="194"/>
      <c r="DJ76" s="191"/>
      <c r="DK76" s="191"/>
      <c r="DL76" s="191">
        <v>100</v>
      </c>
      <c r="DM76" s="191"/>
      <c r="DN76" s="191"/>
      <c r="DO76" s="191">
        <v>200</v>
      </c>
      <c r="DP76" s="191"/>
      <c r="DQ76" s="191"/>
      <c r="DR76" s="191"/>
      <c r="DS76" s="191">
        <v>100</v>
      </c>
      <c r="DT76" s="191"/>
      <c r="DU76" s="191"/>
      <c r="DV76" s="191">
        <v>200</v>
      </c>
      <c r="DW76" s="191"/>
      <c r="DX76" s="191"/>
      <c r="DY76" s="191"/>
      <c r="DZ76" s="191">
        <v>150</v>
      </c>
      <c r="EA76" s="191"/>
      <c r="EB76" s="191"/>
      <c r="EC76" s="191">
        <v>100</v>
      </c>
      <c r="ED76" s="191"/>
      <c r="EE76" s="191"/>
      <c r="EF76" s="191"/>
      <c r="EG76" s="191">
        <v>200</v>
      </c>
      <c r="EH76" s="191"/>
      <c r="EI76" s="191"/>
      <c r="EJ76" s="191">
        <v>100</v>
      </c>
      <c r="EK76" s="191"/>
      <c r="EL76" s="191"/>
      <c r="EM76" s="192"/>
      <c r="EN76" s="190">
        <v>100</v>
      </c>
      <c r="EO76" s="191"/>
      <c r="EP76" s="191"/>
      <c r="EQ76" s="191">
        <v>100</v>
      </c>
      <c r="ER76" s="191"/>
      <c r="ES76" s="191"/>
      <c r="ET76" s="191"/>
      <c r="EU76" s="191"/>
      <c r="EV76" s="191"/>
      <c r="EW76" s="191"/>
      <c r="EX76" s="191">
        <v>200</v>
      </c>
      <c r="EY76" s="191"/>
      <c r="EZ76" s="191"/>
      <c r="FA76" s="191"/>
      <c r="FB76" s="191">
        <v>200</v>
      </c>
      <c r="FC76" s="191"/>
      <c r="FD76" s="191"/>
      <c r="FE76" s="191">
        <v>200</v>
      </c>
      <c r="FF76" s="191"/>
      <c r="FG76" s="191"/>
      <c r="FH76" s="191"/>
      <c r="FI76" s="191">
        <v>200</v>
      </c>
      <c r="FJ76" s="191"/>
      <c r="FK76" s="191"/>
      <c r="FL76" s="191"/>
      <c r="FM76" s="191"/>
      <c r="FN76" s="191"/>
      <c r="FO76" s="191"/>
      <c r="FP76" s="191">
        <v>150</v>
      </c>
      <c r="FQ76" s="193"/>
      <c r="FR76" s="194"/>
      <c r="FS76" s="191">
        <v>200</v>
      </c>
      <c r="FT76" s="191"/>
      <c r="FU76" s="191"/>
      <c r="FV76" s="191"/>
      <c r="FW76" s="191">
        <v>200</v>
      </c>
      <c r="FX76" s="191"/>
      <c r="FY76" s="191"/>
      <c r="FZ76" s="191">
        <v>200</v>
      </c>
      <c r="GA76" s="191"/>
      <c r="GB76" s="191"/>
      <c r="GC76" s="191"/>
      <c r="GD76" s="191">
        <v>200</v>
      </c>
      <c r="GE76" s="191"/>
      <c r="GF76" s="191"/>
      <c r="GG76" s="191">
        <v>200</v>
      </c>
      <c r="GH76" s="191"/>
      <c r="GI76" s="191"/>
      <c r="GJ76" s="191"/>
      <c r="GK76" s="191">
        <v>150</v>
      </c>
      <c r="GL76" s="191"/>
      <c r="GM76" s="191"/>
      <c r="GN76" s="191">
        <v>200</v>
      </c>
      <c r="GO76" s="191"/>
      <c r="GP76" s="191"/>
      <c r="GQ76" s="191"/>
      <c r="GR76" s="191">
        <v>200</v>
      </c>
      <c r="GS76" s="191"/>
      <c r="GT76" s="191"/>
      <c r="GU76" s="191">
        <v>150</v>
      </c>
      <c r="GV76" s="192"/>
      <c r="GW76" s="190"/>
      <c r="GX76" s="191"/>
      <c r="GY76" s="191">
        <v>200</v>
      </c>
      <c r="GZ76" s="191"/>
      <c r="HA76" s="191"/>
      <c r="HB76" s="191">
        <v>150</v>
      </c>
      <c r="HC76" s="191"/>
      <c r="HD76" s="191"/>
      <c r="HE76" s="191"/>
      <c r="HF76" s="191">
        <v>200</v>
      </c>
      <c r="HG76" s="191"/>
      <c r="HH76" s="191"/>
      <c r="HI76" s="191">
        <v>200</v>
      </c>
      <c r="HJ76" s="191"/>
      <c r="HK76" s="191"/>
      <c r="HL76" s="191"/>
      <c r="HM76" s="191">
        <v>200</v>
      </c>
      <c r="HN76" s="191"/>
      <c r="HO76" s="191"/>
      <c r="HP76" s="191">
        <v>100</v>
      </c>
      <c r="HQ76" s="191"/>
      <c r="HR76" s="191"/>
      <c r="HS76" s="191"/>
      <c r="HT76" s="191">
        <v>150</v>
      </c>
      <c r="HU76" s="191"/>
      <c r="HV76" s="191"/>
      <c r="HW76" s="191">
        <v>150</v>
      </c>
      <c r="HX76" s="191"/>
      <c r="HY76" s="191"/>
      <c r="HZ76" s="193"/>
      <c r="IA76" s="194">
        <v>200</v>
      </c>
      <c r="IB76" s="191"/>
      <c r="IC76" s="191"/>
      <c r="ID76" s="191">
        <v>100</v>
      </c>
      <c r="IE76" s="191"/>
      <c r="IF76" s="191"/>
      <c r="IG76" s="191"/>
      <c r="IH76" s="191"/>
      <c r="II76" s="191"/>
      <c r="IJ76" s="191"/>
      <c r="IK76" s="191">
        <v>200</v>
      </c>
      <c r="IL76" s="191"/>
      <c r="IM76" s="191"/>
      <c r="IN76" s="191"/>
      <c r="IO76" s="191"/>
      <c r="IP76" s="191">
        <v>150</v>
      </c>
      <c r="IQ76" s="191"/>
      <c r="IR76" s="191"/>
      <c r="IS76" s="191"/>
      <c r="IT76" s="191"/>
      <c r="IU76" s="191"/>
      <c r="IV76" s="191">
        <v>200</v>
      </c>
      <c r="IW76" s="191"/>
      <c r="IX76" s="191"/>
      <c r="IY76" s="191"/>
      <c r="IZ76" s="191"/>
      <c r="JA76" s="191"/>
      <c r="JB76" s="191"/>
      <c r="JC76" s="191">
        <v>200</v>
      </c>
      <c r="JD76" s="191"/>
      <c r="JE76" s="192"/>
      <c r="JF76" s="190">
        <v>200</v>
      </c>
      <c r="JG76" s="191"/>
      <c r="JH76" s="191"/>
      <c r="JI76" s="191"/>
      <c r="JJ76" s="191">
        <v>200</v>
      </c>
      <c r="JK76" s="191"/>
      <c r="JL76" s="191"/>
      <c r="JM76" s="191">
        <v>200</v>
      </c>
      <c r="JN76" s="191"/>
      <c r="JO76" s="191"/>
      <c r="JP76" s="191"/>
      <c r="JQ76" s="191">
        <v>200</v>
      </c>
      <c r="JR76" s="191"/>
      <c r="JS76" s="191"/>
      <c r="JT76" s="191"/>
      <c r="JU76" s="191"/>
      <c r="JV76" s="191"/>
      <c r="JW76" s="191"/>
      <c r="JX76" s="191"/>
      <c r="JY76" s="191"/>
      <c r="JZ76" s="191"/>
      <c r="KA76" s="191">
        <v>200</v>
      </c>
      <c r="KB76" s="191"/>
      <c r="KC76" s="191"/>
      <c r="KD76" s="191"/>
      <c r="KE76" s="191"/>
      <c r="KF76" s="191"/>
      <c r="KG76" s="191"/>
      <c r="KH76" s="191">
        <v>200</v>
      </c>
      <c r="KI76" s="191"/>
      <c r="KJ76" s="193"/>
      <c r="KK76" s="194"/>
      <c r="KL76" s="191">
        <v>150</v>
      </c>
      <c r="KM76" s="191"/>
      <c r="KN76" s="191"/>
      <c r="KO76" s="191">
        <v>100</v>
      </c>
      <c r="KP76" s="191"/>
      <c r="KQ76" s="191"/>
      <c r="KR76" s="191"/>
      <c r="KS76" s="191">
        <v>10</v>
      </c>
      <c r="KT76" s="191"/>
      <c r="KU76" s="191"/>
      <c r="KV76" s="191">
        <v>150</v>
      </c>
      <c r="KW76" s="191"/>
      <c r="KX76" s="191"/>
      <c r="KY76" s="191"/>
      <c r="KZ76" s="191">
        <v>50</v>
      </c>
      <c r="LA76" s="191"/>
      <c r="LB76" s="191"/>
      <c r="LC76" s="191"/>
      <c r="LD76" s="191"/>
      <c r="LE76" s="191"/>
      <c r="LF76" s="191"/>
      <c r="LG76" s="191">
        <v>200</v>
      </c>
      <c r="LH76" s="191"/>
      <c r="LI76" s="191"/>
      <c r="LJ76" s="191">
        <v>50</v>
      </c>
      <c r="LK76" s="191"/>
      <c r="LL76" s="191"/>
      <c r="LM76" s="191"/>
      <c r="LN76" s="192">
        <v>50</v>
      </c>
      <c r="LO76" s="190"/>
      <c r="LP76" s="191"/>
      <c r="LQ76" s="191"/>
      <c r="LR76" s="191"/>
      <c r="LS76" s="191"/>
      <c r="LT76" s="191"/>
      <c r="LU76" s="191"/>
      <c r="LV76" s="191"/>
      <c r="LW76" s="191"/>
      <c r="LX76" s="191">
        <v>10</v>
      </c>
      <c r="LY76" s="191"/>
      <c r="LZ76" s="191"/>
      <c r="MA76" s="191"/>
      <c r="MB76" s="191">
        <v>200</v>
      </c>
      <c r="MC76" s="191"/>
      <c r="MD76" s="191"/>
      <c r="ME76" s="191">
        <v>10</v>
      </c>
      <c r="MF76" s="191"/>
      <c r="MG76" s="191"/>
      <c r="MH76" s="191"/>
      <c r="MI76" s="191">
        <v>50</v>
      </c>
      <c r="MJ76" s="191"/>
      <c r="MK76" s="191"/>
      <c r="ML76" s="191">
        <v>50</v>
      </c>
      <c r="MM76" s="191"/>
      <c r="MN76" s="191"/>
      <c r="MO76" s="191"/>
      <c r="MP76" s="191"/>
      <c r="MQ76" s="191"/>
      <c r="MR76" s="191"/>
      <c r="MS76" s="193"/>
      <c r="MT76" s="194"/>
      <c r="MU76" s="191"/>
      <c r="MV76" s="191"/>
      <c r="MW76" s="191">
        <v>200</v>
      </c>
      <c r="MX76" s="191"/>
      <c r="MY76" s="191"/>
      <c r="MZ76" s="191">
        <v>50</v>
      </c>
      <c r="NA76" s="191"/>
      <c r="NB76" s="191"/>
      <c r="NC76" s="191"/>
      <c r="ND76" s="191"/>
      <c r="NE76" s="191">
        <v>150</v>
      </c>
      <c r="NF76" s="191"/>
      <c r="NG76" s="191">
        <v>50</v>
      </c>
      <c r="NH76" s="191"/>
      <c r="NI76" s="191"/>
      <c r="NJ76" s="191"/>
      <c r="NK76" s="191">
        <v>50</v>
      </c>
      <c r="NL76" s="191"/>
      <c r="NM76" s="191"/>
      <c r="NN76" s="191"/>
      <c r="NO76" s="191"/>
      <c r="NP76" s="191"/>
      <c r="NQ76" s="191"/>
      <c r="NR76" s="191">
        <v>150</v>
      </c>
      <c r="NS76" s="191"/>
      <c r="NT76" s="191"/>
      <c r="NU76" s="191">
        <v>100</v>
      </c>
      <c r="NV76" s="191"/>
      <c r="NW76" s="192"/>
      <c r="NX76" s="190"/>
      <c r="NY76" s="191">
        <v>150</v>
      </c>
      <c r="NZ76" s="191"/>
      <c r="OA76" s="191"/>
      <c r="OB76" s="191"/>
      <c r="OC76" s="191"/>
      <c r="OD76" s="191"/>
      <c r="OE76" s="191"/>
      <c r="OF76" s="191">
        <v>50</v>
      </c>
      <c r="OG76" s="191"/>
      <c r="OH76" s="191"/>
      <c r="OI76" s="191">
        <v>50</v>
      </c>
      <c r="OJ76" s="191"/>
      <c r="OK76" s="191"/>
      <c r="OL76" s="191"/>
      <c r="OM76" s="191">
        <v>150</v>
      </c>
      <c r="ON76" s="191"/>
      <c r="OO76" s="191"/>
      <c r="OP76" s="191"/>
      <c r="OQ76" s="191"/>
      <c r="OR76" s="191"/>
      <c r="OS76" s="191"/>
      <c r="OT76" s="191"/>
      <c r="OU76" s="191"/>
      <c r="OV76" s="191"/>
      <c r="OW76" s="191"/>
      <c r="OX76" s="191"/>
      <c r="OY76" s="191"/>
      <c r="OZ76" s="191"/>
      <c r="PA76" s="191"/>
      <c r="PB76" s="193"/>
      <c r="PC76" s="47"/>
      <c r="PD76" s="154" t="s">
        <v>97</v>
      </c>
      <c r="PE76" s="155" t="s">
        <v>98</v>
      </c>
      <c r="PF76" s="155" t="s">
        <v>97</v>
      </c>
      <c r="PG76" s="155" t="s">
        <v>98</v>
      </c>
      <c r="PH76" s="155" t="s">
        <v>98</v>
      </c>
      <c r="PI76" s="155" t="s">
        <v>98</v>
      </c>
      <c r="PJ76" s="155" t="s">
        <v>98</v>
      </c>
      <c r="PK76" s="155" t="s">
        <v>98</v>
      </c>
      <c r="PL76" s="155" t="s">
        <v>98</v>
      </c>
      <c r="PM76" s="155" t="s">
        <v>98</v>
      </c>
      <c r="PN76" s="155" t="s">
        <v>98</v>
      </c>
      <c r="PO76" s="156"/>
      <c r="PP76" s="156"/>
      <c r="PQ76" s="156"/>
      <c r="PR76" s="156"/>
      <c r="PS76" s="156"/>
      <c r="PT76" s="156"/>
      <c r="PU76" s="156"/>
      <c r="PV76" s="156"/>
      <c r="PW76" s="156"/>
      <c r="PX76" s="195"/>
      <c r="PY76" s="1"/>
      <c r="PZ76" s="196">
        <f t="shared" si="73"/>
        <v>1200</v>
      </c>
      <c r="QA76" s="176">
        <f t="shared" si="74"/>
        <v>1.0010845082172353E-2</v>
      </c>
      <c r="QB76" s="177" t="str">
        <f t="shared" ca="1" si="75"/>
        <v>Attente…</v>
      </c>
      <c r="QC76" s="197">
        <f t="shared" si="76"/>
        <v>1200</v>
      </c>
      <c r="QD76" s="179">
        <f t="shared" si="77"/>
        <v>1.1235955056179775E-2</v>
      </c>
      <c r="QE76" s="180" t="str">
        <f t="shared" ca="1" si="78"/>
        <v>Attente…</v>
      </c>
      <c r="QF76" s="196">
        <f t="shared" si="79"/>
        <v>1150</v>
      </c>
      <c r="QG76" s="176">
        <f t="shared" si="80"/>
        <v>9.1575091575091579E-3</v>
      </c>
      <c r="QH76" s="177" t="str">
        <f t="shared" ca="1" si="81"/>
        <v>Attente…</v>
      </c>
      <c r="QI76" s="197">
        <f t="shared" si="82"/>
        <v>1150</v>
      </c>
      <c r="QJ76" s="179">
        <f t="shared" si="83"/>
        <v>8.0656473558703892E-3</v>
      </c>
      <c r="QK76" s="180" t="str">
        <f t="shared" ca="1" si="84"/>
        <v>Attente…</v>
      </c>
      <c r="QL76" s="196">
        <f t="shared" si="85"/>
        <v>1700</v>
      </c>
      <c r="QM76" s="176">
        <f t="shared" si="86"/>
        <v>1.2437810945273632E-2</v>
      </c>
      <c r="QN76" s="177" t="str">
        <f t="shared" ca="1" si="87"/>
        <v>Attente…</v>
      </c>
      <c r="QO76" s="197">
        <f t="shared" si="88"/>
        <v>1350</v>
      </c>
      <c r="QP76" s="179">
        <f t="shared" si="89"/>
        <v>1.0569169341579894E-2</v>
      </c>
      <c r="QQ76" s="180" t="str">
        <f t="shared" ca="1" si="90"/>
        <v>Attente…</v>
      </c>
      <c r="QR76" s="196">
        <f t="shared" si="91"/>
        <v>1050</v>
      </c>
      <c r="QS76" s="176">
        <f t="shared" si="92"/>
        <v>7.5591231417155612E-3</v>
      </c>
      <c r="QT76" s="177" t="str">
        <f t="shared" ca="1" si="93"/>
        <v>Attente…</v>
      </c>
      <c r="QU76" s="197">
        <f t="shared" si="94"/>
        <v>1200</v>
      </c>
      <c r="QV76" s="179">
        <f t="shared" si="95"/>
        <v>8.2735797021511303E-3</v>
      </c>
      <c r="QW76" s="180" t="str">
        <f t="shared" ca="1" si="96"/>
        <v>Attente…</v>
      </c>
      <c r="QX76" s="196">
        <f t="shared" si="97"/>
        <v>760</v>
      </c>
      <c r="QY76" s="176">
        <f t="shared" si="98"/>
        <v>5.5459879155842261E-3</v>
      </c>
      <c r="QZ76" s="177" t="str">
        <f t="shared" ca="1" si="99"/>
        <v>Attente…</v>
      </c>
      <c r="RA76" s="197">
        <f t="shared" si="100"/>
        <v>320</v>
      </c>
      <c r="RB76" s="179">
        <f t="shared" si="101"/>
        <v>2.5037164541115717E-3</v>
      </c>
      <c r="RC76" s="180" t="str">
        <f t="shared" ca="1" si="102"/>
        <v>Attente…</v>
      </c>
      <c r="RD76" s="196">
        <f t="shared" si="103"/>
        <v>750</v>
      </c>
      <c r="RE76" s="176">
        <f t="shared" si="104"/>
        <v>7.4730968513351936E-3</v>
      </c>
      <c r="RF76" s="177" t="str">
        <f t="shared" ca="1" si="105"/>
        <v>Attente…</v>
      </c>
      <c r="RG76" s="197">
        <f t="shared" si="106"/>
        <v>400</v>
      </c>
      <c r="RH76" s="179">
        <f t="shared" si="107"/>
        <v>7.3569983446753725E-3</v>
      </c>
      <c r="RI76" s="198" t="str">
        <f t="shared" ca="1" si="108"/>
        <v>Attente…</v>
      </c>
      <c r="RJ76" s="199">
        <f t="shared" si="109"/>
        <v>3550</v>
      </c>
      <c r="RK76" s="200" t="str">
        <f t="shared" ca="1" si="66"/>
        <v>Attente…</v>
      </c>
      <c r="RL76" s="199">
        <f t="shared" si="110"/>
        <v>4200</v>
      </c>
      <c r="RM76" s="200" t="str">
        <f t="shared" ca="1" si="111"/>
        <v>Atttente…</v>
      </c>
      <c r="RN76" s="199">
        <f t="shared" si="112"/>
        <v>3010</v>
      </c>
      <c r="RO76" s="200" t="str">
        <f t="shared" ca="1" si="67"/>
        <v>Attente…</v>
      </c>
      <c r="RP76" s="199">
        <f t="shared" si="113"/>
        <v>1470</v>
      </c>
      <c r="RQ76" s="200" t="str">
        <f t="shared" ca="1" si="68"/>
        <v>Attente…</v>
      </c>
      <c r="RR76" s="201">
        <f t="shared" si="114"/>
        <v>12230</v>
      </c>
      <c r="RS76" s="202" t="str">
        <f t="shared" ca="1" si="69"/>
        <v>Attente…</v>
      </c>
      <c r="RT76" s="103"/>
      <c r="RU76" s="203">
        <f t="shared" si="115"/>
        <v>0.71941176470588231</v>
      </c>
      <c r="RV76" s="204">
        <f t="shared" si="65"/>
        <v>1</v>
      </c>
      <c r="RW76" s="204">
        <f t="shared" si="65"/>
        <v>2</v>
      </c>
      <c r="RX76" s="204">
        <f t="shared" si="116"/>
        <v>85</v>
      </c>
      <c r="RY76" s="205" t="str">
        <f t="shared" si="117"/>
        <v>SOTTEVILLE-LÈS-ROUEN - 4 rue du Docteur Galouen</v>
      </c>
      <c r="RZ76" s="189" t="str">
        <f>IF(OR(RZ75="",RZ75="  &lt;/Document&gt;
&lt;/kml&gt;"),"",
IF(B76="","  &lt;/Document&gt;
&lt;/kml&gt;",
IF(TournéesCAV!Q135=""," ",
"    &lt;Placemark&gt;
      &lt;description&gt;&lt;![CDATA["&amp;B76&amp;"&lt;br&gt;&lt;br&gt;"&amp;RV76&amp;" CAV&lt;br&gt;&lt;br&gt;Présent sur "&amp;RW76&amp;" tournée(s)&lt;br&gt;&lt;br&gt;Taux de remplissage moyen "&amp;TEXT(RU76*1000,"0 %")&amp;"]]&gt;&lt;/description&gt;
      &lt;Style&gt;
        &lt;IconStyle&gt;
          &lt;color&gt;ff"&amp;
          DEC2HEX(0,2)&amp;
          DEC2HEX(
            IF(RU76&lt;=0.5,
               INT(255*(RU76*2)),
               255
            ),2)&amp;
          DEC2HEX(
            IF(RU76&lt;=0.5,
               255,
               INT(255*(1-(RU76-0.5)*2))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&lt;Point&gt;&lt;coordinates&gt;"&amp;R76&amp;","&amp;Q76&amp;",0&lt;/coordinates&gt;&lt;/Point&gt;
    &lt;/Placemark&gt;"
)))</f>
        <v xml:space="preserve">    &lt;Placemark&gt;
      &lt;description&gt;&lt;![CDATA[SOTTEVILLE-LÈS-ROUEN - 4 rue du Docteur Galouen&lt;br&gt;&lt;br&gt;1 CAV&lt;br&gt;&lt;br&gt;Présent sur 2 tournée(s)&lt;br&gt;&lt;br&gt;Taux de remplissage moyen 72%]]&gt;&lt;/description&gt;
      &lt;Style&gt;
        &lt;IconStyle&gt;
          &lt;color&gt;ff00FF8F&lt;/color&gt;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&lt;Point&gt;&lt;coordinates&gt;1.080932,49.400325,0&lt;/coordinates&gt;&lt;/Point&gt;
    &lt;/Placemark&gt;</v>
      </c>
    </row>
    <row r="77" spans="2:494" ht="15" hidden="1" customHeight="1" x14ac:dyDescent="0.35">
      <c r="B77" s="153" t="str">
        <f t="shared" si="70"/>
        <v>ROUEN - 1 Avenue Jacques Chastellain (Ile Lacroix)</v>
      </c>
      <c r="C77" s="154">
        <v>170</v>
      </c>
      <c r="D77" s="155"/>
      <c r="E77" s="155"/>
      <c r="F77" s="155"/>
      <c r="G77" s="155"/>
      <c r="H77" s="155"/>
      <c r="I77" s="155"/>
      <c r="J77" s="156"/>
      <c r="K77" s="157">
        <f t="shared" si="71"/>
        <v>1</v>
      </c>
      <c r="L77" s="157">
        <f t="shared" si="72"/>
        <v>1</v>
      </c>
      <c r="M77" s="158" t="s">
        <v>477</v>
      </c>
      <c r="N77" s="159" t="s">
        <v>478</v>
      </c>
      <c r="O77" s="159">
        <v>76000</v>
      </c>
      <c r="P77" s="159" t="s">
        <v>90</v>
      </c>
      <c r="Q77" s="159" t="s">
        <v>479</v>
      </c>
      <c r="R77" s="159" t="s">
        <v>480</v>
      </c>
      <c r="S77" s="159" t="s">
        <v>93</v>
      </c>
      <c r="T77" s="159" t="s">
        <v>94</v>
      </c>
      <c r="U77" s="159">
        <v>170</v>
      </c>
      <c r="V77" s="160" t="s">
        <v>96</v>
      </c>
      <c r="W77" s="161"/>
      <c r="X77" s="162"/>
      <c r="Y77" s="163"/>
      <c r="Z77" s="162"/>
      <c r="AA77" s="163"/>
      <c r="AB77" s="162"/>
      <c r="AC77" s="163"/>
      <c r="AD77" s="162"/>
      <c r="AE77" s="163"/>
      <c r="AF77" s="162">
        <v>13</v>
      </c>
      <c r="AG77" s="163"/>
      <c r="AH77" s="163"/>
      <c r="AI77" s="162"/>
      <c r="AJ77" s="163"/>
      <c r="AK77" s="162"/>
      <c r="AL77" s="163"/>
      <c r="AM77" s="162"/>
      <c r="AN77" s="163"/>
      <c r="AO77" s="162"/>
      <c r="AP77" s="164"/>
      <c r="AQ77" s="164"/>
      <c r="AR77" s="164"/>
      <c r="AS77" s="164"/>
      <c r="AT77" s="164"/>
      <c r="AU77" s="164"/>
      <c r="AV77" s="164"/>
      <c r="AW77" s="164"/>
      <c r="AX77" s="164"/>
      <c r="AY77" s="165"/>
      <c r="AZ77" s="41"/>
      <c r="BA77" s="190"/>
      <c r="BB77" s="191"/>
      <c r="BC77" s="191"/>
      <c r="BD77" s="191"/>
      <c r="BE77" s="191"/>
      <c r="BF77" s="191"/>
      <c r="BG77" s="191"/>
      <c r="BH77" s="191"/>
      <c r="BI77" s="191"/>
      <c r="BJ77" s="191"/>
      <c r="BK77" s="191"/>
      <c r="BL77" s="191"/>
      <c r="BM77" s="191"/>
      <c r="BN77" s="191"/>
      <c r="BO77" s="191">
        <v>200</v>
      </c>
      <c r="BP77" s="191"/>
      <c r="BQ77" s="191"/>
      <c r="BR77" s="191"/>
      <c r="BS77" s="191"/>
      <c r="BT77" s="191"/>
      <c r="BU77" s="191"/>
      <c r="BV77" s="191">
        <v>100</v>
      </c>
      <c r="BW77" s="191"/>
      <c r="BX77" s="191"/>
      <c r="BY77" s="191"/>
      <c r="BZ77" s="191"/>
      <c r="CA77" s="191"/>
      <c r="CB77" s="191"/>
      <c r="CC77" s="191">
        <v>150</v>
      </c>
      <c r="CD77" s="191"/>
      <c r="CE77" s="192"/>
      <c r="CF77" s="190"/>
      <c r="CG77" s="191"/>
      <c r="CH77" s="191"/>
      <c r="CI77" s="191"/>
      <c r="CJ77" s="191">
        <v>200</v>
      </c>
      <c r="CK77" s="191"/>
      <c r="CL77" s="191"/>
      <c r="CM77" s="191"/>
      <c r="CN77" s="191"/>
      <c r="CO77" s="191"/>
      <c r="CP77" s="191"/>
      <c r="CQ77" s="191">
        <v>100</v>
      </c>
      <c r="CR77" s="191"/>
      <c r="CS77" s="191"/>
      <c r="CT77" s="191"/>
      <c r="CU77" s="191"/>
      <c r="CV77" s="191"/>
      <c r="CW77" s="191"/>
      <c r="CX77" s="191">
        <v>100</v>
      </c>
      <c r="CY77" s="191"/>
      <c r="CZ77" s="191"/>
      <c r="DA77" s="191"/>
      <c r="DB77" s="191"/>
      <c r="DC77" s="191"/>
      <c r="DD77" s="191"/>
      <c r="DE77" s="191">
        <v>150</v>
      </c>
      <c r="DF77" s="191"/>
      <c r="DG77" s="191"/>
      <c r="DH77" s="193"/>
      <c r="DI77" s="194"/>
      <c r="DJ77" s="191"/>
      <c r="DK77" s="191"/>
      <c r="DL77" s="191"/>
      <c r="DM77" s="191">
        <v>100</v>
      </c>
      <c r="DN77" s="191"/>
      <c r="DO77" s="191"/>
      <c r="DP77" s="191"/>
      <c r="DQ77" s="191"/>
      <c r="DR77" s="191"/>
      <c r="DS77" s="191"/>
      <c r="DT77" s="191">
        <v>150</v>
      </c>
      <c r="DU77" s="191"/>
      <c r="DV77" s="191"/>
      <c r="DW77" s="191"/>
      <c r="DX77" s="191"/>
      <c r="DY77" s="191"/>
      <c r="DZ77" s="191"/>
      <c r="EA77" s="191">
        <v>200</v>
      </c>
      <c r="EB77" s="191"/>
      <c r="EC77" s="191"/>
      <c r="ED77" s="191"/>
      <c r="EE77" s="191"/>
      <c r="EF77" s="191"/>
      <c r="EG77" s="191"/>
      <c r="EH77" s="191">
        <v>150</v>
      </c>
      <c r="EI77" s="191"/>
      <c r="EJ77" s="191"/>
      <c r="EK77" s="191"/>
      <c r="EL77" s="191"/>
      <c r="EM77" s="192"/>
      <c r="EN77" s="190"/>
      <c r="EO77" s="191">
        <v>100</v>
      </c>
      <c r="EP77" s="191"/>
      <c r="EQ77" s="191"/>
      <c r="ER77" s="191"/>
      <c r="ES77" s="191"/>
      <c r="ET77" s="191"/>
      <c r="EU77" s="191"/>
      <c r="EV77" s="191">
        <v>150</v>
      </c>
      <c r="EW77" s="191"/>
      <c r="EX77" s="191"/>
      <c r="EY77" s="191"/>
      <c r="EZ77" s="191"/>
      <c r="FA77" s="191"/>
      <c r="FB77" s="191"/>
      <c r="FC77" s="191">
        <v>150</v>
      </c>
      <c r="FD77" s="191"/>
      <c r="FE77" s="191"/>
      <c r="FF77" s="191"/>
      <c r="FG77" s="191"/>
      <c r="FH77" s="191"/>
      <c r="FI77" s="191"/>
      <c r="FJ77" s="191"/>
      <c r="FK77" s="191">
        <v>200</v>
      </c>
      <c r="FL77" s="191"/>
      <c r="FM77" s="191"/>
      <c r="FN77" s="191"/>
      <c r="FO77" s="191"/>
      <c r="FP77" s="191"/>
      <c r="FQ77" s="193">
        <v>150</v>
      </c>
      <c r="FR77" s="194"/>
      <c r="FS77" s="191"/>
      <c r="FT77" s="191"/>
      <c r="FU77" s="191"/>
      <c r="FV77" s="191"/>
      <c r="FW77" s="191"/>
      <c r="FX77" s="191">
        <v>150</v>
      </c>
      <c r="FY77" s="191"/>
      <c r="FZ77" s="191"/>
      <c r="GA77" s="191"/>
      <c r="GB77" s="191"/>
      <c r="GC77" s="191"/>
      <c r="GD77" s="191"/>
      <c r="GE77" s="191">
        <v>150</v>
      </c>
      <c r="GF77" s="191"/>
      <c r="GG77" s="191"/>
      <c r="GH77" s="191"/>
      <c r="GI77" s="191"/>
      <c r="GJ77" s="191"/>
      <c r="GK77" s="191"/>
      <c r="GL77" s="191">
        <v>150</v>
      </c>
      <c r="GM77" s="191"/>
      <c r="GN77" s="191"/>
      <c r="GO77" s="191"/>
      <c r="GP77" s="191"/>
      <c r="GQ77" s="191"/>
      <c r="GR77" s="191"/>
      <c r="GS77" s="191">
        <v>200</v>
      </c>
      <c r="GT77" s="191"/>
      <c r="GU77" s="191"/>
      <c r="GV77" s="192"/>
      <c r="GW77" s="190"/>
      <c r="GX77" s="191"/>
      <c r="GY77" s="191"/>
      <c r="GZ77" s="191"/>
      <c r="HA77" s="191"/>
      <c r="HB77" s="191"/>
      <c r="HC77" s="191"/>
      <c r="HD77" s="191"/>
      <c r="HE77" s="191"/>
      <c r="HF77" s="191"/>
      <c r="HG77" s="191"/>
      <c r="HH77" s="191">
        <v>150</v>
      </c>
      <c r="HI77" s="191"/>
      <c r="HJ77" s="191"/>
      <c r="HK77" s="191"/>
      <c r="HL77" s="191"/>
      <c r="HM77" s="191"/>
      <c r="HN77" s="191">
        <v>100</v>
      </c>
      <c r="HO77" s="191"/>
      <c r="HP77" s="191"/>
      <c r="HQ77" s="191"/>
      <c r="HR77" s="191"/>
      <c r="HS77" s="191"/>
      <c r="HT77" s="191"/>
      <c r="HU77" s="191">
        <v>200</v>
      </c>
      <c r="HV77" s="191"/>
      <c r="HW77" s="191"/>
      <c r="HX77" s="191"/>
      <c r="HY77" s="191"/>
      <c r="HZ77" s="193"/>
      <c r="IA77" s="194"/>
      <c r="IB77" s="191">
        <v>150</v>
      </c>
      <c r="IC77" s="191"/>
      <c r="ID77" s="191"/>
      <c r="IE77" s="191"/>
      <c r="IF77" s="191"/>
      <c r="IG77" s="191"/>
      <c r="IH77" s="191"/>
      <c r="II77" s="191">
        <v>200</v>
      </c>
      <c r="IJ77" s="191"/>
      <c r="IK77" s="191"/>
      <c r="IL77" s="191"/>
      <c r="IM77" s="191"/>
      <c r="IN77" s="191"/>
      <c r="IO77" s="191"/>
      <c r="IP77" s="191"/>
      <c r="IQ77" s="191"/>
      <c r="IR77" s="191"/>
      <c r="IS77" s="191"/>
      <c r="IT77" s="191"/>
      <c r="IU77" s="191"/>
      <c r="IV77" s="191"/>
      <c r="IW77" s="191">
        <v>200</v>
      </c>
      <c r="IX77" s="191"/>
      <c r="IY77" s="191"/>
      <c r="IZ77" s="191"/>
      <c r="JA77" s="191"/>
      <c r="JB77" s="191"/>
      <c r="JC77" s="191"/>
      <c r="JD77" s="191">
        <v>200</v>
      </c>
      <c r="JE77" s="192"/>
      <c r="JF77" s="190"/>
      <c r="JG77" s="191"/>
      <c r="JH77" s="191"/>
      <c r="JI77" s="191"/>
      <c r="JJ77" s="191"/>
      <c r="JK77" s="191">
        <v>150</v>
      </c>
      <c r="JL77" s="191"/>
      <c r="JM77" s="191"/>
      <c r="JN77" s="191"/>
      <c r="JO77" s="191"/>
      <c r="JP77" s="191"/>
      <c r="JQ77" s="191"/>
      <c r="JR77" s="191">
        <v>100</v>
      </c>
      <c r="JS77" s="191"/>
      <c r="JT77" s="191"/>
      <c r="JU77" s="191"/>
      <c r="JV77" s="191"/>
      <c r="JW77" s="191"/>
      <c r="JX77" s="191"/>
      <c r="JY77" s="191">
        <v>100</v>
      </c>
      <c r="JZ77" s="191"/>
      <c r="KA77" s="191"/>
      <c r="KB77" s="191"/>
      <c r="KC77" s="191"/>
      <c r="KD77" s="191"/>
      <c r="KE77" s="191"/>
      <c r="KF77" s="191">
        <v>100</v>
      </c>
      <c r="KG77" s="191"/>
      <c r="KH77" s="191"/>
      <c r="KI77" s="191"/>
      <c r="KJ77" s="193"/>
      <c r="KK77" s="194"/>
      <c r="KL77" s="191"/>
      <c r="KM77" s="191">
        <v>150</v>
      </c>
      <c r="KN77" s="191"/>
      <c r="KO77" s="191"/>
      <c r="KP77" s="191"/>
      <c r="KQ77" s="191"/>
      <c r="KR77" s="191"/>
      <c r="KS77" s="191"/>
      <c r="KT77" s="191"/>
      <c r="KU77" s="191"/>
      <c r="KV77" s="191"/>
      <c r="KW77" s="191"/>
      <c r="KX77" s="191"/>
      <c r="KY77" s="191"/>
      <c r="KZ77" s="191"/>
      <c r="LA77" s="191">
        <v>200</v>
      </c>
      <c r="LB77" s="191"/>
      <c r="LC77" s="191"/>
      <c r="LD77" s="191"/>
      <c r="LE77" s="191"/>
      <c r="LF77" s="191"/>
      <c r="LG77" s="191"/>
      <c r="LH77" s="191">
        <v>150</v>
      </c>
      <c r="LI77" s="191"/>
      <c r="LJ77" s="191"/>
      <c r="LK77" s="191"/>
      <c r="LL77" s="191"/>
      <c r="LM77" s="191"/>
      <c r="LN77" s="192"/>
      <c r="LO77" s="190">
        <v>100</v>
      </c>
      <c r="LP77" s="191"/>
      <c r="LQ77" s="191"/>
      <c r="LR77" s="191"/>
      <c r="LS77" s="191"/>
      <c r="LT77" s="191"/>
      <c r="LU77" s="191"/>
      <c r="LV77" s="191">
        <v>150</v>
      </c>
      <c r="LW77" s="191"/>
      <c r="LX77" s="191"/>
      <c r="LY77" s="191"/>
      <c r="LZ77" s="191"/>
      <c r="MA77" s="191"/>
      <c r="MB77" s="191"/>
      <c r="MC77" s="191">
        <v>100</v>
      </c>
      <c r="MD77" s="191"/>
      <c r="ME77" s="191"/>
      <c r="MF77" s="191"/>
      <c r="MG77" s="191"/>
      <c r="MH77" s="191"/>
      <c r="MI77" s="191"/>
      <c r="MJ77" s="191">
        <v>100</v>
      </c>
      <c r="MK77" s="191"/>
      <c r="ML77" s="191"/>
      <c r="MM77" s="191"/>
      <c r="MN77" s="191"/>
      <c r="MO77" s="191"/>
      <c r="MP77" s="191"/>
      <c r="MQ77" s="191"/>
      <c r="MR77" s="191"/>
      <c r="MS77" s="193"/>
      <c r="MT77" s="194"/>
      <c r="MU77" s="191"/>
      <c r="MV77" s="191"/>
      <c r="MW77" s="191"/>
      <c r="MX77" s="191">
        <v>100</v>
      </c>
      <c r="MY77" s="191"/>
      <c r="MZ77" s="191"/>
      <c r="NA77" s="191"/>
      <c r="NB77" s="191"/>
      <c r="NC77" s="191"/>
      <c r="ND77" s="191"/>
      <c r="NE77" s="191"/>
      <c r="NF77" s="191">
        <v>200</v>
      </c>
      <c r="NG77" s="191"/>
      <c r="NH77" s="191"/>
      <c r="NI77" s="191"/>
      <c r="NJ77" s="191"/>
      <c r="NK77" s="191"/>
      <c r="NL77" s="191">
        <v>150</v>
      </c>
      <c r="NM77" s="191"/>
      <c r="NN77" s="191"/>
      <c r="NO77" s="191"/>
      <c r="NP77" s="191"/>
      <c r="NQ77" s="191"/>
      <c r="NR77" s="191"/>
      <c r="NS77" s="191">
        <v>100</v>
      </c>
      <c r="NT77" s="191"/>
      <c r="NU77" s="191"/>
      <c r="NV77" s="191"/>
      <c r="NW77" s="192"/>
      <c r="NX77" s="190"/>
      <c r="NY77" s="191"/>
      <c r="NZ77" s="191">
        <v>100</v>
      </c>
      <c r="OA77" s="191"/>
      <c r="OB77" s="191"/>
      <c r="OC77" s="191"/>
      <c r="OD77" s="191"/>
      <c r="OE77" s="191"/>
      <c r="OF77" s="191"/>
      <c r="OG77" s="191"/>
      <c r="OH77" s="191"/>
      <c r="OI77" s="191"/>
      <c r="OJ77" s="191"/>
      <c r="OK77" s="191"/>
      <c r="OL77" s="191"/>
      <c r="OM77" s="191"/>
      <c r="ON77" s="191"/>
      <c r="OO77" s="191"/>
      <c r="OP77" s="191"/>
      <c r="OQ77" s="191"/>
      <c r="OR77" s="191"/>
      <c r="OS77" s="191"/>
      <c r="OT77" s="191"/>
      <c r="OU77" s="191"/>
      <c r="OV77" s="191"/>
      <c r="OW77" s="191"/>
      <c r="OX77" s="191"/>
      <c r="OY77" s="191"/>
      <c r="OZ77" s="191"/>
      <c r="PA77" s="191"/>
      <c r="PB77" s="193"/>
      <c r="PC77" s="47"/>
      <c r="PD77" s="154" t="s">
        <v>97</v>
      </c>
      <c r="PE77" s="155" t="s">
        <v>98</v>
      </c>
      <c r="PF77" s="155" t="s">
        <v>98</v>
      </c>
      <c r="PG77" s="155" t="s">
        <v>98</v>
      </c>
      <c r="PH77" s="155" t="s">
        <v>98</v>
      </c>
      <c r="PI77" s="155" t="s">
        <v>98</v>
      </c>
      <c r="PJ77" s="155" t="s">
        <v>98</v>
      </c>
      <c r="PK77" s="155" t="s">
        <v>98</v>
      </c>
      <c r="PL77" s="155" t="s">
        <v>98</v>
      </c>
      <c r="PM77" s="155" t="s">
        <v>98</v>
      </c>
      <c r="PN77" s="155" t="s">
        <v>98</v>
      </c>
      <c r="PO77" s="156"/>
      <c r="PP77" s="156"/>
      <c r="PQ77" s="156"/>
      <c r="PR77" s="156"/>
      <c r="PS77" s="156"/>
      <c r="PT77" s="156"/>
      <c r="PU77" s="156"/>
      <c r="PV77" s="156"/>
      <c r="PW77" s="156"/>
      <c r="PX77" s="195"/>
      <c r="PY77" s="1"/>
      <c r="PZ77" s="196">
        <f t="shared" si="73"/>
        <v>450</v>
      </c>
      <c r="QA77" s="176">
        <f t="shared" si="74"/>
        <v>3.7540669058146324E-3</v>
      </c>
      <c r="QB77" s="177" t="str">
        <f t="shared" ca="1" si="75"/>
        <v>Attente…</v>
      </c>
      <c r="QC77" s="197">
        <f t="shared" si="76"/>
        <v>550</v>
      </c>
      <c r="QD77" s="179">
        <f t="shared" si="77"/>
        <v>5.1498127340823966E-3</v>
      </c>
      <c r="QE77" s="180" t="str">
        <f t="shared" ca="1" si="78"/>
        <v>Attente…</v>
      </c>
      <c r="QF77" s="196">
        <f t="shared" si="79"/>
        <v>600</v>
      </c>
      <c r="QG77" s="176">
        <f t="shared" si="80"/>
        <v>4.7778308647873869E-3</v>
      </c>
      <c r="QH77" s="177" t="str">
        <f t="shared" ca="1" si="81"/>
        <v>Attente…</v>
      </c>
      <c r="QI77" s="197">
        <f t="shared" si="82"/>
        <v>750</v>
      </c>
      <c r="QJ77" s="179">
        <f t="shared" si="83"/>
        <v>5.2602047973067754E-3</v>
      </c>
      <c r="QK77" s="180" t="str">
        <f t="shared" ca="1" si="84"/>
        <v>Attente…</v>
      </c>
      <c r="QL77" s="196">
        <f t="shared" si="85"/>
        <v>650</v>
      </c>
      <c r="QM77" s="176">
        <f t="shared" si="86"/>
        <v>4.755633596722271E-3</v>
      </c>
      <c r="QN77" s="177" t="str">
        <f t="shared" ca="1" si="87"/>
        <v>Attente…</v>
      </c>
      <c r="QO77" s="197">
        <f t="shared" si="88"/>
        <v>450</v>
      </c>
      <c r="QP77" s="179">
        <f t="shared" si="89"/>
        <v>3.5230564471932986E-3</v>
      </c>
      <c r="QQ77" s="180" t="str">
        <f t="shared" ca="1" si="90"/>
        <v>Attente…</v>
      </c>
      <c r="QR77" s="196">
        <f t="shared" si="91"/>
        <v>750</v>
      </c>
      <c r="QS77" s="176">
        <f t="shared" si="92"/>
        <v>5.3993736726539723E-3</v>
      </c>
      <c r="QT77" s="177" t="str">
        <f t="shared" ca="1" si="93"/>
        <v>Attente…</v>
      </c>
      <c r="QU77" s="197">
        <f t="shared" si="94"/>
        <v>450</v>
      </c>
      <c r="QV77" s="179">
        <f t="shared" si="95"/>
        <v>3.1025923883066741E-3</v>
      </c>
      <c r="QW77" s="180" t="str">
        <f t="shared" ca="1" si="96"/>
        <v>Attente…</v>
      </c>
      <c r="QX77" s="196">
        <f t="shared" si="97"/>
        <v>500</v>
      </c>
      <c r="QY77" s="176">
        <f t="shared" si="98"/>
        <v>3.6486762602527803E-3</v>
      </c>
      <c r="QZ77" s="177" t="str">
        <f t="shared" ca="1" si="99"/>
        <v>Attente…</v>
      </c>
      <c r="RA77" s="197">
        <f t="shared" si="100"/>
        <v>450</v>
      </c>
      <c r="RB77" s="179">
        <f t="shared" si="101"/>
        <v>3.5208512635943978E-3</v>
      </c>
      <c r="RC77" s="180" t="str">
        <f t="shared" ca="1" si="102"/>
        <v>Attente…</v>
      </c>
      <c r="RD77" s="196">
        <f t="shared" si="103"/>
        <v>550</v>
      </c>
      <c r="RE77" s="176">
        <f t="shared" si="104"/>
        <v>5.4802710243124749E-3</v>
      </c>
      <c r="RF77" s="177" t="str">
        <f t="shared" ca="1" si="105"/>
        <v>Attente…</v>
      </c>
      <c r="RG77" s="197">
        <f t="shared" si="106"/>
        <v>100</v>
      </c>
      <c r="RH77" s="179">
        <f t="shared" si="107"/>
        <v>1.8392495861688431E-3</v>
      </c>
      <c r="RI77" s="198" t="str">
        <f t="shared" ca="1" si="108"/>
        <v>Attente…</v>
      </c>
      <c r="RJ77" s="199">
        <f t="shared" si="109"/>
        <v>1600</v>
      </c>
      <c r="RK77" s="200" t="str">
        <f t="shared" ca="1" si="66"/>
        <v>Attente…</v>
      </c>
      <c r="RL77" s="199">
        <f t="shared" si="110"/>
        <v>1850</v>
      </c>
      <c r="RM77" s="200" t="str">
        <f t="shared" ca="1" si="111"/>
        <v>Atttente…</v>
      </c>
      <c r="RN77" s="199">
        <f t="shared" si="112"/>
        <v>1700</v>
      </c>
      <c r="RO77" s="200" t="str">
        <f t="shared" ca="1" si="67"/>
        <v>Attente…</v>
      </c>
      <c r="RP77" s="199">
        <f t="shared" si="113"/>
        <v>1100</v>
      </c>
      <c r="RQ77" s="200" t="str">
        <f t="shared" ca="1" si="68"/>
        <v>Attente…</v>
      </c>
      <c r="RR77" s="201">
        <f t="shared" si="114"/>
        <v>6250</v>
      </c>
      <c r="RS77" s="202" t="str">
        <f t="shared" ca="1" si="69"/>
        <v>Attente…</v>
      </c>
      <c r="RT77" s="103"/>
      <c r="RU77" s="203">
        <f t="shared" si="115"/>
        <v>0.7267441860465117</v>
      </c>
      <c r="RV77" s="204">
        <f t="shared" si="65"/>
        <v>1</v>
      </c>
      <c r="RW77" s="204">
        <f t="shared" si="65"/>
        <v>1</v>
      </c>
      <c r="RX77" s="204">
        <f t="shared" si="116"/>
        <v>43</v>
      </c>
      <c r="RY77" s="205" t="str">
        <f t="shared" si="117"/>
        <v>ROUEN - 1 Avenue Jacques Chastellain (Ile Lacroix)</v>
      </c>
      <c r="RZ77" s="189" t="str">
        <f>IF(OR(RZ76="",RZ76="  &lt;/Document&gt;
&lt;/kml&gt;"),"",
IF(B77="","  &lt;/Document&gt;
&lt;/kml&gt;",
IF(TournéesCAV!Q57=""," ",
"    &lt;Placemark&gt;
      &lt;description&gt;&lt;![CDATA["&amp;B77&amp;"&lt;br&gt;&lt;br&gt;"&amp;RV77&amp;" CAV&lt;br&gt;&lt;br&gt;Présent sur "&amp;RW77&amp;" tournée(s)&lt;br&gt;&lt;br&gt;Taux de remplissage moyen "&amp;TEXT(RU77*1000,"0 %")&amp;"]]&gt;&lt;/description&gt;
      &lt;Style&gt;
        &lt;IconStyle&gt;
          &lt;color&gt;ff"&amp;
          DEC2HEX(0,2)&amp;
          DEC2HEX(
            IF(RU77&lt;=0.5,
               INT(255*(RU77*2)),
               255
            ),2)&amp;
          DEC2HEX(
            IF(RU77&lt;=0.5,
               255,
               INT(255*(1-(RU77-0.5)*2))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&lt;Point&gt;&lt;coordinates&gt;"&amp;R77&amp;","&amp;Q77&amp;",0&lt;/coordinates&gt;&lt;/Point&gt;
    &lt;/Placemark&gt;"
)))</f>
        <v xml:space="preserve">    &lt;Placemark&gt;
      &lt;description&gt;&lt;![CDATA[ROUEN - 1 Avenue Jacques Chastellain (Ile Lacroix)&lt;br&gt;&lt;br&gt;1 CAV&lt;br&gt;&lt;br&gt;Présent sur 1 tournée(s)&lt;br&gt;&lt;br&gt;Taux de remplissage moyen 73%]]&gt;&lt;/description&gt;
      &lt;Style&gt;
        &lt;IconStyle&gt;
          &lt;color&gt;ff00FF8B&lt;/color&gt;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&lt;Point&gt;&lt;coordinates&gt;1.1022802,49.4311553,0&lt;/coordinates&gt;&lt;/Point&gt;
    &lt;/Placemark&gt;</v>
      </c>
    </row>
    <row r="78" spans="2:494" ht="15" hidden="1" customHeight="1" x14ac:dyDescent="0.35">
      <c r="B78" s="153" t="str">
        <f t="shared" si="70"/>
        <v>AMFREVILLE-LA-MI-VOIE - 541 Chemin du Mesnil-Esnard (Parking de la crèche - Ecole Maternelle)</v>
      </c>
      <c r="C78" s="154">
        <v>44</v>
      </c>
      <c r="D78" s="155"/>
      <c r="E78" s="155"/>
      <c r="F78" s="155"/>
      <c r="G78" s="155"/>
      <c r="H78" s="155"/>
      <c r="I78" s="155"/>
      <c r="J78" s="156"/>
      <c r="K78" s="157">
        <f t="shared" si="71"/>
        <v>1</v>
      </c>
      <c r="L78" s="157">
        <f t="shared" si="72"/>
        <v>2</v>
      </c>
      <c r="M78" s="158" t="s">
        <v>481</v>
      </c>
      <c r="N78" s="159" t="s">
        <v>482</v>
      </c>
      <c r="O78" s="159">
        <v>76920</v>
      </c>
      <c r="P78" s="159" t="s">
        <v>373</v>
      </c>
      <c r="Q78" s="159" t="s">
        <v>483</v>
      </c>
      <c r="R78" s="159" t="s">
        <v>484</v>
      </c>
      <c r="S78" s="159" t="s">
        <v>93</v>
      </c>
      <c r="T78" s="159" t="s">
        <v>94</v>
      </c>
      <c r="U78" s="159" t="s">
        <v>485</v>
      </c>
      <c r="V78" s="160" t="s">
        <v>96</v>
      </c>
      <c r="W78" s="161"/>
      <c r="X78" s="162"/>
      <c r="Y78" s="163"/>
      <c r="Z78" s="162"/>
      <c r="AA78" s="163"/>
      <c r="AB78" s="162"/>
      <c r="AC78" s="163"/>
      <c r="AD78" s="162">
        <v>8</v>
      </c>
      <c r="AE78" s="163">
        <v>8</v>
      </c>
      <c r="AF78" s="162"/>
      <c r="AG78" s="163"/>
      <c r="AH78" s="163"/>
      <c r="AI78" s="162"/>
      <c r="AJ78" s="163"/>
      <c r="AK78" s="162"/>
      <c r="AL78" s="163"/>
      <c r="AM78" s="162"/>
      <c r="AN78" s="163"/>
      <c r="AO78" s="162"/>
      <c r="AP78" s="164"/>
      <c r="AQ78" s="164"/>
      <c r="AR78" s="164"/>
      <c r="AS78" s="164"/>
      <c r="AT78" s="164"/>
      <c r="AU78" s="164"/>
      <c r="AV78" s="164"/>
      <c r="AW78" s="164"/>
      <c r="AX78" s="164"/>
      <c r="AY78" s="165"/>
      <c r="AZ78" s="41"/>
      <c r="BA78" s="190"/>
      <c r="BB78" s="191"/>
      <c r="BC78" s="191"/>
      <c r="BD78" s="191"/>
      <c r="BE78" s="191"/>
      <c r="BF78" s="191">
        <v>200</v>
      </c>
      <c r="BG78" s="191"/>
      <c r="BH78" s="191"/>
      <c r="BI78" s="191"/>
      <c r="BJ78" s="191">
        <v>50</v>
      </c>
      <c r="BK78" s="191"/>
      <c r="BL78" s="191"/>
      <c r="BM78" s="191">
        <v>50</v>
      </c>
      <c r="BN78" s="191"/>
      <c r="BO78" s="191"/>
      <c r="BP78" s="191"/>
      <c r="BQ78" s="191"/>
      <c r="BR78" s="191"/>
      <c r="BS78" s="191"/>
      <c r="BT78" s="191">
        <v>50</v>
      </c>
      <c r="BU78" s="191"/>
      <c r="BV78" s="191"/>
      <c r="BW78" s="191"/>
      <c r="BX78" s="191">
        <v>10</v>
      </c>
      <c r="BY78" s="191"/>
      <c r="BZ78" s="191"/>
      <c r="CA78" s="191">
        <v>10</v>
      </c>
      <c r="CB78" s="191"/>
      <c r="CC78" s="191"/>
      <c r="CD78" s="191"/>
      <c r="CE78" s="192">
        <v>10</v>
      </c>
      <c r="CF78" s="190"/>
      <c r="CG78" s="191"/>
      <c r="CH78" s="191">
        <v>10</v>
      </c>
      <c r="CI78" s="191"/>
      <c r="CJ78" s="191"/>
      <c r="CK78" s="191"/>
      <c r="CL78" s="191">
        <v>10</v>
      </c>
      <c r="CM78" s="191"/>
      <c r="CN78" s="191"/>
      <c r="CO78" s="191">
        <v>10</v>
      </c>
      <c r="CP78" s="191"/>
      <c r="CQ78" s="191"/>
      <c r="CR78" s="191"/>
      <c r="CS78" s="191">
        <v>10</v>
      </c>
      <c r="CT78" s="191"/>
      <c r="CU78" s="191"/>
      <c r="CV78" s="191">
        <v>10</v>
      </c>
      <c r="CW78" s="191"/>
      <c r="CX78" s="191"/>
      <c r="CY78" s="191"/>
      <c r="CZ78" s="191">
        <v>10</v>
      </c>
      <c r="DA78" s="191"/>
      <c r="DB78" s="191"/>
      <c r="DC78" s="191">
        <v>10</v>
      </c>
      <c r="DD78" s="191"/>
      <c r="DE78" s="191"/>
      <c r="DF78" s="191"/>
      <c r="DG78" s="191">
        <v>10</v>
      </c>
      <c r="DH78" s="193"/>
      <c r="DI78" s="194"/>
      <c r="DJ78" s="191"/>
      <c r="DK78" s="191">
        <v>10</v>
      </c>
      <c r="DL78" s="191"/>
      <c r="DM78" s="191"/>
      <c r="DN78" s="191"/>
      <c r="DO78" s="191">
        <v>10</v>
      </c>
      <c r="DP78" s="191"/>
      <c r="DQ78" s="191"/>
      <c r="DR78" s="191">
        <v>100</v>
      </c>
      <c r="DS78" s="191"/>
      <c r="DT78" s="191"/>
      <c r="DU78" s="191"/>
      <c r="DV78" s="191">
        <v>100</v>
      </c>
      <c r="DW78" s="191"/>
      <c r="DX78" s="191"/>
      <c r="DY78" s="191">
        <v>100</v>
      </c>
      <c r="DZ78" s="191"/>
      <c r="EA78" s="191"/>
      <c r="EB78" s="191"/>
      <c r="EC78" s="191">
        <v>100</v>
      </c>
      <c r="ED78" s="191"/>
      <c r="EE78" s="191"/>
      <c r="EF78" s="191">
        <v>50</v>
      </c>
      <c r="EG78" s="191"/>
      <c r="EH78" s="191"/>
      <c r="EI78" s="191"/>
      <c r="EJ78" s="191">
        <v>50</v>
      </c>
      <c r="EK78" s="191"/>
      <c r="EL78" s="191"/>
      <c r="EM78" s="192">
        <v>10</v>
      </c>
      <c r="EN78" s="190"/>
      <c r="EO78" s="191"/>
      <c r="EP78" s="191"/>
      <c r="EQ78" s="191">
        <v>100</v>
      </c>
      <c r="ER78" s="191"/>
      <c r="ES78" s="191"/>
      <c r="ET78" s="191">
        <v>100</v>
      </c>
      <c r="EU78" s="191"/>
      <c r="EV78" s="191"/>
      <c r="EW78" s="191"/>
      <c r="EX78" s="191">
        <v>100</v>
      </c>
      <c r="EY78" s="191"/>
      <c r="EZ78" s="191"/>
      <c r="FA78" s="191">
        <v>200</v>
      </c>
      <c r="FB78" s="191"/>
      <c r="FC78" s="191"/>
      <c r="FD78" s="191"/>
      <c r="FE78" s="191">
        <v>150</v>
      </c>
      <c r="FF78" s="191"/>
      <c r="FG78" s="191"/>
      <c r="FH78" s="191"/>
      <c r="FI78" s="191">
        <v>100</v>
      </c>
      <c r="FJ78" s="191"/>
      <c r="FK78" s="191"/>
      <c r="FL78" s="191">
        <v>50</v>
      </c>
      <c r="FM78" s="191"/>
      <c r="FN78" s="191"/>
      <c r="FO78" s="191"/>
      <c r="FP78" s="191"/>
      <c r="FQ78" s="193"/>
      <c r="FR78" s="194"/>
      <c r="FS78" s="191">
        <v>150</v>
      </c>
      <c r="FT78" s="191"/>
      <c r="FU78" s="191"/>
      <c r="FV78" s="191">
        <v>10</v>
      </c>
      <c r="FW78" s="191"/>
      <c r="FX78" s="191"/>
      <c r="FY78" s="191"/>
      <c r="FZ78" s="191">
        <v>100</v>
      </c>
      <c r="GA78" s="191"/>
      <c r="GB78" s="191"/>
      <c r="GC78" s="191">
        <v>50</v>
      </c>
      <c r="GD78" s="191"/>
      <c r="GE78" s="191"/>
      <c r="GF78" s="191"/>
      <c r="GG78" s="191">
        <v>10</v>
      </c>
      <c r="GH78" s="191"/>
      <c r="GI78" s="191"/>
      <c r="GJ78" s="191">
        <v>100</v>
      </c>
      <c r="GK78" s="191"/>
      <c r="GL78" s="191"/>
      <c r="GM78" s="191"/>
      <c r="GN78" s="191">
        <v>50</v>
      </c>
      <c r="GO78" s="191"/>
      <c r="GP78" s="191"/>
      <c r="GQ78" s="191">
        <v>50</v>
      </c>
      <c r="GR78" s="191"/>
      <c r="GS78" s="191"/>
      <c r="GT78" s="191"/>
      <c r="GU78" s="191">
        <v>50</v>
      </c>
      <c r="GV78" s="192"/>
      <c r="GW78" s="190"/>
      <c r="GX78" s="191">
        <v>50</v>
      </c>
      <c r="GY78" s="191"/>
      <c r="GZ78" s="191"/>
      <c r="HA78" s="191"/>
      <c r="HB78" s="191">
        <v>50</v>
      </c>
      <c r="HC78" s="191"/>
      <c r="HD78" s="191"/>
      <c r="HE78" s="191"/>
      <c r="HF78" s="191">
        <v>50</v>
      </c>
      <c r="HG78" s="191"/>
      <c r="HH78" s="191"/>
      <c r="HI78" s="191">
        <v>50</v>
      </c>
      <c r="HJ78" s="191"/>
      <c r="HK78" s="191"/>
      <c r="HL78" s="191">
        <v>50</v>
      </c>
      <c r="HM78" s="191"/>
      <c r="HN78" s="191"/>
      <c r="HO78" s="191"/>
      <c r="HP78" s="191">
        <v>150</v>
      </c>
      <c r="HQ78" s="191"/>
      <c r="HR78" s="191"/>
      <c r="HS78" s="191">
        <v>50</v>
      </c>
      <c r="HT78" s="191"/>
      <c r="HU78" s="191"/>
      <c r="HV78" s="191"/>
      <c r="HW78" s="191">
        <v>50</v>
      </c>
      <c r="HX78" s="191"/>
      <c r="HY78" s="191"/>
      <c r="HZ78" s="193">
        <v>50</v>
      </c>
      <c r="IA78" s="194"/>
      <c r="IB78" s="191"/>
      <c r="IC78" s="191"/>
      <c r="ID78" s="191">
        <v>100</v>
      </c>
      <c r="IE78" s="191"/>
      <c r="IF78" s="191"/>
      <c r="IG78" s="191">
        <v>100</v>
      </c>
      <c r="IH78" s="191"/>
      <c r="II78" s="191"/>
      <c r="IJ78" s="191"/>
      <c r="IK78" s="191">
        <v>50</v>
      </c>
      <c r="IL78" s="191"/>
      <c r="IM78" s="191"/>
      <c r="IN78" s="191">
        <v>100</v>
      </c>
      <c r="IO78" s="191"/>
      <c r="IP78" s="191"/>
      <c r="IQ78" s="191"/>
      <c r="IR78" s="191">
        <v>50</v>
      </c>
      <c r="IS78" s="191"/>
      <c r="IT78" s="191"/>
      <c r="IU78" s="191">
        <v>150</v>
      </c>
      <c r="IV78" s="191"/>
      <c r="IW78" s="191"/>
      <c r="IX78" s="191"/>
      <c r="IY78" s="191">
        <v>100</v>
      </c>
      <c r="IZ78" s="191"/>
      <c r="JA78" s="191"/>
      <c r="JB78" s="191">
        <v>200</v>
      </c>
      <c r="JC78" s="191"/>
      <c r="JD78" s="191"/>
      <c r="JE78" s="192"/>
      <c r="JF78" s="190">
        <v>50</v>
      </c>
      <c r="JG78" s="191"/>
      <c r="JH78" s="191"/>
      <c r="JI78" s="191">
        <v>100</v>
      </c>
      <c r="JJ78" s="191"/>
      <c r="JK78" s="191"/>
      <c r="JL78" s="191"/>
      <c r="JM78" s="191">
        <v>150</v>
      </c>
      <c r="JN78" s="191"/>
      <c r="JO78" s="191"/>
      <c r="JP78" s="191">
        <v>150</v>
      </c>
      <c r="JQ78" s="191"/>
      <c r="JR78" s="191"/>
      <c r="JS78" s="191"/>
      <c r="JT78" s="191">
        <v>150</v>
      </c>
      <c r="JU78" s="191"/>
      <c r="JV78" s="191"/>
      <c r="JW78" s="191">
        <v>150</v>
      </c>
      <c r="JX78" s="191"/>
      <c r="JY78" s="191"/>
      <c r="JZ78" s="191">
        <v>100</v>
      </c>
      <c r="KA78" s="191"/>
      <c r="KB78" s="191"/>
      <c r="KC78" s="191"/>
      <c r="KD78" s="191">
        <v>100</v>
      </c>
      <c r="KE78" s="191"/>
      <c r="KF78" s="191"/>
      <c r="KG78" s="191"/>
      <c r="KH78" s="191">
        <v>150</v>
      </c>
      <c r="KI78" s="191"/>
      <c r="KJ78" s="193"/>
      <c r="KK78" s="194">
        <v>100</v>
      </c>
      <c r="KL78" s="191"/>
      <c r="KM78" s="191"/>
      <c r="KN78" s="191"/>
      <c r="KO78" s="191">
        <v>50</v>
      </c>
      <c r="KP78" s="191"/>
      <c r="KQ78" s="191"/>
      <c r="KR78" s="191">
        <v>150</v>
      </c>
      <c r="KS78" s="191"/>
      <c r="KT78" s="191"/>
      <c r="KU78" s="191"/>
      <c r="KV78" s="191">
        <v>100</v>
      </c>
      <c r="KW78" s="191"/>
      <c r="KX78" s="191"/>
      <c r="KY78" s="191">
        <v>50</v>
      </c>
      <c r="KZ78" s="191"/>
      <c r="LA78" s="191"/>
      <c r="LB78" s="191"/>
      <c r="LC78" s="191">
        <v>100</v>
      </c>
      <c r="LD78" s="191"/>
      <c r="LE78" s="191"/>
      <c r="LF78" s="191">
        <v>50</v>
      </c>
      <c r="LG78" s="191"/>
      <c r="LH78" s="191"/>
      <c r="LI78" s="191"/>
      <c r="LJ78" s="191">
        <v>10</v>
      </c>
      <c r="LK78" s="191"/>
      <c r="LL78" s="191"/>
      <c r="LM78" s="191"/>
      <c r="LN78" s="192"/>
      <c r="LO78" s="190"/>
      <c r="LP78" s="191"/>
      <c r="LQ78" s="191">
        <v>50</v>
      </c>
      <c r="LR78" s="191"/>
      <c r="LS78" s="191"/>
      <c r="LT78" s="191">
        <v>50</v>
      </c>
      <c r="LU78" s="191"/>
      <c r="LV78" s="191"/>
      <c r="LW78" s="191"/>
      <c r="LX78" s="191">
        <v>50</v>
      </c>
      <c r="LY78" s="191"/>
      <c r="LZ78" s="191"/>
      <c r="MA78" s="191">
        <v>50</v>
      </c>
      <c r="MB78" s="191"/>
      <c r="MC78" s="191"/>
      <c r="MD78" s="191"/>
      <c r="ME78" s="191">
        <v>10</v>
      </c>
      <c r="MF78" s="191"/>
      <c r="MG78" s="191"/>
      <c r="MH78" s="191">
        <v>10</v>
      </c>
      <c r="MI78" s="191"/>
      <c r="MJ78" s="191"/>
      <c r="MK78" s="191"/>
      <c r="ML78" s="191">
        <v>100</v>
      </c>
      <c r="MM78" s="191"/>
      <c r="MN78" s="191"/>
      <c r="MO78" s="191">
        <v>50</v>
      </c>
      <c r="MP78" s="191"/>
      <c r="MQ78" s="191"/>
      <c r="MR78" s="191"/>
      <c r="MS78" s="193">
        <v>50</v>
      </c>
      <c r="MT78" s="194"/>
      <c r="MU78" s="191"/>
      <c r="MV78" s="191">
        <v>100</v>
      </c>
      <c r="MW78" s="191"/>
      <c r="MX78" s="191"/>
      <c r="MY78" s="191"/>
      <c r="MZ78" s="191">
        <v>150</v>
      </c>
      <c r="NA78" s="191"/>
      <c r="NB78" s="191"/>
      <c r="NC78" s="191">
        <v>100</v>
      </c>
      <c r="ND78" s="191"/>
      <c r="NE78" s="191"/>
      <c r="NF78" s="191"/>
      <c r="NG78" s="191">
        <v>100</v>
      </c>
      <c r="NH78" s="191"/>
      <c r="NI78" s="191"/>
      <c r="NJ78" s="191">
        <v>50</v>
      </c>
      <c r="NK78" s="191"/>
      <c r="NL78" s="191"/>
      <c r="NM78" s="191"/>
      <c r="NN78" s="191">
        <v>50</v>
      </c>
      <c r="NO78" s="191"/>
      <c r="NP78" s="191"/>
      <c r="NQ78" s="191">
        <v>100</v>
      </c>
      <c r="NR78" s="191"/>
      <c r="NS78" s="191"/>
      <c r="NT78" s="191"/>
      <c r="NU78" s="191">
        <v>50</v>
      </c>
      <c r="NV78" s="191"/>
      <c r="NW78" s="192"/>
      <c r="NX78" s="190">
        <v>100</v>
      </c>
      <c r="NY78" s="191"/>
      <c r="NZ78" s="191"/>
      <c r="OA78" s="191"/>
      <c r="OB78" s="191">
        <v>150</v>
      </c>
      <c r="OC78" s="191"/>
      <c r="OD78" s="191"/>
      <c r="OE78" s="191">
        <v>10</v>
      </c>
      <c r="OF78" s="191"/>
      <c r="OG78" s="191"/>
      <c r="OH78" s="191"/>
      <c r="OI78" s="191">
        <v>100</v>
      </c>
      <c r="OJ78" s="191"/>
      <c r="OK78" s="191"/>
      <c r="OL78" s="191"/>
      <c r="OM78" s="191"/>
      <c r="ON78" s="191"/>
      <c r="OO78" s="191"/>
      <c r="OP78" s="191"/>
      <c r="OQ78" s="191"/>
      <c r="OR78" s="191"/>
      <c r="OS78" s="191"/>
      <c r="OT78" s="191"/>
      <c r="OU78" s="191"/>
      <c r="OV78" s="191"/>
      <c r="OW78" s="191"/>
      <c r="OX78" s="191"/>
      <c r="OY78" s="191"/>
      <c r="OZ78" s="191"/>
      <c r="PA78" s="191"/>
      <c r="PB78" s="193"/>
      <c r="PC78" s="47"/>
      <c r="PD78" s="154" t="s">
        <v>97</v>
      </c>
      <c r="PE78" s="155" t="s">
        <v>98</v>
      </c>
      <c r="PF78" s="155" t="s">
        <v>98</v>
      </c>
      <c r="PG78" s="155" t="s">
        <v>98</v>
      </c>
      <c r="PH78" s="155" t="s">
        <v>98</v>
      </c>
      <c r="PI78" s="155" t="s">
        <v>98</v>
      </c>
      <c r="PJ78" s="155" t="s">
        <v>98</v>
      </c>
      <c r="PK78" s="155" t="s">
        <v>98</v>
      </c>
      <c r="PL78" s="155" t="s">
        <v>98</v>
      </c>
      <c r="PM78" s="155" t="s">
        <v>98</v>
      </c>
      <c r="PN78" s="155" t="s">
        <v>98</v>
      </c>
      <c r="PO78" s="156"/>
      <c r="PP78" s="156"/>
      <c r="PQ78" s="156"/>
      <c r="PR78" s="156"/>
      <c r="PS78" s="156"/>
      <c r="PT78" s="156"/>
      <c r="PU78" s="156"/>
      <c r="PV78" s="156"/>
      <c r="PW78" s="156"/>
      <c r="PX78" s="195"/>
      <c r="PY78" s="1"/>
      <c r="PZ78" s="196">
        <f t="shared" si="73"/>
        <v>380</v>
      </c>
      <c r="QA78" s="176">
        <f t="shared" si="74"/>
        <v>3.170100942687912E-3</v>
      </c>
      <c r="QB78" s="177" t="str">
        <f t="shared" ca="1" si="75"/>
        <v>Attente…</v>
      </c>
      <c r="QC78" s="197">
        <f t="shared" si="76"/>
        <v>80</v>
      </c>
      <c r="QD78" s="179">
        <f t="shared" si="77"/>
        <v>7.4906367041198505E-4</v>
      </c>
      <c r="QE78" s="180" t="str">
        <f t="shared" ca="1" si="78"/>
        <v>Attente…</v>
      </c>
      <c r="QF78" s="196">
        <f t="shared" si="79"/>
        <v>530</v>
      </c>
      <c r="QG78" s="176">
        <f t="shared" si="80"/>
        <v>4.220417263895525E-3</v>
      </c>
      <c r="QH78" s="177" t="str">
        <f t="shared" ca="1" si="81"/>
        <v>Attente…</v>
      </c>
      <c r="QI78" s="197">
        <f t="shared" si="82"/>
        <v>800</v>
      </c>
      <c r="QJ78" s="179">
        <f t="shared" si="83"/>
        <v>5.6108851171272267E-3</v>
      </c>
      <c r="QK78" s="180" t="str">
        <f t="shared" ca="1" si="84"/>
        <v>Attente…</v>
      </c>
      <c r="QL78" s="196">
        <f t="shared" si="85"/>
        <v>570</v>
      </c>
      <c r="QM78" s="176">
        <f t="shared" si="86"/>
        <v>4.1703248463564532E-3</v>
      </c>
      <c r="QN78" s="177" t="str">
        <f t="shared" ca="1" si="87"/>
        <v>Attente…</v>
      </c>
      <c r="QO78" s="197">
        <f t="shared" si="88"/>
        <v>550</v>
      </c>
      <c r="QP78" s="179">
        <f t="shared" si="89"/>
        <v>4.3059578799029205E-3</v>
      </c>
      <c r="QQ78" s="180" t="str">
        <f t="shared" ca="1" si="90"/>
        <v>Attente…</v>
      </c>
      <c r="QR78" s="196">
        <f t="shared" si="91"/>
        <v>850</v>
      </c>
      <c r="QS78" s="176">
        <f t="shared" si="92"/>
        <v>6.1192901623411686E-3</v>
      </c>
      <c r="QT78" s="177" t="str">
        <f t="shared" ca="1" si="93"/>
        <v>Attente…</v>
      </c>
      <c r="QU78" s="197">
        <f t="shared" si="94"/>
        <v>1100</v>
      </c>
      <c r="QV78" s="179">
        <f t="shared" si="95"/>
        <v>7.5841147269718702E-3</v>
      </c>
      <c r="QW78" s="180" t="str">
        <f t="shared" ca="1" si="96"/>
        <v>Attente…</v>
      </c>
      <c r="QX78" s="196">
        <f t="shared" si="97"/>
        <v>610</v>
      </c>
      <c r="QY78" s="176">
        <f t="shared" si="98"/>
        <v>4.4513850375083918E-3</v>
      </c>
      <c r="QZ78" s="177" t="str">
        <f t="shared" ca="1" si="99"/>
        <v>Attente…</v>
      </c>
      <c r="RA78" s="197">
        <f t="shared" si="100"/>
        <v>420</v>
      </c>
      <c r="RB78" s="179">
        <f t="shared" si="101"/>
        <v>3.286127846021438E-3</v>
      </c>
      <c r="RC78" s="180" t="str">
        <f t="shared" ca="1" si="102"/>
        <v>Attente…</v>
      </c>
      <c r="RD78" s="196">
        <f t="shared" si="103"/>
        <v>700</v>
      </c>
      <c r="RE78" s="176">
        <f t="shared" si="104"/>
        <v>6.9748903945795141E-3</v>
      </c>
      <c r="RF78" s="177" t="str">
        <f t="shared" ca="1" si="105"/>
        <v>Attente…</v>
      </c>
      <c r="RG78" s="197">
        <f t="shared" si="106"/>
        <v>360</v>
      </c>
      <c r="RH78" s="179">
        <f t="shared" si="107"/>
        <v>6.6212985102078355E-3</v>
      </c>
      <c r="RI78" s="198" t="str">
        <f t="shared" ca="1" si="108"/>
        <v>Attente…</v>
      </c>
      <c r="RJ78" s="199">
        <f t="shared" si="109"/>
        <v>990</v>
      </c>
      <c r="RK78" s="200" t="str">
        <f t="shared" ca="1" si="66"/>
        <v>Attente…</v>
      </c>
      <c r="RL78" s="199">
        <f t="shared" si="110"/>
        <v>1920</v>
      </c>
      <c r="RM78" s="200" t="str">
        <f t="shared" ca="1" si="111"/>
        <v>Atttente…</v>
      </c>
      <c r="RN78" s="199">
        <f t="shared" si="112"/>
        <v>2560</v>
      </c>
      <c r="RO78" s="200" t="str">
        <f t="shared" ca="1" si="67"/>
        <v>Attente…</v>
      </c>
      <c r="RP78" s="199">
        <f t="shared" si="113"/>
        <v>1480</v>
      </c>
      <c r="RQ78" s="200" t="str">
        <f t="shared" ca="1" si="68"/>
        <v>Attente…</v>
      </c>
      <c r="RR78" s="201">
        <f t="shared" si="114"/>
        <v>6950</v>
      </c>
      <c r="RS78" s="202" t="str">
        <f t="shared" ca="1" si="69"/>
        <v>Attente…</v>
      </c>
      <c r="RT78" s="103"/>
      <c r="RU78" s="203">
        <f t="shared" si="115"/>
        <v>0.36578947368421055</v>
      </c>
      <c r="RV78" s="204">
        <f t="shared" si="65"/>
        <v>1</v>
      </c>
      <c r="RW78" s="204">
        <f t="shared" si="65"/>
        <v>2</v>
      </c>
      <c r="RX78" s="204">
        <f t="shared" si="116"/>
        <v>95</v>
      </c>
      <c r="RY78" s="205" t="str">
        <f t="shared" si="117"/>
        <v>AMFREVILLE-LA-MI-VOIE - 541 Chemin du Mesnil-Esnard (Parking de la crèche - Ecole Maternelle)</v>
      </c>
      <c r="RZ78" s="189" t="str">
        <f>IF(OR(RZ77="",RZ77="  &lt;/Document&gt;
&lt;/kml&gt;"),"",
IF(B78="","  &lt;/Document&gt;
&lt;/kml&gt;",
IF(TournéesCAV!Q50=""," ",
"    &lt;Placemark&gt;
      &lt;description&gt;&lt;![CDATA["&amp;B78&amp;"&lt;br&gt;&lt;br&gt;"&amp;RV78&amp;" CAV&lt;br&gt;&lt;br&gt;Présent sur "&amp;RW78&amp;" tournée(s)&lt;br&gt;&lt;br&gt;Taux de remplissage moyen "&amp;TEXT(RU78*1000,"0 %")&amp;"]]&gt;&lt;/description&gt;
      &lt;Style&gt;
        &lt;IconStyle&gt;
          &lt;color&gt;ff"&amp;
          DEC2HEX(0,2)&amp;
          DEC2HEX(
            IF(RU78&lt;=0.5,
               INT(255*(RU78*2)),
               255
            ),2)&amp;
          DEC2HEX(
            IF(RU78&lt;=0.5,
               255,
               INT(255*(1-(RU78-0.5)*2))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&lt;Point&gt;&lt;coordinates&gt;"&amp;R78&amp;","&amp;Q78&amp;",0&lt;/coordinates&gt;&lt;/Point&gt;
    &lt;/Placemark&gt;"
)))</f>
        <v xml:space="preserve">    &lt;Placemark&gt;
      &lt;description&gt;&lt;![CDATA[AMFREVILLE-LA-MI-VOIE - 541 Chemin du Mesnil-Esnard (Parking de la crèche - Ecole Maternelle)&lt;br&gt;&lt;br&gt;1 CAV&lt;br&gt;&lt;br&gt;Présent sur 2 tournée(s)&lt;br&gt;&lt;br&gt;Taux de remplissage moyen 37%]]&gt;&lt;/description&gt;
      &lt;Style&gt;
        &lt;IconStyle&gt;
          &lt;color&gt;ff00BAFF&lt;/color&gt;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&lt;Point&gt;&lt;coordinates&gt;1.1314687,49.4021325,0&lt;/coordinates&gt;&lt;/Point&gt;
    &lt;/Placemark&gt;</v>
      </c>
    </row>
    <row r="79" spans="2:494" ht="15" hidden="1" customHeight="1" x14ac:dyDescent="0.35">
      <c r="B79" s="153" t="str">
        <f t="shared" si="70"/>
        <v>DÉVILLE-LÈS-ROUEN - 34 Rue De Verdun</v>
      </c>
      <c r="C79" s="154"/>
      <c r="D79" s="155"/>
      <c r="E79" s="155"/>
      <c r="F79" s="155"/>
      <c r="G79" s="155"/>
      <c r="H79" s="155"/>
      <c r="I79" s="155"/>
      <c r="J79" s="156"/>
      <c r="K79" s="157">
        <f t="shared" si="71"/>
        <v>0</v>
      </c>
      <c r="L79" s="157">
        <f t="shared" si="72"/>
        <v>0</v>
      </c>
      <c r="M79" s="158" t="s">
        <v>486</v>
      </c>
      <c r="N79" s="159"/>
      <c r="O79" s="159">
        <v>76250</v>
      </c>
      <c r="P79" s="159" t="s">
        <v>417</v>
      </c>
      <c r="Q79" s="159"/>
      <c r="R79" s="159"/>
      <c r="S79" s="159" t="s">
        <v>93</v>
      </c>
      <c r="T79" s="159" t="s">
        <v>94</v>
      </c>
      <c r="U79" s="159">
        <v>169</v>
      </c>
      <c r="V79" s="160" t="s">
        <v>96</v>
      </c>
      <c r="W79" s="161"/>
      <c r="X79" s="162"/>
      <c r="Y79" s="163"/>
      <c r="Z79" s="162"/>
      <c r="AA79" s="163"/>
      <c r="AB79" s="162"/>
      <c r="AC79" s="163"/>
      <c r="AD79" s="162"/>
      <c r="AE79" s="163"/>
      <c r="AF79" s="162"/>
      <c r="AG79" s="163"/>
      <c r="AH79" s="163"/>
      <c r="AI79" s="162"/>
      <c r="AJ79" s="163"/>
      <c r="AK79" s="162"/>
      <c r="AL79" s="163"/>
      <c r="AM79" s="162"/>
      <c r="AN79" s="163"/>
      <c r="AO79" s="162"/>
      <c r="AP79" s="164"/>
      <c r="AQ79" s="164"/>
      <c r="AR79" s="164"/>
      <c r="AS79" s="164"/>
      <c r="AT79" s="164"/>
      <c r="AU79" s="164"/>
      <c r="AV79" s="164"/>
      <c r="AW79" s="164"/>
      <c r="AX79" s="164"/>
      <c r="AY79" s="165"/>
      <c r="AZ79" s="41"/>
      <c r="BA79" s="190"/>
      <c r="BB79" s="191"/>
      <c r="BC79" s="191"/>
      <c r="BD79" s="191"/>
      <c r="BE79" s="191"/>
      <c r="BF79" s="191"/>
      <c r="BG79" s="191"/>
      <c r="BH79" s="191"/>
      <c r="BI79" s="191"/>
      <c r="BJ79" s="191"/>
      <c r="BK79" s="191"/>
      <c r="BL79" s="191"/>
      <c r="BM79" s="191"/>
      <c r="BN79" s="191"/>
      <c r="BO79" s="191"/>
      <c r="BP79" s="191"/>
      <c r="BQ79" s="191"/>
      <c r="BR79" s="191"/>
      <c r="BS79" s="191"/>
      <c r="BT79" s="191"/>
      <c r="BU79" s="191"/>
      <c r="BV79" s="191"/>
      <c r="BW79" s="191"/>
      <c r="BX79" s="191"/>
      <c r="BY79" s="191"/>
      <c r="BZ79" s="191"/>
      <c r="CA79" s="191"/>
      <c r="CB79" s="191"/>
      <c r="CC79" s="191"/>
      <c r="CD79" s="191"/>
      <c r="CE79" s="192">
        <v>50</v>
      </c>
      <c r="CF79" s="190"/>
      <c r="CG79" s="191"/>
      <c r="CH79" s="191"/>
      <c r="CI79" s="191"/>
      <c r="CJ79" s="191"/>
      <c r="CK79" s="191"/>
      <c r="CL79" s="191"/>
      <c r="CM79" s="191"/>
      <c r="CN79" s="191"/>
      <c r="CO79" s="191"/>
      <c r="CP79" s="191"/>
      <c r="CQ79" s="191"/>
      <c r="CR79" s="191"/>
      <c r="CS79" s="191"/>
      <c r="CT79" s="191"/>
      <c r="CU79" s="191"/>
      <c r="CV79" s="191"/>
      <c r="CW79" s="191"/>
      <c r="CX79" s="191"/>
      <c r="CY79" s="191"/>
      <c r="CZ79" s="191"/>
      <c r="DA79" s="191"/>
      <c r="DB79" s="191"/>
      <c r="DC79" s="191"/>
      <c r="DD79" s="191"/>
      <c r="DE79" s="191"/>
      <c r="DF79" s="191"/>
      <c r="DG79" s="191"/>
      <c r="DH79" s="193"/>
      <c r="DI79" s="194"/>
      <c r="DJ79" s="191"/>
      <c r="DK79" s="191"/>
      <c r="DL79" s="191"/>
      <c r="DM79" s="191"/>
      <c r="DN79" s="191"/>
      <c r="DO79" s="191"/>
      <c r="DP79" s="191"/>
      <c r="DQ79" s="191"/>
      <c r="DR79" s="191"/>
      <c r="DS79" s="191"/>
      <c r="DT79" s="191"/>
      <c r="DU79" s="191"/>
      <c r="DV79" s="191"/>
      <c r="DW79" s="191"/>
      <c r="DX79" s="191"/>
      <c r="DY79" s="191"/>
      <c r="DZ79" s="191"/>
      <c r="EA79" s="191"/>
      <c r="EB79" s="191"/>
      <c r="EC79" s="191"/>
      <c r="ED79" s="191"/>
      <c r="EE79" s="191"/>
      <c r="EF79" s="191"/>
      <c r="EG79" s="191"/>
      <c r="EH79" s="191"/>
      <c r="EI79" s="191"/>
      <c r="EJ79" s="191"/>
      <c r="EK79" s="191"/>
      <c r="EL79" s="191"/>
      <c r="EM79" s="192"/>
      <c r="EN79" s="190"/>
      <c r="EO79" s="191"/>
      <c r="EP79" s="191"/>
      <c r="EQ79" s="191"/>
      <c r="ER79" s="191"/>
      <c r="ES79" s="191"/>
      <c r="ET79" s="191"/>
      <c r="EU79" s="191"/>
      <c r="EV79" s="191"/>
      <c r="EW79" s="191"/>
      <c r="EX79" s="191"/>
      <c r="EY79" s="191"/>
      <c r="EZ79" s="191"/>
      <c r="FA79" s="191"/>
      <c r="FB79" s="191"/>
      <c r="FC79" s="191"/>
      <c r="FD79" s="191"/>
      <c r="FE79" s="191"/>
      <c r="FF79" s="191"/>
      <c r="FG79" s="191"/>
      <c r="FH79" s="191"/>
      <c r="FI79" s="191"/>
      <c r="FJ79" s="191"/>
      <c r="FK79" s="191"/>
      <c r="FL79" s="191"/>
      <c r="FM79" s="191"/>
      <c r="FN79" s="191"/>
      <c r="FO79" s="191"/>
      <c r="FP79" s="191"/>
      <c r="FQ79" s="193"/>
      <c r="FR79" s="194"/>
      <c r="FS79" s="191"/>
      <c r="FT79" s="191"/>
      <c r="FU79" s="191"/>
      <c r="FV79" s="191"/>
      <c r="FW79" s="191"/>
      <c r="FX79" s="191"/>
      <c r="FY79" s="191"/>
      <c r="FZ79" s="191"/>
      <c r="GA79" s="191"/>
      <c r="GB79" s="191"/>
      <c r="GC79" s="191"/>
      <c r="GD79" s="191"/>
      <c r="GE79" s="191"/>
      <c r="GF79" s="191"/>
      <c r="GG79" s="191"/>
      <c r="GH79" s="191"/>
      <c r="GI79" s="191"/>
      <c r="GJ79" s="191"/>
      <c r="GK79" s="191"/>
      <c r="GL79" s="191"/>
      <c r="GM79" s="191"/>
      <c r="GN79" s="191"/>
      <c r="GO79" s="191"/>
      <c r="GP79" s="191"/>
      <c r="GQ79" s="191"/>
      <c r="GR79" s="191"/>
      <c r="GS79" s="191"/>
      <c r="GT79" s="191"/>
      <c r="GU79" s="191"/>
      <c r="GV79" s="192"/>
      <c r="GW79" s="190"/>
      <c r="GX79" s="191"/>
      <c r="GY79" s="191"/>
      <c r="GZ79" s="191"/>
      <c r="HA79" s="191"/>
      <c r="HB79" s="191"/>
      <c r="HC79" s="191"/>
      <c r="HD79" s="191"/>
      <c r="HE79" s="191"/>
      <c r="HF79" s="191"/>
      <c r="HG79" s="191"/>
      <c r="HH79" s="191"/>
      <c r="HI79" s="191"/>
      <c r="HJ79" s="191"/>
      <c r="HK79" s="191"/>
      <c r="HL79" s="191"/>
      <c r="HM79" s="191"/>
      <c r="HN79" s="191"/>
      <c r="HO79" s="191"/>
      <c r="HP79" s="191"/>
      <c r="HQ79" s="191"/>
      <c r="HR79" s="191"/>
      <c r="HS79" s="191"/>
      <c r="HT79" s="191"/>
      <c r="HU79" s="191"/>
      <c r="HV79" s="191"/>
      <c r="HW79" s="191"/>
      <c r="HX79" s="191"/>
      <c r="HY79" s="191"/>
      <c r="HZ79" s="193"/>
      <c r="IA79" s="194"/>
      <c r="IB79" s="191"/>
      <c r="IC79" s="191"/>
      <c r="ID79" s="191"/>
      <c r="IE79" s="191"/>
      <c r="IF79" s="191"/>
      <c r="IG79" s="191"/>
      <c r="IH79" s="191"/>
      <c r="II79" s="191"/>
      <c r="IJ79" s="191"/>
      <c r="IK79" s="191"/>
      <c r="IL79" s="191"/>
      <c r="IM79" s="191"/>
      <c r="IN79" s="191"/>
      <c r="IO79" s="191"/>
      <c r="IP79" s="191"/>
      <c r="IQ79" s="191"/>
      <c r="IR79" s="191"/>
      <c r="IS79" s="191"/>
      <c r="IT79" s="191"/>
      <c r="IU79" s="191"/>
      <c r="IV79" s="191"/>
      <c r="IW79" s="191"/>
      <c r="IX79" s="191"/>
      <c r="IY79" s="191"/>
      <c r="IZ79" s="191"/>
      <c r="JA79" s="191"/>
      <c r="JB79" s="191"/>
      <c r="JC79" s="191"/>
      <c r="JD79" s="191"/>
      <c r="JE79" s="192"/>
      <c r="JF79" s="190"/>
      <c r="JG79" s="191"/>
      <c r="JH79" s="191"/>
      <c r="JI79" s="191"/>
      <c r="JJ79" s="191"/>
      <c r="JK79" s="191"/>
      <c r="JL79" s="191"/>
      <c r="JM79" s="191"/>
      <c r="JN79" s="191"/>
      <c r="JO79" s="191"/>
      <c r="JP79" s="191"/>
      <c r="JQ79" s="191"/>
      <c r="JR79" s="191"/>
      <c r="JS79" s="191"/>
      <c r="JT79" s="191"/>
      <c r="JU79" s="191"/>
      <c r="JV79" s="191"/>
      <c r="JW79" s="191"/>
      <c r="JX79" s="191"/>
      <c r="JY79" s="191"/>
      <c r="JZ79" s="191"/>
      <c r="KA79" s="191"/>
      <c r="KB79" s="191"/>
      <c r="KC79" s="191"/>
      <c r="KD79" s="191"/>
      <c r="KE79" s="191"/>
      <c r="KF79" s="191"/>
      <c r="KG79" s="191"/>
      <c r="KH79" s="191"/>
      <c r="KI79" s="191"/>
      <c r="KJ79" s="193"/>
      <c r="KK79" s="194"/>
      <c r="KL79" s="191"/>
      <c r="KM79" s="191"/>
      <c r="KN79" s="191"/>
      <c r="KO79" s="191"/>
      <c r="KP79" s="191"/>
      <c r="KQ79" s="191"/>
      <c r="KR79" s="191"/>
      <c r="KS79" s="191"/>
      <c r="KT79" s="191"/>
      <c r="KU79" s="191"/>
      <c r="KV79" s="191"/>
      <c r="KW79" s="191"/>
      <c r="KX79" s="191"/>
      <c r="KY79" s="191"/>
      <c r="KZ79" s="191"/>
      <c r="LA79" s="191"/>
      <c r="LB79" s="191"/>
      <c r="LC79" s="191"/>
      <c r="LD79" s="191"/>
      <c r="LE79" s="191"/>
      <c r="LF79" s="191"/>
      <c r="LG79" s="191"/>
      <c r="LH79" s="191"/>
      <c r="LI79" s="191"/>
      <c r="LJ79" s="191">
        <v>100</v>
      </c>
      <c r="LK79" s="191"/>
      <c r="LL79" s="191"/>
      <c r="LM79" s="191"/>
      <c r="LN79" s="192"/>
      <c r="LO79" s="190"/>
      <c r="LP79" s="191"/>
      <c r="LQ79" s="191"/>
      <c r="LR79" s="191"/>
      <c r="LS79" s="191"/>
      <c r="LT79" s="191"/>
      <c r="LU79" s="191"/>
      <c r="LV79" s="191"/>
      <c r="LW79" s="191"/>
      <c r="LX79" s="191"/>
      <c r="LY79" s="191"/>
      <c r="LZ79" s="191"/>
      <c r="MA79" s="191"/>
      <c r="MB79" s="191"/>
      <c r="MC79" s="191"/>
      <c r="MD79" s="191"/>
      <c r="ME79" s="191"/>
      <c r="MF79" s="191"/>
      <c r="MG79" s="191"/>
      <c r="MH79" s="191"/>
      <c r="MI79" s="191"/>
      <c r="MJ79" s="191"/>
      <c r="MK79" s="191"/>
      <c r="ML79" s="191"/>
      <c r="MM79" s="191"/>
      <c r="MN79" s="191"/>
      <c r="MO79" s="191"/>
      <c r="MP79" s="191"/>
      <c r="MQ79" s="191"/>
      <c r="MR79" s="191"/>
      <c r="MS79" s="193"/>
      <c r="MT79" s="194"/>
      <c r="MU79" s="191"/>
      <c r="MV79" s="191"/>
      <c r="MW79" s="191"/>
      <c r="MX79" s="191"/>
      <c r="MY79" s="191"/>
      <c r="MZ79" s="191"/>
      <c r="NA79" s="191"/>
      <c r="NB79" s="191"/>
      <c r="NC79" s="191"/>
      <c r="ND79" s="191"/>
      <c r="NE79" s="191"/>
      <c r="NF79" s="191"/>
      <c r="NG79" s="191"/>
      <c r="NH79" s="191"/>
      <c r="NI79" s="191"/>
      <c r="NJ79" s="191"/>
      <c r="NK79" s="191"/>
      <c r="NL79" s="191"/>
      <c r="NM79" s="191"/>
      <c r="NN79" s="191"/>
      <c r="NO79" s="191"/>
      <c r="NP79" s="191"/>
      <c r="NQ79" s="191"/>
      <c r="NR79" s="191"/>
      <c r="NS79" s="191"/>
      <c r="NT79" s="191"/>
      <c r="NU79" s="191"/>
      <c r="NV79" s="191"/>
      <c r="NW79" s="192"/>
      <c r="NX79" s="190"/>
      <c r="NY79" s="191"/>
      <c r="NZ79" s="191"/>
      <c r="OA79" s="191"/>
      <c r="OB79" s="191"/>
      <c r="OC79" s="191"/>
      <c r="OD79" s="191"/>
      <c r="OE79" s="191"/>
      <c r="OF79" s="191"/>
      <c r="OG79" s="191"/>
      <c r="OH79" s="191"/>
      <c r="OI79" s="191"/>
      <c r="OJ79" s="191"/>
      <c r="OK79" s="191"/>
      <c r="OL79" s="191"/>
      <c r="OM79" s="191"/>
      <c r="ON79" s="191"/>
      <c r="OO79" s="191"/>
      <c r="OP79" s="191"/>
      <c r="OQ79" s="191"/>
      <c r="OR79" s="191"/>
      <c r="OS79" s="191"/>
      <c r="OT79" s="191"/>
      <c r="OU79" s="191"/>
      <c r="OV79" s="191"/>
      <c r="OW79" s="191"/>
      <c r="OX79" s="191"/>
      <c r="OY79" s="191"/>
      <c r="OZ79" s="191"/>
      <c r="PA79" s="191"/>
      <c r="PB79" s="193"/>
      <c r="PC79" s="47"/>
      <c r="PD79" s="154" t="s">
        <v>97</v>
      </c>
      <c r="PE79" s="155" t="s">
        <v>98</v>
      </c>
      <c r="PF79" s="155" t="s">
        <v>98</v>
      </c>
      <c r="PG79" s="155" t="s">
        <v>98</v>
      </c>
      <c r="PH79" s="155" t="s">
        <v>98</v>
      </c>
      <c r="PI79" s="155" t="s">
        <v>98</v>
      </c>
      <c r="PJ79" s="155" t="s">
        <v>98</v>
      </c>
      <c r="PK79" s="155" t="s">
        <v>98</v>
      </c>
      <c r="PL79" s="155" t="s">
        <v>98</v>
      </c>
      <c r="PM79" s="155" t="s">
        <v>98</v>
      </c>
      <c r="PN79" s="155" t="s">
        <v>98</v>
      </c>
      <c r="PO79" s="156"/>
      <c r="PP79" s="156"/>
      <c r="PQ79" s="156"/>
      <c r="PR79" s="156"/>
      <c r="PS79" s="156"/>
      <c r="PT79" s="156"/>
      <c r="PU79" s="156"/>
      <c r="PV79" s="156"/>
      <c r="PW79" s="156"/>
      <c r="PX79" s="195"/>
      <c r="PY79" s="1"/>
      <c r="PZ79" s="196">
        <f t="shared" si="73"/>
        <v>50</v>
      </c>
      <c r="QA79" s="176">
        <f t="shared" si="74"/>
        <v>4.1711854509051473E-4</v>
      </c>
      <c r="QB79" s="177" t="str">
        <f t="shared" ca="1" si="75"/>
        <v>Attente…</v>
      </c>
      <c r="QC79" s="197">
        <f t="shared" si="76"/>
        <v>0</v>
      </c>
      <c r="QD79" s="179">
        <f t="shared" si="77"/>
        <v>0</v>
      </c>
      <c r="QE79" s="180" t="str">
        <f t="shared" ca="1" si="78"/>
        <v>Attente…</v>
      </c>
      <c r="QF79" s="196">
        <f t="shared" si="79"/>
        <v>0</v>
      </c>
      <c r="QG79" s="176">
        <f t="shared" si="80"/>
        <v>0</v>
      </c>
      <c r="QH79" s="177" t="str">
        <f t="shared" ca="1" si="81"/>
        <v>Attente…</v>
      </c>
      <c r="QI79" s="197">
        <f t="shared" si="82"/>
        <v>0</v>
      </c>
      <c r="QJ79" s="179">
        <f t="shared" si="83"/>
        <v>0</v>
      </c>
      <c r="QK79" s="180" t="str">
        <f t="shared" ca="1" si="84"/>
        <v>Attente…</v>
      </c>
      <c r="QL79" s="196">
        <f t="shared" si="85"/>
        <v>0</v>
      </c>
      <c r="QM79" s="176">
        <f t="shared" si="86"/>
        <v>0</v>
      </c>
      <c r="QN79" s="177" t="str">
        <f t="shared" ca="1" si="87"/>
        <v>Attente…</v>
      </c>
      <c r="QO79" s="197">
        <f t="shared" si="88"/>
        <v>0</v>
      </c>
      <c r="QP79" s="179">
        <f t="shared" si="89"/>
        <v>0</v>
      </c>
      <c r="QQ79" s="180" t="str">
        <f t="shared" ca="1" si="90"/>
        <v>Attente…</v>
      </c>
      <c r="QR79" s="196">
        <f t="shared" si="91"/>
        <v>0</v>
      </c>
      <c r="QS79" s="176">
        <f t="shared" si="92"/>
        <v>0</v>
      </c>
      <c r="QT79" s="177" t="str">
        <f t="shared" ca="1" si="93"/>
        <v>Attente…</v>
      </c>
      <c r="QU79" s="197">
        <f t="shared" si="94"/>
        <v>0</v>
      </c>
      <c r="QV79" s="179">
        <f t="shared" si="95"/>
        <v>0</v>
      </c>
      <c r="QW79" s="180" t="str">
        <f t="shared" ca="1" si="96"/>
        <v>Attente…</v>
      </c>
      <c r="QX79" s="196">
        <f t="shared" si="97"/>
        <v>100</v>
      </c>
      <c r="QY79" s="176">
        <f t="shared" si="98"/>
        <v>7.2973525205055601E-4</v>
      </c>
      <c r="QZ79" s="177" t="str">
        <f t="shared" ca="1" si="99"/>
        <v>Attente…</v>
      </c>
      <c r="RA79" s="197">
        <f t="shared" si="100"/>
        <v>0</v>
      </c>
      <c r="RB79" s="179">
        <f t="shared" si="101"/>
        <v>0</v>
      </c>
      <c r="RC79" s="180" t="str">
        <f t="shared" ca="1" si="102"/>
        <v>Attente…</v>
      </c>
      <c r="RD79" s="196">
        <f t="shared" si="103"/>
        <v>0</v>
      </c>
      <c r="RE79" s="176">
        <f t="shared" si="104"/>
        <v>0</v>
      </c>
      <c r="RF79" s="177" t="str">
        <f t="shared" ca="1" si="105"/>
        <v>Attente…</v>
      </c>
      <c r="RG79" s="197">
        <f t="shared" si="106"/>
        <v>0</v>
      </c>
      <c r="RH79" s="179">
        <f t="shared" si="107"/>
        <v>0</v>
      </c>
      <c r="RI79" s="198" t="str">
        <f t="shared" ca="1" si="108"/>
        <v>Attente…</v>
      </c>
      <c r="RJ79" s="199">
        <f t="shared" si="109"/>
        <v>50</v>
      </c>
      <c r="RK79" s="200" t="str">
        <f t="shared" ca="1" si="66"/>
        <v>Attente…</v>
      </c>
      <c r="RL79" s="199">
        <f t="shared" si="110"/>
        <v>0</v>
      </c>
      <c r="RM79" s="200" t="str">
        <f t="shared" ca="1" si="111"/>
        <v>Atttente…</v>
      </c>
      <c r="RN79" s="199">
        <f t="shared" si="112"/>
        <v>100</v>
      </c>
      <c r="RO79" s="200" t="str">
        <f t="shared" ca="1" si="67"/>
        <v>Attente…</v>
      </c>
      <c r="RP79" s="199">
        <f t="shared" si="113"/>
        <v>0</v>
      </c>
      <c r="RQ79" s="200" t="str">
        <f t="shared" ca="1" si="68"/>
        <v>Attente…</v>
      </c>
      <c r="RR79" s="201">
        <f t="shared" si="114"/>
        <v>150</v>
      </c>
      <c r="RS79" s="202" t="str">
        <f t="shared" ca="1" si="69"/>
        <v>Attente…</v>
      </c>
      <c r="RT79" s="103"/>
      <c r="RU79" s="203" t="str">
        <f t="shared" si="115"/>
        <v/>
      </c>
      <c r="RV79" s="204">
        <f t="shared" si="65"/>
        <v>0</v>
      </c>
      <c r="RW79" s="204">
        <f t="shared" si="65"/>
        <v>0</v>
      </c>
      <c r="RX79" s="204">
        <f t="shared" si="116"/>
        <v>2</v>
      </c>
      <c r="RY79" s="205" t="str">
        <f t="shared" si="117"/>
        <v>DÉVILLE-LÈS-ROUEN - 34 Rue De Verdun</v>
      </c>
      <c r="RZ79" s="189" t="str">
        <f>IF(OR(RZ78="",RZ78="  &lt;/Document&gt;
&lt;/kml&gt;"),"",
IF(B79="","  &lt;/Document&gt;
&lt;/kml&gt;",
IF(TournéesCAV!Q79=""," ",
"    &lt;Placemark&gt;
      &lt;description&gt;&lt;![CDATA["&amp;B79&amp;"&lt;br&gt;&lt;br&gt;"&amp;RV79&amp;" CAV&lt;br&gt;&lt;br&gt;Présent sur "&amp;RW79&amp;" tournée(s)&lt;br&gt;&lt;br&gt;Taux de remplissage moyen "&amp;TEXT(RU79*1000,"0 %")&amp;"]]&gt;&lt;/description&gt;
      &lt;Style&gt;
        &lt;IconStyle&gt;
          &lt;color&gt;ff"&amp;
          DEC2HEX(0,2)&amp;
          DEC2HEX(
            IF(RU79&lt;=0.5,
               INT(255*(RU79*2)),
               255
            ),2)&amp;
          DEC2HEX(
            IF(RU79&lt;=0.5,
               255,
               INT(255*(1-(RU79-0.5)*2))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&lt;Point&gt;&lt;coordinates&gt;"&amp;R79&amp;","&amp;Q79&amp;",0&lt;/coordinates&gt;&lt;/Point&gt;
    &lt;/Placemark&gt;"
)))</f>
        <v xml:space="preserve"> </v>
      </c>
    </row>
    <row r="80" spans="2:494" ht="15" hidden="1" customHeight="1" x14ac:dyDescent="0.35">
      <c r="B80" s="153" t="str">
        <f t="shared" si="70"/>
        <v>DÉVILLE-LÈS-ROUEN - 18 Impasse Barbet (Déchetterie)</v>
      </c>
      <c r="C80" s="154">
        <v>22</v>
      </c>
      <c r="D80" s="155"/>
      <c r="E80" s="155"/>
      <c r="F80" s="155"/>
      <c r="G80" s="155"/>
      <c r="H80" s="155"/>
      <c r="I80" s="155"/>
      <c r="J80" s="156"/>
      <c r="K80" s="157">
        <f t="shared" si="71"/>
        <v>1</v>
      </c>
      <c r="L80" s="157">
        <f t="shared" si="72"/>
        <v>1</v>
      </c>
      <c r="M80" s="158" t="s">
        <v>487</v>
      </c>
      <c r="N80" s="159" t="s">
        <v>411</v>
      </c>
      <c r="O80" s="159">
        <v>76250</v>
      </c>
      <c r="P80" s="159" t="s">
        <v>417</v>
      </c>
      <c r="Q80" s="159" t="s">
        <v>488</v>
      </c>
      <c r="R80" s="159" t="s">
        <v>489</v>
      </c>
      <c r="S80" s="159" t="s">
        <v>93</v>
      </c>
      <c r="T80" s="159" t="s">
        <v>159</v>
      </c>
      <c r="U80" s="159" t="s">
        <v>490</v>
      </c>
      <c r="V80" s="160" t="s">
        <v>96</v>
      </c>
      <c r="W80" s="161"/>
      <c r="X80" s="162"/>
      <c r="Y80" s="163"/>
      <c r="Z80" s="162"/>
      <c r="AA80" s="163"/>
      <c r="AB80" s="162"/>
      <c r="AC80" s="163"/>
      <c r="AD80" s="162"/>
      <c r="AE80" s="163"/>
      <c r="AF80" s="162"/>
      <c r="AG80" s="163"/>
      <c r="AH80" s="163">
        <v>14</v>
      </c>
      <c r="AI80" s="162"/>
      <c r="AJ80" s="163"/>
      <c r="AK80" s="162"/>
      <c r="AL80" s="163"/>
      <c r="AM80" s="162"/>
      <c r="AN80" s="163"/>
      <c r="AO80" s="162"/>
      <c r="AP80" s="164"/>
      <c r="AQ80" s="164"/>
      <c r="AR80" s="164"/>
      <c r="AS80" s="164"/>
      <c r="AT80" s="164"/>
      <c r="AU80" s="164"/>
      <c r="AV80" s="164"/>
      <c r="AW80" s="164"/>
      <c r="AX80" s="164"/>
      <c r="AY80" s="165"/>
      <c r="AZ80" s="41"/>
      <c r="BA80" s="190"/>
      <c r="BB80" s="191"/>
      <c r="BC80" s="191"/>
      <c r="BD80" s="191"/>
      <c r="BE80" s="191"/>
      <c r="BF80" s="191">
        <v>100</v>
      </c>
      <c r="BG80" s="191"/>
      <c r="BH80" s="191"/>
      <c r="BI80" s="191"/>
      <c r="BJ80" s="191"/>
      <c r="BK80" s="191"/>
      <c r="BL80" s="191"/>
      <c r="BM80" s="191">
        <v>150</v>
      </c>
      <c r="BN80" s="191"/>
      <c r="BO80" s="191"/>
      <c r="BP80" s="191"/>
      <c r="BQ80" s="191"/>
      <c r="BR80" s="191"/>
      <c r="BS80" s="191"/>
      <c r="BT80" s="191">
        <v>100</v>
      </c>
      <c r="BU80" s="191"/>
      <c r="BV80" s="191"/>
      <c r="BW80" s="191"/>
      <c r="BX80" s="191"/>
      <c r="BY80" s="191"/>
      <c r="BZ80" s="191"/>
      <c r="CA80" s="191">
        <v>10</v>
      </c>
      <c r="CB80" s="191"/>
      <c r="CC80" s="191"/>
      <c r="CD80" s="191"/>
      <c r="CE80" s="192"/>
      <c r="CF80" s="190"/>
      <c r="CG80" s="191"/>
      <c r="CH80" s="191">
        <v>50</v>
      </c>
      <c r="CI80" s="191"/>
      <c r="CJ80" s="191"/>
      <c r="CK80" s="191"/>
      <c r="CL80" s="191"/>
      <c r="CM80" s="191"/>
      <c r="CN80" s="191"/>
      <c r="CO80" s="191">
        <v>100</v>
      </c>
      <c r="CP80" s="191"/>
      <c r="CQ80" s="191"/>
      <c r="CR80" s="191"/>
      <c r="CS80" s="191"/>
      <c r="CT80" s="191"/>
      <c r="CU80" s="191"/>
      <c r="CV80" s="191">
        <v>100</v>
      </c>
      <c r="CW80" s="191"/>
      <c r="CX80" s="191"/>
      <c r="CY80" s="191"/>
      <c r="CZ80" s="191"/>
      <c r="DA80" s="191"/>
      <c r="DB80" s="191"/>
      <c r="DC80" s="191">
        <v>50</v>
      </c>
      <c r="DD80" s="191"/>
      <c r="DE80" s="191"/>
      <c r="DF80" s="191"/>
      <c r="DG80" s="191"/>
      <c r="DH80" s="193"/>
      <c r="DI80" s="194"/>
      <c r="DJ80" s="191"/>
      <c r="DK80" s="191">
        <v>100</v>
      </c>
      <c r="DL80" s="191"/>
      <c r="DM80" s="191"/>
      <c r="DN80" s="191"/>
      <c r="DO80" s="191"/>
      <c r="DP80" s="191"/>
      <c r="DQ80" s="191"/>
      <c r="DR80" s="191">
        <v>100</v>
      </c>
      <c r="DS80" s="191"/>
      <c r="DT80" s="191"/>
      <c r="DU80" s="191"/>
      <c r="DV80" s="191"/>
      <c r="DW80" s="191"/>
      <c r="DX80" s="191"/>
      <c r="DY80" s="191">
        <v>50</v>
      </c>
      <c r="DZ80" s="191"/>
      <c r="EA80" s="191"/>
      <c r="EB80" s="191"/>
      <c r="EC80" s="191"/>
      <c r="ED80" s="191"/>
      <c r="EE80" s="191"/>
      <c r="EF80" s="191">
        <v>100</v>
      </c>
      <c r="EG80" s="191"/>
      <c r="EH80" s="191"/>
      <c r="EI80" s="191"/>
      <c r="EJ80" s="191"/>
      <c r="EK80" s="191"/>
      <c r="EL80" s="191"/>
      <c r="EM80" s="192">
        <v>50</v>
      </c>
      <c r="EN80" s="190"/>
      <c r="EO80" s="191"/>
      <c r="EP80" s="191"/>
      <c r="EQ80" s="191"/>
      <c r="ER80" s="191"/>
      <c r="ES80" s="191"/>
      <c r="ET80" s="191">
        <v>50</v>
      </c>
      <c r="EU80" s="191"/>
      <c r="EV80" s="191"/>
      <c r="EW80" s="191"/>
      <c r="EX80" s="191"/>
      <c r="EY80" s="191"/>
      <c r="EZ80" s="191"/>
      <c r="FA80" s="191">
        <v>50</v>
      </c>
      <c r="FB80" s="191"/>
      <c r="FC80" s="191"/>
      <c r="FD80" s="191"/>
      <c r="FE80" s="191"/>
      <c r="FF80" s="191"/>
      <c r="FG80" s="191"/>
      <c r="FH80" s="191"/>
      <c r="FI80" s="191">
        <v>10</v>
      </c>
      <c r="FJ80" s="191"/>
      <c r="FK80" s="191"/>
      <c r="FL80" s="191"/>
      <c r="FM80" s="191"/>
      <c r="FN80" s="191"/>
      <c r="FO80" s="191">
        <v>100</v>
      </c>
      <c r="FP80" s="191"/>
      <c r="FQ80" s="193"/>
      <c r="FR80" s="194"/>
      <c r="FS80" s="191"/>
      <c r="FT80" s="191"/>
      <c r="FU80" s="191"/>
      <c r="FV80" s="191">
        <v>100</v>
      </c>
      <c r="FW80" s="191"/>
      <c r="FX80" s="191"/>
      <c r="FY80" s="191"/>
      <c r="FZ80" s="191"/>
      <c r="GA80" s="191"/>
      <c r="GB80" s="191"/>
      <c r="GC80" s="191">
        <v>150</v>
      </c>
      <c r="GD80" s="191"/>
      <c r="GE80" s="191"/>
      <c r="GF80" s="191"/>
      <c r="GG80" s="191"/>
      <c r="GH80" s="191"/>
      <c r="GI80" s="191"/>
      <c r="GJ80" s="191">
        <v>100</v>
      </c>
      <c r="GK80" s="191"/>
      <c r="GL80" s="191"/>
      <c r="GM80" s="191"/>
      <c r="GN80" s="191"/>
      <c r="GO80" s="191"/>
      <c r="GP80" s="191"/>
      <c r="GQ80" s="191">
        <v>50</v>
      </c>
      <c r="GR80" s="191"/>
      <c r="GS80" s="191"/>
      <c r="GT80" s="191"/>
      <c r="GU80" s="191"/>
      <c r="GV80" s="192"/>
      <c r="GW80" s="190"/>
      <c r="GX80" s="191">
        <v>150</v>
      </c>
      <c r="GY80" s="191"/>
      <c r="GZ80" s="191"/>
      <c r="HA80" s="191"/>
      <c r="HB80" s="191"/>
      <c r="HC80" s="191"/>
      <c r="HD80" s="191"/>
      <c r="HE80" s="191"/>
      <c r="HF80" s="191">
        <v>100</v>
      </c>
      <c r="HG80" s="191"/>
      <c r="HH80" s="191"/>
      <c r="HI80" s="191"/>
      <c r="HJ80" s="191"/>
      <c r="HK80" s="191"/>
      <c r="HL80" s="191"/>
      <c r="HM80" s="191">
        <v>100</v>
      </c>
      <c r="HN80" s="191"/>
      <c r="HO80" s="191"/>
      <c r="HP80" s="191"/>
      <c r="HQ80" s="191"/>
      <c r="HR80" s="191"/>
      <c r="HS80" s="191">
        <v>100</v>
      </c>
      <c r="HT80" s="191"/>
      <c r="HU80" s="191"/>
      <c r="HV80" s="191"/>
      <c r="HW80" s="191"/>
      <c r="HX80" s="191"/>
      <c r="HY80" s="191"/>
      <c r="HZ80" s="193">
        <v>50</v>
      </c>
      <c r="IA80" s="194"/>
      <c r="IB80" s="191"/>
      <c r="IC80" s="191"/>
      <c r="ID80" s="191"/>
      <c r="IE80" s="191"/>
      <c r="IF80" s="191"/>
      <c r="IG80" s="191">
        <v>150</v>
      </c>
      <c r="IH80" s="191"/>
      <c r="II80" s="191"/>
      <c r="IJ80" s="191"/>
      <c r="IK80" s="191"/>
      <c r="IL80" s="191"/>
      <c r="IM80" s="191"/>
      <c r="IN80" s="191">
        <v>50</v>
      </c>
      <c r="IO80" s="191"/>
      <c r="IP80" s="191"/>
      <c r="IQ80" s="191"/>
      <c r="IR80" s="191"/>
      <c r="IS80" s="191"/>
      <c r="IT80" s="191"/>
      <c r="IU80" s="191">
        <v>100</v>
      </c>
      <c r="IV80" s="191"/>
      <c r="IW80" s="191"/>
      <c r="IX80" s="191"/>
      <c r="IY80" s="191"/>
      <c r="IZ80" s="191"/>
      <c r="JA80" s="191"/>
      <c r="JB80" s="191">
        <v>100</v>
      </c>
      <c r="JC80" s="191"/>
      <c r="JD80" s="191"/>
      <c r="JE80" s="192"/>
      <c r="JF80" s="190"/>
      <c r="JG80" s="191"/>
      <c r="JH80" s="191"/>
      <c r="JI80" s="191">
        <v>150</v>
      </c>
      <c r="JJ80" s="191"/>
      <c r="JK80" s="191"/>
      <c r="JL80" s="191"/>
      <c r="JM80" s="191"/>
      <c r="JN80" s="191"/>
      <c r="JO80" s="191"/>
      <c r="JP80" s="191">
        <v>100</v>
      </c>
      <c r="JQ80" s="191"/>
      <c r="JR80" s="191"/>
      <c r="JS80" s="191"/>
      <c r="JT80" s="191"/>
      <c r="JU80" s="191"/>
      <c r="JV80" s="191"/>
      <c r="JW80" s="191">
        <v>50</v>
      </c>
      <c r="JX80" s="191"/>
      <c r="JY80" s="191"/>
      <c r="JZ80" s="191"/>
      <c r="KA80" s="191"/>
      <c r="KB80" s="191"/>
      <c r="KC80" s="191"/>
      <c r="KD80" s="191">
        <v>100</v>
      </c>
      <c r="KE80" s="191"/>
      <c r="KF80" s="191"/>
      <c r="KG80" s="191"/>
      <c r="KH80" s="191"/>
      <c r="KI80" s="191"/>
      <c r="KJ80" s="193"/>
      <c r="KK80" s="194">
        <v>50</v>
      </c>
      <c r="KL80" s="191"/>
      <c r="KM80" s="191"/>
      <c r="KN80" s="191"/>
      <c r="KO80" s="191"/>
      <c r="KP80" s="191"/>
      <c r="KQ80" s="191"/>
      <c r="KR80" s="191">
        <v>100</v>
      </c>
      <c r="KS80" s="191"/>
      <c r="KT80" s="191"/>
      <c r="KU80" s="191"/>
      <c r="KV80" s="191"/>
      <c r="KW80" s="191"/>
      <c r="KX80" s="191"/>
      <c r="KY80" s="191"/>
      <c r="KZ80" s="191"/>
      <c r="LA80" s="191"/>
      <c r="LB80" s="191"/>
      <c r="LC80" s="191"/>
      <c r="LD80" s="191"/>
      <c r="LE80" s="191"/>
      <c r="LF80" s="191">
        <v>150</v>
      </c>
      <c r="LG80" s="191"/>
      <c r="LH80" s="191"/>
      <c r="LI80" s="191"/>
      <c r="LJ80" s="191"/>
      <c r="LK80" s="191"/>
      <c r="LL80" s="191"/>
      <c r="LM80" s="191"/>
      <c r="LN80" s="192"/>
      <c r="LO80" s="190"/>
      <c r="LP80" s="191"/>
      <c r="LQ80" s="191"/>
      <c r="LR80" s="191"/>
      <c r="LS80" s="191"/>
      <c r="LT80" s="191">
        <v>100</v>
      </c>
      <c r="LU80" s="191"/>
      <c r="LV80" s="191"/>
      <c r="LW80" s="191"/>
      <c r="LX80" s="191"/>
      <c r="LY80" s="191"/>
      <c r="LZ80" s="191"/>
      <c r="MA80" s="191">
        <v>100</v>
      </c>
      <c r="MB80" s="191"/>
      <c r="MC80" s="191"/>
      <c r="MD80" s="191"/>
      <c r="ME80" s="191"/>
      <c r="MF80" s="191"/>
      <c r="MG80" s="191"/>
      <c r="MH80" s="191">
        <v>50</v>
      </c>
      <c r="MI80" s="191"/>
      <c r="MJ80" s="191"/>
      <c r="MK80" s="191"/>
      <c r="ML80" s="191"/>
      <c r="MM80" s="191"/>
      <c r="MN80" s="191"/>
      <c r="MO80" s="191">
        <v>50</v>
      </c>
      <c r="MP80" s="191"/>
      <c r="MQ80" s="191"/>
      <c r="MR80" s="191"/>
      <c r="MS80" s="193"/>
      <c r="MT80" s="194"/>
      <c r="MU80" s="191"/>
      <c r="MV80" s="191">
        <v>50</v>
      </c>
      <c r="MW80" s="191"/>
      <c r="MX80" s="191"/>
      <c r="MY80" s="191"/>
      <c r="MZ80" s="191"/>
      <c r="NA80" s="191"/>
      <c r="NB80" s="191"/>
      <c r="NC80" s="191">
        <v>100</v>
      </c>
      <c r="ND80" s="191"/>
      <c r="NE80" s="191"/>
      <c r="NF80" s="191"/>
      <c r="NG80" s="191"/>
      <c r="NH80" s="191"/>
      <c r="NI80" s="191"/>
      <c r="NJ80" s="191">
        <v>200</v>
      </c>
      <c r="NK80" s="191"/>
      <c r="NL80" s="191"/>
      <c r="NM80" s="191"/>
      <c r="NN80" s="191"/>
      <c r="NO80" s="191"/>
      <c r="NP80" s="191"/>
      <c r="NQ80" s="191">
        <v>10</v>
      </c>
      <c r="NR80" s="191"/>
      <c r="NS80" s="191"/>
      <c r="NT80" s="191"/>
      <c r="NU80" s="191"/>
      <c r="NV80" s="191"/>
      <c r="NW80" s="192"/>
      <c r="NX80" s="190">
        <v>100</v>
      </c>
      <c r="NY80" s="191"/>
      <c r="NZ80" s="191"/>
      <c r="OA80" s="191"/>
      <c r="OB80" s="191"/>
      <c r="OC80" s="191"/>
      <c r="OD80" s="191"/>
      <c r="OE80" s="191">
        <v>50</v>
      </c>
      <c r="OF80" s="191"/>
      <c r="OG80" s="191"/>
      <c r="OH80" s="191"/>
      <c r="OI80" s="191"/>
      <c r="OJ80" s="191"/>
      <c r="OK80" s="191"/>
      <c r="OL80" s="191">
        <v>150</v>
      </c>
      <c r="OM80" s="191"/>
      <c r="ON80" s="191"/>
      <c r="OO80" s="191"/>
      <c r="OP80" s="191"/>
      <c r="OQ80" s="191"/>
      <c r="OR80" s="191"/>
      <c r="OS80" s="191"/>
      <c r="OT80" s="191"/>
      <c r="OU80" s="191"/>
      <c r="OV80" s="191"/>
      <c r="OW80" s="191"/>
      <c r="OX80" s="191"/>
      <c r="OY80" s="191"/>
      <c r="OZ80" s="191"/>
      <c r="PA80" s="191"/>
      <c r="PB80" s="193"/>
      <c r="PC80" s="47"/>
      <c r="PD80" s="154" t="s">
        <v>97</v>
      </c>
      <c r="PE80" s="155" t="s">
        <v>97</v>
      </c>
      <c r="PF80" s="155" t="s">
        <v>98</v>
      </c>
      <c r="PG80" s="155" t="s">
        <v>98</v>
      </c>
      <c r="PH80" s="155" t="s">
        <v>98</v>
      </c>
      <c r="PI80" s="155" t="s">
        <v>98</v>
      </c>
      <c r="PJ80" s="155" t="s">
        <v>98</v>
      </c>
      <c r="PK80" s="155" t="s">
        <v>98</v>
      </c>
      <c r="PL80" s="155" t="s">
        <v>98</v>
      </c>
      <c r="PM80" s="155" t="s">
        <v>98</v>
      </c>
      <c r="PN80" s="155" t="s">
        <v>98</v>
      </c>
      <c r="PO80" s="156"/>
      <c r="PP80" s="156"/>
      <c r="PQ80" s="156"/>
      <c r="PR80" s="156"/>
      <c r="PS80" s="156"/>
      <c r="PT80" s="156"/>
      <c r="PU80" s="156"/>
      <c r="PV80" s="156"/>
      <c r="PW80" s="156"/>
      <c r="PX80" s="195"/>
      <c r="PY80" s="1"/>
      <c r="PZ80" s="196">
        <f t="shared" si="73"/>
        <v>360</v>
      </c>
      <c r="QA80" s="176">
        <f t="shared" si="74"/>
        <v>3.0032535246517062E-3</v>
      </c>
      <c r="QB80" s="177" t="str">
        <f t="shared" ca="1" si="75"/>
        <v>Attente…</v>
      </c>
      <c r="QC80" s="197">
        <f t="shared" si="76"/>
        <v>300</v>
      </c>
      <c r="QD80" s="179">
        <f t="shared" si="77"/>
        <v>2.8089887640449437E-3</v>
      </c>
      <c r="QE80" s="180" t="str">
        <f t="shared" ca="1" si="78"/>
        <v>Attente…</v>
      </c>
      <c r="QF80" s="196">
        <f t="shared" si="79"/>
        <v>400</v>
      </c>
      <c r="QG80" s="176">
        <f t="shared" si="80"/>
        <v>3.1852205765249245E-3</v>
      </c>
      <c r="QH80" s="177" t="str">
        <f t="shared" ca="1" si="81"/>
        <v>Attente…</v>
      </c>
      <c r="QI80" s="197">
        <f t="shared" si="82"/>
        <v>210</v>
      </c>
      <c r="QJ80" s="179">
        <f t="shared" si="83"/>
        <v>1.4728573432458971E-3</v>
      </c>
      <c r="QK80" s="180" t="str">
        <f t="shared" ca="1" si="84"/>
        <v>Attente…</v>
      </c>
      <c r="QL80" s="196">
        <f t="shared" si="85"/>
        <v>400</v>
      </c>
      <c r="QM80" s="176">
        <f t="shared" si="86"/>
        <v>2.9265437518290896E-3</v>
      </c>
      <c r="QN80" s="177" t="str">
        <f t="shared" ca="1" si="87"/>
        <v>Attente…</v>
      </c>
      <c r="QO80" s="197">
        <f t="shared" si="88"/>
        <v>500</v>
      </c>
      <c r="QP80" s="179">
        <f t="shared" si="89"/>
        <v>3.9145071635481093E-3</v>
      </c>
      <c r="QQ80" s="180" t="str">
        <f t="shared" ca="1" si="90"/>
        <v>Attente…</v>
      </c>
      <c r="QR80" s="196">
        <f t="shared" si="91"/>
        <v>400</v>
      </c>
      <c r="QS80" s="176">
        <f t="shared" si="92"/>
        <v>2.8796659587487852E-3</v>
      </c>
      <c r="QT80" s="177" t="str">
        <f t="shared" ca="1" si="93"/>
        <v>Attente…</v>
      </c>
      <c r="QU80" s="197">
        <f t="shared" si="94"/>
        <v>400</v>
      </c>
      <c r="QV80" s="179">
        <f t="shared" si="95"/>
        <v>2.7578599007170436E-3</v>
      </c>
      <c r="QW80" s="180" t="str">
        <f t="shared" ca="1" si="96"/>
        <v>Attente…</v>
      </c>
      <c r="QX80" s="196">
        <f t="shared" si="97"/>
        <v>300</v>
      </c>
      <c r="QY80" s="176">
        <f t="shared" si="98"/>
        <v>2.1892057561516682E-3</v>
      </c>
      <c r="QZ80" s="177" t="str">
        <f t="shared" ca="1" si="99"/>
        <v>Attente…</v>
      </c>
      <c r="RA80" s="197">
        <f t="shared" si="100"/>
        <v>300</v>
      </c>
      <c r="RB80" s="179">
        <f t="shared" si="101"/>
        <v>2.3472341757295985E-3</v>
      </c>
      <c r="RC80" s="180" t="str">
        <f t="shared" ca="1" si="102"/>
        <v>Attente…</v>
      </c>
      <c r="RD80" s="196">
        <f t="shared" si="103"/>
        <v>360</v>
      </c>
      <c r="RE80" s="176">
        <f t="shared" si="104"/>
        <v>3.5870864886408927E-3</v>
      </c>
      <c r="RF80" s="177" t="str">
        <f t="shared" ca="1" si="105"/>
        <v>Attente…</v>
      </c>
      <c r="RG80" s="197">
        <f t="shared" si="106"/>
        <v>300</v>
      </c>
      <c r="RH80" s="179">
        <f t="shared" si="107"/>
        <v>5.5177487585065296E-3</v>
      </c>
      <c r="RI80" s="198" t="str">
        <f t="shared" ca="1" si="108"/>
        <v>Attente…</v>
      </c>
      <c r="RJ80" s="199">
        <f t="shared" si="109"/>
        <v>1060</v>
      </c>
      <c r="RK80" s="200" t="str">
        <f t="shared" ca="1" si="66"/>
        <v>Attente…</v>
      </c>
      <c r="RL80" s="199">
        <f t="shared" si="110"/>
        <v>1110</v>
      </c>
      <c r="RM80" s="200" t="str">
        <f t="shared" ca="1" si="111"/>
        <v>Atttente…</v>
      </c>
      <c r="RN80" s="199">
        <f t="shared" si="112"/>
        <v>1100</v>
      </c>
      <c r="RO80" s="200" t="str">
        <f t="shared" ca="1" si="67"/>
        <v>Attente…</v>
      </c>
      <c r="RP80" s="199">
        <f t="shared" si="113"/>
        <v>960</v>
      </c>
      <c r="RQ80" s="200" t="str">
        <f t="shared" ca="1" si="68"/>
        <v>Attente…</v>
      </c>
      <c r="RR80" s="201">
        <f t="shared" si="114"/>
        <v>4230</v>
      </c>
      <c r="RS80" s="202" t="str">
        <f t="shared" ca="1" si="69"/>
        <v>Attente…</v>
      </c>
      <c r="RT80" s="103"/>
      <c r="RU80" s="203">
        <f t="shared" si="115"/>
        <v>0.44062499999999999</v>
      </c>
      <c r="RV80" s="204">
        <f t="shared" si="65"/>
        <v>1</v>
      </c>
      <c r="RW80" s="204">
        <f t="shared" si="65"/>
        <v>1</v>
      </c>
      <c r="RX80" s="204">
        <f t="shared" si="116"/>
        <v>48</v>
      </c>
      <c r="RY80" s="205" t="str">
        <f t="shared" si="117"/>
        <v>DÉVILLE-LÈS-ROUEN - 18 Impasse Barbet (Déchetterie)</v>
      </c>
      <c r="RZ80" s="189" t="str">
        <f>IF(OR(RZ79="",RZ79="  &lt;/Document&gt;
&lt;/kml&gt;"),"",
IF(B80="","  &lt;/Document&gt;
&lt;/kml&gt;",
IF(TournéesCAV!Q81=""," ",
"    &lt;Placemark&gt;
      &lt;description&gt;&lt;![CDATA["&amp;B80&amp;"&lt;br&gt;&lt;br&gt;"&amp;RV80&amp;" CAV&lt;br&gt;&lt;br&gt;Présent sur "&amp;RW80&amp;" tournée(s)&lt;br&gt;&lt;br&gt;Taux de remplissage moyen "&amp;TEXT(RU80*1000,"0 %")&amp;"]]&gt;&lt;/description&gt;
      &lt;Style&gt;
        &lt;IconStyle&gt;
          &lt;color&gt;ff"&amp;
          DEC2HEX(0,2)&amp;
          DEC2HEX(
            IF(RU80&lt;=0.5,
               INT(255*(RU80*2)),
               255
            ),2)&amp;
          DEC2HEX(
            IF(RU80&lt;=0.5,
               255,
               INT(255*(1-(RU80-0.5)*2))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&lt;Point&gt;&lt;coordinates&gt;"&amp;R80&amp;","&amp;Q80&amp;",0&lt;/coordinates&gt;&lt;/Point&gt;
    &lt;/Placemark&gt;"
)))</f>
        <v xml:space="preserve">    &lt;Placemark&gt;
      &lt;description&gt;&lt;![CDATA[DÉVILLE-LÈS-ROUEN - 18 Impasse Barbet (Déchetterie)&lt;br&gt;&lt;br&gt;1 CAV&lt;br&gt;&lt;br&gt;Présent sur 1 tournée(s)&lt;br&gt;&lt;br&gt;Taux de remplissage moyen 44%]]&gt;&lt;/description&gt;
      &lt;Style&gt;
        &lt;IconStyle&gt;
          &lt;color&gt;ff00E0FF&lt;/color&gt;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&lt;Point&gt;&lt;coordinates&gt;1.0477964,49.4590316,0&lt;/coordinates&gt;&lt;/Point&gt;
    &lt;/Placemark&gt;</v>
      </c>
    </row>
    <row r="81" spans="2:494" ht="15" hidden="1" customHeight="1" x14ac:dyDescent="0.35">
      <c r="B81" s="153" t="str">
        <f t="shared" si="70"/>
        <v>BAPEAUME-LÈS-ROUEN - 9021 Rue du Canal (Derrière la Station Service)</v>
      </c>
      <c r="C81" s="154">
        <v>132</v>
      </c>
      <c r="D81" s="155"/>
      <c r="E81" s="155"/>
      <c r="F81" s="155"/>
      <c r="G81" s="155"/>
      <c r="H81" s="155"/>
      <c r="I81" s="155"/>
      <c r="J81" s="156"/>
      <c r="K81" s="157">
        <f t="shared" si="71"/>
        <v>1</v>
      </c>
      <c r="L81" s="157">
        <f t="shared" si="72"/>
        <v>2</v>
      </c>
      <c r="M81" s="158" t="s">
        <v>491</v>
      </c>
      <c r="N81" s="159" t="s">
        <v>492</v>
      </c>
      <c r="O81" s="159">
        <v>76380</v>
      </c>
      <c r="P81" s="159" t="s">
        <v>493</v>
      </c>
      <c r="Q81" s="159" t="s">
        <v>494</v>
      </c>
      <c r="R81" s="159" t="s">
        <v>495</v>
      </c>
      <c r="S81" s="159" t="s">
        <v>93</v>
      </c>
      <c r="T81" s="159" t="s">
        <v>110</v>
      </c>
      <c r="U81" s="159" t="s">
        <v>496</v>
      </c>
      <c r="V81" s="160" t="s">
        <v>96</v>
      </c>
      <c r="W81" s="161"/>
      <c r="X81" s="162"/>
      <c r="Y81" s="163"/>
      <c r="Z81" s="162"/>
      <c r="AA81" s="163"/>
      <c r="AB81" s="162"/>
      <c r="AC81" s="163"/>
      <c r="AD81" s="162"/>
      <c r="AE81" s="163"/>
      <c r="AF81" s="162"/>
      <c r="AG81" s="163"/>
      <c r="AH81" s="163">
        <v>15</v>
      </c>
      <c r="AI81" s="162">
        <v>15</v>
      </c>
      <c r="AJ81" s="163"/>
      <c r="AK81" s="162"/>
      <c r="AL81" s="163"/>
      <c r="AM81" s="162"/>
      <c r="AN81" s="163"/>
      <c r="AO81" s="162"/>
      <c r="AP81" s="164"/>
      <c r="AQ81" s="164"/>
      <c r="AR81" s="164"/>
      <c r="AS81" s="164"/>
      <c r="AT81" s="164"/>
      <c r="AU81" s="164"/>
      <c r="AV81" s="164"/>
      <c r="AW81" s="164"/>
      <c r="AX81" s="164"/>
      <c r="AY81" s="165"/>
      <c r="AZ81" s="41"/>
      <c r="BA81" s="190"/>
      <c r="BB81" s="191"/>
      <c r="BC81" s="191">
        <v>200</v>
      </c>
      <c r="BD81" s="191"/>
      <c r="BE81" s="191"/>
      <c r="BF81" s="191">
        <v>50</v>
      </c>
      <c r="BG81" s="191"/>
      <c r="BH81" s="191"/>
      <c r="BI81" s="191"/>
      <c r="BJ81" s="191">
        <v>100</v>
      </c>
      <c r="BK81" s="191"/>
      <c r="BL81" s="191"/>
      <c r="BM81" s="191">
        <v>50</v>
      </c>
      <c r="BN81" s="191"/>
      <c r="BO81" s="191"/>
      <c r="BP81" s="191"/>
      <c r="BQ81" s="191">
        <v>100</v>
      </c>
      <c r="BR81" s="191"/>
      <c r="BS81" s="191"/>
      <c r="BT81" s="191">
        <v>10</v>
      </c>
      <c r="BU81" s="191"/>
      <c r="BV81" s="191"/>
      <c r="BW81" s="191"/>
      <c r="BX81" s="191">
        <v>100</v>
      </c>
      <c r="BY81" s="191"/>
      <c r="BZ81" s="191"/>
      <c r="CA81" s="191">
        <v>150</v>
      </c>
      <c r="CB81" s="191"/>
      <c r="CC81" s="191"/>
      <c r="CD81" s="191"/>
      <c r="CE81" s="192">
        <v>50</v>
      </c>
      <c r="CF81" s="190"/>
      <c r="CG81" s="191"/>
      <c r="CH81" s="191">
        <v>50</v>
      </c>
      <c r="CI81" s="191"/>
      <c r="CJ81" s="191"/>
      <c r="CK81" s="191"/>
      <c r="CL81" s="191">
        <v>100</v>
      </c>
      <c r="CM81" s="191"/>
      <c r="CN81" s="191"/>
      <c r="CO81" s="191">
        <v>100</v>
      </c>
      <c r="CP81" s="191"/>
      <c r="CQ81" s="191"/>
      <c r="CR81" s="191"/>
      <c r="CS81" s="191">
        <v>50</v>
      </c>
      <c r="CT81" s="191"/>
      <c r="CU81" s="191"/>
      <c r="CV81" s="191">
        <v>100</v>
      </c>
      <c r="CW81" s="191"/>
      <c r="CX81" s="191"/>
      <c r="CY81" s="191"/>
      <c r="CZ81" s="191">
        <v>50</v>
      </c>
      <c r="DA81" s="191"/>
      <c r="DB81" s="191"/>
      <c r="DC81" s="191">
        <v>50</v>
      </c>
      <c r="DD81" s="191"/>
      <c r="DE81" s="191"/>
      <c r="DF81" s="191"/>
      <c r="DG81" s="191">
        <v>150</v>
      </c>
      <c r="DH81" s="193"/>
      <c r="DI81" s="194"/>
      <c r="DJ81" s="191"/>
      <c r="DK81" s="191">
        <v>150</v>
      </c>
      <c r="DL81" s="191"/>
      <c r="DM81" s="191"/>
      <c r="DN81" s="191"/>
      <c r="DO81" s="191">
        <v>50</v>
      </c>
      <c r="DP81" s="191"/>
      <c r="DQ81" s="191"/>
      <c r="DR81" s="191">
        <v>200</v>
      </c>
      <c r="DS81" s="191"/>
      <c r="DT81" s="191"/>
      <c r="DU81" s="191"/>
      <c r="DV81" s="191">
        <v>50</v>
      </c>
      <c r="DW81" s="191"/>
      <c r="DX81" s="191"/>
      <c r="DY81" s="191">
        <v>100</v>
      </c>
      <c r="DZ81" s="191"/>
      <c r="EA81" s="191"/>
      <c r="EB81" s="191"/>
      <c r="EC81" s="191">
        <v>100</v>
      </c>
      <c r="ED81" s="191"/>
      <c r="EE81" s="191"/>
      <c r="EF81" s="191">
        <v>10</v>
      </c>
      <c r="EG81" s="191"/>
      <c r="EH81" s="191"/>
      <c r="EI81" s="191"/>
      <c r="EJ81" s="191">
        <v>50</v>
      </c>
      <c r="EK81" s="191"/>
      <c r="EL81" s="191"/>
      <c r="EM81" s="192">
        <v>50</v>
      </c>
      <c r="EN81" s="190"/>
      <c r="EO81" s="191"/>
      <c r="EP81" s="191"/>
      <c r="EQ81" s="191">
        <v>50</v>
      </c>
      <c r="ER81" s="191"/>
      <c r="ES81" s="191"/>
      <c r="ET81" s="191">
        <v>50</v>
      </c>
      <c r="EU81" s="191"/>
      <c r="EV81" s="191"/>
      <c r="EW81" s="191"/>
      <c r="EX81" s="191">
        <v>50</v>
      </c>
      <c r="EY81" s="191"/>
      <c r="EZ81" s="191"/>
      <c r="FA81" s="191">
        <v>100</v>
      </c>
      <c r="FB81" s="191"/>
      <c r="FC81" s="191"/>
      <c r="FD81" s="191"/>
      <c r="FE81" s="191">
        <v>150</v>
      </c>
      <c r="FF81" s="191"/>
      <c r="FG81" s="191"/>
      <c r="FH81" s="191"/>
      <c r="FI81" s="191">
        <v>200</v>
      </c>
      <c r="FJ81" s="191"/>
      <c r="FK81" s="191"/>
      <c r="FL81" s="191">
        <v>100</v>
      </c>
      <c r="FM81" s="191"/>
      <c r="FN81" s="191"/>
      <c r="FO81" s="191">
        <v>100</v>
      </c>
      <c r="FP81" s="191"/>
      <c r="FQ81" s="193"/>
      <c r="FR81" s="194"/>
      <c r="FS81" s="191">
        <v>100</v>
      </c>
      <c r="FT81" s="191"/>
      <c r="FU81" s="191"/>
      <c r="FV81" s="191">
        <v>150</v>
      </c>
      <c r="FW81" s="191"/>
      <c r="FX81" s="191"/>
      <c r="FY81" s="191"/>
      <c r="FZ81" s="191">
        <v>100</v>
      </c>
      <c r="GA81" s="191"/>
      <c r="GB81" s="191"/>
      <c r="GC81" s="191">
        <v>150</v>
      </c>
      <c r="GD81" s="191"/>
      <c r="GE81" s="191"/>
      <c r="GF81" s="191"/>
      <c r="GG81" s="191">
        <v>150</v>
      </c>
      <c r="GH81" s="191"/>
      <c r="GI81" s="191"/>
      <c r="GJ81" s="191">
        <v>100</v>
      </c>
      <c r="GK81" s="191"/>
      <c r="GL81" s="191"/>
      <c r="GM81" s="191"/>
      <c r="GN81" s="191">
        <v>100</v>
      </c>
      <c r="GO81" s="191"/>
      <c r="GP81" s="191"/>
      <c r="GQ81" s="191">
        <v>100</v>
      </c>
      <c r="GR81" s="191"/>
      <c r="GS81" s="191"/>
      <c r="GT81" s="191"/>
      <c r="GU81" s="191">
        <v>100</v>
      </c>
      <c r="GV81" s="192"/>
      <c r="GW81" s="190"/>
      <c r="GX81" s="191">
        <v>150</v>
      </c>
      <c r="GY81" s="191"/>
      <c r="GZ81" s="191"/>
      <c r="HA81" s="191"/>
      <c r="HB81" s="191">
        <v>200</v>
      </c>
      <c r="HC81" s="191"/>
      <c r="HD81" s="191"/>
      <c r="HE81" s="191"/>
      <c r="HF81" s="191">
        <v>150</v>
      </c>
      <c r="HG81" s="191"/>
      <c r="HH81" s="191"/>
      <c r="HI81" s="191">
        <v>150</v>
      </c>
      <c r="HJ81" s="191"/>
      <c r="HK81" s="191"/>
      <c r="HL81" s="191"/>
      <c r="HM81" s="191">
        <v>150</v>
      </c>
      <c r="HN81" s="191"/>
      <c r="HO81" s="191"/>
      <c r="HP81" s="191">
        <v>50</v>
      </c>
      <c r="HQ81" s="191"/>
      <c r="HR81" s="191"/>
      <c r="HS81" s="191">
        <v>100</v>
      </c>
      <c r="HT81" s="191"/>
      <c r="HU81" s="191"/>
      <c r="HV81" s="191"/>
      <c r="HW81" s="191">
        <v>100</v>
      </c>
      <c r="HX81" s="191"/>
      <c r="HY81" s="191"/>
      <c r="HZ81" s="193">
        <v>100</v>
      </c>
      <c r="IA81" s="194"/>
      <c r="IB81" s="191"/>
      <c r="IC81" s="191"/>
      <c r="ID81" s="191">
        <v>100</v>
      </c>
      <c r="IE81" s="191"/>
      <c r="IF81" s="191"/>
      <c r="IG81" s="191">
        <v>150</v>
      </c>
      <c r="IH81" s="191"/>
      <c r="II81" s="191"/>
      <c r="IJ81" s="191"/>
      <c r="IK81" s="191">
        <v>200</v>
      </c>
      <c r="IL81" s="191"/>
      <c r="IM81" s="191"/>
      <c r="IN81" s="191">
        <v>200</v>
      </c>
      <c r="IO81" s="191"/>
      <c r="IP81" s="191"/>
      <c r="IQ81" s="191"/>
      <c r="IR81" s="191">
        <v>100</v>
      </c>
      <c r="IS81" s="191"/>
      <c r="IT81" s="191"/>
      <c r="IU81" s="191">
        <v>100</v>
      </c>
      <c r="IV81" s="191"/>
      <c r="IW81" s="191"/>
      <c r="IX81" s="191"/>
      <c r="IY81" s="191">
        <v>200</v>
      </c>
      <c r="IZ81" s="191"/>
      <c r="JA81" s="191"/>
      <c r="JB81" s="191">
        <v>50</v>
      </c>
      <c r="JC81" s="191"/>
      <c r="JD81" s="191"/>
      <c r="JE81" s="192"/>
      <c r="JF81" s="190">
        <v>100</v>
      </c>
      <c r="JG81" s="191"/>
      <c r="JH81" s="191"/>
      <c r="JI81" s="191">
        <v>100</v>
      </c>
      <c r="JJ81" s="191"/>
      <c r="JK81" s="191"/>
      <c r="JL81" s="191"/>
      <c r="JM81" s="191">
        <v>150</v>
      </c>
      <c r="JN81" s="191"/>
      <c r="JO81" s="191"/>
      <c r="JP81" s="191">
        <v>100</v>
      </c>
      <c r="JQ81" s="191"/>
      <c r="JR81" s="191"/>
      <c r="JS81" s="191">
        <v>50</v>
      </c>
      <c r="JT81" s="191"/>
      <c r="JU81" s="191"/>
      <c r="JV81" s="191"/>
      <c r="JW81" s="191">
        <v>50</v>
      </c>
      <c r="JX81" s="191"/>
      <c r="JY81" s="191"/>
      <c r="JZ81" s="191"/>
      <c r="KA81" s="191"/>
      <c r="KB81" s="191"/>
      <c r="KC81" s="191"/>
      <c r="KD81" s="191">
        <v>150</v>
      </c>
      <c r="KE81" s="191"/>
      <c r="KF81" s="191"/>
      <c r="KG81" s="191"/>
      <c r="KH81" s="191">
        <v>100</v>
      </c>
      <c r="KI81" s="191"/>
      <c r="KJ81" s="193"/>
      <c r="KK81" s="194">
        <v>50</v>
      </c>
      <c r="KL81" s="191"/>
      <c r="KM81" s="191"/>
      <c r="KN81" s="191">
        <v>100</v>
      </c>
      <c r="KO81" s="191">
        <v>50</v>
      </c>
      <c r="KP81" s="191"/>
      <c r="KQ81" s="191"/>
      <c r="KR81" s="191">
        <v>100</v>
      </c>
      <c r="KS81" s="191"/>
      <c r="KT81" s="191"/>
      <c r="KU81" s="191"/>
      <c r="KV81" s="191">
        <v>200</v>
      </c>
      <c r="KW81" s="191"/>
      <c r="KX81" s="191"/>
      <c r="KY81" s="191">
        <v>200</v>
      </c>
      <c r="KZ81" s="191"/>
      <c r="LA81" s="191"/>
      <c r="LB81" s="191"/>
      <c r="LC81" s="191">
        <v>150</v>
      </c>
      <c r="LD81" s="191"/>
      <c r="LE81" s="191"/>
      <c r="LF81" s="191">
        <v>50</v>
      </c>
      <c r="LG81" s="191"/>
      <c r="LH81" s="191"/>
      <c r="LI81" s="191"/>
      <c r="LJ81" s="191">
        <v>50</v>
      </c>
      <c r="LK81" s="191"/>
      <c r="LL81" s="191"/>
      <c r="LM81" s="191">
        <v>100</v>
      </c>
      <c r="LN81" s="192"/>
      <c r="LO81" s="190"/>
      <c r="LP81" s="191"/>
      <c r="LQ81" s="191">
        <v>100</v>
      </c>
      <c r="LR81" s="191"/>
      <c r="LS81" s="191"/>
      <c r="LT81" s="191">
        <v>200</v>
      </c>
      <c r="LU81" s="191"/>
      <c r="LV81" s="191"/>
      <c r="LW81" s="191"/>
      <c r="LX81" s="191">
        <v>150</v>
      </c>
      <c r="LY81" s="191"/>
      <c r="LZ81" s="191"/>
      <c r="MA81" s="191">
        <v>150</v>
      </c>
      <c r="MB81" s="191"/>
      <c r="MC81" s="191"/>
      <c r="MD81" s="191"/>
      <c r="ME81" s="191">
        <v>150</v>
      </c>
      <c r="MF81" s="191"/>
      <c r="MG81" s="191"/>
      <c r="MH81" s="191">
        <v>150</v>
      </c>
      <c r="MI81" s="191"/>
      <c r="MJ81" s="191"/>
      <c r="MK81" s="191"/>
      <c r="ML81" s="191">
        <v>200</v>
      </c>
      <c r="MM81" s="191"/>
      <c r="MN81" s="191"/>
      <c r="MO81" s="191">
        <v>100</v>
      </c>
      <c r="MP81" s="191"/>
      <c r="MQ81" s="191"/>
      <c r="MR81" s="191"/>
      <c r="MS81" s="193">
        <v>100</v>
      </c>
      <c r="MT81" s="194"/>
      <c r="MU81" s="191"/>
      <c r="MV81" s="191">
        <v>50</v>
      </c>
      <c r="MW81" s="191"/>
      <c r="MX81" s="191"/>
      <c r="MY81" s="191"/>
      <c r="MZ81" s="191">
        <v>100</v>
      </c>
      <c r="NA81" s="191"/>
      <c r="NB81" s="191"/>
      <c r="NC81" s="191">
        <v>100</v>
      </c>
      <c r="ND81" s="191"/>
      <c r="NE81" s="191"/>
      <c r="NF81" s="191"/>
      <c r="NG81" s="191">
        <v>100</v>
      </c>
      <c r="NH81" s="191"/>
      <c r="NI81" s="191"/>
      <c r="NJ81" s="191">
        <v>50</v>
      </c>
      <c r="NK81" s="191"/>
      <c r="NL81" s="191"/>
      <c r="NM81" s="191"/>
      <c r="NN81" s="191">
        <v>50</v>
      </c>
      <c r="NO81" s="191"/>
      <c r="NP81" s="191"/>
      <c r="NQ81" s="191">
        <v>50</v>
      </c>
      <c r="NR81" s="191"/>
      <c r="NS81" s="191"/>
      <c r="NT81" s="191"/>
      <c r="NU81" s="191">
        <v>10</v>
      </c>
      <c r="NV81" s="191"/>
      <c r="NW81" s="192"/>
      <c r="NX81" s="190">
        <v>50</v>
      </c>
      <c r="NY81" s="191"/>
      <c r="NZ81" s="191"/>
      <c r="OA81" s="191"/>
      <c r="OB81" s="191">
        <v>50</v>
      </c>
      <c r="OC81" s="191"/>
      <c r="OD81" s="191"/>
      <c r="OE81" s="191">
        <v>50</v>
      </c>
      <c r="OF81" s="191"/>
      <c r="OG81" s="191"/>
      <c r="OH81" s="191"/>
      <c r="OI81" s="191">
        <v>100</v>
      </c>
      <c r="OJ81" s="191"/>
      <c r="OK81" s="191"/>
      <c r="OL81" s="191">
        <v>100</v>
      </c>
      <c r="OM81" s="191"/>
      <c r="ON81" s="191"/>
      <c r="OO81" s="191"/>
      <c r="OP81" s="191"/>
      <c r="OQ81" s="191"/>
      <c r="OR81" s="191"/>
      <c r="OS81" s="191"/>
      <c r="OT81" s="191"/>
      <c r="OU81" s="191"/>
      <c r="OV81" s="191"/>
      <c r="OW81" s="191"/>
      <c r="OX81" s="191"/>
      <c r="OY81" s="191"/>
      <c r="OZ81" s="191"/>
      <c r="PA81" s="191"/>
      <c r="PB81" s="193"/>
      <c r="PC81" s="47"/>
      <c r="PD81" s="154" t="s">
        <v>97</v>
      </c>
      <c r="PE81" s="155" t="s">
        <v>98</v>
      </c>
      <c r="PF81" s="155" t="s">
        <v>98</v>
      </c>
      <c r="PG81" s="155" t="s">
        <v>98</v>
      </c>
      <c r="PH81" s="155" t="s">
        <v>98</v>
      </c>
      <c r="PI81" s="155" t="s">
        <v>98</v>
      </c>
      <c r="PJ81" s="155" t="s">
        <v>98</v>
      </c>
      <c r="PK81" s="155" t="s">
        <v>98</v>
      </c>
      <c r="PL81" s="155" t="s">
        <v>98</v>
      </c>
      <c r="PM81" s="155" t="s">
        <v>98</v>
      </c>
      <c r="PN81" s="155" t="s">
        <v>98</v>
      </c>
      <c r="PO81" s="156"/>
      <c r="PP81" s="156"/>
      <c r="PQ81" s="156"/>
      <c r="PR81" s="156"/>
      <c r="PS81" s="156"/>
      <c r="PT81" s="156"/>
      <c r="PU81" s="156"/>
      <c r="PV81" s="156"/>
      <c r="PW81" s="156"/>
      <c r="PX81" s="195"/>
      <c r="PY81" s="1"/>
      <c r="PZ81" s="196">
        <f t="shared" si="73"/>
        <v>810</v>
      </c>
      <c r="QA81" s="176">
        <f t="shared" si="74"/>
        <v>6.7573204304663386E-3</v>
      </c>
      <c r="QB81" s="177" t="str">
        <f t="shared" ca="1" si="75"/>
        <v>Attente…</v>
      </c>
      <c r="QC81" s="197">
        <f t="shared" si="76"/>
        <v>650</v>
      </c>
      <c r="QD81" s="179">
        <f t="shared" si="77"/>
        <v>6.0861423220973784E-3</v>
      </c>
      <c r="QE81" s="180" t="str">
        <f t="shared" ca="1" si="78"/>
        <v>Attente…</v>
      </c>
      <c r="QF81" s="196">
        <f t="shared" si="79"/>
        <v>760</v>
      </c>
      <c r="QG81" s="176">
        <f t="shared" si="80"/>
        <v>6.051919095397356E-3</v>
      </c>
      <c r="QH81" s="177" t="str">
        <f t="shared" ca="1" si="81"/>
        <v>Attente…</v>
      </c>
      <c r="QI81" s="197">
        <f t="shared" si="82"/>
        <v>800</v>
      </c>
      <c r="QJ81" s="179">
        <f t="shared" si="83"/>
        <v>5.6108851171272267E-3</v>
      </c>
      <c r="QK81" s="180" t="str">
        <f t="shared" ca="1" si="84"/>
        <v>Attente…</v>
      </c>
      <c r="QL81" s="196">
        <f t="shared" si="85"/>
        <v>1050</v>
      </c>
      <c r="QM81" s="176">
        <f t="shared" si="86"/>
        <v>7.6821773485513606E-3</v>
      </c>
      <c r="QN81" s="177" t="str">
        <f t="shared" ca="1" si="87"/>
        <v>Attente…</v>
      </c>
      <c r="QO81" s="197">
        <f t="shared" si="88"/>
        <v>1150</v>
      </c>
      <c r="QP81" s="179">
        <f t="shared" si="89"/>
        <v>9.0033664761606513E-3</v>
      </c>
      <c r="QQ81" s="180" t="str">
        <f t="shared" ca="1" si="90"/>
        <v>Attente…</v>
      </c>
      <c r="QR81" s="196">
        <f t="shared" si="91"/>
        <v>1100</v>
      </c>
      <c r="QS81" s="176">
        <f t="shared" si="92"/>
        <v>7.9190813865591594E-3</v>
      </c>
      <c r="QT81" s="177" t="str">
        <f t="shared" ca="1" si="93"/>
        <v>Attente…</v>
      </c>
      <c r="QU81" s="197">
        <f t="shared" si="94"/>
        <v>800</v>
      </c>
      <c r="QV81" s="179">
        <f t="shared" si="95"/>
        <v>5.5157198014340872E-3</v>
      </c>
      <c r="QW81" s="180" t="str">
        <f t="shared" ca="1" si="96"/>
        <v>Attente…</v>
      </c>
      <c r="QX81" s="196">
        <f t="shared" si="97"/>
        <v>1050</v>
      </c>
      <c r="QY81" s="176">
        <f t="shared" si="98"/>
        <v>7.6622201465308386E-3</v>
      </c>
      <c r="QZ81" s="177" t="str">
        <f t="shared" ca="1" si="99"/>
        <v>Attente…</v>
      </c>
      <c r="RA81" s="197">
        <f t="shared" si="100"/>
        <v>1300</v>
      </c>
      <c r="RB81" s="179">
        <f t="shared" si="101"/>
        <v>1.017134809482826E-2</v>
      </c>
      <c r="RC81" s="180" t="str">
        <f t="shared" ca="1" si="102"/>
        <v>Attente…</v>
      </c>
      <c r="RD81" s="196">
        <f t="shared" si="103"/>
        <v>510</v>
      </c>
      <c r="RE81" s="176">
        <f t="shared" si="104"/>
        <v>5.0817058589079315E-3</v>
      </c>
      <c r="RF81" s="177" t="str">
        <f t="shared" ca="1" si="105"/>
        <v>Attente…</v>
      </c>
      <c r="RG81" s="197">
        <f t="shared" si="106"/>
        <v>350</v>
      </c>
      <c r="RH81" s="179">
        <f t="shared" si="107"/>
        <v>6.4373735515909506E-3</v>
      </c>
      <c r="RI81" s="198" t="str">
        <f t="shared" ca="1" si="108"/>
        <v>Attente…</v>
      </c>
      <c r="RJ81" s="199">
        <f t="shared" si="109"/>
        <v>2220</v>
      </c>
      <c r="RK81" s="200" t="str">
        <f t="shared" ca="1" si="66"/>
        <v>Attente…</v>
      </c>
      <c r="RL81" s="199">
        <f t="shared" si="110"/>
        <v>3000</v>
      </c>
      <c r="RM81" s="200" t="str">
        <f t="shared" ca="1" si="111"/>
        <v>Atttente…</v>
      </c>
      <c r="RN81" s="199">
        <f t="shared" si="112"/>
        <v>2950</v>
      </c>
      <c r="RO81" s="200" t="str">
        <f t="shared" ca="1" si="67"/>
        <v>Attente…</v>
      </c>
      <c r="RP81" s="199">
        <f t="shared" si="113"/>
        <v>2160</v>
      </c>
      <c r="RQ81" s="200" t="str">
        <f t="shared" ca="1" si="68"/>
        <v>Attente…</v>
      </c>
      <c r="RR81" s="201">
        <f t="shared" si="114"/>
        <v>10330</v>
      </c>
      <c r="RS81" s="202" t="str">
        <f t="shared" ca="1" si="69"/>
        <v>Attente…</v>
      </c>
      <c r="RT81" s="103"/>
      <c r="RU81" s="203">
        <f t="shared" si="115"/>
        <v>0.51649999999999996</v>
      </c>
      <c r="RV81" s="204">
        <f t="shared" si="65"/>
        <v>1</v>
      </c>
      <c r="RW81" s="204">
        <f t="shared" si="65"/>
        <v>2</v>
      </c>
      <c r="RX81" s="204">
        <f t="shared" si="116"/>
        <v>100</v>
      </c>
      <c r="RY81" s="205" t="str">
        <f t="shared" si="117"/>
        <v>BAPEAUME-LÈS-ROUEN - 9021 Rue du Canal (Derrière la Station Service)</v>
      </c>
      <c r="RZ81" s="189" t="str">
        <f>IF(OR(RZ80="",RZ80="  &lt;/Document&gt;
&lt;/kml&gt;"),"",
IF(B81="","  &lt;/Document&gt;
&lt;/kml&gt;",
IF(TournéesCAV!Q65=""," ",
"    &lt;Placemark&gt;
      &lt;description&gt;&lt;![CDATA["&amp;B81&amp;"&lt;br&gt;&lt;br&gt;"&amp;RV81&amp;" CAV&lt;br&gt;&lt;br&gt;Présent sur "&amp;RW81&amp;" tournée(s)&lt;br&gt;&lt;br&gt;Taux de remplissage moyen "&amp;TEXT(RU81*1000,"0 %")&amp;"]]&gt;&lt;/description&gt;
      &lt;Style&gt;
        &lt;IconStyle&gt;
          &lt;color&gt;ff"&amp;
          DEC2HEX(0,2)&amp;
          DEC2HEX(
            IF(RU81&lt;=0.5,
               INT(255*(RU81*2)),
               255
            ),2)&amp;
          DEC2HEX(
            IF(RU81&lt;=0.5,
               255,
               INT(255*(1-(RU81-0.5)*2))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&lt;Point&gt;&lt;coordinates&gt;"&amp;R81&amp;","&amp;Q81&amp;",0&lt;/coordinates&gt;&lt;/Point&gt;
    &lt;/Placemark&gt;"
)))</f>
        <v xml:space="preserve">    &lt;Placemark&gt;
      &lt;description&gt;&lt;![CDATA[BAPEAUME-LÈS-ROUEN - 9021 Rue du Canal (Derrière la Station Service)&lt;br&gt;&lt;br&gt;1 CAV&lt;br&gt;&lt;br&gt;Présent sur 2 tournée(s)&lt;br&gt;&lt;br&gt;Taux de remplissage moyen 52%]]&gt;&lt;/description&gt;
      &lt;Style&gt;
        &lt;IconStyle&gt;
          &lt;color&gt;ff00FFF6&lt;/color&gt;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&lt;Point&gt;&lt;coordinates&gt;1.0438016,49.4584663,0&lt;/coordinates&gt;&lt;/Point&gt;
    &lt;/Placemark&gt;</v>
      </c>
    </row>
    <row r="82" spans="2:494" ht="15" hidden="1" customHeight="1" x14ac:dyDescent="0.35">
      <c r="B82" s="153" t="str">
        <f t="shared" si="70"/>
        <v>DÉVILLE-LÈS-ROUEN - 340 Route de Dieppe (Parking Salle communale (Mairie))</v>
      </c>
      <c r="C82" s="154">
        <v>25</v>
      </c>
      <c r="D82" s="155"/>
      <c r="E82" s="155"/>
      <c r="F82" s="155"/>
      <c r="G82" s="155"/>
      <c r="H82" s="155"/>
      <c r="I82" s="155"/>
      <c r="J82" s="156"/>
      <c r="K82" s="157">
        <f t="shared" si="71"/>
        <v>1</v>
      </c>
      <c r="L82" s="157">
        <f t="shared" si="72"/>
        <v>2</v>
      </c>
      <c r="M82" s="158" t="s">
        <v>497</v>
      </c>
      <c r="N82" s="159" t="s">
        <v>498</v>
      </c>
      <c r="O82" s="159">
        <v>76250</v>
      </c>
      <c r="P82" s="159" t="s">
        <v>417</v>
      </c>
      <c r="Q82" s="159" t="s">
        <v>499</v>
      </c>
      <c r="R82" s="159" t="s">
        <v>500</v>
      </c>
      <c r="S82" s="159" t="s">
        <v>93</v>
      </c>
      <c r="T82" s="159" t="s">
        <v>94</v>
      </c>
      <c r="U82" s="159" t="s">
        <v>501</v>
      </c>
      <c r="V82" s="160" t="s">
        <v>96</v>
      </c>
      <c r="W82" s="161"/>
      <c r="X82" s="162"/>
      <c r="Y82" s="163"/>
      <c r="Z82" s="162"/>
      <c r="AA82" s="163"/>
      <c r="AB82" s="162"/>
      <c r="AC82" s="163"/>
      <c r="AD82" s="162"/>
      <c r="AE82" s="163"/>
      <c r="AF82" s="162"/>
      <c r="AG82" s="163"/>
      <c r="AH82" s="163">
        <v>12</v>
      </c>
      <c r="AI82" s="162">
        <v>16</v>
      </c>
      <c r="AJ82" s="163"/>
      <c r="AK82" s="162"/>
      <c r="AL82" s="163"/>
      <c r="AM82" s="162"/>
      <c r="AN82" s="163"/>
      <c r="AO82" s="162"/>
      <c r="AP82" s="164"/>
      <c r="AQ82" s="164"/>
      <c r="AR82" s="164"/>
      <c r="AS82" s="164"/>
      <c r="AT82" s="164"/>
      <c r="AU82" s="164"/>
      <c r="AV82" s="164"/>
      <c r="AW82" s="164"/>
      <c r="AX82" s="164"/>
      <c r="AY82" s="165"/>
      <c r="AZ82" s="41"/>
      <c r="BA82" s="190"/>
      <c r="BB82" s="191"/>
      <c r="BC82" s="191"/>
      <c r="BD82" s="191"/>
      <c r="BE82" s="191"/>
      <c r="BF82" s="191">
        <v>50</v>
      </c>
      <c r="BG82" s="191"/>
      <c r="BH82" s="191"/>
      <c r="BI82" s="191"/>
      <c r="BJ82" s="191">
        <v>50</v>
      </c>
      <c r="BK82" s="191"/>
      <c r="BL82" s="191"/>
      <c r="BM82" s="191">
        <v>100</v>
      </c>
      <c r="BN82" s="191"/>
      <c r="BO82" s="191"/>
      <c r="BP82" s="191"/>
      <c r="BQ82" s="191">
        <v>10</v>
      </c>
      <c r="BR82" s="191"/>
      <c r="BS82" s="191"/>
      <c r="BT82" s="191">
        <v>50</v>
      </c>
      <c r="BU82" s="191"/>
      <c r="BV82" s="191"/>
      <c r="BW82" s="191"/>
      <c r="BX82" s="191"/>
      <c r="BY82" s="191"/>
      <c r="BZ82" s="191"/>
      <c r="CA82" s="191">
        <v>50</v>
      </c>
      <c r="CB82" s="191"/>
      <c r="CC82" s="191"/>
      <c r="CD82" s="191"/>
      <c r="CE82" s="192">
        <v>50</v>
      </c>
      <c r="CF82" s="190"/>
      <c r="CG82" s="191"/>
      <c r="CH82" s="191">
        <v>10</v>
      </c>
      <c r="CI82" s="191"/>
      <c r="CJ82" s="191"/>
      <c r="CK82" s="191"/>
      <c r="CL82" s="191">
        <v>50</v>
      </c>
      <c r="CM82" s="191"/>
      <c r="CN82" s="191"/>
      <c r="CO82" s="191">
        <v>50</v>
      </c>
      <c r="CP82" s="191"/>
      <c r="CQ82" s="191"/>
      <c r="CR82" s="191"/>
      <c r="CS82" s="191"/>
      <c r="CT82" s="191"/>
      <c r="CU82" s="191"/>
      <c r="CV82" s="191">
        <v>50</v>
      </c>
      <c r="CW82" s="191"/>
      <c r="CX82" s="191"/>
      <c r="CY82" s="191"/>
      <c r="CZ82" s="191">
        <v>50</v>
      </c>
      <c r="DA82" s="191"/>
      <c r="DB82" s="191"/>
      <c r="DC82" s="191">
        <v>50</v>
      </c>
      <c r="DD82" s="191"/>
      <c r="DE82" s="191"/>
      <c r="DF82" s="191"/>
      <c r="DG82" s="191">
        <v>50</v>
      </c>
      <c r="DH82" s="193"/>
      <c r="DI82" s="194"/>
      <c r="DJ82" s="191"/>
      <c r="DK82" s="191">
        <v>100</v>
      </c>
      <c r="DL82" s="191"/>
      <c r="DM82" s="191"/>
      <c r="DN82" s="191"/>
      <c r="DO82" s="191">
        <v>50</v>
      </c>
      <c r="DP82" s="191"/>
      <c r="DQ82" s="191"/>
      <c r="DR82" s="191">
        <v>50</v>
      </c>
      <c r="DS82" s="191"/>
      <c r="DT82" s="191"/>
      <c r="DU82" s="191"/>
      <c r="DV82" s="191">
        <v>50</v>
      </c>
      <c r="DW82" s="191"/>
      <c r="DX82" s="191"/>
      <c r="DY82" s="191">
        <v>100</v>
      </c>
      <c r="DZ82" s="191"/>
      <c r="EA82" s="191"/>
      <c r="EB82" s="191"/>
      <c r="EC82" s="191">
        <v>100</v>
      </c>
      <c r="ED82" s="191"/>
      <c r="EE82" s="191"/>
      <c r="EF82" s="191">
        <v>50</v>
      </c>
      <c r="EG82" s="191"/>
      <c r="EH82" s="191"/>
      <c r="EI82" s="191"/>
      <c r="EJ82" s="191">
        <v>100</v>
      </c>
      <c r="EK82" s="191"/>
      <c r="EL82" s="191"/>
      <c r="EM82" s="192">
        <v>150</v>
      </c>
      <c r="EN82" s="190"/>
      <c r="EO82" s="191"/>
      <c r="EP82" s="191"/>
      <c r="EQ82" s="191">
        <v>50</v>
      </c>
      <c r="ER82" s="191"/>
      <c r="ES82" s="191"/>
      <c r="ET82" s="191">
        <v>10</v>
      </c>
      <c r="EU82" s="191"/>
      <c r="EV82" s="191"/>
      <c r="EW82" s="191"/>
      <c r="EX82" s="191">
        <v>50</v>
      </c>
      <c r="EY82" s="191"/>
      <c r="EZ82" s="191"/>
      <c r="FA82" s="191">
        <v>10</v>
      </c>
      <c r="FB82" s="191"/>
      <c r="FC82" s="191"/>
      <c r="FD82" s="191"/>
      <c r="FE82" s="191">
        <v>10</v>
      </c>
      <c r="FF82" s="191"/>
      <c r="FG82" s="191"/>
      <c r="FH82" s="191"/>
      <c r="FI82" s="191">
        <v>150</v>
      </c>
      <c r="FJ82" s="191"/>
      <c r="FK82" s="191"/>
      <c r="FL82" s="191">
        <v>50</v>
      </c>
      <c r="FM82" s="191"/>
      <c r="FN82" s="191"/>
      <c r="FO82" s="191">
        <v>50</v>
      </c>
      <c r="FP82" s="191"/>
      <c r="FQ82" s="193"/>
      <c r="FR82" s="194"/>
      <c r="FS82" s="191">
        <v>100</v>
      </c>
      <c r="FT82" s="191"/>
      <c r="FU82" s="191"/>
      <c r="FV82" s="191">
        <v>100</v>
      </c>
      <c r="FW82" s="191"/>
      <c r="FX82" s="191"/>
      <c r="FY82" s="191"/>
      <c r="FZ82" s="191">
        <v>150</v>
      </c>
      <c r="GA82" s="191"/>
      <c r="GB82" s="191"/>
      <c r="GC82" s="191">
        <v>50</v>
      </c>
      <c r="GD82" s="191"/>
      <c r="GE82" s="191"/>
      <c r="GF82" s="191"/>
      <c r="GG82" s="191">
        <v>100</v>
      </c>
      <c r="GH82" s="191"/>
      <c r="GI82" s="191"/>
      <c r="GJ82" s="191">
        <v>150</v>
      </c>
      <c r="GK82" s="191"/>
      <c r="GL82" s="191"/>
      <c r="GM82" s="191"/>
      <c r="GN82" s="191">
        <v>50</v>
      </c>
      <c r="GO82" s="191"/>
      <c r="GP82" s="191"/>
      <c r="GQ82" s="191">
        <v>100</v>
      </c>
      <c r="GR82" s="191"/>
      <c r="GS82" s="191"/>
      <c r="GT82" s="191"/>
      <c r="GU82" s="191">
        <v>50</v>
      </c>
      <c r="GV82" s="192"/>
      <c r="GW82" s="190"/>
      <c r="GX82" s="191">
        <v>100</v>
      </c>
      <c r="GY82" s="191"/>
      <c r="GZ82" s="191"/>
      <c r="HA82" s="191"/>
      <c r="HB82" s="191">
        <v>100</v>
      </c>
      <c r="HC82" s="191"/>
      <c r="HD82" s="191"/>
      <c r="HE82" s="191"/>
      <c r="HF82" s="191">
        <v>150</v>
      </c>
      <c r="HG82" s="191"/>
      <c r="HH82" s="191"/>
      <c r="HI82" s="191"/>
      <c r="HJ82" s="191"/>
      <c r="HK82" s="191"/>
      <c r="HL82" s="191"/>
      <c r="HM82" s="191">
        <v>100</v>
      </c>
      <c r="HN82" s="191"/>
      <c r="HO82" s="191"/>
      <c r="HP82" s="191">
        <v>10</v>
      </c>
      <c r="HQ82" s="191"/>
      <c r="HR82" s="191"/>
      <c r="HS82" s="191">
        <v>100</v>
      </c>
      <c r="HT82" s="191"/>
      <c r="HU82" s="191"/>
      <c r="HV82" s="191"/>
      <c r="HW82" s="191">
        <v>50</v>
      </c>
      <c r="HX82" s="191"/>
      <c r="HY82" s="191"/>
      <c r="HZ82" s="193">
        <v>100</v>
      </c>
      <c r="IA82" s="194"/>
      <c r="IB82" s="191"/>
      <c r="IC82" s="191">
        <v>10</v>
      </c>
      <c r="ID82" s="191">
        <v>10</v>
      </c>
      <c r="IE82" s="191"/>
      <c r="IF82" s="191"/>
      <c r="IG82" s="191">
        <v>100</v>
      </c>
      <c r="IH82" s="191"/>
      <c r="II82" s="191"/>
      <c r="IJ82" s="191"/>
      <c r="IK82" s="191">
        <v>50</v>
      </c>
      <c r="IL82" s="191"/>
      <c r="IM82" s="191"/>
      <c r="IN82" s="191">
        <v>50</v>
      </c>
      <c r="IO82" s="191"/>
      <c r="IP82" s="191"/>
      <c r="IQ82" s="191"/>
      <c r="IR82" s="191">
        <v>50</v>
      </c>
      <c r="IS82" s="191"/>
      <c r="IT82" s="191"/>
      <c r="IU82" s="191">
        <v>50</v>
      </c>
      <c r="IV82" s="191"/>
      <c r="IW82" s="191"/>
      <c r="IX82" s="191"/>
      <c r="IY82" s="191">
        <v>100</v>
      </c>
      <c r="IZ82" s="191"/>
      <c r="JA82" s="191"/>
      <c r="JB82" s="191">
        <v>150</v>
      </c>
      <c r="JC82" s="191"/>
      <c r="JD82" s="191"/>
      <c r="JE82" s="192"/>
      <c r="JF82" s="190">
        <v>10</v>
      </c>
      <c r="JG82" s="191"/>
      <c r="JH82" s="191"/>
      <c r="JI82" s="191">
        <v>50</v>
      </c>
      <c r="JJ82" s="191"/>
      <c r="JK82" s="191"/>
      <c r="JL82" s="191"/>
      <c r="JM82" s="191">
        <v>150</v>
      </c>
      <c r="JN82" s="191"/>
      <c r="JO82" s="191"/>
      <c r="JP82" s="191">
        <v>50</v>
      </c>
      <c r="JQ82" s="191"/>
      <c r="JR82" s="191"/>
      <c r="JS82" s="191">
        <v>50</v>
      </c>
      <c r="JT82" s="191"/>
      <c r="JU82" s="191"/>
      <c r="JV82" s="191"/>
      <c r="JW82" s="191">
        <v>50</v>
      </c>
      <c r="JX82" s="191"/>
      <c r="JY82" s="191"/>
      <c r="JZ82" s="191"/>
      <c r="KA82" s="191"/>
      <c r="KB82" s="191"/>
      <c r="KC82" s="191"/>
      <c r="KD82" s="191">
        <v>100</v>
      </c>
      <c r="KE82" s="191"/>
      <c r="KF82" s="191"/>
      <c r="KG82" s="191"/>
      <c r="KH82" s="191">
        <v>100</v>
      </c>
      <c r="KI82" s="191"/>
      <c r="KJ82" s="193"/>
      <c r="KK82" s="194">
        <v>100</v>
      </c>
      <c r="KL82" s="191"/>
      <c r="KM82" s="191"/>
      <c r="KN82" s="191">
        <v>100</v>
      </c>
      <c r="KO82" s="191">
        <v>10</v>
      </c>
      <c r="KP82" s="191"/>
      <c r="KQ82" s="191"/>
      <c r="KR82" s="191"/>
      <c r="KS82" s="191"/>
      <c r="KT82" s="191"/>
      <c r="KU82" s="191"/>
      <c r="KV82" s="191"/>
      <c r="KW82" s="191"/>
      <c r="KX82" s="191"/>
      <c r="KY82" s="191"/>
      <c r="KZ82" s="191"/>
      <c r="LA82" s="191"/>
      <c r="LB82" s="191"/>
      <c r="LC82" s="191">
        <v>100</v>
      </c>
      <c r="LD82" s="191"/>
      <c r="LE82" s="191"/>
      <c r="LF82" s="191">
        <v>10</v>
      </c>
      <c r="LG82" s="191"/>
      <c r="LH82" s="191"/>
      <c r="LI82" s="191"/>
      <c r="LJ82" s="191">
        <v>50</v>
      </c>
      <c r="LK82" s="191"/>
      <c r="LL82" s="191"/>
      <c r="LM82" s="191">
        <v>10</v>
      </c>
      <c r="LN82" s="192"/>
      <c r="LO82" s="190"/>
      <c r="LP82" s="191"/>
      <c r="LQ82" s="191"/>
      <c r="LR82" s="191"/>
      <c r="LS82" s="191"/>
      <c r="LT82" s="191">
        <v>10</v>
      </c>
      <c r="LU82" s="191"/>
      <c r="LV82" s="191"/>
      <c r="LW82" s="191"/>
      <c r="LX82" s="191">
        <v>10</v>
      </c>
      <c r="LY82" s="191"/>
      <c r="LZ82" s="191"/>
      <c r="MA82" s="191">
        <v>50</v>
      </c>
      <c r="MB82" s="191"/>
      <c r="MC82" s="191"/>
      <c r="MD82" s="191"/>
      <c r="ME82" s="191">
        <v>200</v>
      </c>
      <c r="MF82" s="191"/>
      <c r="MG82" s="191"/>
      <c r="MH82" s="191">
        <v>100</v>
      </c>
      <c r="MI82" s="191"/>
      <c r="MJ82" s="191"/>
      <c r="MK82" s="191"/>
      <c r="ML82" s="191">
        <v>50</v>
      </c>
      <c r="MM82" s="191"/>
      <c r="MN82" s="191"/>
      <c r="MO82" s="191">
        <v>100</v>
      </c>
      <c r="MP82" s="191"/>
      <c r="MQ82" s="191"/>
      <c r="MR82" s="191"/>
      <c r="MS82" s="193">
        <v>50</v>
      </c>
      <c r="MT82" s="194"/>
      <c r="MU82" s="191"/>
      <c r="MV82" s="191">
        <v>50</v>
      </c>
      <c r="MW82" s="191"/>
      <c r="MX82" s="191"/>
      <c r="MY82" s="191"/>
      <c r="MZ82" s="191">
        <v>10</v>
      </c>
      <c r="NA82" s="191"/>
      <c r="NB82" s="191"/>
      <c r="NC82" s="191">
        <v>50</v>
      </c>
      <c r="ND82" s="191"/>
      <c r="NE82" s="191"/>
      <c r="NF82" s="191"/>
      <c r="NG82" s="191">
        <v>10</v>
      </c>
      <c r="NH82" s="191"/>
      <c r="NI82" s="191"/>
      <c r="NJ82" s="191">
        <v>10</v>
      </c>
      <c r="NK82" s="191"/>
      <c r="NL82" s="191"/>
      <c r="NM82" s="191"/>
      <c r="NN82" s="191">
        <v>100</v>
      </c>
      <c r="NO82" s="191"/>
      <c r="NP82" s="191"/>
      <c r="NQ82" s="191">
        <v>50</v>
      </c>
      <c r="NR82" s="191"/>
      <c r="NS82" s="191"/>
      <c r="NT82" s="191"/>
      <c r="NU82" s="191">
        <v>100</v>
      </c>
      <c r="NV82" s="191"/>
      <c r="NW82" s="192"/>
      <c r="NX82" s="190">
        <v>100</v>
      </c>
      <c r="NY82" s="191"/>
      <c r="NZ82" s="191"/>
      <c r="OA82" s="191"/>
      <c r="OB82" s="191">
        <v>100</v>
      </c>
      <c r="OC82" s="191"/>
      <c r="OD82" s="191"/>
      <c r="OE82" s="191">
        <v>10</v>
      </c>
      <c r="OF82" s="191"/>
      <c r="OG82" s="191"/>
      <c r="OH82" s="191"/>
      <c r="OI82" s="191">
        <v>10</v>
      </c>
      <c r="OJ82" s="191"/>
      <c r="OK82" s="191"/>
      <c r="OL82" s="191">
        <v>100</v>
      </c>
      <c r="OM82" s="191"/>
      <c r="ON82" s="191"/>
      <c r="OO82" s="191"/>
      <c r="OP82" s="191"/>
      <c r="OQ82" s="191"/>
      <c r="OR82" s="191"/>
      <c r="OS82" s="191"/>
      <c r="OT82" s="191"/>
      <c r="OU82" s="191"/>
      <c r="OV82" s="191"/>
      <c r="OW82" s="191"/>
      <c r="OX82" s="191"/>
      <c r="OY82" s="191"/>
      <c r="OZ82" s="191"/>
      <c r="PA82" s="191"/>
      <c r="PB82" s="193"/>
      <c r="PC82" s="47"/>
      <c r="PD82" s="154" t="s">
        <v>97</v>
      </c>
      <c r="PE82" s="155" t="s">
        <v>98</v>
      </c>
      <c r="PF82" s="155" t="s">
        <v>98</v>
      </c>
      <c r="PG82" s="155" t="s">
        <v>98</v>
      </c>
      <c r="PH82" s="155" t="s">
        <v>98</v>
      </c>
      <c r="PI82" s="155" t="s">
        <v>98</v>
      </c>
      <c r="PJ82" s="155" t="s">
        <v>98</v>
      </c>
      <c r="PK82" s="155" t="s">
        <v>98</v>
      </c>
      <c r="PL82" s="155" t="s">
        <v>98</v>
      </c>
      <c r="PM82" s="155" t="s">
        <v>98</v>
      </c>
      <c r="PN82" s="155" t="s">
        <v>98</v>
      </c>
      <c r="PO82" s="156"/>
      <c r="PP82" s="156"/>
      <c r="PQ82" s="156"/>
      <c r="PR82" s="156"/>
      <c r="PS82" s="156"/>
      <c r="PT82" s="156"/>
      <c r="PU82" s="156"/>
      <c r="PV82" s="156"/>
      <c r="PW82" s="156"/>
      <c r="PX82" s="195"/>
      <c r="PY82" s="1"/>
      <c r="PZ82" s="196">
        <f t="shared" si="73"/>
        <v>360</v>
      </c>
      <c r="QA82" s="176">
        <f t="shared" si="74"/>
        <v>3.0032535246517062E-3</v>
      </c>
      <c r="QB82" s="177" t="str">
        <f t="shared" ca="1" si="75"/>
        <v>Attente…</v>
      </c>
      <c r="QC82" s="197">
        <f t="shared" si="76"/>
        <v>310</v>
      </c>
      <c r="QD82" s="179">
        <f t="shared" si="77"/>
        <v>2.9026217228464418E-3</v>
      </c>
      <c r="QE82" s="180" t="str">
        <f t="shared" ca="1" si="78"/>
        <v>Attente…</v>
      </c>
      <c r="QF82" s="196">
        <f t="shared" si="79"/>
        <v>750</v>
      </c>
      <c r="QG82" s="176">
        <f t="shared" si="80"/>
        <v>5.972288580984233E-3</v>
      </c>
      <c r="QH82" s="177" t="str">
        <f t="shared" ca="1" si="81"/>
        <v>Attente…</v>
      </c>
      <c r="QI82" s="197">
        <f t="shared" si="82"/>
        <v>380</v>
      </c>
      <c r="QJ82" s="179">
        <f t="shared" si="83"/>
        <v>2.6651704306354328E-3</v>
      </c>
      <c r="QK82" s="180" t="str">
        <f t="shared" ca="1" si="84"/>
        <v>Attente…</v>
      </c>
      <c r="QL82" s="196">
        <f t="shared" si="85"/>
        <v>850</v>
      </c>
      <c r="QM82" s="176">
        <f t="shared" si="86"/>
        <v>6.2189054726368162E-3</v>
      </c>
      <c r="QN82" s="177" t="str">
        <f t="shared" ca="1" si="87"/>
        <v>Attente…</v>
      </c>
      <c r="QO82" s="197">
        <f t="shared" si="88"/>
        <v>710</v>
      </c>
      <c r="QP82" s="179">
        <f t="shared" si="89"/>
        <v>5.5586001722383151E-3</v>
      </c>
      <c r="QQ82" s="180" t="str">
        <f t="shared" ca="1" si="90"/>
        <v>Attente…</v>
      </c>
      <c r="QR82" s="196">
        <f t="shared" si="91"/>
        <v>570</v>
      </c>
      <c r="QS82" s="176">
        <f t="shared" si="92"/>
        <v>4.1035239912170186E-3</v>
      </c>
      <c r="QT82" s="177" t="str">
        <f t="shared" ca="1" si="93"/>
        <v>Attente…</v>
      </c>
      <c r="QU82" s="197">
        <f t="shared" si="94"/>
        <v>560</v>
      </c>
      <c r="QV82" s="179">
        <f t="shared" si="95"/>
        <v>3.8610038610038611E-3</v>
      </c>
      <c r="QW82" s="180" t="str">
        <f t="shared" ca="1" si="96"/>
        <v>Attente…</v>
      </c>
      <c r="QX82" s="196">
        <f t="shared" si="97"/>
        <v>380</v>
      </c>
      <c r="QY82" s="176">
        <f t="shared" si="98"/>
        <v>2.7729939577921131E-3</v>
      </c>
      <c r="QZ82" s="177" t="str">
        <f t="shared" ca="1" si="99"/>
        <v>Attente…</v>
      </c>
      <c r="RA82" s="197">
        <f t="shared" si="100"/>
        <v>570</v>
      </c>
      <c r="RB82" s="179">
        <f t="shared" si="101"/>
        <v>4.4597449338862373E-3</v>
      </c>
      <c r="RC82" s="180" t="str">
        <f t="shared" ca="1" si="102"/>
        <v>Attente…</v>
      </c>
      <c r="RD82" s="196">
        <f t="shared" si="103"/>
        <v>380</v>
      </c>
      <c r="RE82" s="176">
        <f t="shared" si="104"/>
        <v>3.7863690713431648E-3</v>
      </c>
      <c r="RF82" s="177" t="str">
        <f t="shared" ca="1" si="105"/>
        <v>Attente…</v>
      </c>
      <c r="RG82" s="197">
        <f t="shared" si="106"/>
        <v>320</v>
      </c>
      <c r="RH82" s="179">
        <f t="shared" si="107"/>
        <v>5.8855986757402976E-3</v>
      </c>
      <c r="RI82" s="198" t="str">
        <f t="shared" ca="1" si="108"/>
        <v>Attente…</v>
      </c>
      <c r="RJ82" s="199">
        <f t="shared" si="109"/>
        <v>1420</v>
      </c>
      <c r="RK82" s="200" t="str">
        <f t="shared" ca="1" si="66"/>
        <v>Attente…</v>
      </c>
      <c r="RL82" s="199">
        <f t="shared" si="110"/>
        <v>1940</v>
      </c>
      <c r="RM82" s="200" t="str">
        <f t="shared" ca="1" si="111"/>
        <v>Atttente…</v>
      </c>
      <c r="RN82" s="199">
        <f t="shared" si="112"/>
        <v>1510</v>
      </c>
      <c r="RO82" s="200" t="str">
        <f t="shared" ca="1" si="67"/>
        <v>Attente…</v>
      </c>
      <c r="RP82" s="199">
        <f t="shared" si="113"/>
        <v>1270</v>
      </c>
      <c r="RQ82" s="200" t="str">
        <f t="shared" ca="1" si="68"/>
        <v>Attente…</v>
      </c>
      <c r="RR82" s="201">
        <f t="shared" si="114"/>
        <v>6140</v>
      </c>
      <c r="RS82" s="202" t="str">
        <f t="shared" ca="1" si="69"/>
        <v>Attente…</v>
      </c>
      <c r="RT82" s="103"/>
      <c r="RU82" s="203">
        <f t="shared" si="115"/>
        <v>0.3301075268817204</v>
      </c>
      <c r="RV82" s="204">
        <f t="shared" si="65"/>
        <v>1</v>
      </c>
      <c r="RW82" s="204">
        <f t="shared" si="65"/>
        <v>2</v>
      </c>
      <c r="RX82" s="204">
        <f t="shared" si="116"/>
        <v>93</v>
      </c>
      <c r="RY82" s="205" t="str">
        <f t="shared" si="117"/>
        <v>DÉVILLE-LÈS-ROUEN - 340 Route de Dieppe (Parking Salle communale (Mairie))</v>
      </c>
      <c r="RZ82" s="189" t="str">
        <f>IF(OR(RZ81="",RZ81="  &lt;/Document&gt;
&lt;/kml&gt;"),"",
IF(B82="","  &lt;/Document&gt;
&lt;/kml&gt;",
IF(TournéesCAV!Q41=""," ",
"    &lt;Placemark&gt;
      &lt;description&gt;&lt;![CDATA["&amp;B82&amp;"&lt;br&gt;&lt;br&gt;"&amp;RV82&amp;" CAV&lt;br&gt;&lt;br&gt;Présent sur "&amp;RW82&amp;" tournée(s)&lt;br&gt;&lt;br&gt;Taux de remplissage moyen "&amp;TEXT(RU82*1000,"0 %")&amp;"]]&gt;&lt;/description&gt;
      &lt;Style&gt;
        &lt;IconStyle&gt;
          &lt;color&gt;ff"&amp;
          DEC2HEX(0,2)&amp;
          DEC2HEX(
            IF(RU82&lt;=0.5,
               INT(255*(RU82*2)),
               255
            ),2)&amp;
          DEC2HEX(
            IF(RU82&lt;=0.5,
               255,
               INT(255*(1-(RU82-0.5)*2))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&lt;Point&gt;&lt;coordinates&gt;"&amp;R82&amp;","&amp;Q82&amp;",0&lt;/coordinates&gt;&lt;/Point&gt;
    &lt;/Placemark&gt;"
)))</f>
        <v xml:space="preserve">    &lt;Placemark&gt;
      &lt;description&gt;&lt;![CDATA[DÉVILLE-LÈS-ROUEN - 340 Route de Dieppe (Parking Salle communale (Mairie))&lt;br&gt;&lt;br&gt;1 CAV&lt;br&gt;&lt;br&gt;Présent sur 2 tournée(s)&lt;br&gt;&lt;br&gt;Taux de remplissage moyen 33%]]&gt;&lt;/description&gt;
      &lt;Style&gt;
        &lt;IconStyle&gt;
          &lt;color&gt;ff00A8FF&lt;/color&gt;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&lt;Point&gt;&lt;coordinates&gt;1.0516405,49.4691713,0&lt;/coordinates&gt;&lt;/Point&gt;
    &lt;/Placemark&gt;</v>
      </c>
    </row>
    <row r="83" spans="2:494" ht="15" hidden="1" customHeight="1" x14ac:dyDescent="0.35">
      <c r="B83" s="153" t="str">
        <f t="shared" si="70"/>
        <v>DÉVILLE-LÈS-ROUEN - 8 Rue De Fontenelle</v>
      </c>
      <c r="C83" s="154">
        <v>168</v>
      </c>
      <c r="D83" s="155"/>
      <c r="E83" s="155"/>
      <c r="F83" s="155"/>
      <c r="G83" s="155"/>
      <c r="H83" s="155"/>
      <c r="I83" s="155"/>
      <c r="J83" s="156"/>
      <c r="K83" s="157">
        <f t="shared" si="71"/>
        <v>1</v>
      </c>
      <c r="L83" s="157">
        <f t="shared" si="72"/>
        <v>1</v>
      </c>
      <c r="M83" s="158" t="s">
        <v>502</v>
      </c>
      <c r="N83" s="159"/>
      <c r="O83" s="159">
        <v>76250</v>
      </c>
      <c r="P83" s="159" t="s">
        <v>417</v>
      </c>
      <c r="Q83" s="159" t="s">
        <v>503</v>
      </c>
      <c r="R83" s="159" t="s">
        <v>504</v>
      </c>
      <c r="S83" s="159" t="s">
        <v>93</v>
      </c>
      <c r="T83" s="159" t="s">
        <v>94</v>
      </c>
      <c r="U83" s="159">
        <v>168</v>
      </c>
      <c r="V83" s="160" t="s">
        <v>96</v>
      </c>
      <c r="W83" s="161"/>
      <c r="X83" s="162"/>
      <c r="Y83" s="163"/>
      <c r="Z83" s="162"/>
      <c r="AA83" s="163"/>
      <c r="AB83" s="162"/>
      <c r="AC83" s="163"/>
      <c r="AD83" s="162"/>
      <c r="AE83" s="163"/>
      <c r="AF83" s="162"/>
      <c r="AG83" s="163"/>
      <c r="AH83" s="163"/>
      <c r="AI83" s="162">
        <v>17</v>
      </c>
      <c r="AJ83" s="163"/>
      <c r="AK83" s="162"/>
      <c r="AL83" s="163"/>
      <c r="AM83" s="162"/>
      <c r="AN83" s="163"/>
      <c r="AO83" s="162"/>
      <c r="AP83" s="164"/>
      <c r="AQ83" s="164"/>
      <c r="AR83" s="164"/>
      <c r="AS83" s="164"/>
      <c r="AT83" s="164"/>
      <c r="AU83" s="164"/>
      <c r="AV83" s="164"/>
      <c r="AW83" s="164"/>
      <c r="AX83" s="164"/>
      <c r="AY83" s="165"/>
      <c r="AZ83" s="41"/>
      <c r="BA83" s="190"/>
      <c r="BB83" s="191"/>
      <c r="BC83" s="191"/>
      <c r="BD83" s="191"/>
      <c r="BE83" s="191"/>
      <c r="BF83" s="191"/>
      <c r="BG83" s="191"/>
      <c r="BH83" s="191"/>
      <c r="BI83" s="191"/>
      <c r="BJ83" s="191">
        <v>200</v>
      </c>
      <c r="BK83" s="191"/>
      <c r="BL83" s="191"/>
      <c r="BM83" s="191"/>
      <c r="BN83" s="191"/>
      <c r="BO83" s="191"/>
      <c r="BP83" s="191"/>
      <c r="BQ83" s="191">
        <v>10</v>
      </c>
      <c r="BR83" s="191"/>
      <c r="BS83" s="191"/>
      <c r="BT83" s="191"/>
      <c r="BU83" s="191"/>
      <c r="BV83" s="191"/>
      <c r="BW83" s="191"/>
      <c r="BX83" s="191"/>
      <c r="BY83" s="191"/>
      <c r="BZ83" s="191"/>
      <c r="CA83" s="191"/>
      <c r="CB83" s="191"/>
      <c r="CC83" s="191"/>
      <c r="CD83" s="191"/>
      <c r="CE83" s="192">
        <v>10</v>
      </c>
      <c r="CF83" s="190"/>
      <c r="CG83" s="191"/>
      <c r="CH83" s="191"/>
      <c r="CI83" s="191"/>
      <c r="CJ83" s="191"/>
      <c r="CK83" s="191"/>
      <c r="CL83" s="191">
        <v>100</v>
      </c>
      <c r="CM83" s="191"/>
      <c r="CN83" s="191"/>
      <c r="CO83" s="191"/>
      <c r="CP83" s="191"/>
      <c r="CQ83" s="191"/>
      <c r="CR83" s="191"/>
      <c r="CS83" s="191"/>
      <c r="CT83" s="191"/>
      <c r="CU83" s="191"/>
      <c r="CV83" s="191"/>
      <c r="CW83" s="191"/>
      <c r="CX83" s="191"/>
      <c r="CY83" s="191"/>
      <c r="CZ83" s="191">
        <v>10</v>
      </c>
      <c r="DA83" s="191"/>
      <c r="DB83" s="191"/>
      <c r="DC83" s="191"/>
      <c r="DD83" s="191"/>
      <c r="DE83" s="191"/>
      <c r="DF83" s="191"/>
      <c r="DG83" s="191">
        <v>50</v>
      </c>
      <c r="DH83" s="193"/>
      <c r="DI83" s="194"/>
      <c r="DJ83" s="191"/>
      <c r="DK83" s="191"/>
      <c r="DL83" s="191"/>
      <c r="DM83" s="191"/>
      <c r="DN83" s="191"/>
      <c r="DO83" s="191">
        <v>50</v>
      </c>
      <c r="DP83" s="191"/>
      <c r="DQ83" s="191"/>
      <c r="DR83" s="191"/>
      <c r="DS83" s="191"/>
      <c r="DT83" s="191"/>
      <c r="DU83" s="191"/>
      <c r="DV83" s="191">
        <v>150</v>
      </c>
      <c r="DW83" s="191"/>
      <c r="DX83" s="191"/>
      <c r="DY83" s="191"/>
      <c r="DZ83" s="191"/>
      <c r="EA83" s="191"/>
      <c r="EB83" s="191"/>
      <c r="EC83" s="191">
        <v>150</v>
      </c>
      <c r="ED83" s="191"/>
      <c r="EE83" s="191"/>
      <c r="EF83" s="191"/>
      <c r="EG83" s="191"/>
      <c r="EH83" s="191"/>
      <c r="EI83" s="191"/>
      <c r="EJ83" s="191">
        <v>50</v>
      </c>
      <c r="EK83" s="191"/>
      <c r="EL83" s="191"/>
      <c r="EM83" s="192"/>
      <c r="EN83" s="190"/>
      <c r="EO83" s="191"/>
      <c r="EP83" s="191"/>
      <c r="EQ83" s="191">
        <v>150</v>
      </c>
      <c r="ER83" s="191"/>
      <c r="ES83" s="191"/>
      <c r="ET83" s="191"/>
      <c r="EU83" s="191"/>
      <c r="EV83" s="191"/>
      <c r="EW83" s="191"/>
      <c r="EX83" s="191">
        <v>150</v>
      </c>
      <c r="EY83" s="191"/>
      <c r="EZ83" s="191"/>
      <c r="FA83" s="191"/>
      <c r="FB83" s="191"/>
      <c r="FC83" s="191"/>
      <c r="FD83" s="191"/>
      <c r="FE83" s="191">
        <v>200</v>
      </c>
      <c r="FF83" s="191"/>
      <c r="FG83" s="191"/>
      <c r="FH83" s="191"/>
      <c r="FI83" s="191"/>
      <c r="FJ83" s="191"/>
      <c r="FK83" s="191"/>
      <c r="FL83" s="191">
        <v>150</v>
      </c>
      <c r="FM83" s="191"/>
      <c r="FN83" s="191"/>
      <c r="FO83" s="191"/>
      <c r="FP83" s="191"/>
      <c r="FQ83" s="193"/>
      <c r="FR83" s="194"/>
      <c r="FS83" s="191">
        <v>100</v>
      </c>
      <c r="FT83" s="191"/>
      <c r="FU83" s="191"/>
      <c r="FV83" s="191"/>
      <c r="FW83" s="191"/>
      <c r="FX83" s="191"/>
      <c r="FY83" s="191"/>
      <c r="FZ83" s="191">
        <v>150</v>
      </c>
      <c r="GA83" s="191"/>
      <c r="GB83" s="191"/>
      <c r="GC83" s="191"/>
      <c r="GD83" s="191"/>
      <c r="GE83" s="191"/>
      <c r="GF83" s="191"/>
      <c r="GG83" s="191">
        <v>200</v>
      </c>
      <c r="GH83" s="191"/>
      <c r="GI83" s="191"/>
      <c r="GJ83" s="191"/>
      <c r="GK83" s="191"/>
      <c r="GL83" s="191"/>
      <c r="GM83" s="191"/>
      <c r="GN83" s="191">
        <v>100</v>
      </c>
      <c r="GO83" s="191"/>
      <c r="GP83" s="191"/>
      <c r="GQ83" s="191"/>
      <c r="GR83" s="191"/>
      <c r="GS83" s="191"/>
      <c r="GT83" s="191"/>
      <c r="GU83" s="191">
        <v>150</v>
      </c>
      <c r="GV83" s="192"/>
      <c r="GW83" s="190"/>
      <c r="GX83" s="191"/>
      <c r="GY83" s="191"/>
      <c r="GZ83" s="191"/>
      <c r="HA83" s="191"/>
      <c r="HB83" s="191">
        <v>200</v>
      </c>
      <c r="HC83" s="191"/>
      <c r="HD83" s="191"/>
      <c r="HE83" s="191"/>
      <c r="HF83" s="191"/>
      <c r="HG83" s="191"/>
      <c r="HH83" s="191"/>
      <c r="HI83" s="191">
        <v>100</v>
      </c>
      <c r="HJ83" s="191"/>
      <c r="HK83" s="191"/>
      <c r="HL83" s="191"/>
      <c r="HM83" s="191"/>
      <c r="HN83" s="191"/>
      <c r="HO83" s="191"/>
      <c r="HP83" s="191">
        <v>200</v>
      </c>
      <c r="HQ83" s="191"/>
      <c r="HR83" s="191"/>
      <c r="HS83" s="191"/>
      <c r="HT83" s="191"/>
      <c r="HU83" s="191"/>
      <c r="HV83" s="191"/>
      <c r="HW83" s="191">
        <v>100</v>
      </c>
      <c r="HX83" s="191"/>
      <c r="HY83" s="191"/>
      <c r="HZ83" s="193"/>
      <c r="IA83" s="194"/>
      <c r="IB83" s="191"/>
      <c r="IC83" s="191">
        <v>200</v>
      </c>
      <c r="ID83" s="191">
        <v>10</v>
      </c>
      <c r="IE83" s="191"/>
      <c r="IF83" s="191"/>
      <c r="IG83" s="191"/>
      <c r="IH83" s="191"/>
      <c r="II83" s="191"/>
      <c r="IJ83" s="191"/>
      <c r="IK83" s="191">
        <v>200</v>
      </c>
      <c r="IL83" s="191"/>
      <c r="IM83" s="191"/>
      <c r="IN83" s="191"/>
      <c r="IO83" s="191"/>
      <c r="IP83" s="191"/>
      <c r="IQ83" s="191"/>
      <c r="IR83" s="191">
        <v>50</v>
      </c>
      <c r="IS83" s="191"/>
      <c r="IT83" s="191"/>
      <c r="IU83" s="191"/>
      <c r="IV83" s="191"/>
      <c r="IW83" s="191"/>
      <c r="IX83" s="191"/>
      <c r="IY83" s="191">
        <v>150</v>
      </c>
      <c r="IZ83" s="191"/>
      <c r="JA83" s="191"/>
      <c r="JB83" s="191"/>
      <c r="JC83" s="191"/>
      <c r="JD83" s="191"/>
      <c r="JE83" s="192"/>
      <c r="JF83" s="190">
        <v>50</v>
      </c>
      <c r="JG83" s="191"/>
      <c r="JH83" s="191"/>
      <c r="JI83" s="191"/>
      <c r="JJ83" s="191"/>
      <c r="JK83" s="191"/>
      <c r="JL83" s="191"/>
      <c r="JM83" s="191">
        <v>100</v>
      </c>
      <c r="JN83" s="191"/>
      <c r="JO83" s="191"/>
      <c r="JP83" s="191"/>
      <c r="JQ83" s="191"/>
      <c r="JR83" s="191"/>
      <c r="JS83" s="191">
        <v>50</v>
      </c>
      <c r="JT83" s="191"/>
      <c r="JU83" s="191"/>
      <c r="JV83" s="191"/>
      <c r="JW83" s="191"/>
      <c r="JX83" s="191"/>
      <c r="JY83" s="191"/>
      <c r="JZ83" s="191"/>
      <c r="KA83" s="191">
        <v>150</v>
      </c>
      <c r="KB83" s="191"/>
      <c r="KC83" s="191"/>
      <c r="KD83" s="191"/>
      <c r="KE83" s="191"/>
      <c r="KF83" s="191"/>
      <c r="KG83" s="191"/>
      <c r="KH83" s="191">
        <v>100</v>
      </c>
      <c r="KI83" s="191"/>
      <c r="KJ83" s="193"/>
      <c r="KK83" s="194"/>
      <c r="KL83" s="191"/>
      <c r="KM83" s="191"/>
      <c r="KN83" s="191">
        <v>100</v>
      </c>
      <c r="KO83" s="191">
        <v>10</v>
      </c>
      <c r="KP83" s="191"/>
      <c r="KQ83" s="191"/>
      <c r="KR83" s="191"/>
      <c r="KS83" s="191"/>
      <c r="KT83" s="191"/>
      <c r="KU83" s="191"/>
      <c r="KV83" s="191">
        <v>150</v>
      </c>
      <c r="KW83" s="191"/>
      <c r="KX83" s="191"/>
      <c r="KY83" s="191"/>
      <c r="KZ83" s="191"/>
      <c r="LA83" s="191"/>
      <c r="LB83" s="191"/>
      <c r="LC83" s="191">
        <v>50</v>
      </c>
      <c r="LD83" s="191"/>
      <c r="LE83" s="191"/>
      <c r="LF83" s="191"/>
      <c r="LG83" s="191"/>
      <c r="LH83" s="191"/>
      <c r="LI83" s="191"/>
      <c r="LJ83" s="191">
        <v>100</v>
      </c>
      <c r="LK83" s="191"/>
      <c r="LL83" s="191"/>
      <c r="LM83" s="191"/>
      <c r="LN83" s="192"/>
      <c r="LO83" s="190"/>
      <c r="LP83" s="191"/>
      <c r="LQ83" s="191">
        <v>100</v>
      </c>
      <c r="LR83" s="191"/>
      <c r="LS83" s="191"/>
      <c r="LT83" s="191"/>
      <c r="LU83" s="191"/>
      <c r="LV83" s="191"/>
      <c r="LW83" s="191"/>
      <c r="LX83" s="191">
        <v>100</v>
      </c>
      <c r="LY83" s="191"/>
      <c r="LZ83" s="191"/>
      <c r="MA83" s="191"/>
      <c r="MB83" s="191"/>
      <c r="MC83" s="191"/>
      <c r="MD83" s="191"/>
      <c r="ME83" s="191">
        <v>200</v>
      </c>
      <c r="MF83" s="191"/>
      <c r="MG83" s="191"/>
      <c r="MH83" s="191"/>
      <c r="MI83" s="191"/>
      <c r="MJ83" s="191"/>
      <c r="MK83" s="191"/>
      <c r="ML83" s="191">
        <v>200</v>
      </c>
      <c r="MM83" s="191"/>
      <c r="MN83" s="191"/>
      <c r="MO83" s="191"/>
      <c r="MP83" s="191"/>
      <c r="MQ83" s="191"/>
      <c r="MR83" s="191"/>
      <c r="MS83" s="193">
        <v>100</v>
      </c>
      <c r="MT83" s="194"/>
      <c r="MU83" s="191"/>
      <c r="MV83" s="191"/>
      <c r="MW83" s="191"/>
      <c r="MX83" s="191"/>
      <c r="MY83" s="191"/>
      <c r="MZ83" s="191">
        <v>100</v>
      </c>
      <c r="NA83" s="191"/>
      <c r="NB83" s="191"/>
      <c r="NC83" s="191"/>
      <c r="ND83" s="191"/>
      <c r="NE83" s="191"/>
      <c r="NF83" s="191"/>
      <c r="NG83" s="191">
        <v>150</v>
      </c>
      <c r="NH83" s="191"/>
      <c r="NI83" s="191"/>
      <c r="NJ83" s="191"/>
      <c r="NK83" s="191"/>
      <c r="NL83" s="191"/>
      <c r="NM83" s="191"/>
      <c r="NN83" s="191">
        <v>100</v>
      </c>
      <c r="NO83" s="191"/>
      <c r="NP83" s="191"/>
      <c r="NQ83" s="191"/>
      <c r="NR83" s="191"/>
      <c r="NS83" s="191"/>
      <c r="NT83" s="191"/>
      <c r="NU83" s="191">
        <v>100</v>
      </c>
      <c r="NV83" s="191"/>
      <c r="NW83" s="192"/>
      <c r="NX83" s="190"/>
      <c r="NY83" s="191"/>
      <c r="NZ83" s="191"/>
      <c r="OA83" s="191"/>
      <c r="OB83" s="191">
        <v>10</v>
      </c>
      <c r="OC83" s="191"/>
      <c r="OD83" s="191"/>
      <c r="OE83" s="191"/>
      <c r="OF83" s="191"/>
      <c r="OG83" s="191"/>
      <c r="OH83" s="191"/>
      <c r="OI83" s="191">
        <v>100</v>
      </c>
      <c r="OJ83" s="191"/>
      <c r="OK83" s="191"/>
      <c r="OL83" s="191"/>
      <c r="OM83" s="191"/>
      <c r="ON83" s="191"/>
      <c r="OO83" s="191"/>
      <c r="OP83" s="191"/>
      <c r="OQ83" s="191"/>
      <c r="OR83" s="191"/>
      <c r="OS83" s="191"/>
      <c r="OT83" s="191"/>
      <c r="OU83" s="191"/>
      <c r="OV83" s="191"/>
      <c r="OW83" s="191"/>
      <c r="OX83" s="191"/>
      <c r="OY83" s="191"/>
      <c r="OZ83" s="191"/>
      <c r="PA83" s="191"/>
      <c r="PB83" s="193"/>
      <c r="PC83" s="47"/>
      <c r="PD83" s="154" t="s">
        <v>97</v>
      </c>
      <c r="PE83" s="155" t="s">
        <v>98</v>
      </c>
      <c r="PF83" s="155" t="s">
        <v>98</v>
      </c>
      <c r="PG83" s="155" t="s">
        <v>98</v>
      </c>
      <c r="PH83" s="155" t="s">
        <v>98</v>
      </c>
      <c r="PI83" s="155" t="s">
        <v>98</v>
      </c>
      <c r="PJ83" s="155" t="s">
        <v>98</v>
      </c>
      <c r="PK83" s="155" t="s">
        <v>98</v>
      </c>
      <c r="PL83" s="155" t="s">
        <v>98</v>
      </c>
      <c r="PM83" s="155" t="s">
        <v>98</v>
      </c>
      <c r="PN83" s="155" t="s">
        <v>98</v>
      </c>
      <c r="PO83" s="156"/>
      <c r="PP83" s="156"/>
      <c r="PQ83" s="156"/>
      <c r="PR83" s="156"/>
      <c r="PS83" s="156"/>
      <c r="PT83" s="156"/>
      <c r="PU83" s="156"/>
      <c r="PV83" s="156"/>
      <c r="PW83" s="156"/>
      <c r="PX83" s="195"/>
      <c r="PY83" s="1"/>
      <c r="PZ83" s="196">
        <f t="shared" si="73"/>
        <v>220</v>
      </c>
      <c r="QA83" s="176">
        <f t="shared" si="74"/>
        <v>1.8353215983982648E-3</v>
      </c>
      <c r="QB83" s="177" t="str">
        <f t="shared" ca="1" si="75"/>
        <v>Attente…</v>
      </c>
      <c r="QC83" s="197">
        <f t="shared" si="76"/>
        <v>160</v>
      </c>
      <c r="QD83" s="179">
        <f t="shared" si="77"/>
        <v>1.4981273408239701E-3</v>
      </c>
      <c r="QE83" s="180" t="str">
        <f t="shared" ca="1" si="78"/>
        <v>Attente…</v>
      </c>
      <c r="QF83" s="196">
        <f t="shared" si="79"/>
        <v>400</v>
      </c>
      <c r="QG83" s="176">
        <f t="shared" si="80"/>
        <v>3.1852205765249245E-3</v>
      </c>
      <c r="QH83" s="177" t="str">
        <f t="shared" ca="1" si="81"/>
        <v>Attente…</v>
      </c>
      <c r="QI83" s="197">
        <f t="shared" si="82"/>
        <v>650</v>
      </c>
      <c r="QJ83" s="179">
        <f t="shared" si="83"/>
        <v>4.5588441576658719E-3</v>
      </c>
      <c r="QK83" s="180" t="str">
        <f t="shared" ca="1" si="84"/>
        <v>Attente…</v>
      </c>
      <c r="QL83" s="196">
        <f t="shared" si="85"/>
        <v>700</v>
      </c>
      <c r="QM83" s="176">
        <f t="shared" si="86"/>
        <v>5.1214515657009071E-3</v>
      </c>
      <c r="QN83" s="177" t="str">
        <f t="shared" ca="1" si="87"/>
        <v>Attente…</v>
      </c>
      <c r="QO83" s="197">
        <f t="shared" si="88"/>
        <v>600</v>
      </c>
      <c r="QP83" s="179">
        <f t="shared" si="89"/>
        <v>4.6974085962577308E-3</v>
      </c>
      <c r="QQ83" s="180" t="str">
        <f t="shared" ca="1" si="90"/>
        <v>Attente…</v>
      </c>
      <c r="QR83" s="196">
        <f t="shared" si="91"/>
        <v>610</v>
      </c>
      <c r="QS83" s="176">
        <f t="shared" si="92"/>
        <v>4.3914905870918973E-3</v>
      </c>
      <c r="QT83" s="177" t="str">
        <f t="shared" ca="1" si="93"/>
        <v>Attente…</v>
      </c>
      <c r="QU83" s="197">
        <f t="shared" si="94"/>
        <v>450</v>
      </c>
      <c r="QV83" s="179">
        <f t="shared" si="95"/>
        <v>3.1025923883066741E-3</v>
      </c>
      <c r="QW83" s="180" t="str">
        <f t="shared" ca="1" si="96"/>
        <v>Attente…</v>
      </c>
      <c r="QX83" s="196">
        <f t="shared" si="97"/>
        <v>410</v>
      </c>
      <c r="QY83" s="176">
        <f t="shared" si="98"/>
        <v>2.9919145334072797E-3</v>
      </c>
      <c r="QZ83" s="177" t="str">
        <f t="shared" ca="1" si="99"/>
        <v>Attente…</v>
      </c>
      <c r="RA83" s="197">
        <f t="shared" si="100"/>
        <v>700</v>
      </c>
      <c r="RB83" s="179">
        <f t="shared" si="101"/>
        <v>5.4768797433690638E-3</v>
      </c>
      <c r="RC83" s="180" t="str">
        <f t="shared" ca="1" si="102"/>
        <v>Attente…</v>
      </c>
      <c r="RD83" s="196">
        <f t="shared" si="103"/>
        <v>450</v>
      </c>
      <c r="RE83" s="176">
        <f t="shared" si="104"/>
        <v>4.483858110801116E-3</v>
      </c>
      <c r="RF83" s="177" t="str">
        <f t="shared" ca="1" si="105"/>
        <v>Attente…</v>
      </c>
      <c r="RG83" s="197">
        <f t="shared" si="106"/>
        <v>110</v>
      </c>
      <c r="RH83" s="179">
        <f t="shared" si="107"/>
        <v>2.0231745447857274E-3</v>
      </c>
      <c r="RI83" s="198" t="str">
        <f t="shared" ca="1" si="108"/>
        <v>Attente…</v>
      </c>
      <c r="RJ83" s="199">
        <f t="shared" si="109"/>
        <v>780</v>
      </c>
      <c r="RK83" s="200" t="str">
        <f t="shared" ca="1" si="66"/>
        <v>Attente…</v>
      </c>
      <c r="RL83" s="199">
        <f t="shared" si="110"/>
        <v>1950</v>
      </c>
      <c r="RM83" s="200" t="str">
        <f t="shared" ca="1" si="111"/>
        <v>Atttente…</v>
      </c>
      <c r="RN83" s="199">
        <f t="shared" si="112"/>
        <v>1470</v>
      </c>
      <c r="RO83" s="200" t="str">
        <f t="shared" ca="1" si="67"/>
        <v>Attente…</v>
      </c>
      <c r="RP83" s="199">
        <f t="shared" si="113"/>
        <v>1260</v>
      </c>
      <c r="RQ83" s="200" t="str">
        <f t="shared" ca="1" si="68"/>
        <v>Attente…</v>
      </c>
      <c r="RR83" s="201">
        <f t="shared" si="114"/>
        <v>5460</v>
      </c>
      <c r="RS83" s="202" t="str">
        <f t="shared" ca="1" si="69"/>
        <v>Attente…</v>
      </c>
      <c r="RT83" s="103"/>
      <c r="RU83" s="203">
        <f t="shared" si="115"/>
        <v>0.55714285714285716</v>
      </c>
      <c r="RV83" s="204">
        <f t="shared" si="65"/>
        <v>1</v>
      </c>
      <c r="RW83" s="204">
        <f t="shared" si="65"/>
        <v>1</v>
      </c>
      <c r="RX83" s="204">
        <f t="shared" si="116"/>
        <v>49</v>
      </c>
      <c r="RY83" s="205" t="str">
        <f t="shared" si="117"/>
        <v>DÉVILLE-LÈS-ROUEN - 8 Rue De Fontenelle</v>
      </c>
      <c r="RZ83" s="189" t="str">
        <f>IF(OR(RZ82="",RZ82="  &lt;/Document&gt;
&lt;/kml&gt;"),"",
IF(B83="","  &lt;/Document&gt;
&lt;/kml&gt;",
IF(TournéesCAV!Q44=""," ",
"    &lt;Placemark&gt;
      &lt;description&gt;&lt;![CDATA["&amp;B83&amp;"&lt;br&gt;&lt;br&gt;"&amp;RV83&amp;" CAV&lt;br&gt;&lt;br&gt;Présent sur "&amp;RW83&amp;" tournée(s)&lt;br&gt;&lt;br&gt;Taux de remplissage moyen "&amp;TEXT(RU83*1000,"0 %")&amp;"]]&gt;&lt;/description&gt;
      &lt;Style&gt;
        &lt;IconStyle&gt;
          &lt;color&gt;ff"&amp;
          DEC2HEX(0,2)&amp;
          DEC2HEX(
            IF(RU83&lt;=0.5,
               INT(255*(RU83*2)),
               255
            ),2)&amp;
          DEC2HEX(
            IF(RU83&lt;=0.5,
               255,
               INT(255*(1-(RU83-0.5)*2))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&lt;Point&gt;&lt;coordinates&gt;"&amp;R83&amp;","&amp;Q83&amp;",0&lt;/coordinates&gt;&lt;/Point&gt;
    &lt;/Placemark&gt;"
)))</f>
        <v xml:space="preserve">    &lt;Placemark&gt;
      &lt;description&gt;&lt;![CDATA[DÉVILLE-LÈS-ROUEN - 8 Rue De Fontenelle&lt;br&gt;&lt;br&gt;1 CAV&lt;br&gt;&lt;br&gt;Présent sur 1 tournée(s)&lt;br&gt;&lt;br&gt;Taux de remplissage moyen 56%]]&gt;&lt;/description&gt;
      &lt;Style&gt;
        &lt;IconStyle&gt;
          &lt;color&gt;ff00FFE1&lt;/color&gt;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&lt;Point&gt;&lt;coordinates&gt;1.0525354,49.4762554,0&lt;/coordinates&gt;&lt;/Point&gt;
    &lt;/Placemark&gt;</v>
      </c>
    </row>
    <row r="84" spans="2:494" ht="15" hidden="1" customHeight="1" x14ac:dyDescent="0.35">
      <c r="B84" s="153" t="str">
        <f t="shared" si="70"/>
        <v>SAINT-LÉGER-DU-BOURG-DENIS - 76 rue des Sources (Parking Mairie)</v>
      </c>
      <c r="C84" s="154">
        <v>78</v>
      </c>
      <c r="D84" s="155"/>
      <c r="E84" s="155"/>
      <c r="F84" s="155"/>
      <c r="G84" s="155"/>
      <c r="H84" s="155"/>
      <c r="I84" s="155"/>
      <c r="J84" s="156"/>
      <c r="K84" s="157">
        <f t="shared" si="71"/>
        <v>1</v>
      </c>
      <c r="L84" s="157">
        <f t="shared" si="72"/>
        <v>2</v>
      </c>
      <c r="M84" s="158" t="s">
        <v>505</v>
      </c>
      <c r="N84" s="159" t="s">
        <v>506</v>
      </c>
      <c r="O84" s="159">
        <v>76160</v>
      </c>
      <c r="P84" s="159" t="s">
        <v>507</v>
      </c>
      <c r="Q84" s="159" t="s">
        <v>508</v>
      </c>
      <c r="R84" s="159" t="s">
        <v>509</v>
      </c>
      <c r="S84" s="159" t="s">
        <v>93</v>
      </c>
      <c r="T84" s="159" t="s">
        <v>94</v>
      </c>
      <c r="U84" s="159" t="s">
        <v>510</v>
      </c>
      <c r="V84" s="160" t="s">
        <v>96</v>
      </c>
      <c r="W84" s="161"/>
      <c r="X84" s="162"/>
      <c r="Y84" s="163"/>
      <c r="Z84" s="162"/>
      <c r="AA84" s="163"/>
      <c r="AB84" s="162"/>
      <c r="AC84" s="163"/>
      <c r="AD84" s="162">
        <v>10</v>
      </c>
      <c r="AE84" s="163">
        <v>10</v>
      </c>
      <c r="AF84" s="162"/>
      <c r="AG84" s="163"/>
      <c r="AH84" s="163"/>
      <c r="AI84" s="162"/>
      <c r="AJ84" s="163"/>
      <c r="AK84" s="162"/>
      <c r="AL84" s="163"/>
      <c r="AM84" s="162"/>
      <c r="AN84" s="163"/>
      <c r="AO84" s="162"/>
      <c r="AP84" s="164"/>
      <c r="AQ84" s="164"/>
      <c r="AR84" s="164"/>
      <c r="AS84" s="164"/>
      <c r="AT84" s="164"/>
      <c r="AU84" s="164"/>
      <c r="AV84" s="164"/>
      <c r="AW84" s="164"/>
      <c r="AX84" s="164"/>
      <c r="AY84" s="165"/>
      <c r="AZ84" s="41"/>
      <c r="BA84" s="190"/>
      <c r="BB84" s="191"/>
      <c r="BC84" s="191">
        <v>200</v>
      </c>
      <c r="BD84" s="191"/>
      <c r="BE84" s="191"/>
      <c r="BF84" s="191"/>
      <c r="BG84" s="191"/>
      <c r="BH84" s="191"/>
      <c r="BI84" s="191"/>
      <c r="BJ84" s="191">
        <v>200</v>
      </c>
      <c r="BK84" s="191"/>
      <c r="BL84" s="191"/>
      <c r="BM84" s="191">
        <v>100</v>
      </c>
      <c r="BN84" s="191"/>
      <c r="BO84" s="191"/>
      <c r="BP84" s="191"/>
      <c r="BQ84" s="191"/>
      <c r="BR84" s="191"/>
      <c r="BS84" s="191"/>
      <c r="BT84" s="191">
        <v>200</v>
      </c>
      <c r="BU84" s="191"/>
      <c r="BV84" s="191"/>
      <c r="BW84" s="191"/>
      <c r="BX84" s="191">
        <v>50</v>
      </c>
      <c r="BY84" s="191"/>
      <c r="BZ84" s="191"/>
      <c r="CA84" s="191">
        <v>50</v>
      </c>
      <c r="CB84" s="191"/>
      <c r="CC84" s="191"/>
      <c r="CD84" s="191"/>
      <c r="CE84" s="192">
        <v>50</v>
      </c>
      <c r="CF84" s="190"/>
      <c r="CG84" s="191"/>
      <c r="CH84" s="191">
        <v>50</v>
      </c>
      <c r="CI84" s="191"/>
      <c r="CJ84" s="191"/>
      <c r="CK84" s="191"/>
      <c r="CL84" s="191">
        <v>50</v>
      </c>
      <c r="CM84" s="191"/>
      <c r="CN84" s="191"/>
      <c r="CO84" s="191">
        <v>100</v>
      </c>
      <c r="CP84" s="191"/>
      <c r="CQ84" s="191"/>
      <c r="CR84" s="191"/>
      <c r="CS84" s="191">
        <v>200</v>
      </c>
      <c r="CT84" s="191"/>
      <c r="CU84" s="191"/>
      <c r="CV84" s="191">
        <v>50</v>
      </c>
      <c r="CW84" s="191"/>
      <c r="CX84" s="191"/>
      <c r="CY84" s="191"/>
      <c r="CZ84" s="191">
        <v>150</v>
      </c>
      <c r="DA84" s="191"/>
      <c r="DB84" s="191"/>
      <c r="DC84" s="191">
        <v>50</v>
      </c>
      <c r="DD84" s="191"/>
      <c r="DE84" s="191"/>
      <c r="DF84" s="191"/>
      <c r="DG84" s="191">
        <v>150</v>
      </c>
      <c r="DH84" s="193"/>
      <c r="DI84" s="194"/>
      <c r="DJ84" s="191"/>
      <c r="DK84" s="191">
        <v>50</v>
      </c>
      <c r="DL84" s="191"/>
      <c r="DM84" s="191"/>
      <c r="DN84" s="191"/>
      <c r="DO84" s="191">
        <v>200</v>
      </c>
      <c r="DP84" s="191"/>
      <c r="DQ84" s="191"/>
      <c r="DR84" s="191">
        <v>100</v>
      </c>
      <c r="DS84" s="191"/>
      <c r="DT84" s="191"/>
      <c r="DU84" s="191"/>
      <c r="DV84" s="191">
        <v>100</v>
      </c>
      <c r="DW84" s="191"/>
      <c r="DX84" s="191"/>
      <c r="DY84" s="191">
        <v>200</v>
      </c>
      <c r="DZ84" s="191"/>
      <c r="EA84" s="191"/>
      <c r="EB84" s="191"/>
      <c r="EC84" s="191">
        <v>100</v>
      </c>
      <c r="ED84" s="191"/>
      <c r="EE84" s="191"/>
      <c r="EF84" s="191">
        <v>100</v>
      </c>
      <c r="EG84" s="191"/>
      <c r="EH84" s="191"/>
      <c r="EI84" s="191"/>
      <c r="EJ84" s="191">
        <v>50</v>
      </c>
      <c r="EK84" s="191"/>
      <c r="EL84" s="191"/>
      <c r="EM84" s="192">
        <v>50</v>
      </c>
      <c r="EN84" s="190"/>
      <c r="EO84" s="191"/>
      <c r="EP84" s="191"/>
      <c r="EQ84" s="191">
        <v>50</v>
      </c>
      <c r="ER84" s="191"/>
      <c r="ES84" s="191"/>
      <c r="ET84" s="191">
        <v>100</v>
      </c>
      <c r="EU84" s="191"/>
      <c r="EV84" s="191"/>
      <c r="EW84" s="191"/>
      <c r="EX84" s="191">
        <v>100</v>
      </c>
      <c r="EY84" s="191"/>
      <c r="EZ84" s="191"/>
      <c r="FA84" s="191">
        <v>150</v>
      </c>
      <c r="FB84" s="191"/>
      <c r="FC84" s="191"/>
      <c r="FD84" s="191"/>
      <c r="FE84" s="191">
        <v>200</v>
      </c>
      <c r="FF84" s="191"/>
      <c r="FG84" s="191"/>
      <c r="FH84" s="191"/>
      <c r="FI84" s="191">
        <v>100</v>
      </c>
      <c r="FJ84" s="191"/>
      <c r="FK84" s="191"/>
      <c r="FL84" s="191">
        <v>50</v>
      </c>
      <c r="FM84" s="191"/>
      <c r="FN84" s="191"/>
      <c r="FO84" s="191">
        <v>100</v>
      </c>
      <c r="FP84" s="191"/>
      <c r="FQ84" s="193"/>
      <c r="FR84" s="194"/>
      <c r="FS84" s="191">
        <v>150</v>
      </c>
      <c r="FT84" s="191"/>
      <c r="FU84" s="191"/>
      <c r="FV84" s="191">
        <v>50</v>
      </c>
      <c r="FW84" s="191"/>
      <c r="FX84" s="191"/>
      <c r="FY84" s="191"/>
      <c r="FZ84" s="191">
        <v>100</v>
      </c>
      <c r="GA84" s="191"/>
      <c r="GB84" s="191"/>
      <c r="GC84" s="191">
        <v>100</v>
      </c>
      <c r="GD84" s="191"/>
      <c r="GE84" s="191"/>
      <c r="GF84" s="191"/>
      <c r="GG84" s="191">
        <v>100</v>
      </c>
      <c r="GH84" s="191"/>
      <c r="GI84" s="191"/>
      <c r="GJ84" s="191">
        <v>100</v>
      </c>
      <c r="GK84" s="191"/>
      <c r="GL84" s="191"/>
      <c r="GM84" s="191"/>
      <c r="GN84" s="191">
        <v>100</v>
      </c>
      <c r="GO84" s="191"/>
      <c r="GP84" s="191"/>
      <c r="GQ84" s="191">
        <v>150</v>
      </c>
      <c r="GR84" s="191"/>
      <c r="GS84" s="191"/>
      <c r="GT84" s="191"/>
      <c r="GU84" s="191">
        <v>50</v>
      </c>
      <c r="GV84" s="192"/>
      <c r="GW84" s="190"/>
      <c r="GX84" s="191">
        <v>100</v>
      </c>
      <c r="GY84" s="191"/>
      <c r="GZ84" s="191"/>
      <c r="HA84" s="191"/>
      <c r="HB84" s="191">
        <v>100</v>
      </c>
      <c r="HC84" s="191"/>
      <c r="HD84" s="191"/>
      <c r="HE84" s="191"/>
      <c r="HF84" s="191">
        <v>150</v>
      </c>
      <c r="HG84" s="191"/>
      <c r="HH84" s="191"/>
      <c r="HI84" s="191">
        <v>50</v>
      </c>
      <c r="HJ84" s="191"/>
      <c r="HK84" s="191"/>
      <c r="HL84" s="191">
        <v>100</v>
      </c>
      <c r="HM84" s="191"/>
      <c r="HN84" s="191"/>
      <c r="HO84" s="191"/>
      <c r="HP84" s="191"/>
      <c r="HQ84" s="191"/>
      <c r="HR84" s="191"/>
      <c r="HS84" s="191">
        <v>200</v>
      </c>
      <c r="HT84" s="191"/>
      <c r="HU84" s="191"/>
      <c r="HV84" s="191"/>
      <c r="HW84" s="191">
        <v>100</v>
      </c>
      <c r="HX84" s="191"/>
      <c r="HY84" s="191"/>
      <c r="HZ84" s="193">
        <v>200</v>
      </c>
      <c r="IA84" s="194"/>
      <c r="IB84" s="191"/>
      <c r="IC84" s="191"/>
      <c r="ID84" s="191">
        <v>150</v>
      </c>
      <c r="IE84" s="191"/>
      <c r="IF84" s="191"/>
      <c r="IG84" s="191">
        <v>150</v>
      </c>
      <c r="IH84" s="191"/>
      <c r="II84" s="191"/>
      <c r="IJ84" s="191"/>
      <c r="IK84" s="191">
        <v>50</v>
      </c>
      <c r="IL84" s="191"/>
      <c r="IM84" s="191"/>
      <c r="IN84" s="191">
        <v>150</v>
      </c>
      <c r="IO84" s="191"/>
      <c r="IP84" s="191"/>
      <c r="IQ84" s="191"/>
      <c r="IR84" s="191">
        <v>50</v>
      </c>
      <c r="IS84" s="191"/>
      <c r="IT84" s="191"/>
      <c r="IU84" s="191">
        <v>100</v>
      </c>
      <c r="IV84" s="191"/>
      <c r="IW84" s="191"/>
      <c r="IX84" s="191"/>
      <c r="IY84" s="191">
        <v>200</v>
      </c>
      <c r="IZ84" s="191"/>
      <c r="JA84" s="191"/>
      <c r="JB84" s="191">
        <v>150</v>
      </c>
      <c r="JC84" s="191"/>
      <c r="JD84" s="191"/>
      <c r="JE84" s="192"/>
      <c r="JF84" s="190">
        <v>150</v>
      </c>
      <c r="JG84" s="191"/>
      <c r="JH84" s="191"/>
      <c r="JI84" s="191">
        <v>150</v>
      </c>
      <c r="JJ84" s="191"/>
      <c r="JK84" s="191"/>
      <c r="JL84" s="191"/>
      <c r="JM84" s="191">
        <v>150</v>
      </c>
      <c r="JN84" s="191"/>
      <c r="JO84" s="191"/>
      <c r="JP84" s="191">
        <v>100</v>
      </c>
      <c r="JQ84" s="191"/>
      <c r="JR84" s="191"/>
      <c r="JS84" s="191"/>
      <c r="JT84" s="191">
        <v>150</v>
      </c>
      <c r="JU84" s="191"/>
      <c r="JV84" s="191"/>
      <c r="JW84" s="191">
        <v>150</v>
      </c>
      <c r="JX84" s="191"/>
      <c r="JY84" s="191"/>
      <c r="JZ84" s="191">
        <v>150</v>
      </c>
      <c r="KA84" s="191"/>
      <c r="KB84" s="191"/>
      <c r="KC84" s="191"/>
      <c r="KD84" s="191">
        <v>100</v>
      </c>
      <c r="KE84" s="191"/>
      <c r="KF84" s="191"/>
      <c r="KG84" s="191">
        <v>150</v>
      </c>
      <c r="KH84" s="191"/>
      <c r="KI84" s="191"/>
      <c r="KJ84" s="193"/>
      <c r="KK84" s="194"/>
      <c r="KL84" s="191">
        <v>150</v>
      </c>
      <c r="KM84" s="191"/>
      <c r="KN84" s="191"/>
      <c r="KO84" s="191">
        <v>50</v>
      </c>
      <c r="KP84" s="191"/>
      <c r="KQ84" s="191"/>
      <c r="KR84" s="191">
        <v>150</v>
      </c>
      <c r="KS84" s="191"/>
      <c r="KT84" s="191"/>
      <c r="KU84" s="191"/>
      <c r="KV84" s="191">
        <v>50</v>
      </c>
      <c r="KW84" s="191"/>
      <c r="KX84" s="191"/>
      <c r="KY84" s="191">
        <v>150</v>
      </c>
      <c r="KZ84" s="191"/>
      <c r="LA84" s="191"/>
      <c r="LB84" s="191"/>
      <c r="LC84" s="191">
        <v>200</v>
      </c>
      <c r="LD84" s="191"/>
      <c r="LE84" s="191"/>
      <c r="LF84" s="191">
        <v>100</v>
      </c>
      <c r="LG84" s="191"/>
      <c r="LH84" s="191"/>
      <c r="LI84" s="191"/>
      <c r="LJ84" s="191">
        <v>50</v>
      </c>
      <c r="LK84" s="191"/>
      <c r="LL84" s="191"/>
      <c r="LM84" s="191">
        <v>100</v>
      </c>
      <c r="LN84" s="192"/>
      <c r="LO84" s="190"/>
      <c r="LP84" s="191"/>
      <c r="LQ84" s="191">
        <v>50</v>
      </c>
      <c r="LR84" s="191"/>
      <c r="LS84" s="191"/>
      <c r="LT84" s="191">
        <v>150</v>
      </c>
      <c r="LU84" s="191"/>
      <c r="LV84" s="191"/>
      <c r="LW84" s="191"/>
      <c r="LX84" s="191">
        <v>200</v>
      </c>
      <c r="LY84" s="191"/>
      <c r="LZ84" s="191"/>
      <c r="MA84" s="191">
        <v>50</v>
      </c>
      <c r="MB84" s="191"/>
      <c r="MC84" s="191"/>
      <c r="MD84" s="191"/>
      <c r="ME84" s="191">
        <v>200</v>
      </c>
      <c r="MF84" s="191"/>
      <c r="MG84" s="191"/>
      <c r="MH84" s="191">
        <v>50</v>
      </c>
      <c r="MI84" s="191"/>
      <c r="MJ84" s="191"/>
      <c r="MK84" s="191"/>
      <c r="ML84" s="191">
        <v>100</v>
      </c>
      <c r="MM84" s="191"/>
      <c r="MN84" s="191"/>
      <c r="MO84" s="191">
        <v>10</v>
      </c>
      <c r="MP84" s="191"/>
      <c r="MQ84" s="191"/>
      <c r="MR84" s="191"/>
      <c r="MS84" s="193">
        <v>150</v>
      </c>
      <c r="MT84" s="194"/>
      <c r="MU84" s="191"/>
      <c r="MV84" s="191">
        <v>50</v>
      </c>
      <c r="MW84" s="191"/>
      <c r="MX84" s="191"/>
      <c r="MY84" s="191"/>
      <c r="MZ84" s="191">
        <v>200</v>
      </c>
      <c r="NA84" s="191"/>
      <c r="NB84" s="191"/>
      <c r="NC84" s="191"/>
      <c r="ND84" s="191"/>
      <c r="NE84" s="191"/>
      <c r="NF84" s="191"/>
      <c r="NG84" s="191">
        <v>100</v>
      </c>
      <c r="NH84" s="191"/>
      <c r="NI84" s="191"/>
      <c r="NJ84" s="191">
        <v>100</v>
      </c>
      <c r="NK84" s="191"/>
      <c r="NL84" s="191"/>
      <c r="NM84" s="191"/>
      <c r="NN84" s="191">
        <v>50</v>
      </c>
      <c r="NO84" s="191"/>
      <c r="NP84" s="191"/>
      <c r="NQ84" s="191">
        <v>100</v>
      </c>
      <c r="NR84" s="191"/>
      <c r="NS84" s="191"/>
      <c r="NT84" s="191"/>
      <c r="NU84" s="191">
        <v>100</v>
      </c>
      <c r="NV84" s="191"/>
      <c r="NW84" s="192"/>
      <c r="NX84" s="190">
        <v>50</v>
      </c>
      <c r="NY84" s="191"/>
      <c r="NZ84" s="191"/>
      <c r="OA84" s="191"/>
      <c r="OB84" s="191">
        <v>100</v>
      </c>
      <c r="OC84" s="191"/>
      <c r="OD84" s="191"/>
      <c r="OE84" s="191">
        <v>50</v>
      </c>
      <c r="OF84" s="191"/>
      <c r="OG84" s="191"/>
      <c r="OH84" s="191"/>
      <c r="OI84" s="191">
        <v>100</v>
      </c>
      <c r="OJ84" s="191"/>
      <c r="OK84" s="191"/>
      <c r="OL84" s="191"/>
      <c r="OM84" s="191"/>
      <c r="ON84" s="191"/>
      <c r="OO84" s="191"/>
      <c r="OP84" s="191"/>
      <c r="OQ84" s="191"/>
      <c r="OR84" s="191"/>
      <c r="OS84" s="191"/>
      <c r="OT84" s="191"/>
      <c r="OU84" s="191"/>
      <c r="OV84" s="191"/>
      <c r="OW84" s="191"/>
      <c r="OX84" s="191"/>
      <c r="OY84" s="191"/>
      <c r="OZ84" s="191"/>
      <c r="PA84" s="191"/>
      <c r="PB84" s="193"/>
      <c r="PC84" s="47"/>
      <c r="PD84" s="154" t="s">
        <v>97</v>
      </c>
      <c r="PE84" s="155" t="s">
        <v>98</v>
      </c>
      <c r="PF84" s="155" t="s">
        <v>98</v>
      </c>
      <c r="PG84" s="155" t="s">
        <v>98</v>
      </c>
      <c r="PH84" s="155" t="s">
        <v>98</v>
      </c>
      <c r="PI84" s="155" t="s">
        <v>98</v>
      </c>
      <c r="PJ84" s="155" t="s">
        <v>98</v>
      </c>
      <c r="PK84" s="155" t="s">
        <v>98</v>
      </c>
      <c r="PL84" s="155" t="s">
        <v>98</v>
      </c>
      <c r="PM84" s="155" t="s">
        <v>98</v>
      </c>
      <c r="PN84" s="155" t="s">
        <v>98</v>
      </c>
      <c r="PO84" s="156"/>
      <c r="PP84" s="156"/>
      <c r="PQ84" s="156"/>
      <c r="PR84" s="156"/>
      <c r="PS84" s="156"/>
      <c r="PT84" s="156"/>
      <c r="PU84" s="156"/>
      <c r="PV84" s="156"/>
      <c r="PW84" s="156"/>
      <c r="PX84" s="195"/>
      <c r="PY84" s="1"/>
      <c r="PZ84" s="196">
        <f t="shared" si="73"/>
        <v>850</v>
      </c>
      <c r="QA84" s="176">
        <f t="shared" si="74"/>
        <v>7.0910152665387503E-3</v>
      </c>
      <c r="QB84" s="177" t="str">
        <f t="shared" ca="1" si="75"/>
        <v>Attente…</v>
      </c>
      <c r="QC84" s="197">
        <f t="shared" si="76"/>
        <v>800</v>
      </c>
      <c r="QD84" s="179">
        <f t="shared" si="77"/>
        <v>7.4906367041198503E-3</v>
      </c>
      <c r="QE84" s="180" t="str">
        <f t="shared" ca="1" si="78"/>
        <v>Attente…</v>
      </c>
      <c r="QF84" s="196">
        <f t="shared" si="79"/>
        <v>950</v>
      </c>
      <c r="QG84" s="176">
        <f t="shared" si="80"/>
        <v>7.564898869246695E-3</v>
      </c>
      <c r="QH84" s="177" t="str">
        <f t="shared" ca="1" si="81"/>
        <v>Attente…</v>
      </c>
      <c r="QI84" s="197">
        <f t="shared" si="82"/>
        <v>850</v>
      </c>
      <c r="QJ84" s="179">
        <f t="shared" si="83"/>
        <v>5.9615654369476788E-3</v>
      </c>
      <c r="QK84" s="180" t="str">
        <f t="shared" ca="1" si="84"/>
        <v>Attente…</v>
      </c>
      <c r="QL84" s="196">
        <f t="shared" si="85"/>
        <v>900</v>
      </c>
      <c r="QM84" s="176">
        <f t="shared" si="86"/>
        <v>6.5847234416154523E-3</v>
      </c>
      <c r="QN84" s="177" t="str">
        <f t="shared" ca="1" si="87"/>
        <v>Attente…</v>
      </c>
      <c r="QO84" s="197">
        <f t="shared" si="88"/>
        <v>1000</v>
      </c>
      <c r="QP84" s="179">
        <f t="shared" si="89"/>
        <v>7.8290143270962186E-3</v>
      </c>
      <c r="QQ84" s="180" t="str">
        <f t="shared" ca="1" si="90"/>
        <v>Attente…</v>
      </c>
      <c r="QR84" s="196">
        <f t="shared" si="91"/>
        <v>1000</v>
      </c>
      <c r="QS84" s="176">
        <f t="shared" si="92"/>
        <v>7.1991648968719631E-3</v>
      </c>
      <c r="QT84" s="177" t="str">
        <f t="shared" ca="1" si="93"/>
        <v>Attente…</v>
      </c>
      <c r="QU84" s="197">
        <f t="shared" si="94"/>
        <v>1250</v>
      </c>
      <c r="QV84" s="179">
        <f t="shared" si="95"/>
        <v>8.6183121897407608E-3</v>
      </c>
      <c r="QW84" s="180" t="str">
        <f t="shared" ca="1" si="96"/>
        <v>Attente…</v>
      </c>
      <c r="QX84" s="196">
        <f t="shared" si="97"/>
        <v>1000</v>
      </c>
      <c r="QY84" s="176">
        <f t="shared" si="98"/>
        <v>7.2973525205055605E-3</v>
      </c>
      <c r="QZ84" s="177" t="str">
        <f t="shared" ca="1" si="99"/>
        <v>Attente…</v>
      </c>
      <c r="RA84" s="197">
        <f t="shared" si="100"/>
        <v>960</v>
      </c>
      <c r="RB84" s="179">
        <f t="shared" si="101"/>
        <v>7.511149362334716E-3</v>
      </c>
      <c r="RC84" s="180" t="str">
        <f t="shared" ca="1" si="102"/>
        <v>Attente…</v>
      </c>
      <c r="RD84" s="196">
        <f t="shared" si="103"/>
        <v>700</v>
      </c>
      <c r="RE84" s="176">
        <f t="shared" si="104"/>
        <v>6.9748903945795141E-3</v>
      </c>
      <c r="RF84" s="177" t="str">
        <f t="shared" ca="1" si="105"/>
        <v>Attente…</v>
      </c>
      <c r="RG84" s="197">
        <f t="shared" si="106"/>
        <v>300</v>
      </c>
      <c r="RH84" s="179">
        <f t="shared" si="107"/>
        <v>5.5177487585065296E-3</v>
      </c>
      <c r="RI84" s="198" t="str">
        <f t="shared" ca="1" si="108"/>
        <v>Attente…</v>
      </c>
      <c r="RJ84" s="199">
        <f t="shared" si="109"/>
        <v>2600</v>
      </c>
      <c r="RK84" s="200" t="str">
        <f t="shared" ca="1" si="66"/>
        <v>Attente…</v>
      </c>
      <c r="RL84" s="199">
        <f t="shared" si="110"/>
        <v>2750</v>
      </c>
      <c r="RM84" s="200" t="str">
        <f t="shared" ca="1" si="111"/>
        <v>Atttente…</v>
      </c>
      <c r="RN84" s="199">
        <f t="shared" si="112"/>
        <v>3250</v>
      </c>
      <c r="RO84" s="200" t="str">
        <f t="shared" ca="1" si="67"/>
        <v>Attente…</v>
      </c>
      <c r="RP84" s="199">
        <f t="shared" si="113"/>
        <v>1960</v>
      </c>
      <c r="RQ84" s="200" t="str">
        <f t="shared" ca="1" si="68"/>
        <v>Attente…</v>
      </c>
      <c r="RR84" s="201">
        <f t="shared" si="114"/>
        <v>10560</v>
      </c>
      <c r="RS84" s="202" t="str">
        <f t="shared" ca="1" si="69"/>
        <v>Attente…</v>
      </c>
      <c r="RT84" s="103"/>
      <c r="RU84" s="203">
        <f t="shared" si="115"/>
        <v>0.5557894736842105</v>
      </c>
      <c r="RV84" s="204">
        <f t="shared" ref="RV84:RW147" si="118">K84</f>
        <v>1</v>
      </c>
      <c r="RW84" s="204">
        <f t="shared" si="118"/>
        <v>2</v>
      </c>
      <c r="RX84" s="204">
        <f t="shared" si="116"/>
        <v>95</v>
      </c>
      <c r="RY84" s="205" t="str">
        <f t="shared" si="117"/>
        <v>SAINT-LÉGER-DU-BOURG-DENIS - 76 rue des Sources (Parking Mairie)</v>
      </c>
      <c r="RZ84" s="189" t="str">
        <f>IF(OR(RZ83="",RZ83="  &lt;/Document&gt;
&lt;/kml&gt;"),"",
IF(B84="","  &lt;/Document&gt;
&lt;/kml&gt;",
IF(TournéesCAV!Q77=""," ",
"    &lt;Placemark&gt;
      &lt;description&gt;&lt;![CDATA["&amp;B84&amp;"&lt;br&gt;&lt;br&gt;"&amp;RV84&amp;" CAV&lt;br&gt;&lt;br&gt;Présent sur "&amp;RW84&amp;" tournée(s)&lt;br&gt;&lt;br&gt;Taux de remplissage moyen "&amp;TEXT(RU84*1000,"0 %")&amp;"]]&gt;&lt;/description&gt;
      &lt;Style&gt;
        &lt;IconStyle&gt;
          &lt;color&gt;ff"&amp;
          DEC2HEX(0,2)&amp;
          DEC2HEX(
            IF(RU84&lt;=0.5,
               INT(255*(RU84*2)),
               255
            ),2)&amp;
          DEC2HEX(
            IF(RU84&lt;=0.5,
               255,
               INT(255*(1-(RU84-0.5)*2))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&lt;Point&gt;&lt;coordinates&gt;"&amp;R84&amp;","&amp;Q84&amp;",0&lt;/coordinates&gt;&lt;/Point&gt;
    &lt;/Placemark&gt;"
)))</f>
        <v xml:space="preserve">    &lt;Placemark&gt;
      &lt;description&gt;&lt;![CDATA[SAINT-LÉGER-DU-BOURG-DENIS - 76 rue des Sources (Parking Mairie)&lt;br&gt;&lt;br&gt;1 CAV&lt;br&gt;&lt;br&gt;Présent sur 2 tournée(s)&lt;br&gt;&lt;br&gt;Taux de remplissage moyen 56%]]&gt;&lt;/description&gt;
      &lt;Style&gt;
        &lt;IconStyle&gt;
          &lt;color&gt;ff00FFE2&lt;/color&gt;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&lt;Point&gt;&lt;coordinates&gt;1.157459,49.43243,0&lt;/coordinates&gt;&lt;/Point&gt;
    &lt;/Placemark&gt;</v>
      </c>
    </row>
    <row r="85" spans="2:494" ht="15" hidden="1" customHeight="1" x14ac:dyDescent="0.35">
      <c r="B85" s="153" t="str">
        <f t="shared" si="70"/>
        <v>SAINT-LÉGER-DU-BOURG-DENIS - 321 Rue des broches</v>
      </c>
      <c r="C85" s="154">
        <v>77</v>
      </c>
      <c r="D85" s="155"/>
      <c r="E85" s="155"/>
      <c r="F85" s="155"/>
      <c r="G85" s="155"/>
      <c r="H85" s="155"/>
      <c r="I85" s="155"/>
      <c r="J85" s="156"/>
      <c r="K85" s="157">
        <f t="shared" si="71"/>
        <v>1</v>
      </c>
      <c r="L85" s="157">
        <f t="shared" si="72"/>
        <v>2</v>
      </c>
      <c r="M85" s="158" t="s">
        <v>511</v>
      </c>
      <c r="N85" s="159"/>
      <c r="O85" s="159">
        <v>76160</v>
      </c>
      <c r="P85" s="159" t="s">
        <v>507</v>
      </c>
      <c r="Q85" s="159" t="s">
        <v>512</v>
      </c>
      <c r="R85" s="159" t="s">
        <v>513</v>
      </c>
      <c r="S85" s="159" t="s">
        <v>93</v>
      </c>
      <c r="T85" s="159" t="s">
        <v>94</v>
      </c>
      <c r="U85" s="159" t="s">
        <v>514</v>
      </c>
      <c r="V85" s="160" t="s">
        <v>96</v>
      </c>
      <c r="W85" s="161"/>
      <c r="X85" s="162"/>
      <c r="Y85" s="163"/>
      <c r="Z85" s="162"/>
      <c r="AA85" s="163"/>
      <c r="AB85" s="162"/>
      <c r="AC85" s="163"/>
      <c r="AD85" s="162">
        <v>11</v>
      </c>
      <c r="AE85" s="163">
        <v>11</v>
      </c>
      <c r="AF85" s="162"/>
      <c r="AG85" s="163"/>
      <c r="AH85" s="163"/>
      <c r="AI85" s="162"/>
      <c r="AJ85" s="163"/>
      <c r="AK85" s="162"/>
      <c r="AL85" s="163"/>
      <c r="AM85" s="162"/>
      <c r="AN85" s="163"/>
      <c r="AO85" s="162"/>
      <c r="AP85" s="164"/>
      <c r="AQ85" s="164"/>
      <c r="AR85" s="164"/>
      <c r="AS85" s="164"/>
      <c r="AT85" s="164"/>
      <c r="AU85" s="164"/>
      <c r="AV85" s="164"/>
      <c r="AW85" s="164"/>
      <c r="AX85" s="164"/>
      <c r="AY85" s="165"/>
      <c r="AZ85" s="41"/>
      <c r="BA85" s="190"/>
      <c r="BB85" s="191"/>
      <c r="BC85" s="191">
        <v>200</v>
      </c>
      <c r="BD85" s="191"/>
      <c r="BE85" s="191"/>
      <c r="BF85" s="191"/>
      <c r="BG85" s="191"/>
      <c r="BH85" s="191"/>
      <c r="BI85" s="191"/>
      <c r="BJ85" s="191">
        <v>100</v>
      </c>
      <c r="BK85" s="191"/>
      <c r="BL85" s="191"/>
      <c r="BM85" s="191">
        <v>50</v>
      </c>
      <c r="BN85" s="191"/>
      <c r="BO85" s="191"/>
      <c r="BP85" s="191"/>
      <c r="BQ85" s="191"/>
      <c r="BR85" s="191"/>
      <c r="BS85" s="191"/>
      <c r="BT85" s="191">
        <v>10</v>
      </c>
      <c r="BU85" s="191"/>
      <c r="BV85" s="191"/>
      <c r="BW85" s="191"/>
      <c r="BX85" s="191">
        <v>100</v>
      </c>
      <c r="BY85" s="191"/>
      <c r="BZ85" s="191"/>
      <c r="CA85" s="191">
        <v>50</v>
      </c>
      <c r="CB85" s="191"/>
      <c r="CC85" s="191"/>
      <c r="CD85" s="191"/>
      <c r="CE85" s="192">
        <v>50</v>
      </c>
      <c r="CF85" s="190"/>
      <c r="CG85" s="191"/>
      <c r="CH85" s="191">
        <v>10</v>
      </c>
      <c r="CI85" s="191"/>
      <c r="CJ85" s="191"/>
      <c r="CK85" s="191"/>
      <c r="CL85" s="191">
        <v>50</v>
      </c>
      <c r="CM85" s="191"/>
      <c r="CN85" s="191"/>
      <c r="CO85" s="191">
        <v>50</v>
      </c>
      <c r="CP85" s="191"/>
      <c r="CQ85" s="191"/>
      <c r="CR85" s="191"/>
      <c r="CS85" s="191">
        <v>100</v>
      </c>
      <c r="CT85" s="191"/>
      <c r="CU85" s="191"/>
      <c r="CV85" s="191">
        <v>50</v>
      </c>
      <c r="CW85" s="191"/>
      <c r="CX85" s="191"/>
      <c r="CY85" s="191"/>
      <c r="CZ85" s="191">
        <v>100</v>
      </c>
      <c r="DA85" s="191"/>
      <c r="DB85" s="191"/>
      <c r="DC85" s="191">
        <v>10</v>
      </c>
      <c r="DD85" s="191"/>
      <c r="DE85" s="191"/>
      <c r="DF85" s="191"/>
      <c r="DG85" s="191">
        <v>100</v>
      </c>
      <c r="DH85" s="193"/>
      <c r="DI85" s="194"/>
      <c r="DJ85" s="191"/>
      <c r="DK85" s="191">
        <v>50</v>
      </c>
      <c r="DL85" s="191"/>
      <c r="DM85" s="191"/>
      <c r="DN85" s="191"/>
      <c r="DO85" s="191">
        <v>150</v>
      </c>
      <c r="DP85" s="191"/>
      <c r="DQ85" s="191"/>
      <c r="DR85" s="191">
        <v>50</v>
      </c>
      <c r="DS85" s="191"/>
      <c r="DT85" s="191"/>
      <c r="DU85" s="191"/>
      <c r="DV85" s="191">
        <v>100</v>
      </c>
      <c r="DW85" s="191"/>
      <c r="DX85" s="191"/>
      <c r="DY85" s="191">
        <v>10</v>
      </c>
      <c r="DZ85" s="191"/>
      <c r="EA85" s="191"/>
      <c r="EB85" s="191"/>
      <c r="EC85" s="191">
        <v>50</v>
      </c>
      <c r="ED85" s="191"/>
      <c r="EE85" s="191"/>
      <c r="EF85" s="191">
        <v>50</v>
      </c>
      <c r="EG85" s="191"/>
      <c r="EH85" s="191"/>
      <c r="EI85" s="191"/>
      <c r="EJ85" s="191">
        <v>50</v>
      </c>
      <c r="EK85" s="191"/>
      <c r="EL85" s="191"/>
      <c r="EM85" s="192">
        <v>50</v>
      </c>
      <c r="EN85" s="190"/>
      <c r="EO85" s="191"/>
      <c r="EP85" s="191"/>
      <c r="EQ85" s="191">
        <v>10</v>
      </c>
      <c r="ER85" s="191"/>
      <c r="ES85" s="191"/>
      <c r="ET85" s="191">
        <v>150</v>
      </c>
      <c r="EU85" s="191"/>
      <c r="EV85" s="191"/>
      <c r="EW85" s="191"/>
      <c r="EX85" s="191">
        <v>100</v>
      </c>
      <c r="EY85" s="191"/>
      <c r="EZ85" s="191"/>
      <c r="FA85" s="191">
        <v>150</v>
      </c>
      <c r="FB85" s="191"/>
      <c r="FC85" s="191"/>
      <c r="FD85" s="191"/>
      <c r="FE85" s="191">
        <v>100</v>
      </c>
      <c r="FF85" s="191"/>
      <c r="FG85" s="191"/>
      <c r="FH85" s="191"/>
      <c r="FI85" s="191">
        <v>100</v>
      </c>
      <c r="FJ85" s="191"/>
      <c r="FK85" s="191"/>
      <c r="FL85" s="191">
        <v>50</v>
      </c>
      <c r="FM85" s="191"/>
      <c r="FN85" s="191"/>
      <c r="FO85" s="191">
        <v>100</v>
      </c>
      <c r="FP85" s="191"/>
      <c r="FQ85" s="193"/>
      <c r="FR85" s="194"/>
      <c r="FS85" s="191">
        <v>50</v>
      </c>
      <c r="FT85" s="191"/>
      <c r="FU85" s="191"/>
      <c r="FV85" s="191">
        <v>150</v>
      </c>
      <c r="FW85" s="191"/>
      <c r="FX85" s="191"/>
      <c r="FY85" s="191"/>
      <c r="FZ85" s="191">
        <v>100</v>
      </c>
      <c r="GA85" s="191"/>
      <c r="GB85" s="191"/>
      <c r="GC85" s="191">
        <v>100</v>
      </c>
      <c r="GD85" s="191"/>
      <c r="GE85" s="191"/>
      <c r="GF85" s="191"/>
      <c r="GG85" s="191">
        <v>100</v>
      </c>
      <c r="GH85" s="191"/>
      <c r="GI85" s="191"/>
      <c r="GJ85" s="191">
        <v>50</v>
      </c>
      <c r="GK85" s="191"/>
      <c r="GL85" s="191"/>
      <c r="GM85" s="191"/>
      <c r="GN85" s="191">
        <v>50</v>
      </c>
      <c r="GO85" s="191"/>
      <c r="GP85" s="191"/>
      <c r="GQ85" s="191">
        <v>10</v>
      </c>
      <c r="GR85" s="191"/>
      <c r="GS85" s="191"/>
      <c r="GT85" s="191"/>
      <c r="GU85" s="191">
        <v>50</v>
      </c>
      <c r="GV85" s="192"/>
      <c r="GW85" s="190"/>
      <c r="GX85" s="191">
        <v>10</v>
      </c>
      <c r="GY85" s="191"/>
      <c r="GZ85" s="191"/>
      <c r="HA85" s="191"/>
      <c r="HB85" s="191">
        <v>50</v>
      </c>
      <c r="HC85" s="191"/>
      <c r="HD85" s="191"/>
      <c r="HE85" s="191"/>
      <c r="HF85" s="191">
        <v>10</v>
      </c>
      <c r="HG85" s="191"/>
      <c r="HH85" s="191"/>
      <c r="HI85" s="191">
        <v>50</v>
      </c>
      <c r="HJ85" s="191"/>
      <c r="HK85" s="191"/>
      <c r="HL85" s="191">
        <v>50</v>
      </c>
      <c r="HM85" s="191"/>
      <c r="HN85" s="191"/>
      <c r="HO85" s="191"/>
      <c r="HP85" s="191">
        <v>100</v>
      </c>
      <c r="HQ85" s="191"/>
      <c r="HR85" s="191"/>
      <c r="HS85" s="191">
        <v>100</v>
      </c>
      <c r="HT85" s="191"/>
      <c r="HU85" s="191"/>
      <c r="HV85" s="191"/>
      <c r="HW85" s="191">
        <v>150</v>
      </c>
      <c r="HX85" s="191"/>
      <c r="HY85" s="191"/>
      <c r="HZ85" s="193">
        <v>10</v>
      </c>
      <c r="IA85" s="194"/>
      <c r="IB85" s="191"/>
      <c r="IC85" s="191"/>
      <c r="ID85" s="191">
        <v>100</v>
      </c>
      <c r="IE85" s="191"/>
      <c r="IF85" s="191"/>
      <c r="IG85" s="191">
        <v>50</v>
      </c>
      <c r="IH85" s="191"/>
      <c r="II85" s="191"/>
      <c r="IJ85" s="191"/>
      <c r="IK85" s="191">
        <v>50</v>
      </c>
      <c r="IL85" s="191"/>
      <c r="IM85" s="191"/>
      <c r="IN85" s="191">
        <v>50</v>
      </c>
      <c r="IO85" s="191"/>
      <c r="IP85" s="191"/>
      <c r="IQ85" s="191"/>
      <c r="IR85" s="191">
        <v>50</v>
      </c>
      <c r="IS85" s="191"/>
      <c r="IT85" s="191"/>
      <c r="IU85" s="191">
        <v>10</v>
      </c>
      <c r="IV85" s="191"/>
      <c r="IW85" s="191"/>
      <c r="IX85" s="191"/>
      <c r="IY85" s="191">
        <v>150</v>
      </c>
      <c r="IZ85" s="191"/>
      <c r="JA85" s="191"/>
      <c r="JB85" s="191">
        <v>50</v>
      </c>
      <c r="JC85" s="191"/>
      <c r="JD85" s="191"/>
      <c r="JE85" s="192"/>
      <c r="JF85" s="190">
        <v>50</v>
      </c>
      <c r="JG85" s="191"/>
      <c r="JH85" s="191"/>
      <c r="JI85" s="191">
        <v>100</v>
      </c>
      <c r="JJ85" s="191"/>
      <c r="JK85" s="191"/>
      <c r="JL85" s="191"/>
      <c r="JM85" s="191">
        <v>50</v>
      </c>
      <c r="JN85" s="191"/>
      <c r="JO85" s="191"/>
      <c r="JP85" s="191">
        <v>50</v>
      </c>
      <c r="JQ85" s="191"/>
      <c r="JR85" s="191"/>
      <c r="JS85" s="191"/>
      <c r="JT85" s="191">
        <v>150</v>
      </c>
      <c r="JU85" s="191"/>
      <c r="JV85" s="191"/>
      <c r="JW85" s="191">
        <v>10</v>
      </c>
      <c r="JX85" s="191"/>
      <c r="JY85" s="191"/>
      <c r="JZ85" s="191">
        <v>100</v>
      </c>
      <c r="KA85" s="191"/>
      <c r="KB85" s="191"/>
      <c r="KC85" s="191"/>
      <c r="KD85" s="191">
        <v>50</v>
      </c>
      <c r="KE85" s="191"/>
      <c r="KF85" s="191"/>
      <c r="KG85" s="191"/>
      <c r="KH85" s="191">
        <v>50</v>
      </c>
      <c r="KI85" s="191"/>
      <c r="KJ85" s="193"/>
      <c r="KK85" s="194">
        <v>50</v>
      </c>
      <c r="KL85" s="191"/>
      <c r="KM85" s="191"/>
      <c r="KN85" s="191"/>
      <c r="KO85" s="191">
        <v>100</v>
      </c>
      <c r="KP85" s="191"/>
      <c r="KQ85" s="191"/>
      <c r="KR85" s="191">
        <v>10</v>
      </c>
      <c r="KS85" s="191"/>
      <c r="KT85" s="191"/>
      <c r="KU85" s="191"/>
      <c r="KV85" s="191">
        <v>50</v>
      </c>
      <c r="KW85" s="191"/>
      <c r="KX85" s="191"/>
      <c r="KY85" s="191">
        <v>50</v>
      </c>
      <c r="KZ85" s="191"/>
      <c r="LA85" s="191"/>
      <c r="LB85" s="191"/>
      <c r="LC85" s="191">
        <v>50</v>
      </c>
      <c r="LD85" s="191"/>
      <c r="LE85" s="191"/>
      <c r="LF85" s="191">
        <v>50</v>
      </c>
      <c r="LG85" s="191"/>
      <c r="LH85" s="191"/>
      <c r="LI85" s="191"/>
      <c r="LJ85" s="191">
        <v>100</v>
      </c>
      <c r="LK85" s="191"/>
      <c r="LL85" s="191"/>
      <c r="LM85" s="191"/>
      <c r="LN85" s="192"/>
      <c r="LO85" s="190"/>
      <c r="LP85" s="191"/>
      <c r="LQ85" s="191">
        <v>100</v>
      </c>
      <c r="LR85" s="191"/>
      <c r="LS85" s="191"/>
      <c r="LT85" s="191">
        <v>10</v>
      </c>
      <c r="LU85" s="191"/>
      <c r="LV85" s="191"/>
      <c r="LW85" s="191"/>
      <c r="LX85" s="191">
        <v>100</v>
      </c>
      <c r="LY85" s="191"/>
      <c r="LZ85" s="191"/>
      <c r="MA85" s="191">
        <v>50</v>
      </c>
      <c r="MB85" s="191"/>
      <c r="MC85" s="191"/>
      <c r="MD85" s="191"/>
      <c r="ME85" s="191">
        <v>100</v>
      </c>
      <c r="MF85" s="191"/>
      <c r="MG85" s="191"/>
      <c r="MH85" s="191">
        <v>50</v>
      </c>
      <c r="MI85" s="191"/>
      <c r="MJ85" s="191"/>
      <c r="MK85" s="191"/>
      <c r="ML85" s="191">
        <v>100</v>
      </c>
      <c r="MM85" s="191"/>
      <c r="MN85" s="191"/>
      <c r="MO85" s="191">
        <v>50</v>
      </c>
      <c r="MP85" s="191"/>
      <c r="MQ85" s="191"/>
      <c r="MR85" s="191"/>
      <c r="MS85" s="193">
        <v>50</v>
      </c>
      <c r="MT85" s="194"/>
      <c r="MU85" s="191"/>
      <c r="MV85" s="191">
        <v>10</v>
      </c>
      <c r="MW85" s="191"/>
      <c r="MX85" s="191"/>
      <c r="MY85" s="191"/>
      <c r="MZ85" s="191">
        <v>10</v>
      </c>
      <c r="NA85" s="191"/>
      <c r="NB85" s="191"/>
      <c r="NC85" s="191">
        <v>50</v>
      </c>
      <c r="ND85" s="191"/>
      <c r="NE85" s="191"/>
      <c r="NF85" s="191"/>
      <c r="NG85" s="191">
        <v>100</v>
      </c>
      <c r="NH85" s="191"/>
      <c r="NI85" s="191"/>
      <c r="NJ85" s="191">
        <v>50</v>
      </c>
      <c r="NK85" s="191"/>
      <c r="NL85" s="191"/>
      <c r="NM85" s="191"/>
      <c r="NN85" s="191">
        <v>10</v>
      </c>
      <c r="NO85" s="191"/>
      <c r="NP85" s="191"/>
      <c r="NQ85" s="191">
        <v>50</v>
      </c>
      <c r="NR85" s="191"/>
      <c r="NS85" s="191"/>
      <c r="NT85" s="191"/>
      <c r="NU85" s="191">
        <v>100</v>
      </c>
      <c r="NV85" s="191"/>
      <c r="NW85" s="192"/>
      <c r="NX85" s="190">
        <v>50</v>
      </c>
      <c r="NY85" s="191"/>
      <c r="NZ85" s="191"/>
      <c r="OA85" s="191"/>
      <c r="OB85" s="191">
        <v>10</v>
      </c>
      <c r="OC85" s="191"/>
      <c r="OD85" s="191"/>
      <c r="OE85" s="191">
        <v>50</v>
      </c>
      <c r="OF85" s="191"/>
      <c r="OG85" s="191"/>
      <c r="OH85" s="191"/>
      <c r="OI85" s="191">
        <v>100</v>
      </c>
      <c r="OJ85" s="191"/>
      <c r="OK85" s="191"/>
      <c r="OL85" s="191"/>
      <c r="OM85" s="191"/>
      <c r="ON85" s="191"/>
      <c r="OO85" s="191"/>
      <c r="OP85" s="191"/>
      <c r="OQ85" s="191"/>
      <c r="OR85" s="191"/>
      <c r="OS85" s="191"/>
      <c r="OT85" s="191"/>
      <c r="OU85" s="191"/>
      <c r="OV85" s="191"/>
      <c r="OW85" s="191"/>
      <c r="OX85" s="191"/>
      <c r="OY85" s="191"/>
      <c r="OZ85" s="191"/>
      <c r="PA85" s="191"/>
      <c r="PB85" s="193"/>
      <c r="PC85" s="47"/>
      <c r="PD85" s="154" t="s">
        <v>97</v>
      </c>
      <c r="PE85" s="155" t="s">
        <v>98</v>
      </c>
      <c r="PF85" s="155" t="s">
        <v>98</v>
      </c>
      <c r="PG85" s="155" t="s">
        <v>98</v>
      </c>
      <c r="PH85" s="155" t="s">
        <v>98</v>
      </c>
      <c r="PI85" s="155" t="s">
        <v>98</v>
      </c>
      <c r="PJ85" s="155" t="s">
        <v>98</v>
      </c>
      <c r="PK85" s="155" t="s">
        <v>98</v>
      </c>
      <c r="PL85" s="155" t="s">
        <v>98</v>
      </c>
      <c r="PM85" s="155" t="s">
        <v>98</v>
      </c>
      <c r="PN85" s="155" t="s">
        <v>98</v>
      </c>
      <c r="PO85" s="156"/>
      <c r="PP85" s="156"/>
      <c r="PQ85" s="156"/>
      <c r="PR85" s="156"/>
      <c r="PS85" s="156"/>
      <c r="PT85" s="156"/>
      <c r="PU85" s="156"/>
      <c r="PV85" s="156"/>
      <c r="PW85" s="156"/>
      <c r="PX85" s="195"/>
      <c r="PY85" s="1"/>
      <c r="PZ85" s="196">
        <f t="shared" si="73"/>
        <v>560</v>
      </c>
      <c r="QA85" s="176">
        <f t="shared" si="74"/>
        <v>4.6717277050137649E-3</v>
      </c>
      <c r="QB85" s="177" t="str">
        <f t="shared" ca="1" si="75"/>
        <v>Attente…</v>
      </c>
      <c r="QC85" s="197">
        <f t="shared" si="76"/>
        <v>470</v>
      </c>
      <c r="QD85" s="179">
        <f t="shared" si="77"/>
        <v>4.4007490636704116E-3</v>
      </c>
      <c r="QE85" s="180" t="str">
        <f t="shared" ca="1" si="78"/>
        <v>Attente…</v>
      </c>
      <c r="QF85" s="196">
        <f t="shared" si="79"/>
        <v>560</v>
      </c>
      <c r="QG85" s="176">
        <f t="shared" si="80"/>
        <v>4.459308807134894E-3</v>
      </c>
      <c r="QH85" s="177" t="str">
        <f t="shared" ca="1" si="81"/>
        <v>Attente…</v>
      </c>
      <c r="QI85" s="197">
        <f t="shared" si="82"/>
        <v>760</v>
      </c>
      <c r="QJ85" s="179">
        <f t="shared" si="83"/>
        <v>5.3303408612708656E-3</v>
      </c>
      <c r="QK85" s="180" t="str">
        <f t="shared" ca="1" si="84"/>
        <v>Attente…</v>
      </c>
      <c r="QL85" s="196">
        <f t="shared" si="85"/>
        <v>660</v>
      </c>
      <c r="QM85" s="176">
        <f t="shared" si="86"/>
        <v>4.8287971905179982E-3</v>
      </c>
      <c r="QN85" s="177" t="str">
        <f t="shared" ca="1" si="87"/>
        <v>Attente…</v>
      </c>
      <c r="QO85" s="197">
        <f t="shared" si="88"/>
        <v>530</v>
      </c>
      <c r="QP85" s="179">
        <f t="shared" si="89"/>
        <v>4.1493775933609959E-3</v>
      </c>
      <c r="QQ85" s="180" t="str">
        <f t="shared" ca="1" si="90"/>
        <v>Attente…</v>
      </c>
      <c r="QR85" s="196">
        <f t="shared" si="91"/>
        <v>510</v>
      </c>
      <c r="QS85" s="176">
        <f t="shared" si="92"/>
        <v>3.671574097404701E-3</v>
      </c>
      <c r="QT85" s="177" t="str">
        <f t="shared" ca="1" si="93"/>
        <v>Attente…</v>
      </c>
      <c r="QU85" s="197">
        <f t="shared" si="94"/>
        <v>610</v>
      </c>
      <c r="QV85" s="179">
        <f t="shared" si="95"/>
        <v>4.2057363485934916E-3</v>
      </c>
      <c r="QW85" s="180" t="str">
        <f t="shared" ca="1" si="96"/>
        <v>Attente…</v>
      </c>
      <c r="QX85" s="196">
        <f t="shared" si="97"/>
        <v>460</v>
      </c>
      <c r="QY85" s="176">
        <f t="shared" si="98"/>
        <v>3.3567821594325579E-3</v>
      </c>
      <c r="QZ85" s="177" t="str">
        <f t="shared" ca="1" si="99"/>
        <v>Attente…</v>
      </c>
      <c r="RA85" s="197">
        <f t="shared" si="100"/>
        <v>610</v>
      </c>
      <c r="RB85" s="179">
        <f t="shared" si="101"/>
        <v>4.7727094906501837E-3</v>
      </c>
      <c r="RC85" s="180" t="str">
        <f t="shared" ca="1" si="102"/>
        <v>Attente…</v>
      </c>
      <c r="RD85" s="196">
        <f t="shared" si="103"/>
        <v>380</v>
      </c>
      <c r="RE85" s="176">
        <f t="shared" si="104"/>
        <v>3.7863690713431648E-3</v>
      </c>
      <c r="RF85" s="177" t="str">
        <f t="shared" ca="1" si="105"/>
        <v>Attente…</v>
      </c>
      <c r="RG85" s="197">
        <f t="shared" si="106"/>
        <v>210</v>
      </c>
      <c r="RH85" s="179">
        <f t="shared" si="107"/>
        <v>3.8624241309545707E-3</v>
      </c>
      <c r="RI85" s="198" t="str">
        <f t="shared" ca="1" si="108"/>
        <v>Attente…</v>
      </c>
      <c r="RJ85" s="199">
        <f t="shared" si="109"/>
        <v>1590</v>
      </c>
      <c r="RK85" s="200" t="str">
        <f t="shared" ca="1" si="66"/>
        <v>Attente…</v>
      </c>
      <c r="RL85" s="199">
        <f t="shared" si="110"/>
        <v>1950</v>
      </c>
      <c r="RM85" s="200" t="str">
        <f t="shared" ca="1" si="111"/>
        <v>Atttente…</v>
      </c>
      <c r="RN85" s="199">
        <f t="shared" si="112"/>
        <v>1580</v>
      </c>
      <c r="RO85" s="200" t="str">
        <f t="shared" ca="1" si="67"/>
        <v>Attente…</v>
      </c>
      <c r="RP85" s="199">
        <f t="shared" si="113"/>
        <v>1200</v>
      </c>
      <c r="RQ85" s="200" t="str">
        <f t="shared" ca="1" si="68"/>
        <v>Attente…</v>
      </c>
      <c r="RR85" s="201">
        <f t="shared" si="114"/>
        <v>6320</v>
      </c>
      <c r="RS85" s="202" t="str">
        <f t="shared" ca="1" si="69"/>
        <v>Attente…</v>
      </c>
      <c r="RT85" s="103"/>
      <c r="RU85" s="203">
        <f t="shared" si="115"/>
        <v>0.32916666666666666</v>
      </c>
      <c r="RV85" s="204">
        <f t="shared" si="118"/>
        <v>1</v>
      </c>
      <c r="RW85" s="204">
        <f t="shared" si="118"/>
        <v>2</v>
      </c>
      <c r="RX85" s="204">
        <f t="shared" si="116"/>
        <v>96</v>
      </c>
      <c r="RY85" s="205" t="str">
        <f t="shared" si="117"/>
        <v>SAINT-LÉGER-DU-BOURG-DENIS - 321 Rue des broches</v>
      </c>
      <c r="RZ85" s="189" t="str">
        <f>IF(OR(RZ84="",RZ84="  &lt;/Document&gt;
&lt;/kml&gt;"),"",
IF(B85="","  &lt;/Document&gt;
&lt;/kml&gt;",
IF(TournéesCAV!Q78=""," ",
"    &lt;Placemark&gt;
      &lt;description&gt;&lt;![CDATA["&amp;B85&amp;"&lt;br&gt;&lt;br&gt;"&amp;RV85&amp;" CAV&lt;br&gt;&lt;br&gt;Présent sur "&amp;RW85&amp;" tournée(s)&lt;br&gt;&lt;br&gt;Taux de remplissage moyen "&amp;TEXT(RU85*1000,"0 %")&amp;"]]&gt;&lt;/description&gt;
      &lt;Style&gt;
        &lt;IconStyle&gt;
          &lt;color&gt;ff"&amp;
          DEC2HEX(0,2)&amp;
          DEC2HEX(
            IF(RU85&lt;=0.5,
               INT(255*(RU85*2)),
               255
            ),2)&amp;
          DEC2HEX(
            IF(RU85&lt;=0.5,
               255,
               INT(255*(1-(RU85-0.5)*2))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&lt;Point&gt;&lt;coordinates&gt;"&amp;R85&amp;","&amp;Q85&amp;",0&lt;/coordinates&gt;&lt;/Point&gt;
    &lt;/Placemark&gt;"
)))</f>
        <v xml:space="preserve">    &lt;Placemark&gt;
      &lt;description&gt;&lt;![CDATA[SAINT-LÉGER-DU-BOURG-DENIS - 321 Rue des broches&lt;br&gt;&lt;br&gt;1 CAV&lt;br&gt;&lt;br&gt;Présent sur 2 tournée(s)&lt;br&gt;&lt;br&gt;Taux de remplissage moyen 33%]]&gt;&lt;/description&gt;
      &lt;Style&gt;
        &lt;IconStyle&gt;
          &lt;color&gt;ff00A7FF&lt;/color&gt;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&lt;Point&gt;&lt;coordinates&gt;1.1461591,49.4321409,0&lt;/coordinates&gt;&lt;/Point&gt;
    &lt;/Placemark&gt;</v>
      </c>
    </row>
    <row r="86" spans="2:494" ht="15" hidden="1" customHeight="1" x14ac:dyDescent="0.35">
      <c r="B86" s="153" t="str">
        <f t="shared" si="70"/>
        <v>PONT-SAINT-PIERRE - 2 rue du Collège (Parking de la Piscine)</v>
      </c>
      <c r="C86" s="154" t="s">
        <v>104</v>
      </c>
      <c r="D86" s="155"/>
      <c r="E86" s="155"/>
      <c r="F86" s="155"/>
      <c r="G86" s="155"/>
      <c r="H86" s="155"/>
      <c r="I86" s="155"/>
      <c r="J86" s="156"/>
      <c r="K86" s="157">
        <f t="shared" si="71"/>
        <v>1</v>
      </c>
      <c r="L86" s="157">
        <f t="shared" si="72"/>
        <v>1</v>
      </c>
      <c r="M86" s="158" t="s">
        <v>515</v>
      </c>
      <c r="N86" s="159" t="s">
        <v>516</v>
      </c>
      <c r="O86" s="159">
        <v>27360</v>
      </c>
      <c r="P86" s="159" t="s">
        <v>517</v>
      </c>
      <c r="Q86" s="159" t="s">
        <v>518</v>
      </c>
      <c r="R86" s="159" t="s">
        <v>519</v>
      </c>
      <c r="S86" s="159"/>
      <c r="T86" s="159" t="s">
        <v>94</v>
      </c>
      <c r="U86" s="159" t="s">
        <v>520</v>
      </c>
      <c r="V86" s="160" t="s">
        <v>21</v>
      </c>
      <c r="W86" s="161"/>
      <c r="X86" s="162"/>
      <c r="Y86" s="163"/>
      <c r="Z86" s="162"/>
      <c r="AA86" s="163"/>
      <c r="AB86" s="162"/>
      <c r="AC86" s="163"/>
      <c r="AD86" s="162"/>
      <c r="AE86" s="163"/>
      <c r="AF86" s="162"/>
      <c r="AG86" s="163"/>
      <c r="AH86" s="163"/>
      <c r="AI86" s="162"/>
      <c r="AJ86" s="163"/>
      <c r="AK86" s="162"/>
      <c r="AL86" s="163">
        <v>6</v>
      </c>
      <c r="AM86" s="162"/>
      <c r="AN86" s="163"/>
      <c r="AO86" s="162"/>
      <c r="AP86" s="164"/>
      <c r="AQ86" s="164"/>
      <c r="AR86" s="164"/>
      <c r="AS86" s="164"/>
      <c r="AT86" s="164"/>
      <c r="AU86" s="164"/>
      <c r="AV86" s="164"/>
      <c r="AW86" s="164"/>
      <c r="AX86" s="164"/>
      <c r="AY86" s="165"/>
      <c r="AZ86" s="41"/>
      <c r="BA86" s="190"/>
      <c r="BB86" s="191"/>
      <c r="BC86" s="191"/>
      <c r="BD86" s="191"/>
      <c r="BE86" s="191"/>
      <c r="BF86" s="191"/>
      <c r="BG86" s="191"/>
      <c r="BH86" s="191">
        <v>200</v>
      </c>
      <c r="BI86" s="191"/>
      <c r="BJ86" s="191"/>
      <c r="BK86" s="191"/>
      <c r="BL86" s="191"/>
      <c r="BM86" s="191"/>
      <c r="BN86" s="191"/>
      <c r="BO86" s="191">
        <v>50</v>
      </c>
      <c r="BP86" s="191"/>
      <c r="BQ86" s="191"/>
      <c r="BR86" s="191"/>
      <c r="BS86" s="191"/>
      <c r="BT86" s="191"/>
      <c r="BU86" s="191"/>
      <c r="BV86" s="191">
        <v>200</v>
      </c>
      <c r="BW86" s="191"/>
      <c r="BX86" s="191"/>
      <c r="BY86" s="191"/>
      <c r="BZ86" s="191"/>
      <c r="CA86" s="191"/>
      <c r="CB86" s="191"/>
      <c r="CC86" s="191">
        <v>10</v>
      </c>
      <c r="CD86" s="191"/>
      <c r="CE86" s="192"/>
      <c r="CF86" s="190"/>
      <c r="CG86" s="191"/>
      <c r="CH86" s="191"/>
      <c r="CI86" s="191"/>
      <c r="CJ86" s="191">
        <v>50</v>
      </c>
      <c r="CK86" s="191"/>
      <c r="CL86" s="191"/>
      <c r="CM86" s="191"/>
      <c r="CN86" s="191"/>
      <c r="CO86" s="191"/>
      <c r="CP86" s="191"/>
      <c r="CQ86" s="191">
        <v>50</v>
      </c>
      <c r="CR86" s="191"/>
      <c r="CS86" s="191"/>
      <c r="CT86" s="191"/>
      <c r="CU86" s="191"/>
      <c r="CV86" s="191"/>
      <c r="CW86" s="191"/>
      <c r="CX86" s="191">
        <v>50</v>
      </c>
      <c r="CY86" s="191"/>
      <c r="CZ86" s="191"/>
      <c r="DA86" s="191"/>
      <c r="DB86" s="191"/>
      <c r="DC86" s="191"/>
      <c r="DD86" s="191"/>
      <c r="DE86" s="191">
        <v>50</v>
      </c>
      <c r="DF86" s="191"/>
      <c r="DG86" s="191"/>
      <c r="DH86" s="193"/>
      <c r="DI86" s="194"/>
      <c r="DJ86" s="191"/>
      <c r="DK86" s="191"/>
      <c r="DL86" s="191"/>
      <c r="DM86" s="191">
        <v>100</v>
      </c>
      <c r="DN86" s="191"/>
      <c r="DO86" s="191"/>
      <c r="DP86" s="191"/>
      <c r="DQ86" s="191"/>
      <c r="DR86" s="191"/>
      <c r="DS86" s="191"/>
      <c r="DT86" s="191">
        <v>50</v>
      </c>
      <c r="DU86" s="191"/>
      <c r="DV86" s="191"/>
      <c r="DW86" s="191"/>
      <c r="DX86" s="191"/>
      <c r="DY86" s="191"/>
      <c r="DZ86" s="191"/>
      <c r="EA86" s="191"/>
      <c r="EB86" s="191"/>
      <c r="EC86" s="191"/>
      <c r="ED86" s="191"/>
      <c r="EE86" s="191"/>
      <c r="EF86" s="191"/>
      <c r="EG86" s="191"/>
      <c r="EH86" s="191">
        <v>100</v>
      </c>
      <c r="EI86" s="191"/>
      <c r="EJ86" s="191"/>
      <c r="EK86" s="191"/>
      <c r="EL86" s="191"/>
      <c r="EM86" s="192"/>
      <c r="EN86" s="190"/>
      <c r="EO86" s="191">
        <v>100</v>
      </c>
      <c r="EP86" s="191"/>
      <c r="EQ86" s="191"/>
      <c r="ER86" s="191"/>
      <c r="ES86" s="191"/>
      <c r="ET86" s="191"/>
      <c r="EU86" s="191"/>
      <c r="EV86" s="191"/>
      <c r="EW86" s="191"/>
      <c r="EX86" s="191"/>
      <c r="EY86" s="191"/>
      <c r="EZ86" s="191"/>
      <c r="FA86" s="191"/>
      <c r="FB86" s="191"/>
      <c r="FC86" s="191">
        <v>200</v>
      </c>
      <c r="FD86" s="191"/>
      <c r="FE86" s="191"/>
      <c r="FF86" s="191"/>
      <c r="FG86" s="191"/>
      <c r="FH86" s="191"/>
      <c r="FI86" s="191"/>
      <c r="FJ86" s="191"/>
      <c r="FK86" s="191"/>
      <c r="FL86" s="191">
        <v>100</v>
      </c>
      <c r="FM86" s="191"/>
      <c r="FN86" s="191"/>
      <c r="FO86" s="191"/>
      <c r="FP86" s="191"/>
      <c r="FQ86" s="193"/>
      <c r="FR86" s="194"/>
      <c r="FS86" s="191"/>
      <c r="FT86" s="191"/>
      <c r="FU86" s="191"/>
      <c r="FV86" s="191"/>
      <c r="FW86" s="191"/>
      <c r="FX86" s="191">
        <v>200</v>
      </c>
      <c r="FY86" s="191"/>
      <c r="FZ86" s="191"/>
      <c r="GA86" s="191"/>
      <c r="GB86" s="191"/>
      <c r="GC86" s="191"/>
      <c r="GD86" s="191"/>
      <c r="GE86" s="191"/>
      <c r="GF86" s="191"/>
      <c r="GG86" s="191"/>
      <c r="GH86" s="191"/>
      <c r="GI86" s="191"/>
      <c r="GJ86" s="191"/>
      <c r="GK86" s="191"/>
      <c r="GL86" s="191">
        <v>200</v>
      </c>
      <c r="GM86" s="191"/>
      <c r="GN86" s="191"/>
      <c r="GO86" s="191"/>
      <c r="GP86" s="191"/>
      <c r="GQ86" s="191"/>
      <c r="GR86" s="191"/>
      <c r="GS86" s="191"/>
      <c r="GT86" s="191"/>
      <c r="GU86" s="191"/>
      <c r="GV86" s="192"/>
      <c r="GW86" s="190"/>
      <c r="GX86" s="191"/>
      <c r="GY86" s="191"/>
      <c r="GZ86" s="191">
        <v>100</v>
      </c>
      <c r="HA86" s="191"/>
      <c r="HB86" s="191"/>
      <c r="HC86" s="191"/>
      <c r="HD86" s="191"/>
      <c r="HE86" s="191"/>
      <c r="HF86" s="191"/>
      <c r="HG86" s="191"/>
      <c r="HH86" s="191"/>
      <c r="HI86" s="191"/>
      <c r="HJ86" s="191"/>
      <c r="HK86" s="191"/>
      <c r="HL86" s="191"/>
      <c r="HM86" s="191"/>
      <c r="HN86" s="191"/>
      <c r="HO86" s="191"/>
      <c r="HP86" s="191"/>
      <c r="HQ86" s="191"/>
      <c r="HR86" s="191"/>
      <c r="HS86" s="191"/>
      <c r="HT86" s="191"/>
      <c r="HU86" s="191">
        <v>200</v>
      </c>
      <c r="HV86" s="191"/>
      <c r="HW86" s="191"/>
      <c r="HX86" s="191"/>
      <c r="HY86" s="191"/>
      <c r="HZ86" s="193"/>
      <c r="IA86" s="194"/>
      <c r="IB86" s="191">
        <v>50</v>
      </c>
      <c r="IC86" s="191"/>
      <c r="ID86" s="191"/>
      <c r="IE86" s="191"/>
      <c r="IF86" s="191"/>
      <c r="IG86" s="191"/>
      <c r="IH86" s="191"/>
      <c r="II86" s="191">
        <v>50</v>
      </c>
      <c r="IJ86" s="191"/>
      <c r="IK86" s="191"/>
      <c r="IL86" s="191"/>
      <c r="IM86" s="191"/>
      <c r="IN86" s="191"/>
      <c r="IO86" s="191"/>
      <c r="IP86" s="191"/>
      <c r="IQ86" s="191"/>
      <c r="IR86" s="191"/>
      <c r="IS86" s="191"/>
      <c r="IT86" s="191"/>
      <c r="IU86" s="191"/>
      <c r="IV86" s="191"/>
      <c r="IW86" s="191">
        <v>200</v>
      </c>
      <c r="IX86" s="191"/>
      <c r="IY86" s="191"/>
      <c r="IZ86" s="191"/>
      <c r="JA86" s="191"/>
      <c r="JB86" s="191"/>
      <c r="JC86" s="191"/>
      <c r="JD86" s="191"/>
      <c r="JE86" s="192"/>
      <c r="JF86" s="190"/>
      <c r="JG86" s="191"/>
      <c r="JH86" s="191"/>
      <c r="JI86" s="191"/>
      <c r="JJ86" s="191"/>
      <c r="JK86" s="191">
        <v>150</v>
      </c>
      <c r="JL86" s="191"/>
      <c r="JM86" s="191"/>
      <c r="JN86" s="191"/>
      <c r="JO86" s="191"/>
      <c r="JP86" s="191"/>
      <c r="JQ86" s="191"/>
      <c r="JR86" s="191">
        <v>100</v>
      </c>
      <c r="JS86" s="191"/>
      <c r="JT86" s="191"/>
      <c r="JU86" s="191"/>
      <c r="JV86" s="191"/>
      <c r="JW86" s="191"/>
      <c r="JX86" s="191"/>
      <c r="JY86" s="191">
        <v>150</v>
      </c>
      <c r="JZ86" s="191"/>
      <c r="KA86" s="191"/>
      <c r="KB86" s="191"/>
      <c r="KC86" s="191"/>
      <c r="KD86" s="191"/>
      <c r="KE86" s="191"/>
      <c r="KF86" s="191">
        <v>100</v>
      </c>
      <c r="KG86" s="191"/>
      <c r="KH86" s="191"/>
      <c r="KI86" s="191"/>
      <c r="KJ86" s="193"/>
      <c r="KK86" s="194"/>
      <c r="KL86" s="191"/>
      <c r="KM86" s="191">
        <v>200</v>
      </c>
      <c r="KN86" s="191"/>
      <c r="KO86" s="191"/>
      <c r="KP86" s="191"/>
      <c r="KQ86" s="191"/>
      <c r="KR86" s="191"/>
      <c r="KS86" s="191"/>
      <c r="KT86" s="191"/>
      <c r="KU86" s="191">
        <v>150</v>
      </c>
      <c r="KV86" s="191"/>
      <c r="KW86" s="191"/>
      <c r="KX86" s="191"/>
      <c r="KY86" s="191"/>
      <c r="KZ86" s="191"/>
      <c r="LA86" s="191"/>
      <c r="LB86" s="191"/>
      <c r="LC86" s="191"/>
      <c r="LD86" s="191"/>
      <c r="LE86" s="191"/>
      <c r="LF86" s="191"/>
      <c r="LG86" s="191"/>
      <c r="LH86" s="191">
        <v>200</v>
      </c>
      <c r="LI86" s="191"/>
      <c r="LJ86" s="191"/>
      <c r="LK86" s="191"/>
      <c r="LL86" s="191"/>
      <c r="LM86" s="191"/>
      <c r="LN86" s="192"/>
      <c r="LO86" s="190"/>
      <c r="LP86" s="191">
        <v>100</v>
      </c>
      <c r="LQ86" s="191"/>
      <c r="LR86" s="191"/>
      <c r="LS86" s="191"/>
      <c r="LT86" s="191"/>
      <c r="LU86" s="191"/>
      <c r="LV86" s="191">
        <v>50</v>
      </c>
      <c r="LW86" s="191"/>
      <c r="LX86" s="191"/>
      <c r="LY86" s="191"/>
      <c r="LZ86" s="191"/>
      <c r="MA86" s="191"/>
      <c r="MB86" s="191"/>
      <c r="MC86" s="191">
        <v>100</v>
      </c>
      <c r="MD86" s="191"/>
      <c r="ME86" s="191"/>
      <c r="MF86" s="191"/>
      <c r="MG86" s="191"/>
      <c r="MH86" s="191"/>
      <c r="MI86" s="191"/>
      <c r="MJ86" s="191">
        <v>50</v>
      </c>
      <c r="MK86" s="191"/>
      <c r="ML86" s="191"/>
      <c r="MM86" s="191"/>
      <c r="MN86" s="191"/>
      <c r="MO86" s="191"/>
      <c r="MP86" s="191"/>
      <c r="MQ86" s="191">
        <v>100</v>
      </c>
      <c r="MR86" s="191"/>
      <c r="MS86" s="193"/>
      <c r="MT86" s="194"/>
      <c r="MU86" s="191"/>
      <c r="MV86" s="191"/>
      <c r="MW86" s="191"/>
      <c r="MX86" s="191">
        <v>100</v>
      </c>
      <c r="MY86" s="191"/>
      <c r="MZ86" s="191"/>
      <c r="NA86" s="191"/>
      <c r="NB86" s="191"/>
      <c r="NC86" s="191"/>
      <c r="ND86" s="191"/>
      <c r="NE86" s="191"/>
      <c r="NF86" s="191"/>
      <c r="NG86" s="191"/>
      <c r="NH86" s="191"/>
      <c r="NI86" s="191"/>
      <c r="NJ86" s="191"/>
      <c r="NK86" s="191"/>
      <c r="NL86" s="191">
        <v>100</v>
      </c>
      <c r="NM86" s="191"/>
      <c r="NN86" s="191"/>
      <c r="NO86" s="191"/>
      <c r="NP86" s="191"/>
      <c r="NQ86" s="191"/>
      <c r="NR86" s="191"/>
      <c r="NS86" s="191">
        <v>50</v>
      </c>
      <c r="NT86" s="191"/>
      <c r="NU86" s="191"/>
      <c r="NV86" s="191"/>
      <c r="NW86" s="192"/>
      <c r="NX86" s="190"/>
      <c r="NY86" s="191"/>
      <c r="NZ86" s="191">
        <v>100</v>
      </c>
      <c r="OA86" s="191"/>
      <c r="OB86" s="191"/>
      <c r="OC86" s="191"/>
      <c r="OD86" s="191"/>
      <c r="OE86" s="191"/>
      <c r="OF86" s="191"/>
      <c r="OG86" s="191">
        <v>50</v>
      </c>
      <c r="OH86" s="191"/>
      <c r="OI86" s="191"/>
      <c r="OJ86" s="191"/>
      <c r="OK86" s="191"/>
      <c r="OL86" s="191"/>
      <c r="OM86" s="191"/>
      <c r="ON86" s="191">
        <v>100</v>
      </c>
      <c r="OO86" s="191"/>
      <c r="OP86" s="191"/>
      <c r="OQ86" s="191"/>
      <c r="OR86" s="191"/>
      <c r="OS86" s="191"/>
      <c r="OT86" s="191"/>
      <c r="OU86" s="191"/>
      <c r="OV86" s="191"/>
      <c r="OW86" s="191"/>
      <c r="OX86" s="191"/>
      <c r="OY86" s="191"/>
      <c r="OZ86" s="191"/>
      <c r="PA86" s="191"/>
      <c r="PB86" s="193"/>
      <c r="PC86" s="47"/>
      <c r="PD86" s="154" t="s">
        <v>98</v>
      </c>
      <c r="PE86" s="155" t="s">
        <v>98</v>
      </c>
      <c r="PF86" s="155" t="s">
        <v>98</v>
      </c>
      <c r="PG86" s="155" t="s">
        <v>98</v>
      </c>
      <c r="PH86" s="155" t="s">
        <v>98</v>
      </c>
      <c r="PI86" s="155" t="s">
        <v>97</v>
      </c>
      <c r="PJ86" s="155" t="s">
        <v>98</v>
      </c>
      <c r="PK86" s="155" t="s">
        <v>98</v>
      </c>
      <c r="PL86" s="155" t="s">
        <v>98</v>
      </c>
      <c r="PM86" s="155" t="s">
        <v>98</v>
      </c>
      <c r="PN86" s="155" t="s">
        <v>98</v>
      </c>
      <c r="PO86" s="156"/>
      <c r="PP86" s="156"/>
      <c r="PQ86" s="156"/>
      <c r="PR86" s="156"/>
      <c r="PS86" s="156"/>
      <c r="PT86" s="156"/>
      <c r="PU86" s="156"/>
      <c r="PV86" s="156"/>
      <c r="PW86" s="156"/>
      <c r="PX86" s="195"/>
      <c r="PY86" s="1"/>
      <c r="PZ86" s="196">
        <f t="shared" si="73"/>
        <v>460</v>
      </c>
      <c r="QA86" s="176">
        <f t="shared" si="74"/>
        <v>3.8374906148327353E-3</v>
      </c>
      <c r="QB86" s="177" t="str">
        <f t="shared" ca="1" si="75"/>
        <v>Attente…</v>
      </c>
      <c r="QC86" s="197">
        <f t="shared" si="76"/>
        <v>200</v>
      </c>
      <c r="QD86" s="179">
        <f t="shared" si="77"/>
        <v>1.8726591760299626E-3</v>
      </c>
      <c r="QE86" s="180" t="str">
        <f t="shared" ca="1" si="78"/>
        <v>Attente…</v>
      </c>
      <c r="QF86" s="196">
        <f t="shared" si="79"/>
        <v>250</v>
      </c>
      <c r="QG86" s="176">
        <f t="shared" si="80"/>
        <v>1.9907628603280775E-3</v>
      </c>
      <c r="QH86" s="177" t="str">
        <f t="shared" ca="1" si="81"/>
        <v>Attente…</v>
      </c>
      <c r="QI86" s="197">
        <f t="shared" si="82"/>
        <v>400</v>
      </c>
      <c r="QJ86" s="179">
        <f t="shared" si="83"/>
        <v>2.8054425585636133E-3</v>
      </c>
      <c r="QK86" s="180" t="str">
        <f t="shared" ca="1" si="84"/>
        <v>Attente…</v>
      </c>
      <c r="QL86" s="196">
        <f t="shared" si="85"/>
        <v>400</v>
      </c>
      <c r="QM86" s="176">
        <f t="shared" si="86"/>
        <v>2.9265437518290896E-3</v>
      </c>
      <c r="QN86" s="177" t="str">
        <f t="shared" ca="1" si="87"/>
        <v>Attente…</v>
      </c>
      <c r="QO86" s="197">
        <f t="shared" si="88"/>
        <v>300</v>
      </c>
      <c r="QP86" s="179">
        <f t="shared" si="89"/>
        <v>2.3487042981288654E-3</v>
      </c>
      <c r="QQ86" s="180" t="str">
        <f t="shared" ca="1" si="90"/>
        <v>Attente…</v>
      </c>
      <c r="QR86" s="196">
        <f t="shared" si="91"/>
        <v>300</v>
      </c>
      <c r="QS86" s="176">
        <f t="shared" si="92"/>
        <v>2.1597494690615889E-3</v>
      </c>
      <c r="QT86" s="177" t="str">
        <f t="shared" ca="1" si="93"/>
        <v>Attente…</v>
      </c>
      <c r="QU86" s="197">
        <f t="shared" si="94"/>
        <v>500</v>
      </c>
      <c r="QV86" s="179">
        <f t="shared" si="95"/>
        <v>3.4473248758963046E-3</v>
      </c>
      <c r="QW86" s="180" t="str">
        <f t="shared" ca="1" si="96"/>
        <v>Attente…</v>
      </c>
      <c r="QX86" s="196">
        <f t="shared" si="97"/>
        <v>550</v>
      </c>
      <c r="QY86" s="176">
        <f t="shared" si="98"/>
        <v>4.0135438862780584E-3</v>
      </c>
      <c r="QZ86" s="177" t="str">
        <f t="shared" ca="1" si="99"/>
        <v>Attente…</v>
      </c>
      <c r="RA86" s="197">
        <f t="shared" si="100"/>
        <v>400</v>
      </c>
      <c r="RB86" s="179">
        <f t="shared" si="101"/>
        <v>3.1296455676394649E-3</v>
      </c>
      <c r="RC86" s="180" t="str">
        <f t="shared" ca="1" si="102"/>
        <v>Attente…</v>
      </c>
      <c r="RD86" s="196">
        <f t="shared" si="103"/>
        <v>250</v>
      </c>
      <c r="RE86" s="176">
        <f t="shared" si="104"/>
        <v>2.4910322837783977E-3</v>
      </c>
      <c r="RF86" s="177" t="str">
        <f t="shared" ca="1" si="105"/>
        <v>Attente…</v>
      </c>
      <c r="RG86" s="197">
        <f t="shared" si="106"/>
        <v>250</v>
      </c>
      <c r="RH86" s="179">
        <f t="shared" si="107"/>
        <v>4.5981239654221077E-3</v>
      </c>
      <c r="RI86" s="198" t="str">
        <f t="shared" ca="1" si="108"/>
        <v>Attente…</v>
      </c>
      <c r="RJ86" s="199">
        <f t="shared" si="109"/>
        <v>910</v>
      </c>
      <c r="RK86" s="200" t="str">
        <f t="shared" ca="1" si="66"/>
        <v>Attente…</v>
      </c>
      <c r="RL86" s="199">
        <f t="shared" si="110"/>
        <v>1100</v>
      </c>
      <c r="RM86" s="200" t="str">
        <f t="shared" ca="1" si="111"/>
        <v>Atttente…</v>
      </c>
      <c r="RN86" s="199">
        <f t="shared" si="112"/>
        <v>1350</v>
      </c>
      <c r="RO86" s="200" t="str">
        <f t="shared" ca="1" si="67"/>
        <v>Attente…</v>
      </c>
      <c r="RP86" s="199">
        <f t="shared" si="113"/>
        <v>900</v>
      </c>
      <c r="RQ86" s="200" t="str">
        <f t="shared" ca="1" si="68"/>
        <v>Attente…</v>
      </c>
      <c r="RR86" s="201">
        <f t="shared" si="114"/>
        <v>4260</v>
      </c>
      <c r="RS86" s="202" t="str">
        <f t="shared" ca="1" si="69"/>
        <v>Attente…</v>
      </c>
      <c r="RT86" s="103"/>
      <c r="RU86" s="203">
        <f t="shared" si="115"/>
        <v>0.5461538461538461</v>
      </c>
      <c r="RV86" s="204">
        <f t="shared" si="118"/>
        <v>1</v>
      </c>
      <c r="RW86" s="204">
        <f t="shared" si="118"/>
        <v>1</v>
      </c>
      <c r="RX86" s="204">
        <f t="shared" si="116"/>
        <v>39</v>
      </c>
      <c r="RY86" s="205" t="str">
        <f t="shared" si="117"/>
        <v>PONT-SAINT-PIERRE - 2 rue du Collège (Parking de la Piscine)</v>
      </c>
      <c r="RZ86" s="189" t="str">
        <f>IF(OR(RZ85="",RZ85="  &lt;/Document&gt;
&lt;/kml&gt;"),"",
IF(B86="","  &lt;/Document&gt;
&lt;/kml&gt;",
IF(TournéesCAV!Q86=""," ",
"    &lt;Placemark&gt;
      &lt;description&gt;&lt;![CDATA["&amp;B86&amp;"&lt;br&gt;&lt;br&gt;"&amp;RV86&amp;" CAV&lt;br&gt;&lt;br&gt;Présent sur "&amp;RW86&amp;" tournée(s)&lt;br&gt;&lt;br&gt;Taux de remplissage moyen "&amp;TEXT(RU86*1000,"0 %")&amp;"]]&gt;&lt;/description&gt;
      &lt;Style&gt;
        &lt;IconStyle&gt;
          &lt;color&gt;ff"&amp;
          DEC2HEX(0,2)&amp;
          DEC2HEX(
            IF(RU86&lt;=0.5,
               INT(255*(RU86*2)),
               255
            ),2)&amp;
          DEC2HEX(
            IF(RU86&lt;=0.5,
               255,
               INT(255*(1-(RU86-0.5)*2))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&lt;Point&gt;&lt;coordinates&gt;"&amp;R86&amp;","&amp;Q86&amp;",0&lt;/coordinates&gt;&lt;/Point&gt;
    &lt;/Placemark&gt;"
)))</f>
        <v xml:space="preserve">    &lt;Placemark&gt;
      &lt;description&gt;&lt;![CDATA[PONT-SAINT-PIERRE - 2 rue du Collège (Parking de la Piscine)&lt;br&gt;&lt;br&gt;1 CAV&lt;br&gt;&lt;br&gt;Présent sur 1 tournée(s)&lt;br&gt;&lt;br&gt;Taux de remplissage moyen 55%]]&gt;&lt;/description&gt;
      &lt;Style&gt;
        &lt;IconStyle&gt;
          &lt;color&gt;ff00FFE7&lt;/color&gt;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&lt;Point&gt;&lt;coordinates&gt;1.2742826,49.3372127,0&lt;/coordinates&gt;&lt;/Point&gt;
    &lt;/Placemark&gt;</v>
      </c>
    </row>
    <row r="87" spans="2:494" ht="15" hidden="1" customHeight="1" x14ac:dyDescent="0.35">
      <c r="B87" s="153" t="str">
        <f t="shared" si="70"/>
        <v>SAINTE-MARGUERITE-SUR-DUCLAIR - 14 Route de Saint Paër (Parking)</v>
      </c>
      <c r="C87" s="154">
        <v>145</v>
      </c>
      <c r="D87" s="155"/>
      <c r="E87" s="155"/>
      <c r="F87" s="155"/>
      <c r="G87" s="155"/>
      <c r="H87" s="155"/>
      <c r="I87" s="155"/>
      <c r="J87" s="156"/>
      <c r="K87" s="157">
        <f t="shared" si="71"/>
        <v>1</v>
      </c>
      <c r="L87" s="157">
        <f t="shared" si="72"/>
        <v>1</v>
      </c>
      <c r="M87" s="158" t="s">
        <v>521</v>
      </c>
      <c r="N87" s="159" t="s">
        <v>522</v>
      </c>
      <c r="O87" s="159">
        <v>76480</v>
      </c>
      <c r="P87" s="159" t="s">
        <v>523</v>
      </c>
      <c r="Q87" s="159" t="s">
        <v>524</v>
      </c>
      <c r="R87" s="159" t="s">
        <v>525</v>
      </c>
      <c r="S87" s="159" t="s">
        <v>93</v>
      </c>
      <c r="T87" s="159" t="s">
        <v>94</v>
      </c>
      <c r="U87" s="159" t="s">
        <v>526</v>
      </c>
      <c r="V87" s="160" t="s">
        <v>96</v>
      </c>
      <c r="W87" s="161"/>
      <c r="X87" s="162"/>
      <c r="Y87" s="163"/>
      <c r="Z87" s="162"/>
      <c r="AA87" s="163"/>
      <c r="AB87" s="162"/>
      <c r="AC87" s="163">
        <v>13</v>
      </c>
      <c r="AD87" s="162"/>
      <c r="AE87" s="163"/>
      <c r="AF87" s="162"/>
      <c r="AG87" s="163"/>
      <c r="AH87" s="163"/>
      <c r="AI87" s="162"/>
      <c r="AJ87" s="163"/>
      <c r="AK87" s="162"/>
      <c r="AL87" s="163"/>
      <c r="AM87" s="162"/>
      <c r="AN87" s="163"/>
      <c r="AO87" s="162"/>
      <c r="AP87" s="164"/>
      <c r="AQ87" s="164"/>
      <c r="AR87" s="164"/>
      <c r="AS87" s="164"/>
      <c r="AT87" s="164"/>
      <c r="AU87" s="164"/>
      <c r="AV87" s="164"/>
      <c r="AW87" s="164"/>
      <c r="AX87" s="164"/>
      <c r="AY87" s="165"/>
      <c r="AZ87" s="41"/>
      <c r="BA87" s="190"/>
      <c r="BB87" s="191"/>
      <c r="BC87" s="191"/>
      <c r="BD87" s="191"/>
      <c r="BE87" s="191"/>
      <c r="BF87" s="191"/>
      <c r="BG87" s="191">
        <v>200</v>
      </c>
      <c r="BH87" s="191"/>
      <c r="BI87" s="191"/>
      <c r="BJ87" s="191"/>
      <c r="BK87" s="191"/>
      <c r="BL87" s="191"/>
      <c r="BM87" s="191"/>
      <c r="BN87" s="191">
        <v>150</v>
      </c>
      <c r="BO87" s="191"/>
      <c r="BP87" s="191"/>
      <c r="BQ87" s="191"/>
      <c r="BR87" s="191"/>
      <c r="BS87" s="191"/>
      <c r="BT87" s="191"/>
      <c r="BU87" s="191">
        <v>100</v>
      </c>
      <c r="BV87" s="191"/>
      <c r="BW87" s="191"/>
      <c r="BX87" s="191"/>
      <c r="BY87" s="191"/>
      <c r="BZ87" s="191"/>
      <c r="CA87" s="191"/>
      <c r="CB87" s="191">
        <v>10</v>
      </c>
      <c r="CC87" s="191"/>
      <c r="CD87" s="191"/>
      <c r="CE87" s="192"/>
      <c r="CF87" s="190"/>
      <c r="CG87" s="191"/>
      <c r="CH87" s="191"/>
      <c r="CI87" s="191">
        <v>200</v>
      </c>
      <c r="CJ87" s="191"/>
      <c r="CK87" s="191"/>
      <c r="CL87" s="191"/>
      <c r="CM87" s="191"/>
      <c r="CN87" s="191"/>
      <c r="CO87" s="191"/>
      <c r="CP87" s="191">
        <v>50</v>
      </c>
      <c r="CQ87" s="191"/>
      <c r="CR87" s="191"/>
      <c r="CS87" s="191"/>
      <c r="CT87" s="191"/>
      <c r="CU87" s="191"/>
      <c r="CV87" s="191"/>
      <c r="CW87" s="191"/>
      <c r="CX87" s="191"/>
      <c r="CY87" s="191"/>
      <c r="CZ87" s="191"/>
      <c r="DA87" s="191"/>
      <c r="DB87" s="191"/>
      <c r="DC87" s="191"/>
      <c r="DD87" s="191">
        <v>150</v>
      </c>
      <c r="DE87" s="191"/>
      <c r="DF87" s="191"/>
      <c r="DG87" s="191"/>
      <c r="DH87" s="193"/>
      <c r="DI87" s="194"/>
      <c r="DJ87" s="191"/>
      <c r="DK87" s="191"/>
      <c r="DL87" s="191">
        <v>150</v>
      </c>
      <c r="DM87" s="191"/>
      <c r="DN87" s="191"/>
      <c r="DO87" s="191"/>
      <c r="DP87" s="191"/>
      <c r="DQ87" s="191"/>
      <c r="DR87" s="191"/>
      <c r="DS87" s="191">
        <v>150</v>
      </c>
      <c r="DT87" s="191"/>
      <c r="DU87" s="191"/>
      <c r="DV87" s="191"/>
      <c r="DW87" s="191"/>
      <c r="DX87" s="191"/>
      <c r="DY87" s="191"/>
      <c r="DZ87" s="191">
        <v>100</v>
      </c>
      <c r="EA87" s="191"/>
      <c r="EB87" s="191"/>
      <c r="EC87" s="191"/>
      <c r="ED87" s="191"/>
      <c r="EE87" s="191"/>
      <c r="EF87" s="191"/>
      <c r="EG87" s="191">
        <v>150</v>
      </c>
      <c r="EH87" s="191"/>
      <c r="EI87" s="191"/>
      <c r="EJ87" s="191"/>
      <c r="EK87" s="191"/>
      <c r="EL87" s="191"/>
      <c r="EM87" s="192"/>
      <c r="EN87" s="190">
        <v>100</v>
      </c>
      <c r="EO87" s="191"/>
      <c r="EP87" s="191"/>
      <c r="EQ87" s="191"/>
      <c r="ER87" s="191"/>
      <c r="ES87" s="191"/>
      <c r="ET87" s="191"/>
      <c r="EU87" s="191">
        <v>50</v>
      </c>
      <c r="EV87" s="191"/>
      <c r="EW87" s="191"/>
      <c r="EX87" s="191"/>
      <c r="EY87" s="191"/>
      <c r="EZ87" s="191"/>
      <c r="FA87" s="191"/>
      <c r="FB87" s="191">
        <v>200</v>
      </c>
      <c r="FC87" s="191"/>
      <c r="FD87" s="191"/>
      <c r="FE87" s="191"/>
      <c r="FF87" s="191"/>
      <c r="FG87" s="191"/>
      <c r="FH87" s="191"/>
      <c r="FI87" s="191"/>
      <c r="FJ87" s="191"/>
      <c r="FK87" s="191">
        <v>150</v>
      </c>
      <c r="FL87" s="191"/>
      <c r="FM87" s="191"/>
      <c r="FN87" s="191"/>
      <c r="FO87" s="191"/>
      <c r="FP87" s="191"/>
      <c r="FQ87" s="193"/>
      <c r="FR87" s="194"/>
      <c r="FS87" s="191"/>
      <c r="FT87" s="191"/>
      <c r="FU87" s="191"/>
      <c r="FV87" s="191"/>
      <c r="FW87" s="191">
        <v>150</v>
      </c>
      <c r="FX87" s="191"/>
      <c r="FY87" s="191"/>
      <c r="FZ87" s="191"/>
      <c r="GA87" s="191"/>
      <c r="GB87" s="191"/>
      <c r="GC87" s="191"/>
      <c r="GD87" s="191">
        <v>100</v>
      </c>
      <c r="GE87" s="191"/>
      <c r="GF87" s="191"/>
      <c r="GG87" s="191"/>
      <c r="GH87" s="191"/>
      <c r="GI87" s="191"/>
      <c r="GJ87" s="191"/>
      <c r="GK87" s="191">
        <v>100</v>
      </c>
      <c r="GL87" s="191"/>
      <c r="GM87" s="191"/>
      <c r="GN87" s="191"/>
      <c r="GO87" s="191"/>
      <c r="GP87" s="191"/>
      <c r="GQ87" s="191"/>
      <c r="GR87" s="191">
        <v>100</v>
      </c>
      <c r="GS87" s="191"/>
      <c r="GT87" s="191"/>
      <c r="GU87" s="191"/>
      <c r="GV87" s="192"/>
      <c r="GW87" s="190"/>
      <c r="GX87" s="191"/>
      <c r="GY87" s="191">
        <v>150</v>
      </c>
      <c r="GZ87" s="191"/>
      <c r="HA87" s="191"/>
      <c r="HB87" s="191"/>
      <c r="HC87" s="191"/>
      <c r="HD87" s="191"/>
      <c r="HE87" s="191"/>
      <c r="HF87" s="191"/>
      <c r="HG87" s="191"/>
      <c r="HH87" s="191">
        <v>150</v>
      </c>
      <c r="HI87" s="191"/>
      <c r="HJ87" s="191"/>
      <c r="HK87" s="191"/>
      <c r="HL87" s="191"/>
      <c r="HM87" s="191"/>
      <c r="HN87" s="191"/>
      <c r="HO87" s="191"/>
      <c r="HP87" s="191"/>
      <c r="HQ87" s="191"/>
      <c r="HR87" s="191"/>
      <c r="HS87" s="191"/>
      <c r="HT87" s="191">
        <v>100</v>
      </c>
      <c r="HU87" s="191"/>
      <c r="HV87" s="191"/>
      <c r="HW87" s="191"/>
      <c r="HX87" s="191"/>
      <c r="HY87" s="191"/>
      <c r="HZ87" s="193"/>
      <c r="IA87" s="194">
        <v>100</v>
      </c>
      <c r="IB87" s="191"/>
      <c r="IC87" s="191"/>
      <c r="ID87" s="191"/>
      <c r="IE87" s="191"/>
      <c r="IF87" s="191"/>
      <c r="IG87" s="191"/>
      <c r="IH87" s="191">
        <v>150</v>
      </c>
      <c r="II87" s="191"/>
      <c r="IJ87" s="191"/>
      <c r="IK87" s="191"/>
      <c r="IL87" s="191"/>
      <c r="IM87" s="191"/>
      <c r="IN87" s="191"/>
      <c r="IO87" s="191"/>
      <c r="IP87" s="191">
        <v>100</v>
      </c>
      <c r="IQ87" s="191"/>
      <c r="IR87" s="191"/>
      <c r="IS87" s="191"/>
      <c r="IT87" s="191"/>
      <c r="IU87" s="191"/>
      <c r="IV87" s="191">
        <v>100</v>
      </c>
      <c r="IW87" s="191"/>
      <c r="IX87" s="191"/>
      <c r="IY87" s="191"/>
      <c r="IZ87" s="191"/>
      <c r="JA87" s="191"/>
      <c r="JB87" s="191"/>
      <c r="JC87" s="191"/>
      <c r="JD87" s="191"/>
      <c r="JE87" s="192">
        <v>200</v>
      </c>
      <c r="JF87" s="190"/>
      <c r="JG87" s="191"/>
      <c r="JH87" s="191"/>
      <c r="JI87" s="191"/>
      <c r="JJ87" s="191">
        <v>50</v>
      </c>
      <c r="JK87" s="191"/>
      <c r="JL87" s="191"/>
      <c r="JM87" s="191"/>
      <c r="JN87" s="191"/>
      <c r="JO87" s="191"/>
      <c r="JP87" s="191"/>
      <c r="JQ87" s="191">
        <v>100</v>
      </c>
      <c r="JR87" s="191"/>
      <c r="JS87" s="191"/>
      <c r="JT87" s="191"/>
      <c r="JU87" s="191"/>
      <c r="JV87" s="191"/>
      <c r="JW87" s="191"/>
      <c r="JX87" s="191"/>
      <c r="JY87" s="191"/>
      <c r="JZ87" s="191"/>
      <c r="KA87" s="191"/>
      <c r="KB87" s="191"/>
      <c r="KC87" s="191"/>
      <c r="KD87" s="191"/>
      <c r="KE87" s="191">
        <v>100</v>
      </c>
      <c r="KF87" s="191"/>
      <c r="KG87" s="191"/>
      <c r="KH87" s="191"/>
      <c r="KI87" s="191"/>
      <c r="KJ87" s="193"/>
      <c r="KK87" s="194"/>
      <c r="KL87" s="191">
        <v>100</v>
      </c>
      <c r="KM87" s="191"/>
      <c r="KN87" s="191"/>
      <c r="KO87" s="191"/>
      <c r="KP87" s="191"/>
      <c r="KQ87" s="191"/>
      <c r="KR87" s="191"/>
      <c r="KS87" s="191">
        <v>100</v>
      </c>
      <c r="KT87" s="191"/>
      <c r="KU87" s="191"/>
      <c r="KV87" s="191"/>
      <c r="KW87" s="191"/>
      <c r="KX87" s="191"/>
      <c r="KY87" s="191"/>
      <c r="KZ87" s="191">
        <v>100</v>
      </c>
      <c r="LA87" s="191"/>
      <c r="LB87" s="191"/>
      <c r="LC87" s="191"/>
      <c r="LD87" s="191"/>
      <c r="LE87" s="191"/>
      <c r="LF87" s="191"/>
      <c r="LG87" s="191">
        <v>50</v>
      </c>
      <c r="LH87" s="191"/>
      <c r="LI87" s="191"/>
      <c r="LJ87" s="191"/>
      <c r="LK87" s="191"/>
      <c r="LL87" s="191"/>
      <c r="LM87" s="191"/>
      <c r="LN87" s="192">
        <v>100</v>
      </c>
      <c r="LO87" s="190"/>
      <c r="LP87" s="191"/>
      <c r="LQ87" s="191"/>
      <c r="LR87" s="191"/>
      <c r="LS87" s="191"/>
      <c r="LT87" s="191"/>
      <c r="LU87" s="191">
        <v>100</v>
      </c>
      <c r="LV87" s="191"/>
      <c r="LW87" s="191"/>
      <c r="LX87" s="191"/>
      <c r="LY87" s="191"/>
      <c r="LZ87" s="191"/>
      <c r="MA87" s="191"/>
      <c r="MB87" s="191"/>
      <c r="MC87" s="191"/>
      <c r="MD87" s="191">
        <v>100</v>
      </c>
      <c r="ME87" s="191"/>
      <c r="MF87" s="191"/>
      <c r="MG87" s="191"/>
      <c r="MH87" s="191"/>
      <c r="MI87" s="191">
        <v>100</v>
      </c>
      <c r="MJ87" s="191"/>
      <c r="MK87" s="191"/>
      <c r="ML87" s="191"/>
      <c r="MM87" s="191"/>
      <c r="MN87" s="191"/>
      <c r="MO87" s="191"/>
      <c r="MP87" s="191">
        <v>150</v>
      </c>
      <c r="MQ87" s="191"/>
      <c r="MR87" s="191"/>
      <c r="MS87" s="193"/>
      <c r="MT87" s="194"/>
      <c r="MU87" s="191"/>
      <c r="MV87" s="191"/>
      <c r="MW87" s="191"/>
      <c r="MX87" s="191"/>
      <c r="MY87" s="191"/>
      <c r="MZ87" s="191"/>
      <c r="NA87" s="191"/>
      <c r="NB87" s="191"/>
      <c r="NC87" s="191"/>
      <c r="ND87" s="191"/>
      <c r="NE87" s="191">
        <v>150</v>
      </c>
      <c r="NF87" s="191"/>
      <c r="NG87" s="191"/>
      <c r="NH87" s="191"/>
      <c r="NI87" s="191"/>
      <c r="NJ87" s="191"/>
      <c r="NK87" s="191">
        <v>150</v>
      </c>
      <c r="NL87" s="191"/>
      <c r="NM87" s="191"/>
      <c r="NN87" s="191"/>
      <c r="NO87" s="191"/>
      <c r="NP87" s="191"/>
      <c r="NQ87" s="191"/>
      <c r="NR87" s="191">
        <v>100</v>
      </c>
      <c r="NS87" s="191"/>
      <c r="NT87" s="191"/>
      <c r="NU87" s="191"/>
      <c r="NV87" s="191"/>
      <c r="NW87" s="192"/>
      <c r="NX87" s="190"/>
      <c r="NY87" s="191">
        <v>100</v>
      </c>
      <c r="NZ87" s="191"/>
      <c r="OA87" s="191"/>
      <c r="OB87" s="191"/>
      <c r="OC87" s="191"/>
      <c r="OD87" s="191"/>
      <c r="OE87" s="191"/>
      <c r="OF87" s="191">
        <v>100</v>
      </c>
      <c r="OG87" s="191"/>
      <c r="OH87" s="191"/>
      <c r="OI87" s="191"/>
      <c r="OJ87" s="191"/>
      <c r="OK87" s="191"/>
      <c r="OL87" s="191"/>
      <c r="OM87" s="191">
        <v>100</v>
      </c>
      <c r="ON87" s="191"/>
      <c r="OO87" s="191"/>
      <c r="OP87" s="191"/>
      <c r="OQ87" s="191"/>
      <c r="OR87" s="191"/>
      <c r="OS87" s="191"/>
      <c r="OT87" s="191"/>
      <c r="OU87" s="191"/>
      <c r="OV87" s="191"/>
      <c r="OW87" s="191"/>
      <c r="OX87" s="191"/>
      <c r="OY87" s="191"/>
      <c r="OZ87" s="191"/>
      <c r="PA87" s="191"/>
      <c r="PB87" s="193"/>
      <c r="PC87" s="47"/>
      <c r="PD87" s="154" t="s">
        <v>97</v>
      </c>
      <c r="PE87" s="155" t="s">
        <v>98</v>
      </c>
      <c r="PF87" s="155" t="s">
        <v>98</v>
      </c>
      <c r="PG87" s="155" t="s">
        <v>98</v>
      </c>
      <c r="PH87" s="155" t="s">
        <v>98</v>
      </c>
      <c r="PI87" s="155" t="s">
        <v>98</v>
      </c>
      <c r="PJ87" s="155" t="s">
        <v>98</v>
      </c>
      <c r="PK87" s="155" t="s">
        <v>98</v>
      </c>
      <c r="PL87" s="155" t="s">
        <v>98</v>
      </c>
      <c r="PM87" s="155" t="s">
        <v>98</v>
      </c>
      <c r="PN87" s="155" t="s">
        <v>98</v>
      </c>
      <c r="PO87" s="156"/>
      <c r="PP87" s="156"/>
      <c r="PQ87" s="156"/>
      <c r="PR87" s="156"/>
      <c r="PS87" s="156"/>
      <c r="PT87" s="156"/>
      <c r="PU87" s="156"/>
      <c r="PV87" s="156"/>
      <c r="PW87" s="156"/>
      <c r="PX87" s="195"/>
      <c r="PY87" s="1"/>
      <c r="PZ87" s="196">
        <f t="shared" si="73"/>
        <v>460</v>
      </c>
      <c r="QA87" s="176">
        <f t="shared" si="74"/>
        <v>3.8374906148327353E-3</v>
      </c>
      <c r="QB87" s="177" t="str">
        <f t="shared" ca="1" si="75"/>
        <v>Attente…</v>
      </c>
      <c r="QC87" s="197">
        <f t="shared" si="76"/>
        <v>400</v>
      </c>
      <c r="QD87" s="179">
        <f t="shared" si="77"/>
        <v>3.7453183520599251E-3</v>
      </c>
      <c r="QE87" s="180" t="str">
        <f t="shared" ca="1" si="78"/>
        <v>Attente…</v>
      </c>
      <c r="QF87" s="196">
        <f t="shared" si="79"/>
        <v>550</v>
      </c>
      <c r="QG87" s="176">
        <f t="shared" si="80"/>
        <v>4.379678292721771E-3</v>
      </c>
      <c r="QH87" s="177" t="str">
        <f t="shared" ca="1" si="81"/>
        <v>Attente…</v>
      </c>
      <c r="QI87" s="197">
        <f t="shared" si="82"/>
        <v>500</v>
      </c>
      <c r="QJ87" s="179">
        <f t="shared" si="83"/>
        <v>3.5068031982045168E-3</v>
      </c>
      <c r="QK87" s="180" t="str">
        <f t="shared" ca="1" si="84"/>
        <v>Attente…</v>
      </c>
      <c r="QL87" s="196">
        <f t="shared" si="85"/>
        <v>450</v>
      </c>
      <c r="QM87" s="176">
        <f t="shared" si="86"/>
        <v>3.2923617208077262E-3</v>
      </c>
      <c r="QN87" s="177" t="str">
        <f t="shared" ca="1" si="87"/>
        <v>Attente…</v>
      </c>
      <c r="QO87" s="197">
        <f t="shared" si="88"/>
        <v>400</v>
      </c>
      <c r="QP87" s="179">
        <f t="shared" si="89"/>
        <v>3.1316057308384874E-3</v>
      </c>
      <c r="QQ87" s="180" t="str">
        <f t="shared" ca="1" si="90"/>
        <v>Attente…</v>
      </c>
      <c r="QR87" s="196">
        <f t="shared" si="91"/>
        <v>650</v>
      </c>
      <c r="QS87" s="176">
        <f t="shared" si="92"/>
        <v>4.679457182966776E-3</v>
      </c>
      <c r="QT87" s="177" t="str">
        <f t="shared" ca="1" si="93"/>
        <v>Attente…</v>
      </c>
      <c r="QU87" s="197">
        <f t="shared" si="94"/>
        <v>250</v>
      </c>
      <c r="QV87" s="179">
        <f t="shared" si="95"/>
        <v>1.7236624379481523E-3</v>
      </c>
      <c r="QW87" s="180" t="str">
        <f t="shared" ca="1" si="96"/>
        <v>Attente…</v>
      </c>
      <c r="QX87" s="196">
        <f t="shared" si="97"/>
        <v>450</v>
      </c>
      <c r="QY87" s="176">
        <f t="shared" si="98"/>
        <v>3.2838086342275022E-3</v>
      </c>
      <c r="QZ87" s="177" t="str">
        <f t="shared" ca="1" si="99"/>
        <v>Attente…</v>
      </c>
      <c r="RA87" s="197">
        <f t="shared" si="100"/>
        <v>450</v>
      </c>
      <c r="RB87" s="179">
        <f t="shared" si="101"/>
        <v>3.5208512635943978E-3</v>
      </c>
      <c r="RC87" s="180" t="str">
        <f t="shared" ca="1" si="102"/>
        <v>Attente…</v>
      </c>
      <c r="RD87" s="196">
        <f t="shared" si="103"/>
        <v>400</v>
      </c>
      <c r="RE87" s="176">
        <f t="shared" si="104"/>
        <v>3.9856516540454365E-3</v>
      </c>
      <c r="RF87" s="177" t="str">
        <f t="shared" ca="1" si="105"/>
        <v>Attente…</v>
      </c>
      <c r="RG87" s="197">
        <f t="shared" si="106"/>
        <v>300</v>
      </c>
      <c r="RH87" s="179">
        <f t="shared" si="107"/>
        <v>5.5177487585065296E-3</v>
      </c>
      <c r="RI87" s="198" t="str">
        <f t="shared" ca="1" si="108"/>
        <v>Attente…</v>
      </c>
      <c r="RJ87" s="199">
        <f t="shared" si="109"/>
        <v>1410</v>
      </c>
      <c r="RK87" s="200" t="str">
        <f t="shared" ca="1" si="66"/>
        <v>Attente…</v>
      </c>
      <c r="RL87" s="199">
        <f t="shared" si="110"/>
        <v>1350</v>
      </c>
      <c r="RM87" s="200" t="str">
        <f t="shared" ca="1" si="111"/>
        <v>Atttente…</v>
      </c>
      <c r="RN87" s="199">
        <f t="shared" si="112"/>
        <v>1350</v>
      </c>
      <c r="RO87" s="200" t="str">
        <f t="shared" ca="1" si="67"/>
        <v>Attente…</v>
      </c>
      <c r="RP87" s="199">
        <f t="shared" si="113"/>
        <v>1150</v>
      </c>
      <c r="RQ87" s="200" t="str">
        <f t="shared" ca="1" si="68"/>
        <v>Attente…</v>
      </c>
      <c r="RR87" s="201">
        <f t="shared" si="114"/>
        <v>5260</v>
      </c>
      <c r="RS87" s="202" t="str">
        <f t="shared" ca="1" si="69"/>
        <v>Attente…</v>
      </c>
      <c r="RT87" s="103"/>
      <c r="RU87" s="203">
        <f t="shared" si="115"/>
        <v>0.58444444444444443</v>
      </c>
      <c r="RV87" s="204">
        <f t="shared" si="118"/>
        <v>1</v>
      </c>
      <c r="RW87" s="204">
        <f t="shared" si="118"/>
        <v>1</v>
      </c>
      <c r="RX87" s="204">
        <f t="shared" si="116"/>
        <v>45</v>
      </c>
      <c r="RY87" s="205" t="str">
        <f t="shared" si="117"/>
        <v>SAINTE-MARGUERITE-SUR-DUCLAIR - 14 Route de Saint Paër (Parking)</v>
      </c>
      <c r="RZ87" s="189" t="str">
        <f>IF(OR(RZ86="",RZ86="  &lt;/Document&gt;
&lt;/kml&gt;"),"",
IF(B87="","  &lt;/Document&gt;
&lt;/kml&gt;",
IF(TournéesCAV!Q87=""," ",
"    &lt;Placemark&gt;
      &lt;description&gt;&lt;![CDATA["&amp;B87&amp;"&lt;br&gt;&lt;br&gt;"&amp;RV87&amp;" CAV&lt;br&gt;&lt;br&gt;Présent sur "&amp;RW87&amp;" tournée(s)&lt;br&gt;&lt;br&gt;Taux de remplissage moyen "&amp;TEXT(RU87*1000,"0 %")&amp;"]]&gt;&lt;/description&gt;
      &lt;Style&gt;
        &lt;IconStyle&gt;
          &lt;color&gt;ff"&amp;
          DEC2HEX(0,2)&amp;
          DEC2HEX(
            IF(RU87&lt;=0.5,
               INT(255*(RU87*2)),
               255
            ),2)&amp;
          DEC2HEX(
            IF(RU87&lt;=0.5,
               255,
               INT(255*(1-(RU87-0.5)*2))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&lt;Point&gt;&lt;coordinates&gt;"&amp;R87&amp;","&amp;Q87&amp;",0&lt;/coordinates&gt;&lt;/Point&gt;
    &lt;/Placemark&gt;"
)))</f>
        <v xml:space="preserve">    &lt;Placemark&gt;
      &lt;description&gt;&lt;![CDATA[SAINTE-MARGUERITE-SUR-DUCLAIR - 14 Route de Saint Paër (Parking)&lt;br&gt;&lt;br&gt;1 CAV&lt;br&gt;&lt;br&gt;Présent sur 1 tournée(s)&lt;br&gt;&lt;br&gt;Taux de remplissage moyen 58%]]&gt;&lt;/description&gt;
      &lt;Style&gt;
        &lt;IconStyle&gt;
          &lt;color&gt;ff00FFD3&lt;/color&gt;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&lt;Point&gt;&lt;coordinates&gt;0.8399526,49.508078,0&lt;/coordinates&gt;&lt;/Point&gt;
    &lt;/Placemark&gt;</v>
      </c>
    </row>
    <row r="88" spans="2:494" ht="15" hidden="1" customHeight="1" x14ac:dyDescent="0.35">
      <c r="B88" s="153" t="str">
        <f t="shared" si="70"/>
        <v>LE PETIT-QUEVILLY - 438 Chemin du Gord (Déchetterie - 9h / 12h - 14h 17h00)</v>
      </c>
      <c r="C88" s="154">
        <v>13</v>
      </c>
      <c r="D88" s="155" t="s">
        <v>104</v>
      </c>
      <c r="E88" s="155"/>
      <c r="F88" s="155"/>
      <c r="G88" s="155"/>
      <c r="H88" s="155"/>
      <c r="I88" s="155"/>
      <c r="J88" s="156"/>
      <c r="K88" s="157">
        <f t="shared" si="71"/>
        <v>2</v>
      </c>
      <c r="L88" s="157">
        <f t="shared" si="72"/>
        <v>2</v>
      </c>
      <c r="M88" s="158" t="s">
        <v>527</v>
      </c>
      <c r="N88" s="159" t="s">
        <v>528</v>
      </c>
      <c r="O88" s="159">
        <v>76140</v>
      </c>
      <c r="P88" s="159" t="s">
        <v>169</v>
      </c>
      <c r="Q88" s="159" t="s">
        <v>529</v>
      </c>
      <c r="R88" s="159" t="s">
        <v>530</v>
      </c>
      <c r="S88" s="159" t="s">
        <v>93</v>
      </c>
      <c r="T88" s="159" t="s">
        <v>159</v>
      </c>
      <c r="U88" s="159" t="s">
        <v>531</v>
      </c>
      <c r="V88" s="160" t="s">
        <v>96</v>
      </c>
      <c r="W88" s="161"/>
      <c r="X88" s="162"/>
      <c r="Y88" s="163">
        <v>9</v>
      </c>
      <c r="Z88" s="162">
        <v>6</v>
      </c>
      <c r="AA88" s="163"/>
      <c r="AB88" s="162"/>
      <c r="AC88" s="163"/>
      <c r="AD88" s="162"/>
      <c r="AE88" s="163"/>
      <c r="AF88" s="162"/>
      <c r="AG88" s="163"/>
      <c r="AH88" s="163"/>
      <c r="AI88" s="162"/>
      <c r="AJ88" s="163"/>
      <c r="AK88" s="162"/>
      <c r="AL88" s="163"/>
      <c r="AM88" s="162"/>
      <c r="AN88" s="163"/>
      <c r="AO88" s="162"/>
      <c r="AP88" s="164"/>
      <c r="AQ88" s="164"/>
      <c r="AR88" s="164"/>
      <c r="AS88" s="164"/>
      <c r="AT88" s="164"/>
      <c r="AU88" s="164"/>
      <c r="AV88" s="164"/>
      <c r="AW88" s="164"/>
      <c r="AX88" s="164"/>
      <c r="AY88" s="165"/>
      <c r="AZ88" s="41"/>
      <c r="BA88" s="190"/>
      <c r="BB88" s="191"/>
      <c r="BC88" s="191"/>
      <c r="BD88" s="191"/>
      <c r="BE88" s="191"/>
      <c r="BF88" s="191"/>
      <c r="BG88" s="191"/>
      <c r="BH88" s="191"/>
      <c r="BI88" s="191">
        <v>150</v>
      </c>
      <c r="BJ88" s="191"/>
      <c r="BK88" s="191"/>
      <c r="BL88" s="191"/>
      <c r="BM88" s="191"/>
      <c r="BN88" s="191"/>
      <c r="BO88" s="191"/>
      <c r="BP88" s="191">
        <v>200</v>
      </c>
      <c r="BQ88" s="191"/>
      <c r="BR88" s="191"/>
      <c r="BS88" s="191"/>
      <c r="BT88" s="191">
        <v>100</v>
      </c>
      <c r="BU88" s="191"/>
      <c r="BV88" s="191"/>
      <c r="BW88" s="191">
        <v>50</v>
      </c>
      <c r="BX88" s="191"/>
      <c r="BY88" s="191"/>
      <c r="BZ88" s="191"/>
      <c r="CA88" s="191"/>
      <c r="CB88" s="191"/>
      <c r="CC88" s="191"/>
      <c r="CD88" s="191">
        <v>50</v>
      </c>
      <c r="CE88" s="192"/>
      <c r="CF88" s="190"/>
      <c r="CG88" s="191"/>
      <c r="CH88" s="191">
        <v>100</v>
      </c>
      <c r="CI88" s="191"/>
      <c r="CJ88" s="191"/>
      <c r="CK88" s="191">
        <v>50</v>
      </c>
      <c r="CL88" s="191"/>
      <c r="CM88" s="191"/>
      <c r="CN88" s="191"/>
      <c r="CO88" s="191"/>
      <c r="CP88" s="191"/>
      <c r="CQ88" s="191"/>
      <c r="CR88" s="191"/>
      <c r="CS88" s="191"/>
      <c r="CT88" s="191"/>
      <c r="CU88" s="191"/>
      <c r="CV88" s="191">
        <v>200</v>
      </c>
      <c r="CW88" s="191"/>
      <c r="CX88" s="191"/>
      <c r="CY88" s="191">
        <v>150</v>
      </c>
      <c r="CZ88" s="191"/>
      <c r="DA88" s="191"/>
      <c r="DB88" s="191"/>
      <c r="DC88" s="191">
        <v>150</v>
      </c>
      <c r="DD88" s="191"/>
      <c r="DE88" s="191"/>
      <c r="DF88" s="191">
        <v>50</v>
      </c>
      <c r="DG88" s="191"/>
      <c r="DH88" s="193"/>
      <c r="DI88" s="194"/>
      <c r="DJ88" s="191"/>
      <c r="DK88" s="191">
        <v>150</v>
      </c>
      <c r="DL88" s="191"/>
      <c r="DM88" s="191"/>
      <c r="DN88" s="191">
        <v>50</v>
      </c>
      <c r="DO88" s="191"/>
      <c r="DP88" s="191"/>
      <c r="DQ88" s="191"/>
      <c r="DR88" s="191">
        <v>100</v>
      </c>
      <c r="DS88" s="191"/>
      <c r="DT88" s="191"/>
      <c r="DU88" s="191">
        <v>100</v>
      </c>
      <c r="DV88" s="191"/>
      <c r="DW88" s="191"/>
      <c r="DX88" s="191"/>
      <c r="DY88" s="191">
        <v>50</v>
      </c>
      <c r="DZ88" s="191"/>
      <c r="EA88" s="191"/>
      <c r="EB88" s="191">
        <v>200</v>
      </c>
      <c r="EC88" s="191"/>
      <c r="ED88" s="191"/>
      <c r="EE88" s="191"/>
      <c r="EF88" s="191">
        <v>150</v>
      </c>
      <c r="EG88" s="191"/>
      <c r="EH88" s="191"/>
      <c r="EI88" s="191">
        <v>100</v>
      </c>
      <c r="EJ88" s="191"/>
      <c r="EK88" s="191"/>
      <c r="EL88" s="191"/>
      <c r="EM88" s="192">
        <v>100</v>
      </c>
      <c r="EN88" s="190"/>
      <c r="EO88" s="191"/>
      <c r="EP88" s="191">
        <v>150</v>
      </c>
      <c r="EQ88" s="191"/>
      <c r="ER88" s="191"/>
      <c r="ES88" s="191"/>
      <c r="ET88" s="191">
        <v>100</v>
      </c>
      <c r="EU88" s="191"/>
      <c r="EV88" s="191"/>
      <c r="EW88" s="191">
        <v>100</v>
      </c>
      <c r="EX88" s="191"/>
      <c r="EY88" s="191"/>
      <c r="EZ88" s="191"/>
      <c r="FA88" s="191">
        <v>150</v>
      </c>
      <c r="FB88" s="191"/>
      <c r="FC88" s="191"/>
      <c r="FD88" s="191">
        <v>200</v>
      </c>
      <c r="FE88" s="191"/>
      <c r="FF88" s="191"/>
      <c r="FG88" s="191"/>
      <c r="FH88" s="191"/>
      <c r="FI88" s="191">
        <v>100</v>
      </c>
      <c r="FJ88" s="191"/>
      <c r="FK88" s="191"/>
      <c r="FL88" s="191"/>
      <c r="FM88" s="191"/>
      <c r="FN88" s="191"/>
      <c r="FO88" s="191">
        <v>200</v>
      </c>
      <c r="FP88" s="191"/>
      <c r="FQ88" s="193"/>
      <c r="FR88" s="194"/>
      <c r="FS88" s="191"/>
      <c r="FT88" s="191"/>
      <c r="FU88" s="191"/>
      <c r="FV88" s="191">
        <v>200</v>
      </c>
      <c r="FW88" s="191"/>
      <c r="FX88" s="191"/>
      <c r="FY88" s="191"/>
      <c r="FZ88" s="191"/>
      <c r="GA88" s="191"/>
      <c r="GB88" s="191"/>
      <c r="GC88" s="191"/>
      <c r="GD88" s="191"/>
      <c r="GE88" s="191"/>
      <c r="GF88" s="191">
        <v>200</v>
      </c>
      <c r="GG88" s="191"/>
      <c r="GH88" s="191"/>
      <c r="GI88" s="191"/>
      <c r="GJ88" s="191">
        <v>50</v>
      </c>
      <c r="GK88" s="191"/>
      <c r="GL88" s="191"/>
      <c r="GM88" s="191">
        <v>150</v>
      </c>
      <c r="GN88" s="191"/>
      <c r="GO88" s="191"/>
      <c r="GP88" s="191"/>
      <c r="GQ88" s="191">
        <v>150</v>
      </c>
      <c r="GR88" s="191"/>
      <c r="GS88" s="191"/>
      <c r="GT88" s="191"/>
      <c r="GU88" s="191"/>
      <c r="GV88" s="192"/>
      <c r="GW88" s="190"/>
      <c r="GX88" s="191">
        <v>200</v>
      </c>
      <c r="GY88" s="191"/>
      <c r="GZ88" s="191"/>
      <c r="HA88" s="191">
        <v>50</v>
      </c>
      <c r="HB88" s="191"/>
      <c r="HC88" s="191"/>
      <c r="HD88" s="191"/>
      <c r="HE88" s="191"/>
      <c r="HF88" s="191"/>
      <c r="HG88" s="191">
        <v>50</v>
      </c>
      <c r="HH88" s="191"/>
      <c r="HI88" s="191"/>
      <c r="HJ88" s="191"/>
      <c r="HK88" s="191"/>
      <c r="HL88" s="191"/>
      <c r="HM88" s="191"/>
      <c r="HN88" s="191"/>
      <c r="HO88" s="191"/>
      <c r="HP88" s="191"/>
      <c r="HQ88" s="191"/>
      <c r="HR88" s="191"/>
      <c r="HS88" s="191"/>
      <c r="HT88" s="191">
        <v>150</v>
      </c>
      <c r="HU88" s="191"/>
      <c r="HV88" s="191">
        <v>100</v>
      </c>
      <c r="HW88" s="191"/>
      <c r="HX88" s="191"/>
      <c r="HY88" s="191"/>
      <c r="HZ88" s="193">
        <v>100</v>
      </c>
      <c r="IA88" s="194"/>
      <c r="IB88" s="191"/>
      <c r="IC88" s="191">
        <v>100</v>
      </c>
      <c r="ID88" s="191"/>
      <c r="IE88" s="191"/>
      <c r="IF88" s="191"/>
      <c r="IG88" s="191">
        <v>150</v>
      </c>
      <c r="IH88" s="191"/>
      <c r="II88" s="191"/>
      <c r="IJ88" s="191">
        <v>50</v>
      </c>
      <c r="IK88" s="191"/>
      <c r="IL88" s="191"/>
      <c r="IM88" s="191"/>
      <c r="IN88" s="191">
        <v>200</v>
      </c>
      <c r="IO88" s="191"/>
      <c r="IP88" s="191"/>
      <c r="IQ88" s="191"/>
      <c r="IR88" s="191"/>
      <c r="IS88" s="191"/>
      <c r="IT88" s="191"/>
      <c r="IU88" s="191">
        <v>200</v>
      </c>
      <c r="IV88" s="191"/>
      <c r="IW88" s="191"/>
      <c r="IX88" s="191">
        <v>200</v>
      </c>
      <c r="IY88" s="191"/>
      <c r="IZ88" s="191"/>
      <c r="JA88" s="191"/>
      <c r="JB88" s="191"/>
      <c r="JC88" s="191"/>
      <c r="JD88" s="191"/>
      <c r="JE88" s="192">
        <v>100</v>
      </c>
      <c r="JF88" s="190"/>
      <c r="JG88" s="191"/>
      <c r="JH88" s="191"/>
      <c r="JI88" s="191">
        <v>200</v>
      </c>
      <c r="JJ88" s="191"/>
      <c r="JK88" s="191"/>
      <c r="JL88" s="191">
        <v>150</v>
      </c>
      <c r="JM88" s="191"/>
      <c r="JN88" s="191"/>
      <c r="JO88" s="191"/>
      <c r="JP88" s="191"/>
      <c r="JQ88" s="191"/>
      <c r="JR88" s="191">
        <v>200</v>
      </c>
      <c r="JS88" s="191"/>
      <c r="JT88" s="191"/>
      <c r="JU88" s="191"/>
      <c r="JV88" s="191"/>
      <c r="JW88" s="191">
        <v>200</v>
      </c>
      <c r="JX88" s="191"/>
      <c r="JY88" s="191"/>
      <c r="JZ88" s="191">
        <v>150</v>
      </c>
      <c r="KA88" s="191"/>
      <c r="KB88" s="191"/>
      <c r="KC88" s="191"/>
      <c r="KD88" s="191"/>
      <c r="KE88" s="191"/>
      <c r="KF88" s="191">
        <v>150</v>
      </c>
      <c r="KG88" s="191">
        <v>50</v>
      </c>
      <c r="KH88" s="191"/>
      <c r="KI88" s="191"/>
      <c r="KJ88" s="193"/>
      <c r="KK88" s="194"/>
      <c r="KL88" s="191"/>
      <c r="KM88" s="191"/>
      <c r="KN88" s="191">
        <v>200</v>
      </c>
      <c r="KO88" s="191"/>
      <c r="KP88" s="191"/>
      <c r="KQ88" s="191"/>
      <c r="KR88" s="191"/>
      <c r="KS88" s="191"/>
      <c r="KT88" s="191"/>
      <c r="KU88" s="191"/>
      <c r="KV88" s="191"/>
      <c r="KW88" s="191"/>
      <c r="KX88" s="191"/>
      <c r="KY88" s="191"/>
      <c r="KZ88" s="191"/>
      <c r="LA88" s="191"/>
      <c r="LB88" s="191">
        <v>200</v>
      </c>
      <c r="LC88" s="191"/>
      <c r="LD88" s="191"/>
      <c r="LE88" s="191"/>
      <c r="LF88" s="191">
        <v>200</v>
      </c>
      <c r="LG88" s="191"/>
      <c r="LH88" s="191"/>
      <c r="LI88" s="191">
        <v>50</v>
      </c>
      <c r="LJ88" s="191"/>
      <c r="LK88" s="191"/>
      <c r="LL88" s="191"/>
      <c r="LM88" s="191"/>
      <c r="LN88" s="192"/>
      <c r="LO88" s="190"/>
      <c r="LP88" s="191">
        <v>200</v>
      </c>
      <c r="LQ88" s="191"/>
      <c r="LR88" s="191"/>
      <c r="LS88" s="191"/>
      <c r="LT88" s="191">
        <v>50</v>
      </c>
      <c r="LU88" s="191"/>
      <c r="LV88" s="191"/>
      <c r="LW88" s="191">
        <v>150</v>
      </c>
      <c r="LX88" s="191"/>
      <c r="LY88" s="191"/>
      <c r="LZ88" s="191"/>
      <c r="MA88" s="191">
        <v>50</v>
      </c>
      <c r="MB88" s="191"/>
      <c r="MC88" s="191"/>
      <c r="MD88" s="191">
        <v>10</v>
      </c>
      <c r="ME88" s="191"/>
      <c r="MF88" s="191"/>
      <c r="MG88" s="191"/>
      <c r="MH88" s="191">
        <v>150</v>
      </c>
      <c r="MI88" s="191"/>
      <c r="MJ88" s="191"/>
      <c r="MK88" s="191">
        <v>150</v>
      </c>
      <c r="ML88" s="191"/>
      <c r="MM88" s="191"/>
      <c r="MN88" s="191"/>
      <c r="MO88" s="191">
        <v>200</v>
      </c>
      <c r="MP88" s="191"/>
      <c r="MQ88" s="191"/>
      <c r="MR88" s="191">
        <v>300</v>
      </c>
      <c r="MS88" s="193"/>
      <c r="MT88" s="194"/>
      <c r="MU88" s="191"/>
      <c r="MV88" s="191">
        <v>20</v>
      </c>
      <c r="MW88" s="191"/>
      <c r="MX88" s="191"/>
      <c r="MY88" s="191">
        <v>400</v>
      </c>
      <c r="MZ88" s="191"/>
      <c r="NA88" s="191"/>
      <c r="NB88" s="191"/>
      <c r="NC88" s="191">
        <v>250</v>
      </c>
      <c r="ND88" s="191"/>
      <c r="NE88" s="191"/>
      <c r="NF88" s="191"/>
      <c r="NG88" s="191"/>
      <c r="NH88" s="191"/>
      <c r="NI88" s="191"/>
      <c r="NJ88" s="191">
        <v>200</v>
      </c>
      <c r="NK88" s="191"/>
      <c r="NL88" s="191"/>
      <c r="NM88" s="191"/>
      <c r="NN88" s="191"/>
      <c r="NO88" s="191"/>
      <c r="NP88" s="191"/>
      <c r="NQ88" s="191">
        <v>100</v>
      </c>
      <c r="NR88" s="191"/>
      <c r="NS88" s="191"/>
      <c r="NT88" s="191">
        <v>100</v>
      </c>
      <c r="NU88" s="191"/>
      <c r="NV88" s="191"/>
      <c r="NW88" s="192"/>
      <c r="NX88" s="190">
        <v>100</v>
      </c>
      <c r="NY88" s="191"/>
      <c r="NZ88" s="191"/>
      <c r="OA88" s="191">
        <v>100</v>
      </c>
      <c r="OB88" s="191"/>
      <c r="OC88" s="191"/>
      <c r="OD88" s="191"/>
      <c r="OE88" s="191">
        <v>200</v>
      </c>
      <c r="OF88" s="191"/>
      <c r="OG88" s="191"/>
      <c r="OH88" s="191">
        <v>20</v>
      </c>
      <c r="OI88" s="191"/>
      <c r="OJ88" s="191"/>
      <c r="OK88" s="191"/>
      <c r="OL88" s="191">
        <v>400</v>
      </c>
      <c r="OM88" s="191"/>
      <c r="ON88" s="191"/>
      <c r="OO88" s="191">
        <v>400</v>
      </c>
      <c r="OP88" s="191"/>
      <c r="OQ88" s="191"/>
      <c r="OR88" s="191"/>
      <c r="OS88" s="191"/>
      <c r="OT88" s="191"/>
      <c r="OU88" s="191"/>
      <c r="OV88" s="191"/>
      <c r="OW88" s="191"/>
      <c r="OX88" s="191"/>
      <c r="OY88" s="191"/>
      <c r="OZ88" s="191"/>
      <c r="PA88" s="191"/>
      <c r="PB88" s="193"/>
      <c r="PC88" s="47"/>
      <c r="PD88" s="154" t="s">
        <v>97</v>
      </c>
      <c r="PE88" s="155" t="s">
        <v>97</v>
      </c>
      <c r="PF88" s="155" t="s">
        <v>98</v>
      </c>
      <c r="PG88" s="155" t="s">
        <v>98</v>
      </c>
      <c r="PH88" s="155" t="s">
        <v>98</v>
      </c>
      <c r="PI88" s="155" t="s">
        <v>98</v>
      </c>
      <c r="PJ88" s="155" t="s">
        <v>98</v>
      </c>
      <c r="PK88" s="155" t="s">
        <v>98</v>
      </c>
      <c r="PL88" s="155" t="s">
        <v>98</v>
      </c>
      <c r="PM88" s="155" t="s">
        <v>98</v>
      </c>
      <c r="PN88" s="155" t="s">
        <v>98</v>
      </c>
      <c r="PO88" s="156"/>
      <c r="PP88" s="156"/>
      <c r="PQ88" s="156"/>
      <c r="PR88" s="156"/>
      <c r="PS88" s="156"/>
      <c r="PT88" s="156"/>
      <c r="PU88" s="156"/>
      <c r="PV88" s="156"/>
      <c r="PW88" s="156"/>
      <c r="PX88" s="195"/>
      <c r="PY88" s="1"/>
      <c r="PZ88" s="196">
        <f t="shared" si="73"/>
        <v>550</v>
      </c>
      <c r="QA88" s="176">
        <f t="shared" si="74"/>
        <v>4.588303995995662E-3</v>
      </c>
      <c r="QB88" s="177" t="str">
        <f t="shared" ca="1" si="75"/>
        <v>Attente…</v>
      </c>
      <c r="QC88" s="197">
        <f t="shared" si="76"/>
        <v>700</v>
      </c>
      <c r="QD88" s="179">
        <f t="shared" si="77"/>
        <v>6.5543071161048693E-3</v>
      </c>
      <c r="QE88" s="180" t="str">
        <f t="shared" ca="1" si="78"/>
        <v>Attente…</v>
      </c>
      <c r="QF88" s="196">
        <f t="shared" si="79"/>
        <v>1000</v>
      </c>
      <c r="QG88" s="176">
        <f t="shared" si="80"/>
        <v>7.9630514413123101E-3</v>
      </c>
      <c r="QH88" s="177" t="str">
        <f t="shared" ca="1" si="81"/>
        <v>Attente…</v>
      </c>
      <c r="QI88" s="197">
        <f t="shared" si="82"/>
        <v>1000</v>
      </c>
      <c r="QJ88" s="179">
        <f t="shared" si="83"/>
        <v>7.0136063964090336E-3</v>
      </c>
      <c r="QK88" s="180" t="str">
        <f t="shared" ca="1" si="84"/>
        <v>Attente…</v>
      </c>
      <c r="QL88" s="196">
        <f t="shared" si="85"/>
        <v>750</v>
      </c>
      <c r="QM88" s="176">
        <f t="shared" si="86"/>
        <v>5.4872695346795432E-3</v>
      </c>
      <c r="QN88" s="177" t="str">
        <f t="shared" ca="1" si="87"/>
        <v>Attente…</v>
      </c>
      <c r="QO88" s="197">
        <f t="shared" si="88"/>
        <v>650</v>
      </c>
      <c r="QP88" s="179">
        <f t="shared" si="89"/>
        <v>5.088859312612542E-3</v>
      </c>
      <c r="QQ88" s="180" t="str">
        <f t="shared" ca="1" si="90"/>
        <v>Attente…</v>
      </c>
      <c r="QR88" s="196">
        <f t="shared" si="91"/>
        <v>1000</v>
      </c>
      <c r="QS88" s="176">
        <f t="shared" si="92"/>
        <v>7.1991648968719631E-3</v>
      </c>
      <c r="QT88" s="177" t="str">
        <f t="shared" ca="1" si="93"/>
        <v>Attente…</v>
      </c>
      <c r="QU88" s="197">
        <f t="shared" si="94"/>
        <v>1100</v>
      </c>
      <c r="QV88" s="179">
        <f t="shared" si="95"/>
        <v>7.5841147269718702E-3</v>
      </c>
      <c r="QW88" s="180" t="str">
        <f t="shared" ca="1" si="96"/>
        <v>Attente…</v>
      </c>
      <c r="QX88" s="196">
        <f t="shared" si="97"/>
        <v>650</v>
      </c>
      <c r="QY88" s="176">
        <f t="shared" si="98"/>
        <v>4.7432791383286146E-3</v>
      </c>
      <c r="QZ88" s="177" t="str">
        <f t="shared" ca="1" si="99"/>
        <v>Attente…</v>
      </c>
      <c r="RA88" s="197">
        <f t="shared" si="100"/>
        <v>1260</v>
      </c>
      <c r="RB88" s="179">
        <f t="shared" si="101"/>
        <v>9.8583835380643137E-3</v>
      </c>
      <c r="RC88" s="180" t="str">
        <f t="shared" ca="1" si="102"/>
        <v>Attente…</v>
      </c>
      <c r="RD88" s="196">
        <f t="shared" si="103"/>
        <v>1070</v>
      </c>
      <c r="RE88" s="176">
        <f t="shared" si="104"/>
        <v>1.0661618174571542E-2</v>
      </c>
      <c r="RF88" s="177" t="str">
        <f t="shared" ca="1" si="105"/>
        <v>Attente…</v>
      </c>
      <c r="RG88" s="197">
        <f t="shared" si="106"/>
        <v>1220</v>
      </c>
      <c r="RH88" s="179">
        <f t="shared" si="107"/>
        <v>2.2438844951259886E-2</v>
      </c>
      <c r="RI88" s="198" t="str">
        <f t="shared" ca="1" si="108"/>
        <v>Attente…</v>
      </c>
      <c r="RJ88" s="199">
        <f t="shared" si="109"/>
        <v>2250</v>
      </c>
      <c r="RK88" s="200" t="str">
        <f t="shared" ca="1" si="66"/>
        <v>Attente…</v>
      </c>
      <c r="RL88" s="199">
        <f t="shared" si="110"/>
        <v>2400</v>
      </c>
      <c r="RM88" s="200" t="str">
        <f t="shared" ca="1" si="111"/>
        <v>Atttente…</v>
      </c>
      <c r="RN88" s="199">
        <f t="shared" si="112"/>
        <v>2750</v>
      </c>
      <c r="RO88" s="200" t="str">
        <f t="shared" ca="1" si="67"/>
        <v>Attente…</v>
      </c>
      <c r="RP88" s="199">
        <f t="shared" si="113"/>
        <v>3550</v>
      </c>
      <c r="RQ88" s="200" t="str">
        <f t="shared" ca="1" si="68"/>
        <v>Attente…</v>
      </c>
      <c r="RR88" s="201">
        <f t="shared" si="114"/>
        <v>10950</v>
      </c>
      <c r="RS88" s="202" t="str">
        <f t="shared" ca="1" si="69"/>
        <v>Attente…</v>
      </c>
      <c r="RT88" s="103"/>
      <c r="RU88" s="203">
        <f t="shared" si="115"/>
        <v>0.35551948051948051</v>
      </c>
      <c r="RV88" s="204">
        <f t="shared" si="118"/>
        <v>2</v>
      </c>
      <c r="RW88" s="204">
        <f t="shared" si="118"/>
        <v>2</v>
      </c>
      <c r="RX88" s="204">
        <f t="shared" si="116"/>
        <v>77</v>
      </c>
      <c r="RY88" s="205" t="str">
        <f t="shared" si="117"/>
        <v>LE PETIT-QUEVILLY - 438 Chemin du Gord (Déchetterie - 9h / 12h - 14h 17h00)</v>
      </c>
      <c r="RZ88" s="189" t="str">
        <f>IF(OR(RZ87="",RZ87="  &lt;/Document&gt;
&lt;/kml&gt;"),"",
IF(B88="","  &lt;/Document&gt;
&lt;/kml&gt;",
IF(TournéesCAV!Q88=""," ",
"    &lt;Placemark&gt;
      &lt;description&gt;&lt;![CDATA["&amp;B88&amp;"&lt;br&gt;&lt;br&gt;"&amp;RV88&amp;" CAV&lt;br&gt;&lt;br&gt;Présent sur "&amp;RW88&amp;" tournée(s)&lt;br&gt;&lt;br&gt;Taux de remplissage moyen "&amp;TEXT(RU88*1000,"0 %")&amp;"]]&gt;&lt;/description&gt;
      &lt;Style&gt;
        &lt;IconStyle&gt;
          &lt;color&gt;ff"&amp;
          DEC2HEX(0,2)&amp;
          DEC2HEX(
            IF(RU88&lt;=0.5,
               INT(255*(RU88*2)),
               255
            ),2)&amp;
          DEC2HEX(
            IF(RU88&lt;=0.5,
               255,
               INT(255*(1-(RU88-0.5)*2))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&lt;Point&gt;&lt;coordinates&gt;"&amp;R88&amp;","&amp;Q88&amp;",0&lt;/coordinates&gt;&lt;/Point&gt;
    &lt;/Placemark&gt;"
)))</f>
        <v xml:space="preserve">    &lt;Placemark&gt;
      &lt;description&gt;&lt;![CDATA[LE PETIT-QUEVILLY - 438 Chemin du Gord (Déchetterie - 9h / 12h - 14h 17h00)&lt;br&gt;&lt;br&gt;2 CAV&lt;br&gt;&lt;br&gt;Présent sur 2 tournée(s)&lt;br&gt;&lt;br&gt;Taux de remplissage moyen 36%]]&gt;&lt;/description&gt;
      &lt;Style&gt;
        &lt;IconStyle&gt;
          &lt;color&gt;ff00B5FF&lt;/color&gt;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&lt;Point&gt;&lt;coordinates&gt;1.038447,49.4266815,0&lt;/coordinates&gt;&lt;/Point&gt;
    &lt;/Placemark&gt;</v>
      </c>
    </row>
    <row r="89" spans="2:494" ht="15" hidden="1" customHeight="1" x14ac:dyDescent="0.35">
      <c r="B89" s="153" t="str">
        <f t="shared" si="70"/>
        <v>ROUEN - 238 Rue Saint Julien (Angle Rue Jacquard)</v>
      </c>
      <c r="C89" s="154">
        <v>112</v>
      </c>
      <c r="D89" s="155"/>
      <c r="E89" s="155"/>
      <c r="F89" s="155"/>
      <c r="G89" s="155"/>
      <c r="H89" s="155"/>
      <c r="I89" s="155"/>
      <c r="J89" s="156"/>
      <c r="K89" s="157">
        <f t="shared" si="71"/>
        <v>1</v>
      </c>
      <c r="L89" s="157">
        <f t="shared" si="72"/>
        <v>2</v>
      </c>
      <c r="M89" s="158" t="s">
        <v>532</v>
      </c>
      <c r="N89" s="159" t="s">
        <v>533</v>
      </c>
      <c r="O89" s="159">
        <v>76000</v>
      </c>
      <c r="P89" s="159" t="s">
        <v>90</v>
      </c>
      <c r="Q89" s="159" t="s">
        <v>534</v>
      </c>
      <c r="R89" s="159" t="s">
        <v>535</v>
      </c>
      <c r="S89" s="159" t="s">
        <v>93</v>
      </c>
      <c r="T89" s="159" t="s">
        <v>94</v>
      </c>
      <c r="U89" s="159" t="s">
        <v>536</v>
      </c>
      <c r="V89" s="160" t="s">
        <v>96</v>
      </c>
      <c r="W89" s="161"/>
      <c r="X89" s="162"/>
      <c r="Y89" s="163">
        <v>6</v>
      </c>
      <c r="Z89" s="162">
        <v>7</v>
      </c>
      <c r="AA89" s="163"/>
      <c r="AB89" s="162"/>
      <c r="AC89" s="163"/>
      <c r="AD89" s="162"/>
      <c r="AE89" s="163"/>
      <c r="AF89" s="162"/>
      <c r="AG89" s="163"/>
      <c r="AH89" s="163"/>
      <c r="AI89" s="162"/>
      <c r="AJ89" s="163"/>
      <c r="AK89" s="162"/>
      <c r="AL89" s="163"/>
      <c r="AM89" s="162"/>
      <c r="AN89" s="163"/>
      <c r="AO89" s="162"/>
      <c r="AP89" s="164"/>
      <c r="AQ89" s="164"/>
      <c r="AR89" s="164"/>
      <c r="AS89" s="164"/>
      <c r="AT89" s="164"/>
      <c r="AU89" s="164"/>
      <c r="AV89" s="164"/>
      <c r="AW89" s="164"/>
      <c r="AX89" s="164"/>
      <c r="AY89" s="165"/>
      <c r="AZ89" s="41"/>
      <c r="BA89" s="190"/>
      <c r="BB89" s="191"/>
      <c r="BC89" s="191"/>
      <c r="BD89" s="191"/>
      <c r="BE89" s="191"/>
      <c r="BF89" s="191">
        <v>200</v>
      </c>
      <c r="BG89" s="191"/>
      <c r="BH89" s="191"/>
      <c r="BI89" s="191">
        <v>10</v>
      </c>
      <c r="BJ89" s="191"/>
      <c r="BK89" s="191"/>
      <c r="BL89" s="191"/>
      <c r="BM89" s="191"/>
      <c r="BN89" s="191"/>
      <c r="BO89" s="191"/>
      <c r="BP89" s="191">
        <v>150</v>
      </c>
      <c r="BQ89" s="191"/>
      <c r="BR89" s="191"/>
      <c r="BS89" s="191"/>
      <c r="BT89" s="191">
        <v>200</v>
      </c>
      <c r="BU89" s="191"/>
      <c r="BV89" s="191"/>
      <c r="BW89" s="191">
        <v>50</v>
      </c>
      <c r="BX89" s="191"/>
      <c r="BY89" s="191"/>
      <c r="BZ89" s="191"/>
      <c r="CA89" s="191"/>
      <c r="CB89" s="191"/>
      <c r="CC89" s="191"/>
      <c r="CD89" s="191">
        <v>100</v>
      </c>
      <c r="CE89" s="192"/>
      <c r="CF89" s="190"/>
      <c r="CG89" s="191"/>
      <c r="CH89" s="191">
        <v>100</v>
      </c>
      <c r="CI89" s="191"/>
      <c r="CJ89" s="191"/>
      <c r="CK89" s="191">
        <v>50</v>
      </c>
      <c r="CL89" s="191"/>
      <c r="CM89" s="191"/>
      <c r="CN89" s="191"/>
      <c r="CO89" s="191">
        <v>100</v>
      </c>
      <c r="CP89" s="191"/>
      <c r="CQ89" s="191"/>
      <c r="CR89" s="191">
        <v>50</v>
      </c>
      <c r="CS89" s="191"/>
      <c r="CT89" s="191"/>
      <c r="CU89" s="191"/>
      <c r="CV89" s="191">
        <v>10</v>
      </c>
      <c r="CW89" s="191"/>
      <c r="CX89" s="191"/>
      <c r="CY89" s="191">
        <v>50</v>
      </c>
      <c r="CZ89" s="191"/>
      <c r="DA89" s="191"/>
      <c r="DB89" s="191"/>
      <c r="DC89" s="191">
        <v>150</v>
      </c>
      <c r="DD89" s="191"/>
      <c r="DE89" s="191"/>
      <c r="DF89" s="191">
        <v>50</v>
      </c>
      <c r="DG89" s="191"/>
      <c r="DH89" s="193"/>
      <c r="DI89" s="194"/>
      <c r="DJ89" s="191"/>
      <c r="DK89" s="191">
        <v>200</v>
      </c>
      <c r="DL89" s="191"/>
      <c r="DM89" s="191"/>
      <c r="DN89" s="191">
        <v>50</v>
      </c>
      <c r="DO89" s="191"/>
      <c r="DP89" s="191"/>
      <c r="DQ89" s="191"/>
      <c r="DR89" s="191">
        <v>150</v>
      </c>
      <c r="DS89" s="191"/>
      <c r="DT89" s="191"/>
      <c r="DU89" s="191">
        <v>50</v>
      </c>
      <c r="DV89" s="191"/>
      <c r="DW89" s="191"/>
      <c r="DX89" s="191"/>
      <c r="DY89" s="191">
        <v>100</v>
      </c>
      <c r="DZ89" s="191"/>
      <c r="EA89" s="191"/>
      <c r="EB89" s="191">
        <v>100</v>
      </c>
      <c r="EC89" s="191"/>
      <c r="ED89" s="191"/>
      <c r="EE89" s="191"/>
      <c r="EF89" s="191">
        <v>50</v>
      </c>
      <c r="EG89" s="191"/>
      <c r="EH89" s="191"/>
      <c r="EI89" s="191">
        <v>50</v>
      </c>
      <c r="EJ89" s="191"/>
      <c r="EK89" s="191"/>
      <c r="EL89" s="191"/>
      <c r="EM89" s="192">
        <v>50</v>
      </c>
      <c r="EN89" s="190"/>
      <c r="EO89" s="191"/>
      <c r="EP89" s="191">
        <v>150</v>
      </c>
      <c r="EQ89" s="191"/>
      <c r="ER89" s="191"/>
      <c r="ES89" s="191"/>
      <c r="ET89" s="191">
        <v>200</v>
      </c>
      <c r="EU89" s="191"/>
      <c r="EV89" s="191"/>
      <c r="EW89" s="191">
        <v>100</v>
      </c>
      <c r="EX89" s="191"/>
      <c r="EY89" s="191"/>
      <c r="EZ89" s="191"/>
      <c r="FA89" s="191">
        <v>100</v>
      </c>
      <c r="FB89" s="191"/>
      <c r="FC89" s="191"/>
      <c r="FD89" s="191">
        <v>50</v>
      </c>
      <c r="FE89" s="191"/>
      <c r="FF89" s="191"/>
      <c r="FG89" s="191"/>
      <c r="FH89" s="191"/>
      <c r="FI89" s="191">
        <v>150</v>
      </c>
      <c r="FJ89" s="191"/>
      <c r="FK89" s="191"/>
      <c r="FL89" s="191"/>
      <c r="FM89" s="191"/>
      <c r="FN89" s="191"/>
      <c r="FO89" s="191">
        <v>200</v>
      </c>
      <c r="FP89" s="191"/>
      <c r="FQ89" s="193"/>
      <c r="FR89" s="194"/>
      <c r="FS89" s="191"/>
      <c r="FT89" s="191"/>
      <c r="FU89" s="191"/>
      <c r="FV89" s="191"/>
      <c r="FW89" s="191"/>
      <c r="FX89" s="191"/>
      <c r="FY89" s="191"/>
      <c r="FZ89" s="191"/>
      <c r="GA89" s="191"/>
      <c r="GB89" s="191"/>
      <c r="GC89" s="191">
        <v>150</v>
      </c>
      <c r="GD89" s="191"/>
      <c r="GE89" s="191"/>
      <c r="GF89" s="191">
        <v>150</v>
      </c>
      <c r="GG89" s="191"/>
      <c r="GH89" s="191"/>
      <c r="GI89" s="191"/>
      <c r="GJ89" s="191">
        <v>100</v>
      </c>
      <c r="GK89" s="191"/>
      <c r="GL89" s="191"/>
      <c r="GM89" s="191">
        <v>50</v>
      </c>
      <c r="GN89" s="191"/>
      <c r="GO89" s="191"/>
      <c r="GP89" s="191"/>
      <c r="GQ89" s="191"/>
      <c r="GR89" s="191">
        <v>200</v>
      </c>
      <c r="GS89" s="191"/>
      <c r="GT89" s="191"/>
      <c r="GU89" s="191"/>
      <c r="GV89" s="192"/>
      <c r="GW89" s="190"/>
      <c r="GX89" s="191">
        <v>100</v>
      </c>
      <c r="GY89" s="191"/>
      <c r="GZ89" s="191"/>
      <c r="HA89" s="191">
        <v>150</v>
      </c>
      <c r="HB89" s="191"/>
      <c r="HC89" s="191"/>
      <c r="HD89" s="191"/>
      <c r="HE89" s="191"/>
      <c r="HF89" s="191"/>
      <c r="HG89" s="191">
        <v>200</v>
      </c>
      <c r="HH89" s="191"/>
      <c r="HI89" s="191"/>
      <c r="HJ89" s="191"/>
      <c r="HK89" s="191"/>
      <c r="HL89" s="191">
        <v>150</v>
      </c>
      <c r="HM89" s="191"/>
      <c r="HN89" s="191"/>
      <c r="HO89" s="191"/>
      <c r="HP89" s="191"/>
      <c r="HQ89" s="191"/>
      <c r="HR89" s="191"/>
      <c r="HS89" s="191"/>
      <c r="HT89" s="191"/>
      <c r="HU89" s="191"/>
      <c r="HV89" s="191">
        <v>150</v>
      </c>
      <c r="HW89" s="191"/>
      <c r="HX89" s="191"/>
      <c r="HY89" s="191"/>
      <c r="HZ89" s="193">
        <v>100</v>
      </c>
      <c r="IA89" s="194"/>
      <c r="IB89" s="191"/>
      <c r="IC89" s="191">
        <v>100</v>
      </c>
      <c r="ID89" s="191"/>
      <c r="IE89" s="191"/>
      <c r="IF89" s="191"/>
      <c r="IG89" s="191">
        <v>200</v>
      </c>
      <c r="IH89" s="191"/>
      <c r="II89" s="191"/>
      <c r="IJ89" s="191">
        <v>100</v>
      </c>
      <c r="IK89" s="191"/>
      <c r="IL89" s="191"/>
      <c r="IM89" s="191"/>
      <c r="IN89" s="191">
        <v>100</v>
      </c>
      <c r="IO89" s="191"/>
      <c r="IP89" s="191"/>
      <c r="IQ89" s="191"/>
      <c r="IR89" s="191"/>
      <c r="IS89" s="191"/>
      <c r="IT89" s="191"/>
      <c r="IU89" s="191">
        <v>200</v>
      </c>
      <c r="IV89" s="191"/>
      <c r="IW89" s="191"/>
      <c r="IX89" s="191">
        <v>150</v>
      </c>
      <c r="IY89" s="191"/>
      <c r="IZ89" s="191"/>
      <c r="JA89" s="191"/>
      <c r="JB89" s="191"/>
      <c r="JC89" s="191"/>
      <c r="JD89" s="191"/>
      <c r="JE89" s="192">
        <v>10</v>
      </c>
      <c r="JF89" s="190"/>
      <c r="JG89" s="191"/>
      <c r="JH89" s="191"/>
      <c r="JI89" s="191">
        <v>200</v>
      </c>
      <c r="JJ89" s="191"/>
      <c r="JK89" s="191"/>
      <c r="JL89" s="191">
        <v>50</v>
      </c>
      <c r="JM89" s="191"/>
      <c r="JN89" s="191"/>
      <c r="JO89" s="191"/>
      <c r="JP89" s="191"/>
      <c r="JQ89" s="191"/>
      <c r="JR89" s="191">
        <v>200</v>
      </c>
      <c r="JS89" s="191"/>
      <c r="JT89" s="191"/>
      <c r="JU89" s="191"/>
      <c r="JV89" s="191"/>
      <c r="JW89" s="191">
        <v>150</v>
      </c>
      <c r="JX89" s="191"/>
      <c r="JY89" s="191"/>
      <c r="JZ89" s="191">
        <v>150</v>
      </c>
      <c r="KA89" s="191"/>
      <c r="KB89" s="191"/>
      <c r="KC89" s="191"/>
      <c r="KD89" s="191"/>
      <c r="KE89" s="191"/>
      <c r="KF89" s="191">
        <v>200</v>
      </c>
      <c r="KG89" s="191">
        <v>10</v>
      </c>
      <c r="KH89" s="191"/>
      <c r="KI89" s="191"/>
      <c r="KJ89" s="193"/>
      <c r="KK89" s="194"/>
      <c r="KL89" s="191"/>
      <c r="KM89" s="191"/>
      <c r="KN89" s="191">
        <v>200</v>
      </c>
      <c r="KO89" s="191"/>
      <c r="KP89" s="191"/>
      <c r="KQ89" s="191"/>
      <c r="KR89" s="191"/>
      <c r="KS89" s="191"/>
      <c r="KT89" s="191"/>
      <c r="KU89" s="191"/>
      <c r="KV89" s="191"/>
      <c r="KW89" s="191"/>
      <c r="KX89" s="191"/>
      <c r="KY89" s="191"/>
      <c r="KZ89" s="191"/>
      <c r="LA89" s="191"/>
      <c r="LB89" s="191">
        <v>200</v>
      </c>
      <c r="LC89" s="191"/>
      <c r="LD89" s="191"/>
      <c r="LE89" s="191"/>
      <c r="LF89" s="191">
        <v>200</v>
      </c>
      <c r="LG89" s="191"/>
      <c r="LH89" s="191"/>
      <c r="LI89" s="191">
        <v>50</v>
      </c>
      <c r="LJ89" s="191"/>
      <c r="LK89" s="191"/>
      <c r="LL89" s="191"/>
      <c r="LM89" s="191"/>
      <c r="LN89" s="192"/>
      <c r="LO89" s="190"/>
      <c r="LP89" s="191">
        <v>200</v>
      </c>
      <c r="LQ89" s="191"/>
      <c r="LR89" s="191"/>
      <c r="LS89" s="191"/>
      <c r="LT89" s="191">
        <v>150</v>
      </c>
      <c r="LU89" s="191"/>
      <c r="LV89" s="191"/>
      <c r="LW89" s="191">
        <v>100</v>
      </c>
      <c r="LX89" s="191"/>
      <c r="LY89" s="191"/>
      <c r="LZ89" s="191"/>
      <c r="MA89" s="191">
        <v>150</v>
      </c>
      <c r="MB89" s="191"/>
      <c r="MC89" s="191"/>
      <c r="MD89" s="191">
        <v>50</v>
      </c>
      <c r="ME89" s="191"/>
      <c r="MF89" s="191"/>
      <c r="MG89" s="191"/>
      <c r="MH89" s="191">
        <v>50</v>
      </c>
      <c r="MI89" s="191"/>
      <c r="MJ89" s="191"/>
      <c r="MK89" s="191">
        <v>10</v>
      </c>
      <c r="ML89" s="191"/>
      <c r="MM89" s="191"/>
      <c r="MN89" s="191"/>
      <c r="MO89" s="191">
        <v>100</v>
      </c>
      <c r="MP89" s="191"/>
      <c r="MQ89" s="191"/>
      <c r="MR89" s="191">
        <v>10</v>
      </c>
      <c r="MS89" s="193"/>
      <c r="MT89" s="194"/>
      <c r="MU89" s="191"/>
      <c r="MV89" s="191">
        <v>50</v>
      </c>
      <c r="MW89" s="191"/>
      <c r="MX89" s="191"/>
      <c r="MY89" s="191">
        <v>50</v>
      </c>
      <c r="MZ89" s="191"/>
      <c r="NA89" s="191"/>
      <c r="NB89" s="191"/>
      <c r="NC89" s="191">
        <v>150</v>
      </c>
      <c r="ND89" s="191"/>
      <c r="NE89" s="191"/>
      <c r="NF89" s="191"/>
      <c r="NG89" s="191"/>
      <c r="NH89" s="191"/>
      <c r="NI89" s="191"/>
      <c r="NJ89" s="191">
        <v>200</v>
      </c>
      <c r="NK89" s="191"/>
      <c r="NL89" s="191"/>
      <c r="NM89" s="191"/>
      <c r="NN89" s="191"/>
      <c r="NO89" s="191"/>
      <c r="NP89" s="191"/>
      <c r="NQ89" s="191">
        <v>150</v>
      </c>
      <c r="NR89" s="191"/>
      <c r="NS89" s="191"/>
      <c r="NT89" s="191">
        <v>50</v>
      </c>
      <c r="NU89" s="191"/>
      <c r="NV89" s="191"/>
      <c r="NW89" s="192"/>
      <c r="NX89" s="190">
        <v>200</v>
      </c>
      <c r="NY89" s="191"/>
      <c r="NZ89" s="191"/>
      <c r="OA89" s="191">
        <v>10</v>
      </c>
      <c r="OB89" s="191"/>
      <c r="OC89" s="191"/>
      <c r="OD89" s="191"/>
      <c r="OE89" s="191">
        <v>10</v>
      </c>
      <c r="OF89" s="191"/>
      <c r="OG89" s="191"/>
      <c r="OH89" s="191">
        <v>10</v>
      </c>
      <c r="OI89" s="191"/>
      <c r="OJ89" s="191"/>
      <c r="OK89" s="191"/>
      <c r="OL89" s="191">
        <v>100</v>
      </c>
      <c r="OM89" s="191"/>
      <c r="ON89" s="191"/>
      <c r="OO89" s="191">
        <v>10</v>
      </c>
      <c r="OP89" s="191"/>
      <c r="OQ89" s="191"/>
      <c r="OR89" s="191"/>
      <c r="OS89" s="191"/>
      <c r="OT89" s="191"/>
      <c r="OU89" s="191"/>
      <c r="OV89" s="191"/>
      <c r="OW89" s="191"/>
      <c r="OX89" s="191"/>
      <c r="OY89" s="191"/>
      <c r="OZ89" s="191"/>
      <c r="PA89" s="191"/>
      <c r="PB89" s="193"/>
      <c r="PC89" s="47"/>
      <c r="PD89" s="154" t="s">
        <v>97</v>
      </c>
      <c r="PE89" s="155" t="s">
        <v>98</v>
      </c>
      <c r="PF89" s="155" t="s">
        <v>98</v>
      </c>
      <c r="PG89" s="155" t="s">
        <v>98</v>
      </c>
      <c r="PH89" s="155" t="s">
        <v>98</v>
      </c>
      <c r="PI89" s="155" t="s">
        <v>98</v>
      </c>
      <c r="PJ89" s="155" t="s">
        <v>98</v>
      </c>
      <c r="PK89" s="155" t="s">
        <v>98</v>
      </c>
      <c r="PL89" s="155" t="s">
        <v>98</v>
      </c>
      <c r="PM89" s="155" t="s">
        <v>98</v>
      </c>
      <c r="PN89" s="155" t="s">
        <v>98</v>
      </c>
      <c r="PO89" s="156"/>
      <c r="PP89" s="156"/>
      <c r="PQ89" s="156"/>
      <c r="PR89" s="156"/>
      <c r="PS89" s="156"/>
      <c r="PT89" s="156"/>
      <c r="PU89" s="156"/>
      <c r="PV89" s="156"/>
      <c r="PW89" s="156"/>
      <c r="PX89" s="195"/>
      <c r="PY89" s="1"/>
      <c r="PZ89" s="196">
        <f t="shared" si="73"/>
        <v>710</v>
      </c>
      <c r="QA89" s="176">
        <f t="shared" si="74"/>
        <v>5.9230833402853095E-3</v>
      </c>
      <c r="QB89" s="177" t="str">
        <f t="shared" ca="1" si="75"/>
        <v>Attente…</v>
      </c>
      <c r="QC89" s="197">
        <f t="shared" si="76"/>
        <v>560</v>
      </c>
      <c r="QD89" s="179">
        <f t="shared" si="77"/>
        <v>5.2434456928838954E-3</v>
      </c>
      <c r="QE89" s="180" t="str">
        <f t="shared" ca="1" si="78"/>
        <v>Attente…</v>
      </c>
      <c r="QF89" s="196">
        <f t="shared" si="79"/>
        <v>800</v>
      </c>
      <c r="QG89" s="176">
        <f t="shared" si="80"/>
        <v>6.370441153049849E-3</v>
      </c>
      <c r="QH89" s="177" t="str">
        <f t="shared" ca="1" si="81"/>
        <v>Attente…</v>
      </c>
      <c r="QI89" s="197">
        <f t="shared" si="82"/>
        <v>950</v>
      </c>
      <c r="QJ89" s="179">
        <f t="shared" si="83"/>
        <v>6.6629260765885823E-3</v>
      </c>
      <c r="QK89" s="180" t="str">
        <f t="shared" ca="1" si="84"/>
        <v>Attente…</v>
      </c>
      <c r="QL89" s="196">
        <f t="shared" si="85"/>
        <v>650</v>
      </c>
      <c r="QM89" s="176">
        <f t="shared" si="86"/>
        <v>4.755633596722271E-3</v>
      </c>
      <c r="QN89" s="177" t="str">
        <f t="shared" ca="1" si="87"/>
        <v>Attente…</v>
      </c>
      <c r="QO89" s="197">
        <f t="shared" si="88"/>
        <v>850</v>
      </c>
      <c r="QP89" s="179">
        <f t="shared" si="89"/>
        <v>6.6546621780317859E-3</v>
      </c>
      <c r="QQ89" s="180" t="str">
        <f t="shared" ca="1" si="90"/>
        <v>Attente…</v>
      </c>
      <c r="QR89" s="196">
        <f t="shared" si="91"/>
        <v>860</v>
      </c>
      <c r="QS89" s="176">
        <f t="shared" si="92"/>
        <v>6.1912818113098881E-3</v>
      </c>
      <c r="QT89" s="177" t="str">
        <f t="shared" ca="1" si="93"/>
        <v>Attente…</v>
      </c>
      <c r="QU89" s="197">
        <f t="shared" si="94"/>
        <v>960</v>
      </c>
      <c r="QV89" s="179">
        <f t="shared" si="95"/>
        <v>6.6188637617209042E-3</v>
      </c>
      <c r="QW89" s="180" t="str">
        <f t="shared" ca="1" si="96"/>
        <v>Attente…</v>
      </c>
      <c r="QX89" s="196">
        <f t="shared" si="97"/>
        <v>650</v>
      </c>
      <c r="QY89" s="176">
        <f t="shared" si="98"/>
        <v>4.7432791383286146E-3</v>
      </c>
      <c r="QZ89" s="177" t="str">
        <f t="shared" ca="1" si="99"/>
        <v>Attente…</v>
      </c>
      <c r="RA89" s="197">
        <f t="shared" si="100"/>
        <v>820</v>
      </c>
      <c r="RB89" s="179">
        <f t="shared" si="101"/>
        <v>6.4157734136609029E-3</v>
      </c>
      <c r="RC89" s="180" t="str">
        <f t="shared" ca="1" si="102"/>
        <v>Attente…</v>
      </c>
      <c r="RD89" s="196">
        <f t="shared" si="103"/>
        <v>650</v>
      </c>
      <c r="RE89" s="176">
        <f t="shared" si="104"/>
        <v>6.4766839378238338E-3</v>
      </c>
      <c r="RF89" s="177" t="str">
        <f t="shared" ca="1" si="105"/>
        <v>Attente…</v>
      </c>
      <c r="RG89" s="197">
        <f t="shared" si="106"/>
        <v>340</v>
      </c>
      <c r="RH89" s="179">
        <f t="shared" si="107"/>
        <v>6.2534485929740665E-3</v>
      </c>
      <c r="RI89" s="198" t="str">
        <f t="shared" ca="1" si="108"/>
        <v>Attente…</v>
      </c>
      <c r="RJ89" s="199">
        <f t="shared" si="109"/>
        <v>2070</v>
      </c>
      <c r="RK89" s="200" t="str">
        <f t="shared" ca="1" si="66"/>
        <v>Attente…</v>
      </c>
      <c r="RL89" s="199">
        <f t="shared" si="110"/>
        <v>2450</v>
      </c>
      <c r="RM89" s="200" t="str">
        <f t="shared" ca="1" si="111"/>
        <v>Atttente…</v>
      </c>
      <c r="RN89" s="199">
        <f t="shared" si="112"/>
        <v>2470</v>
      </c>
      <c r="RO89" s="200" t="str">
        <f t="shared" ca="1" si="67"/>
        <v>Attente…</v>
      </c>
      <c r="RP89" s="199">
        <f t="shared" si="113"/>
        <v>1810</v>
      </c>
      <c r="RQ89" s="200" t="str">
        <f t="shared" ca="1" si="68"/>
        <v>Attente…</v>
      </c>
      <c r="RR89" s="201">
        <f t="shared" si="114"/>
        <v>8800</v>
      </c>
      <c r="RS89" s="202" t="str">
        <f t="shared" ca="1" si="69"/>
        <v>Attente…</v>
      </c>
      <c r="RT89" s="103"/>
      <c r="RU89" s="203">
        <f t="shared" si="115"/>
        <v>0.55000000000000004</v>
      </c>
      <c r="RV89" s="204">
        <f t="shared" si="118"/>
        <v>1</v>
      </c>
      <c r="RW89" s="204">
        <f t="shared" si="118"/>
        <v>2</v>
      </c>
      <c r="RX89" s="204">
        <f t="shared" si="116"/>
        <v>80</v>
      </c>
      <c r="RY89" s="205" t="str">
        <f t="shared" si="117"/>
        <v>ROUEN - 238 Rue Saint Julien (Angle Rue Jacquard)</v>
      </c>
      <c r="RZ89" s="189" t="str">
        <f>IF(OR(RZ88="",RZ88="  &lt;/Document&gt;
&lt;/kml&gt;"),"",
IF(B89="","  &lt;/Document&gt;
&lt;/kml&gt;",
IF(TournéesCAV!Q89=""," ",
"    &lt;Placemark&gt;
      &lt;description&gt;&lt;![CDATA["&amp;B89&amp;"&lt;br&gt;&lt;br&gt;"&amp;RV89&amp;" CAV&lt;br&gt;&lt;br&gt;Présent sur "&amp;RW89&amp;" tournée(s)&lt;br&gt;&lt;br&gt;Taux de remplissage moyen "&amp;TEXT(RU89*1000,"0 %")&amp;"]]&gt;&lt;/description&gt;
      &lt;Style&gt;
        &lt;IconStyle&gt;
          &lt;color&gt;ff"&amp;
          DEC2HEX(0,2)&amp;
          DEC2HEX(
            IF(RU89&lt;=0.5,
               INT(255*(RU89*2)),
               255
            ),2)&amp;
          DEC2HEX(
            IF(RU89&lt;=0.5,
               255,
               INT(255*(1-(RU89-0.5)*2))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&lt;Point&gt;&lt;coordinates&gt;"&amp;R89&amp;","&amp;Q89&amp;",0&lt;/coordinates&gt;&lt;/Point&gt;
    &lt;/Placemark&gt;"
)))</f>
        <v xml:space="preserve">    &lt;Placemark&gt;
      &lt;description&gt;&lt;![CDATA[ROUEN - 238 Rue Saint Julien (Angle Rue Jacquard)&lt;br&gt;&lt;br&gt;1 CAV&lt;br&gt;&lt;br&gt;Présent sur 2 tournée(s)&lt;br&gt;&lt;br&gt;Taux de remplissage moyen 55%]]&gt;&lt;/description&gt;
      &lt;Style&gt;
        &lt;IconStyle&gt;
          &lt;color&gt;ff00FFE5&lt;/color&gt;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&lt;Point&gt;&lt;coordinates&gt;1.0708251,49.4245683,0&lt;/coordinates&gt;&lt;/Point&gt;
    &lt;/Placemark&gt;</v>
      </c>
    </row>
    <row r="90" spans="2:494" ht="15" hidden="1" customHeight="1" x14ac:dyDescent="0.35">
      <c r="B90" s="153" t="str">
        <f t="shared" si="70"/>
        <v>ROUEN - 221 Rue Saint Julien (Angle allée de la Pépinière)</v>
      </c>
      <c r="C90" s="154">
        <v>109</v>
      </c>
      <c r="D90" s="155"/>
      <c r="E90" s="155"/>
      <c r="F90" s="155"/>
      <c r="G90" s="155"/>
      <c r="H90" s="155"/>
      <c r="I90" s="155"/>
      <c r="J90" s="156"/>
      <c r="K90" s="157">
        <f t="shared" si="71"/>
        <v>1</v>
      </c>
      <c r="L90" s="157">
        <f t="shared" si="72"/>
        <v>2</v>
      </c>
      <c r="M90" s="158" t="s">
        <v>537</v>
      </c>
      <c r="N90" s="159" t="s">
        <v>538</v>
      </c>
      <c r="O90" s="159">
        <v>76000</v>
      </c>
      <c r="P90" s="159" t="s">
        <v>90</v>
      </c>
      <c r="Q90" s="159" t="s">
        <v>539</v>
      </c>
      <c r="R90" s="159" t="s">
        <v>540</v>
      </c>
      <c r="S90" s="159" t="s">
        <v>93</v>
      </c>
      <c r="T90" s="159" t="s">
        <v>94</v>
      </c>
      <c r="U90" s="159" t="s">
        <v>541</v>
      </c>
      <c r="V90" s="160" t="s">
        <v>96</v>
      </c>
      <c r="W90" s="161"/>
      <c r="X90" s="162"/>
      <c r="Y90" s="163">
        <v>7</v>
      </c>
      <c r="Z90" s="162">
        <v>8</v>
      </c>
      <c r="AA90" s="163"/>
      <c r="AB90" s="162"/>
      <c r="AC90" s="163"/>
      <c r="AD90" s="162"/>
      <c r="AE90" s="163"/>
      <c r="AF90" s="162"/>
      <c r="AG90" s="163"/>
      <c r="AH90" s="163"/>
      <c r="AI90" s="162"/>
      <c r="AJ90" s="163"/>
      <c r="AK90" s="162"/>
      <c r="AL90" s="163"/>
      <c r="AM90" s="162"/>
      <c r="AN90" s="163"/>
      <c r="AO90" s="162"/>
      <c r="AP90" s="164"/>
      <c r="AQ90" s="164"/>
      <c r="AR90" s="164"/>
      <c r="AS90" s="164"/>
      <c r="AT90" s="164"/>
      <c r="AU90" s="164"/>
      <c r="AV90" s="164"/>
      <c r="AW90" s="164"/>
      <c r="AX90" s="164"/>
      <c r="AY90" s="165"/>
      <c r="AZ90" s="41"/>
      <c r="BA90" s="190"/>
      <c r="BB90" s="191"/>
      <c r="BC90" s="191"/>
      <c r="BD90" s="191"/>
      <c r="BE90" s="191"/>
      <c r="BF90" s="191">
        <v>100</v>
      </c>
      <c r="BG90" s="191"/>
      <c r="BH90" s="191"/>
      <c r="BI90" s="191">
        <v>100</v>
      </c>
      <c r="BJ90" s="191"/>
      <c r="BK90" s="191"/>
      <c r="BL90" s="191"/>
      <c r="BM90" s="191"/>
      <c r="BN90" s="191"/>
      <c r="BO90" s="191"/>
      <c r="BP90" s="191">
        <v>100</v>
      </c>
      <c r="BQ90" s="191"/>
      <c r="BR90" s="191"/>
      <c r="BS90" s="191"/>
      <c r="BT90" s="191">
        <v>200</v>
      </c>
      <c r="BU90" s="191"/>
      <c r="BV90" s="191"/>
      <c r="BW90" s="191">
        <v>100</v>
      </c>
      <c r="BX90" s="191"/>
      <c r="BY90" s="191"/>
      <c r="BZ90" s="191"/>
      <c r="CA90" s="191"/>
      <c r="CB90" s="191"/>
      <c r="CC90" s="191"/>
      <c r="CD90" s="191">
        <v>150</v>
      </c>
      <c r="CE90" s="192"/>
      <c r="CF90" s="190"/>
      <c r="CG90" s="191"/>
      <c r="CH90" s="191">
        <v>200</v>
      </c>
      <c r="CI90" s="191"/>
      <c r="CJ90" s="191"/>
      <c r="CK90" s="191">
        <v>100</v>
      </c>
      <c r="CL90" s="191"/>
      <c r="CM90" s="191"/>
      <c r="CN90" s="191"/>
      <c r="CO90" s="191">
        <v>150</v>
      </c>
      <c r="CP90" s="191"/>
      <c r="CQ90" s="191"/>
      <c r="CR90" s="191">
        <v>100</v>
      </c>
      <c r="CS90" s="191"/>
      <c r="CT90" s="191"/>
      <c r="CU90" s="191"/>
      <c r="CV90" s="191">
        <v>100</v>
      </c>
      <c r="CW90" s="191"/>
      <c r="CX90" s="191"/>
      <c r="CY90" s="191">
        <v>100</v>
      </c>
      <c r="CZ90" s="191"/>
      <c r="DA90" s="191"/>
      <c r="DB90" s="191"/>
      <c r="DC90" s="191">
        <v>100</v>
      </c>
      <c r="DD90" s="191"/>
      <c r="DE90" s="191"/>
      <c r="DF90" s="191">
        <v>50</v>
      </c>
      <c r="DG90" s="191"/>
      <c r="DH90" s="193"/>
      <c r="DI90" s="194"/>
      <c r="DJ90" s="191"/>
      <c r="DK90" s="191"/>
      <c r="DL90" s="191"/>
      <c r="DM90" s="191"/>
      <c r="DN90" s="191">
        <v>150</v>
      </c>
      <c r="DO90" s="191"/>
      <c r="DP90" s="191"/>
      <c r="DQ90" s="191"/>
      <c r="DR90" s="191">
        <v>100</v>
      </c>
      <c r="DS90" s="191"/>
      <c r="DT90" s="191"/>
      <c r="DU90" s="191">
        <v>50</v>
      </c>
      <c r="DV90" s="191"/>
      <c r="DW90" s="191"/>
      <c r="DX90" s="191"/>
      <c r="DY90" s="191">
        <v>200</v>
      </c>
      <c r="DZ90" s="191"/>
      <c r="EA90" s="191"/>
      <c r="EB90" s="191">
        <v>50</v>
      </c>
      <c r="EC90" s="191"/>
      <c r="ED90" s="191"/>
      <c r="EE90" s="191"/>
      <c r="EF90" s="191">
        <v>100</v>
      </c>
      <c r="EG90" s="191"/>
      <c r="EH90" s="191"/>
      <c r="EI90" s="191">
        <v>10</v>
      </c>
      <c r="EJ90" s="191"/>
      <c r="EK90" s="191"/>
      <c r="EL90" s="191"/>
      <c r="EM90" s="192">
        <v>50</v>
      </c>
      <c r="EN90" s="190"/>
      <c r="EO90" s="191"/>
      <c r="EP90" s="191">
        <v>10</v>
      </c>
      <c r="EQ90" s="191"/>
      <c r="ER90" s="191"/>
      <c r="ES90" s="191"/>
      <c r="ET90" s="191">
        <v>150</v>
      </c>
      <c r="EU90" s="191"/>
      <c r="EV90" s="191"/>
      <c r="EW90" s="191">
        <v>50</v>
      </c>
      <c r="EX90" s="191"/>
      <c r="EY90" s="191"/>
      <c r="EZ90" s="191"/>
      <c r="FA90" s="191">
        <v>50</v>
      </c>
      <c r="FB90" s="191"/>
      <c r="FC90" s="191"/>
      <c r="FD90" s="191">
        <v>200</v>
      </c>
      <c r="FE90" s="191"/>
      <c r="FF90" s="191"/>
      <c r="FG90" s="191"/>
      <c r="FH90" s="191"/>
      <c r="FI90" s="191">
        <v>200</v>
      </c>
      <c r="FJ90" s="191"/>
      <c r="FK90" s="191"/>
      <c r="FL90" s="191"/>
      <c r="FM90" s="191"/>
      <c r="FN90" s="191"/>
      <c r="FO90" s="191">
        <v>200</v>
      </c>
      <c r="FP90" s="191"/>
      <c r="FQ90" s="193"/>
      <c r="FR90" s="194"/>
      <c r="FS90" s="191"/>
      <c r="FT90" s="191"/>
      <c r="FU90" s="191"/>
      <c r="FV90" s="191"/>
      <c r="FW90" s="191"/>
      <c r="FX90" s="191">
        <v>200</v>
      </c>
      <c r="FY90" s="191"/>
      <c r="FZ90" s="191"/>
      <c r="GA90" s="191"/>
      <c r="GB90" s="191"/>
      <c r="GC90" s="191">
        <v>100</v>
      </c>
      <c r="GD90" s="191"/>
      <c r="GE90" s="191"/>
      <c r="GF90" s="191">
        <v>50</v>
      </c>
      <c r="GG90" s="191"/>
      <c r="GH90" s="191"/>
      <c r="GI90" s="191"/>
      <c r="GJ90" s="191">
        <v>150</v>
      </c>
      <c r="GK90" s="191"/>
      <c r="GL90" s="191"/>
      <c r="GM90" s="191">
        <v>10</v>
      </c>
      <c r="GN90" s="191"/>
      <c r="GO90" s="191"/>
      <c r="GP90" s="191"/>
      <c r="GQ90" s="191"/>
      <c r="GR90" s="191">
        <v>150</v>
      </c>
      <c r="GS90" s="191"/>
      <c r="GT90" s="191"/>
      <c r="GU90" s="191"/>
      <c r="GV90" s="192"/>
      <c r="GW90" s="190"/>
      <c r="GX90" s="191">
        <v>150</v>
      </c>
      <c r="GY90" s="191"/>
      <c r="GZ90" s="191"/>
      <c r="HA90" s="191">
        <v>10</v>
      </c>
      <c r="HB90" s="191"/>
      <c r="HC90" s="191"/>
      <c r="HD90" s="191"/>
      <c r="HE90" s="191"/>
      <c r="HF90" s="191"/>
      <c r="HG90" s="191">
        <v>200</v>
      </c>
      <c r="HH90" s="191"/>
      <c r="HI90" s="191"/>
      <c r="HJ90" s="191"/>
      <c r="HK90" s="191"/>
      <c r="HL90" s="191">
        <v>200</v>
      </c>
      <c r="HM90" s="191"/>
      <c r="HN90" s="191"/>
      <c r="HO90" s="191"/>
      <c r="HP90" s="191"/>
      <c r="HQ90" s="191"/>
      <c r="HR90" s="191"/>
      <c r="HS90" s="191"/>
      <c r="HT90" s="191"/>
      <c r="HU90" s="191"/>
      <c r="HV90" s="191">
        <v>200</v>
      </c>
      <c r="HW90" s="191"/>
      <c r="HX90" s="191"/>
      <c r="HY90" s="191"/>
      <c r="HZ90" s="193">
        <v>150</v>
      </c>
      <c r="IA90" s="194"/>
      <c r="IB90" s="191"/>
      <c r="IC90" s="191">
        <v>50</v>
      </c>
      <c r="ID90" s="191"/>
      <c r="IE90" s="191"/>
      <c r="IF90" s="191"/>
      <c r="IG90" s="191">
        <v>200</v>
      </c>
      <c r="IH90" s="191"/>
      <c r="II90" s="191"/>
      <c r="IJ90" s="191">
        <v>100</v>
      </c>
      <c r="IK90" s="191"/>
      <c r="IL90" s="191"/>
      <c r="IM90" s="191"/>
      <c r="IN90" s="191">
        <v>100</v>
      </c>
      <c r="IO90" s="191"/>
      <c r="IP90" s="191"/>
      <c r="IQ90" s="191"/>
      <c r="IR90" s="191"/>
      <c r="IS90" s="191"/>
      <c r="IT90" s="191"/>
      <c r="IU90" s="191">
        <v>100</v>
      </c>
      <c r="IV90" s="191"/>
      <c r="IW90" s="191"/>
      <c r="IX90" s="191">
        <v>100</v>
      </c>
      <c r="IY90" s="191"/>
      <c r="IZ90" s="191"/>
      <c r="JA90" s="191"/>
      <c r="JB90" s="191"/>
      <c r="JC90" s="191"/>
      <c r="JD90" s="191"/>
      <c r="JE90" s="192">
        <v>100</v>
      </c>
      <c r="JF90" s="190"/>
      <c r="JG90" s="191"/>
      <c r="JH90" s="191"/>
      <c r="JI90" s="191">
        <v>100</v>
      </c>
      <c r="JJ90" s="191"/>
      <c r="JK90" s="191"/>
      <c r="JL90" s="191">
        <v>100</v>
      </c>
      <c r="JM90" s="191"/>
      <c r="JN90" s="191"/>
      <c r="JO90" s="191"/>
      <c r="JP90" s="191"/>
      <c r="JQ90" s="191"/>
      <c r="JR90" s="191">
        <v>100</v>
      </c>
      <c r="JS90" s="191"/>
      <c r="JT90" s="191"/>
      <c r="JU90" s="191"/>
      <c r="JV90" s="191"/>
      <c r="JW90" s="191">
        <v>200</v>
      </c>
      <c r="JX90" s="191"/>
      <c r="JY90" s="191"/>
      <c r="JZ90" s="191">
        <v>50</v>
      </c>
      <c r="KA90" s="191"/>
      <c r="KB90" s="191"/>
      <c r="KC90" s="191"/>
      <c r="KD90" s="191"/>
      <c r="KE90" s="191"/>
      <c r="KF90" s="191">
        <v>200</v>
      </c>
      <c r="KG90" s="191">
        <v>50</v>
      </c>
      <c r="KH90" s="191"/>
      <c r="KI90" s="191"/>
      <c r="KJ90" s="193"/>
      <c r="KK90" s="194"/>
      <c r="KL90" s="191"/>
      <c r="KM90" s="191"/>
      <c r="KN90" s="191">
        <v>200</v>
      </c>
      <c r="KO90" s="191"/>
      <c r="KP90" s="191"/>
      <c r="KQ90" s="191"/>
      <c r="KR90" s="191"/>
      <c r="KS90" s="191"/>
      <c r="KT90" s="191"/>
      <c r="KU90" s="191"/>
      <c r="KV90" s="191"/>
      <c r="KW90" s="191"/>
      <c r="KX90" s="191"/>
      <c r="KY90" s="191"/>
      <c r="KZ90" s="191"/>
      <c r="LA90" s="191"/>
      <c r="LB90" s="191">
        <v>200</v>
      </c>
      <c r="LC90" s="191"/>
      <c r="LD90" s="191"/>
      <c r="LE90" s="191"/>
      <c r="LF90" s="191">
        <v>200</v>
      </c>
      <c r="LG90" s="191"/>
      <c r="LH90" s="191"/>
      <c r="LI90" s="191">
        <v>50</v>
      </c>
      <c r="LJ90" s="191"/>
      <c r="LK90" s="191"/>
      <c r="LL90" s="191"/>
      <c r="LM90" s="191"/>
      <c r="LN90" s="192"/>
      <c r="LO90" s="190"/>
      <c r="LP90" s="191">
        <v>200</v>
      </c>
      <c r="LQ90" s="191"/>
      <c r="LR90" s="191"/>
      <c r="LS90" s="191"/>
      <c r="LT90" s="191">
        <v>200</v>
      </c>
      <c r="LU90" s="191"/>
      <c r="LV90" s="191"/>
      <c r="LW90" s="191">
        <v>100</v>
      </c>
      <c r="LX90" s="191"/>
      <c r="LY90" s="191"/>
      <c r="LZ90" s="191"/>
      <c r="MA90" s="191">
        <v>150</v>
      </c>
      <c r="MB90" s="191"/>
      <c r="MC90" s="191"/>
      <c r="MD90" s="191">
        <v>10</v>
      </c>
      <c r="ME90" s="191"/>
      <c r="MF90" s="191"/>
      <c r="MG90" s="191"/>
      <c r="MH90" s="191">
        <v>150</v>
      </c>
      <c r="MI90" s="191"/>
      <c r="MJ90" s="191"/>
      <c r="MK90" s="191">
        <v>150</v>
      </c>
      <c r="ML90" s="191"/>
      <c r="MM90" s="191"/>
      <c r="MN90" s="191"/>
      <c r="MO90" s="191">
        <v>100</v>
      </c>
      <c r="MP90" s="191"/>
      <c r="MQ90" s="191"/>
      <c r="MR90" s="191">
        <v>100</v>
      </c>
      <c r="MS90" s="193"/>
      <c r="MT90" s="194"/>
      <c r="MU90" s="191"/>
      <c r="MV90" s="191">
        <v>100</v>
      </c>
      <c r="MW90" s="191"/>
      <c r="MX90" s="191"/>
      <c r="MY90" s="191">
        <v>10</v>
      </c>
      <c r="MZ90" s="191"/>
      <c r="NA90" s="191"/>
      <c r="NB90" s="191"/>
      <c r="NC90" s="191">
        <v>150</v>
      </c>
      <c r="ND90" s="191"/>
      <c r="NE90" s="191"/>
      <c r="NF90" s="191"/>
      <c r="NG90" s="191"/>
      <c r="NH90" s="191"/>
      <c r="NI90" s="191"/>
      <c r="NJ90" s="191">
        <v>150</v>
      </c>
      <c r="NK90" s="191"/>
      <c r="NL90" s="191"/>
      <c r="NM90" s="191"/>
      <c r="NN90" s="191"/>
      <c r="NO90" s="191"/>
      <c r="NP90" s="191"/>
      <c r="NQ90" s="191">
        <v>200</v>
      </c>
      <c r="NR90" s="191"/>
      <c r="NS90" s="191"/>
      <c r="NT90" s="191">
        <v>200</v>
      </c>
      <c r="NU90" s="191"/>
      <c r="NV90" s="191"/>
      <c r="NW90" s="192"/>
      <c r="NX90" s="190">
        <v>50</v>
      </c>
      <c r="NY90" s="191"/>
      <c r="NZ90" s="191"/>
      <c r="OA90" s="191">
        <v>50</v>
      </c>
      <c r="OB90" s="191"/>
      <c r="OC90" s="191"/>
      <c r="OD90" s="191"/>
      <c r="OE90" s="191">
        <v>50</v>
      </c>
      <c r="OF90" s="191"/>
      <c r="OG90" s="191"/>
      <c r="OH90" s="191">
        <v>100</v>
      </c>
      <c r="OI90" s="191"/>
      <c r="OJ90" s="191"/>
      <c r="OK90" s="191"/>
      <c r="OL90" s="191">
        <v>50</v>
      </c>
      <c r="OM90" s="191"/>
      <c r="ON90" s="191"/>
      <c r="OO90" s="191">
        <v>10</v>
      </c>
      <c r="OP90" s="191"/>
      <c r="OQ90" s="191"/>
      <c r="OR90" s="191"/>
      <c r="OS90" s="191"/>
      <c r="OT90" s="191"/>
      <c r="OU90" s="191"/>
      <c r="OV90" s="191"/>
      <c r="OW90" s="191"/>
      <c r="OX90" s="191"/>
      <c r="OY90" s="191"/>
      <c r="OZ90" s="191"/>
      <c r="PA90" s="191"/>
      <c r="PB90" s="193"/>
      <c r="PC90" s="47"/>
      <c r="PD90" s="154" t="s">
        <v>97</v>
      </c>
      <c r="PE90" s="155" t="s">
        <v>98</v>
      </c>
      <c r="PF90" s="155" t="s">
        <v>98</v>
      </c>
      <c r="PG90" s="155" t="s">
        <v>98</v>
      </c>
      <c r="PH90" s="155" t="s">
        <v>98</v>
      </c>
      <c r="PI90" s="155" t="s">
        <v>98</v>
      </c>
      <c r="PJ90" s="155" t="s">
        <v>98</v>
      </c>
      <c r="PK90" s="155" t="s">
        <v>98</v>
      </c>
      <c r="PL90" s="155" t="s">
        <v>98</v>
      </c>
      <c r="PM90" s="155" t="s">
        <v>98</v>
      </c>
      <c r="PN90" s="155" t="s">
        <v>98</v>
      </c>
      <c r="PO90" s="156"/>
      <c r="PP90" s="156"/>
      <c r="PQ90" s="156"/>
      <c r="PR90" s="156"/>
      <c r="PS90" s="156"/>
      <c r="PT90" s="156"/>
      <c r="PU90" s="156"/>
      <c r="PV90" s="156"/>
      <c r="PW90" s="156"/>
      <c r="PX90" s="195"/>
      <c r="PY90" s="1"/>
      <c r="PZ90" s="196">
        <f t="shared" si="73"/>
        <v>750</v>
      </c>
      <c r="QA90" s="176">
        <f t="shared" si="74"/>
        <v>6.2567781763577211E-3</v>
      </c>
      <c r="QB90" s="177" t="str">
        <f t="shared" ca="1" si="75"/>
        <v>Attente…</v>
      </c>
      <c r="QC90" s="197">
        <f t="shared" si="76"/>
        <v>900</v>
      </c>
      <c r="QD90" s="179">
        <f t="shared" si="77"/>
        <v>8.4269662921348312E-3</v>
      </c>
      <c r="QE90" s="180" t="str">
        <f t="shared" ca="1" si="78"/>
        <v>Attente…</v>
      </c>
      <c r="QF90" s="196">
        <f t="shared" si="79"/>
        <v>710</v>
      </c>
      <c r="QG90" s="176">
        <f t="shared" si="80"/>
        <v>5.653766523331741E-3</v>
      </c>
      <c r="QH90" s="177" t="str">
        <f t="shared" ca="1" si="81"/>
        <v>Attente…</v>
      </c>
      <c r="QI90" s="197">
        <f t="shared" si="82"/>
        <v>860</v>
      </c>
      <c r="QJ90" s="179">
        <f t="shared" si="83"/>
        <v>6.0317015009117691E-3</v>
      </c>
      <c r="QK90" s="180" t="str">
        <f t="shared" ca="1" si="84"/>
        <v>Attente…</v>
      </c>
      <c r="QL90" s="196">
        <f t="shared" si="85"/>
        <v>660</v>
      </c>
      <c r="QM90" s="176">
        <f t="shared" si="86"/>
        <v>4.8287971905179982E-3</v>
      </c>
      <c r="QN90" s="177" t="str">
        <f t="shared" ca="1" si="87"/>
        <v>Attente…</v>
      </c>
      <c r="QO90" s="197">
        <f t="shared" si="88"/>
        <v>910</v>
      </c>
      <c r="QP90" s="179">
        <f t="shared" si="89"/>
        <v>7.124403037657559E-3</v>
      </c>
      <c r="QQ90" s="180" t="str">
        <f t="shared" ca="1" si="90"/>
        <v>Attente…</v>
      </c>
      <c r="QR90" s="196">
        <f t="shared" si="91"/>
        <v>750</v>
      </c>
      <c r="QS90" s="176">
        <f t="shared" si="92"/>
        <v>5.3993736726539723E-3</v>
      </c>
      <c r="QT90" s="177" t="str">
        <f t="shared" ca="1" si="93"/>
        <v>Attente…</v>
      </c>
      <c r="QU90" s="197">
        <f t="shared" si="94"/>
        <v>800</v>
      </c>
      <c r="QV90" s="179">
        <f t="shared" si="95"/>
        <v>5.5157198014340872E-3</v>
      </c>
      <c r="QW90" s="180" t="str">
        <f t="shared" ca="1" si="96"/>
        <v>Attente…</v>
      </c>
      <c r="QX90" s="196">
        <f t="shared" si="97"/>
        <v>650</v>
      </c>
      <c r="QY90" s="176">
        <f t="shared" si="98"/>
        <v>4.7432791383286146E-3</v>
      </c>
      <c r="QZ90" s="177" t="str">
        <f t="shared" ca="1" si="99"/>
        <v>Attente…</v>
      </c>
      <c r="RA90" s="197">
        <f t="shared" si="100"/>
        <v>1160</v>
      </c>
      <c r="RB90" s="179">
        <f t="shared" si="101"/>
        <v>9.0759721461544478E-3</v>
      </c>
      <c r="RC90" s="180" t="str">
        <f t="shared" ca="1" si="102"/>
        <v>Attente…</v>
      </c>
      <c r="RD90" s="196">
        <f t="shared" si="103"/>
        <v>810</v>
      </c>
      <c r="RE90" s="176">
        <f t="shared" si="104"/>
        <v>8.0709445994420082E-3</v>
      </c>
      <c r="RF90" s="177" t="str">
        <f t="shared" ca="1" si="105"/>
        <v>Attente…</v>
      </c>
      <c r="RG90" s="197">
        <f t="shared" si="106"/>
        <v>310</v>
      </c>
      <c r="RH90" s="179">
        <f t="shared" si="107"/>
        <v>5.7016737171234136E-3</v>
      </c>
      <c r="RI90" s="198" t="str">
        <f t="shared" ca="1" si="108"/>
        <v>Attente…</v>
      </c>
      <c r="RJ90" s="199">
        <f t="shared" si="109"/>
        <v>2360</v>
      </c>
      <c r="RK90" s="200" t="str">
        <f t="shared" ca="1" si="66"/>
        <v>Attente…</v>
      </c>
      <c r="RL90" s="199">
        <f t="shared" si="110"/>
        <v>2430</v>
      </c>
      <c r="RM90" s="200" t="str">
        <f t="shared" ca="1" si="111"/>
        <v>Atttente…</v>
      </c>
      <c r="RN90" s="199">
        <f t="shared" si="112"/>
        <v>2200</v>
      </c>
      <c r="RO90" s="200" t="str">
        <f t="shared" ca="1" si="67"/>
        <v>Attente…</v>
      </c>
      <c r="RP90" s="199">
        <f t="shared" si="113"/>
        <v>2280</v>
      </c>
      <c r="RQ90" s="200" t="str">
        <f t="shared" ca="1" si="68"/>
        <v>Attente…</v>
      </c>
      <c r="RR90" s="201">
        <f t="shared" si="114"/>
        <v>9270</v>
      </c>
      <c r="RS90" s="202" t="str">
        <f t="shared" ca="1" si="69"/>
        <v>Attente…</v>
      </c>
      <c r="RT90" s="103"/>
      <c r="RU90" s="203">
        <f t="shared" si="115"/>
        <v>0.57937499999999997</v>
      </c>
      <c r="RV90" s="204">
        <f t="shared" si="118"/>
        <v>1</v>
      </c>
      <c r="RW90" s="204">
        <f t="shared" si="118"/>
        <v>2</v>
      </c>
      <c r="RX90" s="204">
        <f t="shared" si="116"/>
        <v>80</v>
      </c>
      <c r="RY90" s="205" t="str">
        <f t="shared" si="117"/>
        <v>ROUEN - 221 Rue Saint Julien (Angle allée de la Pépinière)</v>
      </c>
      <c r="RZ90" s="189" t="str">
        <f>IF(OR(RZ89="",RZ89="  &lt;/Document&gt;
&lt;/kml&gt;"),"",
IF(B90="","  &lt;/Document&gt;
&lt;/kml&gt;",
IF(TournéesCAV!Q90=""," ",
"    &lt;Placemark&gt;
      &lt;description&gt;&lt;![CDATA["&amp;B90&amp;"&lt;br&gt;&lt;br&gt;"&amp;RV90&amp;" CAV&lt;br&gt;&lt;br&gt;Présent sur "&amp;RW90&amp;" tournée(s)&lt;br&gt;&lt;br&gt;Taux de remplissage moyen "&amp;TEXT(RU90*1000,"0 %")&amp;"]]&gt;&lt;/description&gt;
      &lt;Style&gt;
        &lt;IconStyle&gt;
          &lt;color&gt;ff"&amp;
          DEC2HEX(0,2)&amp;
          DEC2HEX(
            IF(RU90&lt;=0.5,
               INT(255*(RU90*2)),
               255
            ),2)&amp;
          DEC2HEX(
            IF(RU90&lt;=0.5,
               255,
               INT(255*(1-(RU90-0.5)*2))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&lt;Point&gt;&lt;coordinates&gt;"&amp;R90&amp;","&amp;Q90&amp;",0&lt;/coordinates&gt;&lt;/Point&gt;
    &lt;/Placemark&gt;"
)))</f>
        <v xml:space="preserve">    &lt;Placemark&gt;
      &lt;description&gt;&lt;![CDATA[ROUEN - 221 Rue Saint Julien (Angle allée de la Pépinière)&lt;br&gt;&lt;br&gt;1 CAV&lt;br&gt;&lt;br&gt;Présent sur 2 tournée(s)&lt;br&gt;&lt;br&gt;Taux de remplissage moyen 58%]]&gt;&lt;/description&gt;
      &lt;Style&gt;
        &lt;IconStyle&gt;
          &lt;color&gt;ff00FFD6&lt;/color&gt;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&lt;Point&gt;&lt;coordinates&gt;1.0733795,49.4252384,0&lt;/coordinates&gt;&lt;/Point&gt;
    &lt;/Placemark&gt;</v>
      </c>
    </row>
    <row r="91" spans="2:494" ht="15" hidden="1" customHeight="1" x14ac:dyDescent="0.35">
      <c r="B91" s="153" t="str">
        <f t="shared" si="70"/>
        <v>BOURG-ACHARD - 510 Rue du Dr Duvrac (Parking Loic Gréaume)</v>
      </c>
      <c r="C91" s="154" t="s">
        <v>104</v>
      </c>
      <c r="D91" s="155" t="s">
        <v>104</v>
      </c>
      <c r="E91" s="155"/>
      <c r="F91" s="155"/>
      <c r="G91" s="155"/>
      <c r="H91" s="155"/>
      <c r="I91" s="155"/>
      <c r="J91" s="156"/>
      <c r="K91" s="157">
        <f t="shared" si="71"/>
        <v>2</v>
      </c>
      <c r="L91" s="157">
        <f t="shared" si="72"/>
        <v>1</v>
      </c>
      <c r="M91" s="158" t="s">
        <v>542</v>
      </c>
      <c r="N91" s="159" t="s">
        <v>543</v>
      </c>
      <c r="O91" s="159">
        <v>27310</v>
      </c>
      <c r="P91" s="159" t="s">
        <v>544</v>
      </c>
      <c r="Q91" s="159" t="s">
        <v>545</v>
      </c>
      <c r="R91" s="159" t="s">
        <v>546</v>
      </c>
      <c r="S91" s="159"/>
      <c r="T91" s="159" t="s">
        <v>94</v>
      </c>
      <c r="U91" s="159" t="s">
        <v>547</v>
      </c>
      <c r="V91" s="160" t="s">
        <v>21</v>
      </c>
      <c r="W91" s="161"/>
      <c r="X91" s="162"/>
      <c r="Y91" s="163"/>
      <c r="Z91" s="162"/>
      <c r="AA91" s="163"/>
      <c r="AB91" s="162"/>
      <c r="AC91" s="163"/>
      <c r="AD91" s="162"/>
      <c r="AE91" s="163"/>
      <c r="AF91" s="162"/>
      <c r="AG91" s="207">
        <v>6</v>
      </c>
      <c r="AH91" s="163"/>
      <c r="AI91" s="162"/>
      <c r="AJ91" s="163"/>
      <c r="AK91" s="162"/>
      <c r="AL91" s="163"/>
      <c r="AM91" s="162"/>
      <c r="AN91" s="163"/>
      <c r="AO91" s="162"/>
      <c r="AP91" s="164"/>
      <c r="AQ91" s="164"/>
      <c r="AR91" s="164"/>
      <c r="AS91" s="164"/>
      <c r="AT91" s="164"/>
      <c r="AU91" s="164"/>
      <c r="AV91" s="164"/>
      <c r="AW91" s="164"/>
      <c r="AX91" s="164"/>
      <c r="AY91" s="165"/>
      <c r="AZ91" s="41"/>
      <c r="BA91" s="190"/>
      <c r="BB91" s="191">
        <v>400</v>
      </c>
      <c r="BC91" s="191"/>
      <c r="BD91" s="191"/>
      <c r="BE91" s="191"/>
      <c r="BF91" s="191"/>
      <c r="BG91" s="191"/>
      <c r="BH91" s="191">
        <v>250</v>
      </c>
      <c r="BI91" s="191"/>
      <c r="BJ91" s="191"/>
      <c r="BK91" s="191"/>
      <c r="BL91" s="191"/>
      <c r="BM91" s="191"/>
      <c r="BN91" s="191"/>
      <c r="BO91" s="191">
        <v>400</v>
      </c>
      <c r="BP91" s="191"/>
      <c r="BQ91" s="191"/>
      <c r="BR91" s="191"/>
      <c r="BS91" s="191"/>
      <c r="BT91" s="191"/>
      <c r="BU91" s="191"/>
      <c r="BV91" s="191">
        <v>200</v>
      </c>
      <c r="BW91" s="191"/>
      <c r="BX91" s="191"/>
      <c r="BY91" s="191"/>
      <c r="BZ91" s="191"/>
      <c r="CA91" s="191"/>
      <c r="CB91" s="191"/>
      <c r="CC91" s="191">
        <v>400</v>
      </c>
      <c r="CD91" s="191"/>
      <c r="CE91" s="192"/>
      <c r="CF91" s="190"/>
      <c r="CG91" s="191"/>
      <c r="CH91" s="191"/>
      <c r="CI91" s="191"/>
      <c r="CJ91" s="191">
        <v>400</v>
      </c>
      <c r="CK91" s="191"/>
      <c r="CL91" s="191"/>
      <c r="CM91" s="191"/>
      <c r="CN91" s="191"/>
      <c r="CO91" s="191"/>
      <c r="CP91" s="191"/>
      <c r="CQ91" s="191">
        <v>300</v>
      </c>
      <c r="CR91" s="191"/>
      <c r="CS91" s="191"/>
      <c r="CT91" s="191"/>
      <c r="CU91" s="191"/>
      <c r="CV91" s="191"/>
      <c r="CW91" s="191"/>
      <c r="CX91" s="191">
        <v>400</v>
      </c>
      <c r="CY91" s="191"/>
      <c r="CZ91" s="191"/>
      <c r="DA91" s="191"/>
      <c r="DB91" s="191"/>
      <c r="DC91" s="191"/>
      <c r="DD91" s="191"/>
      <c r="DE91" s="191">
        <v>400</v>
      </c>
      <c r="DF91" s="191"/>
      <c r="DG91" s="191"/>
      <c r="DH91" s="193"/>
      <c r="DI91" s="194"/>
      <c r="DJ91" s="191"/>
      <c r="DK91" s="191"/>
      <c r="DL91" s="191"/>
      <c r="DM91" s="191">
        <v>400</v>
      </c>
      <c r="DN91" s="191"/>
      <c r="DO91" s="191"/>
      <c r="DP91" s="191"/>
      <c r="DQ91" s="191"/>
      <c r="DR91" s="191"/>
      <c r="DS91" s="191"/>
      <c r="DT91" s="191">
        <v>250</v>
      </c>
      <c r="DU91" s="191"/>
      <c r="DV91" s="191"/>
      <c r="DW91" s="191"/>
      <c r="DX91" s="191"/>
      <c r="DY91" s="191"/>
      <c r="DZ91" s="191"/>
      <c r="EA91" s="191">
        <v>400</v>
      </c>
      <c r="EB91" s="191"/>
      <c r="EC91" s="191"/>
      <c r="ED91" s="191"/>
      <c r="EE91" s="191"/>
      <c r="EF91" s="191"/>
      <c r="EG91" s="191"/>
      <c r="EH91" s="191">
        <v>350</v>
      </c>
      <c r="EI91" s="191"/>
      <c r="EJ91" s="191"/>
      <c r="EK91" s="191"/>
      <c r="EL91" s="191"/>
      <c r="EM91" s="192"/>
      <c r="EN91" s="190"/>
      <c r="EO91" s="191">
        <v>400</v>
      </c>
      <c r="EP91" s="191"/>
      <c r="EQ91" s="191"/>
      <c r="ER91" s="191"/>
      <c r="ES91" s="191"/>
      <c r="ET91" s="191"/>
      <c r="EU91" s="191"/>
      <c r="EV91" s="191">
        <v>400</v>
      </c>
      <c r="EW91" s="191"/>
      <c r="EX91" s="191"/>
      <c r="EY91" s="191"/>
      <c r="EZ91" s="191"/>
      <c r="FA91" s="191"/>
      <c r="FB91" s="191"/>
      <c r="FC91" s="191">
        <v>300</v>
      </c>
      <c r="FD91" s="191"/>
      <c r="FE91" s="191"/>
      <c r="FF91" s="191"/>
      <c r="FG91" s="191"/>
      <c r="FH91" s="191"/>
      <c r="FI91" s="191"/>
      <c r="FJ91" s="191">
        <v>400</v>
      </c>
      <c r="FK91" s="191"/>
      <c r="FL91" s="191"/>
      <c r="FM91" s="191"/>
      <c r="FN91" s="191"/>
      <c r="FO91" s="191"/>
      <c r="FP91" s="191"/>
      <c r="FQ91" s="193">
        <v>350</v>
      </c>
      <c r="FR91" s="194"/>
      <c r="FS91" s="191"/>
      <c r="FT91" s="191"/>
      <c r="FU91" s="191"/>
      <c r="FV91" s="191"/>
      <c r="FW91" s="191"/>
      <c r="FX91" s="191">
        <v>400</v>
      </c>
      <c r="FY91" s="191"/>
      <c r="FZ91" s="191"/>
      <c r="GA91" s="191"/>
      <c r="GB91" s="191"/>
      <c r="GC91" s="191"/>
      <c r="GD91" s="191"/>
      <c r="GE91" s="191">
        <v>400</v>
      </c>
      <c r="GF91" s="191"/>
      <c r="GG91" s="191"/>
      <c r="GH91" s="191"/>
      <c r="GI91" s="191"/>
      <c r="GJ91" s="191"/>
      <c r="GK91" s="191"/>
      <c r="GL91" s="191">
        <v>400</v>
      </c>
      <c r="GM91" s="191"/>
      <c r="GN91" s="191"/>
      <c r="GO91" s="191"/>
      <c r="GP91" s="191"/>
      <c r="GQ91" s="191"/>
      <c r="GR91" s="191"/>
      <c r="GS91" s="191">
        <v>400</v>
      </c>
      <c r="GT91" s="191"/>
      <c r="GU91" s="191"/>
      <c r="GV91" s="192"/>
      <c r="GW91" s="190"/>
      <c r="GX91" s="191"/>
      <c r="GY91" s="191"/>
      <c r="GZ91" s="191">
        <v>400</v>
      </c>
      <c r="HA91" s="191"/>
      <c r="HB91" s="191"/>
      <c r="HC91" s="191"/>
      <c r="HD91" s="191"/>
      <c r="HE91" s="191"/>
      <c r="HF91" s="191"/>
      <c r="HG91" s="191">
        <v>400</v>
      </c>
      <c r="HH91" s="191"/>
      <c r="HI91" s="191"/>
      <c r="HJ91" s="191"/>
      <c r="HK91" s="191"/>
      <c r="HL91" s="191"/>
      <c r="HM91" s="191"/>
      <c r="HN91" s="191">
        <v>300</v>
      </c>
      <c r="HO91" s="191"/>
      <c r="HP91" s="191"/>
      <c r="HQ91" s="191"/>
      <c r="HR91" s="191"/>
      <c r="HS91" s="191"/>
      <c r="HT91" s="191"/>
      <c r="HU91" s="191">
        <v>200</v>
      </c>
      <c r="HV91" s="191"/>
      <c r="HW91" s="191"/>
      <c r="HX91" s="191"/>
      <c r="HY91" s="191"/>
      <c r="HZ91" s="193"/>
      <c r="IA91" s="194"/>
      <c r="IB91" s="191">
        <v>400</v>
      </c>
      <c r="IC91" s="191"/>
      <c r="ID91" s="191"/>
      <c r="IE91" s="191"/>
      <c r="IF91" s="191"/>
      <c r="IG91" s="191"/>
      <c r="IH91" s="191"/>
      <c r="II91" s="191">
        <v>400</v>
      </c>
      <c r="IJ91" s="191"/>
      <c r="IK91" s="191"/>
      <c r="IL91" s="191"/>
      <c r="IM91" s="191"/>
      <c r="IN91" s="191"/>
      <c r="IO91" s="191"/>
      <c r="IP91" s="191"/>
      <c r="IQ91" s="191"/>
      <c r="IR91" s="191">
        <v>350</v>
      </c>
      <c r="IS91" s="191"/>
      <c r="IT91" s="191"/>
      <c r="IU91" s="191"/>
      <c r="IV91" s="191"/>
      <c r="IW91" s="191">
        <v>350</v>
      </c>
      <c r="IX91" s="191"/>
      <c r="IY91" s="191"/>
      <c r="IZ91" s="191"/>
      <c r="JA91" s="191"/>
      <c r="JB91" s="191"/>
      <c r="JC91" s="191"/>
      <c r="JD91" s="191">
        <v>400</v>
      </c>
      <c r="JE91" s="192"/>
      <c r="JF91" s="190"/>
      <c r="JG91" s="191"/>
      <c r="JH91" s="191"/>
      <c r="JI91" s="191"/>
      <c r="JJ91" s="191"/>
      <c r="JK91" s="191">
        <v>400</v>
      </c>
      <c r="JL91" s="191"/>
      <c r="JM91" s="191"/>
      <c r="JN91" s="191"/>
      <c r="JO91" s="191"/>
      <c r="JP91" s="191"/>
      <c r="JQ91" s="191"/>
      <c r="JR91" s="191">
        <v>400</v>
      </c>
      <c r="JS91" s="191"/>
      <c r="JT91" s="191"/>
      <c r="JU91" s="191"/>
      <c r="JV91" s="191"/>
      <c r="JW91" s="191"/>
      <c r="JX91" s="191"/>
      <c r="JY91" s="191"/>
      <c r="JZ91" s="191">
        <v>400</v>
      </c>
      <c r="KA91" s="191"/>
      <c r="KB91" s="191"/>
      <c r="KC91" s="191"/>
      <c r="KD91" s="191"/>
      <c r="KE91" s="191"/>
      <c r="KF91" s="191">
        <v>400</v>
      </c>
      <c r="KG91" s="191"/>
      <c r="KH91" s="191"/>
      <c r="KI91" s="191"/>
      <c r="KJ91" s="193"/>
      <c r="KK91" s="194"/>
      <c r="KL91" s="191"/>
      <c r="KM91" s="191">
        <v>400</v>
      </c>
      <c r="KN91" s="191"/>
      <c r="KO91" s="191"/>
      <c r="KP91" s="191"/>
      <c r="KQ91" s="191"/>
      <c r="KR91" s="191"/>
      <c r="KS91" s="191"/>
      <c r="KT91" s="191"/>
      <c r="KU91" s="191">
        <v>400</v>
      </c>
      <c r="KV91" s="191"/>
      <c r="KW91" s="191"/>
      <c r="KX91" s="191"/>
      <c r="KY91" s="191"/>
      <c r="KZ91" s="191"/>
      <c r="LA91" s="191">
        <v>400</v>
      </c>
      <c r="LB91" s="191"/>
      <c r="LC91" s="191"/>
      <c r="LD91" s="191"/>
      <c r="LE91" s="191"/>
      <c r="LF91" s="191"/>
      <c r="LG91" s="191"/>
      <c r="LH91" s="191">
        <v>400</v>
      </c>
      <c r="LI91" s="191"/>
      <c r="LJ91" s="191"/>
      <c r="LK91" s="191"/>
      <c r="LL91" s="191"/>
      <c r="LM91" s="191"/>
      <c r="LN91" s="192"/>
      <c r="LO91" s="190">
        <v>400</v>
      </c>
      <c r="LP91" s="191"/>
      <c r="LQ91" s="191"/>
      <c r="LR91" s="191"/>
      <c r="LS91" s="191"/>
      <c r="LT91" s="191"/>
      <c r="LU91" s="191"/>
      <c r="LV91" s="191">
        <v>350</v>
      </c>
      <c r="LW91" s="191"/>
      <c r="LX91" s="191"/>
      <c r="LY91" s="191"/>
      <c r="LZ91" s="191"/>
      <c r="MA91" s="191"/>
      <c r="MB91" s="191"/>
      <c r="MC91" s="191">
        <v>400</v>
      </c>
      <c r="MD91" s="191"/>
      <c r="ME91" s="191"/>
      <c r="MF91" s="191"/>
      <c r="MG91" s="191"/>
      <c r="MH91" s="191"/>
      <c r="MI91" s="191"/>
      <c r="MJ91" s="191">
        <v>400</v>
      </c>
      <c r="MK91" s="191"/>
      <c r="ML91" s="191"/>
      <c r="MM91" s="191"/>
      <c r="MN91" s="191"/>
      <c r="MO91" s="191"/>
      <c r="MP91" s="191"/>
      <c r="MQ91" s="191">
        <v>350</v>
      </c>
      <c r="MR91" s="191"/>
      <c r="MS91" s="193"/>
      <c r="MT91" s="194"/>
      <c r="MU91" s="191"/>
      <c r="MV91" s="191"/>
      <c r="MW91" s="191"/>
      <c r="MX91" s="191">
        <v>400</v>
      </c>
      <c r="MY91" s="191"/>
      <c r="MZ91" s="191"/>
      <c r="NA91" s="191"/>
      <c r="NB91" s="191"/>
      <c r="NC91" s="191"/>
      <c r="ND91" s="191"/>
      <c r="NE91" s="191"/>
      <c r="NF91" s="191">
        <v>400</v>
      </c>
      <c r="NG91" s="191"/>
      <c r="NH91" s="191"/>
      <c r="NI91" s="191"/>
      <c r="NJ91" s="191"/>
      <c r="NK91" s="191"/>
      <c r="NL91" s="191">
        <v>250</v>
      </c>
      <c r="NM91" s="191"/>
      <c r="NN91" s="191"/>
      <c r="NO91" s="191"/>
      <c r="NP91" s="191"/>
      <c r="NQ91" s="191"/>
      <c r="NR91" s="191"/>
      <c r="NS91" s="191">
        <v>300</v>
      </c>
      <c r="NT91" s="191"/>
      <c r="NU91" s="191"/>
      <c r="NV91" s="191"/>
      <c r="NW91" s="192"/>
      <c r="NX91" s="190"/>
      <c r="NY91" s="191"/>
      <c r="NZ91" s="191">
        <v>400</v>
      </c>
      <c r="OA91" s="191"/>
      <c r="OB91" s="191"/>
      <c r="OC91" s="191"/>
      <c r="OD91" s="191"/>
      <c r="OE91" s="191"/>
      <c r="OF91" s="191"/>
      <c r="OG91" s="191">
        <v>250</v>
      </c>
      <c r="OH91" s="191"/>
      <c r="OI91" s="191"/>
      <c r="OJ91" s="191"/>
      <c r="OK91" s="191"/>
      <c r="OL91" s="191"/>
      <c r="OM91" s="191"/>
      <c r="ON91" s="191">
        <v>300</v>
      </c>
      <c r="OO91" s="191"/>
      <c r="OP91" s="191"/>
      <c r="OQ91" s="191"/>
      <c r="OR91" s="191"/>
      <c r="OS91" s="191"/>
      <c r="OT91" s="191"/>
      <c r="OU91" s="191"/>
      <c r="OV91" s="191"/>
      <c r="OW91" s="191"/>
      <c r="OX91" s="191"/>
      <c r="OY91" s="191"/>
      <c r="OZ91" s="191"/>
      <c r="PA91" s="191"/>
      <c r="PB91" s="193"/>
      <c r="PC91" s="47"/>
      <c r="PD91" s="154" t="s">
        <v>98</v>
      </c>
      <c r="PE91" s="155" t="s">
        <v>98</v>
      </c>
      <c r="PF91" s="155" t="s">
        <v>98</v>
      </c>
      <c r="PG91" s="155" t="s">
        <v>98</v>
      </c>
      <c r="PH91" s="155" t="s">
        <v>98</v>
      </c>
      <c r="PI91" s="155" t="s">
        <v>97</v>
      </c>
      <c r="PJ91" s="155" t="s">
        <v>98</v>
      </c>
      <c r="PK91" s="155" t="s">
        <v>98</v>
      </c>
      <c r="PL91" s="155" t="s">
        <v>98</v>
      </c>
      <c r="PM91" s="155" t="s">
        <v>98</v>
      </c>
      <c r="PN91" s="155" t="s">
        <v>98</v>
      </c>
      <c r="PO91" s="156"/>
      <c r="PP91" s="156"/>
      <c r="PQ91" s="156"/>
      <c r="PR91" s="156"/>
      <c r="PS91" s="156"/>
      <c r="PT91" s="156"/>
      <c r="PU91" s="156"/>
      <c r="PV91" s="156"/>
      <c r="PW91" s="156"/>
      <c r="PX91" s="195"/>
      <c r="PY91" s="1"/>
      <c r="PZ91" s="196">
        <f t="shared" si="73"/>
        <v>1650</v>
      </c>
      <c r="QA91" s="176">
        <f t="shared" si="74"/>
        <v>1.3764911987986985E-2</v>
      </c>
      <c r="QB91" s="177" t="str">
        <f t="shared" ca="1" si="75"/>
        <v>Attente…</v>
      </c>
      <c r="QC91" s="197">
        <f t="shared" si="76"/>
        <v>1500</v>
      </c>
      <c r="QD91" s="179">
        <f t="shared" si="77"/>
        <v>1.4044943820224719E-2</v>
      </c>
      <c r="QE91" s="180" t="str">
        <f t="shared" ca="1" si="78"/>
        <v>Attente…</v>
      </c>
      <c r="QF91" s="196">
        <f t="shared" si="79"/>
        <v>1400</v>
      </c>
      <c r="QG91" s="176">
        <f t="shared" si="80"/>
        <v>1.1148272017837236E-2</v>
      </c>
      <c r="QH91" s="177" t="str">
        <f t="shared" ca="1" si="81"/>
        <v>Attente…</v>
      </c>
      <c r="QI91" s="197">
        <f t="shared" si="82"/>
        <v>1850</v>
      </c>
      <c r="QJ91" s="179">
        <f t="shared" si="83"/>
        <v>1.2975171833356712E-2</v>
      </c>
      <c r="QK91" s="180" t="str">
        <f t="shared" ca="1" si="84"/>
        <v>Attente…</v>
      </c>
      <c r="QL91" s="196">
        <f t="shared" si="85"/>
        <v>1600</v>
      </c>
      <c r="QM91" s="176">
        <f t="shared" si="86"/>
        <v>1.1706175007316359E-2</v>
      </c>
      <c r="QN91" s="177" t="str">
        <f t="shared" ca="1" si="87"/>
        <v>Attente…</v>
      </c>
      <c r="QO91" s="197">
        <f t="shared" si="88"/>
        <v>1300</v>
      </c>
      <c r="QP91" s="179">
        <f t="shared" si="89"/>
        <v>1.0177718625225084E-2</v>
      </c>
      <c r="QQ91" s="180" t="str">
        <f t="shared" ca="1" si="90"/>
        <v>Attente…</v>
      </c>
      <c r="QR91" s="196">
        <f t="shared" si="91"/>
        <v>1900</v>
      </c>
      <c r="QS91" s="176">
        <f t="shared" si="92"/>
        <v>1.367841330405673E-2</v>
      </c>
      <c r="QT91" s="177" t="str">
        <f t="shared" ca="1" si="93"/>
        <v>Attente…</v>
      </c>
      <c r="QU91" s="197">
        <f t="shared" si="94"/>
        <v>1600</v>
      </c>
      <c r="QV91" s="179">
        <f t="shared" si="95"/>
        <v>1.1031439602868174E-2</v>
      </c>
      <c r="QW91" s="180" t="str">
        <f t="shared" ca="1" si="96"/>
        <v>Attente…</v>
      </c>
      <c r="QX91" s="196">
        <f t="shared" si="97"/>
        <v>1600</v>
      </c>
      <c r="QY91" s="176">
        <f t="shared" si="98"/>
        <v>1.1675764032808896E-2</v>
      </c>
      <c r="QZ91" s="177" t="str">
        <f t="shared" ca="1" si="99"/>
        <v>Attente…</v>
      </c>
      <c r="RA91" s="197">
        <f t="shared" si="100"/>
        <v>1900</v>
      </c>
      <c r="RB91" s="179">
        <f t="shared" si="101"/>
        <v>1.4865816446287457E-2</v>
      </c>
      <c r="RC91" s="180" t="str">
        <f t="shared" ca="1" si="102"/>
        <v>Attente…</v>
      </c>
      <c r="RD91" s="196">
        <f t="shared" si="103"/>
        <v>1350</v>
      </c>
      <c r="RE91" s="176">
        <f t="shared" si="104"/>
        <v>1.3451574332403349E-2</v>
      </c>
      <c r="RF91" s="177" t="str">
        <f t="shared" ca="1" si="105"/>
        <v>Attente…</v>
      </c>
      <c r="RG91" s="197">
        <f t="shared" si="106"/>
        <v>950</v>
      </c>
      <c r="RH91" s="179">
        <f t="shared" si="107"/>
        <v>1.7472871068604009E-2</v>
      </c>
      <c r="RI91" s="198" t="str">
        <f t="shared" ca="1" si="108"/>
        <v>Attente…</v>
      </c>
      <c r="RJ91" s="199">
        <f t="shared" si="109"/>
        <v>4550</v>
      </c>
      <c r="RK91" s="200" t="str">
        <f t="shared" ca="1" si="66"/>
        <v>Attente…</v>
      </c>
      <c r="RL91" s="199">
        <f t="shared" si="110"/>
        <v>4750</v>
      </c>
      <c r="RM91" s="200" t="str">
        <f t="shared" ca="1" si="111"/>
        <v>Atttente…</v>
      </c>
      <c r="RN91" s="199">
        <f t="shared" si="112"/>
        <v>5100</v>
      </c>
      <c r="RO91" s="200" t="str">
        <f t="shared" ca="1" si="67"/>
        <v>Attente…</v>
      </c>
      <c r="RP91" s="199">
        <f t="shared" si="113"/>
        <v>4200</v>
      </c>
      <c r="RQ91" s="200" t="str">
        <f t="shared" ca="1" si="68"/>
        <v>Attente…</v>
      </c>
      <c r="RR91" s="201">
        <f t="shared" si="114"/>
        <v>18600</v>
      </c>
      <c r="RS91" s="202" t="str">
        <f t="shared" ca="1" si="69"/>
        <v>Attente…</v>
      </c>
      <c r="RT91" s="103"/>
      <c r="RU91" s="203">
        <f t="shared" si="115"/>
        <v>0.91176470588235292</v>
      </c>
      <c r="RV91" s="204">
        <f t="shared" si="118"/>
        <v>2</v>
      </c>
      <c r="RW91" s="204">
        <f t="shared" si="118"/>
        <v>1</v>
      </c>
      <c r="RX91" s="204">
        <f t="shared" si="116"/>
        <v>51</v>
      </c>
      <c r="RY91" s="205" t="str">
        <f t="shared" si="117"/>
        <v>BOURG-ACHARD - 510 Rue du Dr Duvrac (Parking Loic Gréaume)</v>
      </c>
      <c r="RZ91" s="189" t="str">
        <f>IF(OR(RZ90="",RZ90="  &lt;/Document&gt;
&lt;/kml&gt;"),"",
IF(B91="","  &lt;/Document&gt;
&lt;/kml&gt;",
IF(TournéesCAV!Q91=""," ",
"    &lt;Placemark&gt;
      &lt;description&gt;&lt;![CDATA["&amp;B91&amp;"&lt;br&gt;&lt;br&gt;"&amp;RV91&amp;" CAV&lt;br&gt;&lt;br&gt;Présent sur "&amp;RW91&amp;" tournée(s)&lt;br&gt;&lt;br&gt;Taux de remplissage moyen "&amp;TEXT(RU91*1000,"0 %")&amp;"]]&gt;&lt;/description&gt;
      &lt;Style&gt;
        &lt;IconStyle&gt;
          &lt;color&gt;ff"&amp;
          DEC2HEX(0,2)&amp;
          DEC2HEX(
            IF(RU91&lt;=0.5,
               INT(255*(RU91*2)),
               255
            ),2)&amp;
          DEC2HEX(
            IF(RU91&lt;=0.5,
               255,
               INT(255*(1-(RU91-0.5)*2))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&lt;Point&gt;&lt;coordinates&gt;"&amp;R91&amp;","&amp;Q91&amp;",0&lt;/coordinates&gt;&lt;/Point&gt;
    &lt;/Placemark&gt;"
)))</f>
        <v xml:space="preserve">    &lt;Placemark&gt;
      &lt;description&gt;&lt;![CDATA[BOURG-ACHARD - 510 Rue du Dr Duvrac (Parking Loic Gréaume)&lt;br&gt;&lt;br&gt;2 CAV&lt;br&gt;&lt;br&gt;Présent sur 1 tournée(s)&lt;br&gt;&lt;br&gt;Taux de remplissage moyen 91%]]&gt;&lt;/description&gt;
      &lt;Style&gt;
        &lt;IconStyle&gt;
          &lt;color&gt;ff00FF2D&lt;/color&gt;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&lt;Point&gt;&lt;coordinates&gt;0.8181938,49.3593819,0&lt;/coordinates&gt;&lt;/Point&gt;
    &lt;/Placemark&gt;</v>
      </c>
    </row>
    <row r="92" spans="2:494" ht="15" hidden="1" customHeight="1" x14ac:dyDescent="0.35">
      <c r="B92" s="153" t="str">
        <f t="shared" si="70"/>
        <v xml:space="preserve">LA BOUILLE - 111 Allée des Lauriers </v>
      </c>
      <c r="C92" s="154">
        <v>94</v>
      </c>
      <c r="D92" s="155"/>
      <c r="E92" s="155"/>
      <c r="F92" s="155"/>
      <c r="G92" s="155"/>
      <c r="H92" s="155"/>
      <c r="I92" s="155"/>
      <c r="J92" s="156"/>
      <c r="K92" s="157">
        <f t="shared" si="71"/>
        <v>1</v>
      </c>
      <c r="L92" s="157">
        <f t="shared" si="72"/>
        <v>1</v>
      </c>
      <c r="M92" s="158" t="s">
        <v>548</v>
      </c>
      <c r="N92" s="159"/>
      <c r="O92" s="159">
        <v>76530</v>
      </c>
      <c r="P92" s="159" t="s">
        <v>549</v>
      </c>
      <c r="Q92" s="159" t="s">
        <v>550</v>
      </c>
      <c r="R92" s="159" t="s">
        <v>551</v>
      </c>
      <c r="S92" s="159" t="s">
        <v>93</v>
      </c>
      <c r="T92" s="159" t="s">
        <v>94</v>
      </c>
      <c r="U92" s="159" t="s">
        <v>552</v>
      </c>
      <c r="V92" s="160" t="s">
        <v>96</v>
      </c>
      <c r="W92" s="161"/>
      <c r="X92" s="162"/>
      <c r="Y92" s="163"/>
      <c r="Z92" s="162"/>
      <c r="AA92" s="163"/>
      <c r="AB92" s="162"/>
      <c r="AC92" s="163"/>
      <c r="AD92" s="162"/>
      <c r="AE92" s="163"/>
      <c r="AF92" s="162"/>
      <c r="AG92" s="207">
        <v>7</v>
      </c>
      <c r="AH92" s="163"/>
      <c r="AI92" s="162"/>
      <c r="AJ92" s="163"/>
      <c r="AK92" s="162"/>
      <c r="AL92" s="163"/>
      <c r="AM92" s="162"/>
      <c r="AN92" s="163"/>
      <c r="AO92" s="162"/>
      <c r="AP92" s="164"/>
      <c r="AQ92" s="164"/>
      <c r="AR92" s="164"/>
      <c r="AS92" s="164"/>
      <c r="AT92" s="164"/>
      <c r="AU92" s="164"/>
      <c r="AV92" s="164"/>
      <c r="AW92" s="164"/>
      <c r="AX92" s="164"/>
      <c r="AY92" s="165"/>
      <c r="AZ92" s="41"/>
      <c r="BA92" s="190"/>
      <c r="BB92" s="191">
        <v>100</v>
      </c>
      <c r="BC92" s="191"/>
      <c r="BD92" s="191"/>
      <c r="BE92" s="191"/>
      <c r="BF92" s="191"/>
      <c r="BG92" s="191"/>
      <c r="BH92" s="191"/>
      <c r="BI92" s="191"/>
      <c r="BJ92" s="191"/>
      <c r="BK92" s="191"/>
      <c r="BL92" s="191"/>
      <c r="BM92" s="191"/>
      <c r="BN92" s="191"/>
      <c r="BO92" s="191">
        <v>100</v>
      </c>
      <c r="BP92" s="191"/>
      <c r="BQ92" s="191"/>
      <c r="BR92" s="191"/>
      <c r="BS92" s="191"/>
      <c r="BT92" s="191"/>
      <c r="BU92" s="191"/>
      <c r="BV92" s="191">
        <v>50</v>
      </c>
      <c r="BW92" s="191"/>
      <c r="BX92" s="191"/>
      <c r="BY92" s="191"/>
      <c r="BZ92" s="191"/>
      <c r="CA92" s="191"/>
      <c r="CB92" s="191"/>
      <c r="CC92" s="191">
        <v>50</v>
      </c>
      <c r="CD92" s="191"/>
      <c r="CE92" s="192"/>
      <c r="CF92" s="190"/>
      <c r="CG92" s="191"/>
      <c r="CH92" s="191"/>
      <c r="CI92" s="191"/>
      <c r="CJ92" s="191"/>
      <c r="CK92" s="191"/>
      <c r="CL92" s="191"/>
      <c r="CM92" s="191"/>
      <c r="CN92" s="191"/>
      <c r="CO92" s="191"/>
      <c r="CP92" s="191"/>
      <c r="CQ92" s="191">
        <v>100</v>
      </c>
      <c r="CR92" s="191"/>
      <c r="CS92" s="191"/>
      <c r="CT92" s="191"/>
      <c r="CU92" s="191"/>
      <c r="CV92" s="191"/>
      <c r="CW92" s="191"/>
      <c r="CX92" s="191">
        <v>100</v>
      </c>
      <c r="CY92" s="191"/>
      <c r="CZ92" s="191"/>
      <c r="DA92" s="191"/>
      <c r="DB92" s="191"/>
      <c r="DC92" s="191"/>
      <c r="DD92" s="191"/>
      <c r="DE92" s="191">
        <v>50</v>
      </c>
      <c r="DF92" s="191"/>
      <c r="DG92" s="191"/>
      <c r="DH92" s="193"/>
      <c r="DI92" s="194"/>
      <c r="DJ92" s="191"/>
      <c r="DK92" s="191"/>
      <c r="DL92" s="191"/>
      <c r="DM92" s="191">
        <v>100</v>
      </c>
      <c r="DN92" s="191"/>
      <c r="DO92" s="191"/>
      <c r="DP92" s="191"/>
      <c r="DQ92" s="191"/>
      <c r="DR92" s="191"/>
      <c r="DS92" s="191"/>
      <c r="DT92" s="191">
        <v>50</v>
      </c>
      <c r="DU92" s="191"/>
      <c r="DV92" s="191"/>
      <c r="DW92" s="191"/>
      <c r="DX92" s="191"/>
      <c r="DY92" s="191"/>
      <c r="DZ92" s="191"/>
      <c r="EA92" s="191">
        <v>50</v>
      </c>
      <c r="EB92" s="191"/>
      <c r="EC92" s="191"/>
      <c r="ED92" s="191"/>
      <c r="EE92" s="191"/>
      <c r="EF92" s="191"/>
      <c r="EG92" s="191"/>
      <c r="EH92" s="191">
        <v>10</v>
      </c>
      <c r="EI92" s="191"/>
      <c r="EJ92" s="191"/>
      <c r="EK92" s="191"/>
      <c r="EL92" s="191"/>
      <c r="EM92" s="192"/>
      <c r="EN92" s="190"/>
      <c r="EO92" s="191">
        <v>50</v>
      </c>
      <c r="EP92" s="191"/>
      <c r="EQ92" s="191"/>
      <c r="ER92" s="191"/>
      <c r="ES92" s="191"/>
      <c r="ET92" s="191"/>
      <c r="EU92" s="191"/>
      <c r="EV92" s="191">
        <v>50</v>
      </c>
      <c r="EW92" s="191"/>
      <c r="EX92" s="191"/>
      <c r="EY92" s="191"/>
      <c r="EZ92" s="191"/>
      <c r="FA92" s="191"/>
      <c r="FB92" s="191"/>
      <c r="FC92" s="191">
        <v>150</v>
      </c>
      <c r="FD92" s="191"/>
      <c r="FE92" s="191"/>
      <c r="FF92" s="191"/>
      <c r="FG92" s="191"/>
      <c r="FH92" s="191"/>
      <c r="FI92" s="191"/>
      <c r="FJ92" s="191">
        <v>50</v>
      </c>
      <c r="FK92" s="191"/>
      <c r="FL92" s="191"/>
      <c r="FM92" s="191"/>
      <c r="FN92" s="191"/>
      <c r="FO92" s="191"/>
      <c r="FP92" s="191"/>
      <c r="FQ92" s="193">
        <v>50</v>
      </c>
      <c r="FR92" s="194"/>
      <c r="FS92" s="191"/>
      <c r="FT92" s="191"/>
      <c r="FU92" s="191"/>
      <c r="FV92" s="191"/>
      <c r="FW92" s="191"/>
      <c r="FX92" s="191">
        <v>100</v>
      </c>
      <c r="FY92" s="191"/>
      <c r="FZ92" s="191"/>
      <c r="GA92" s="191"/>
      <c r="GB92" s="191"/>
      <c r="GC92" s="191"/>
      <c r="GD92" s="191"/>
      <c r="GE92" s="191">
        <v>50</v>
      </c>
      <c r="GF92" s="191"/>
      <c r="GG92" s="191"/>
      <c r="GH92" s="191"/>
      <c r="GI92" s="191"/>
      <c r="GJ92" s="191"/>
      <c r="GK92" s="191"/>
      <c r="GL92" s="191">
        <v>100</v>
      </c>
      <c r="GM92" s="191"/>
      <c r="GN92" s="191"/>
      <c r="GO92" s="191"/>
      <c r="GP92" s="191"/>
      <c r="GQ92" s="191"/>
      <c r="GR92" s="191"/>
      <c r="GS92" s="191">
        <v>100</v>
      </c>
      <c r="GT92" s="191"/>
      <c r="GU92" s="191"/>
      <c r="GV92" s="192"/>
      <c r="GW92" s="190"/>
      <c r="GX92" s="191"/>
      <c r="GY92" s="191"/>
      <c r="GZ92" s="191">
        <v>50</v>
      </c>
      <c r="HA92" s="191"/>
      <c r="HB92" s="191"/>
      <c r="HC92" s="191"/>
      <c r="HD92" s="191"/>
      <c r="HE92" s="191"/>
      <c r="HF92" s="191"/>
      <c r="HG92" s="191">
        <v>50</v>
      </c>
      <c r="HH92" s="191"/>
      <c r="HI92" s="191"/>
      <c r="HJ92" s="191"/>
      <c r="HK92" s="191"/>
      <c r="HL92" s="191"/>
      <c r="HM92" s="191"/>
      <c r="HN92" s="191">
        <v>50</v>
      </c>
      <c r="HO92" s="191"/>
      <c r="HP92" s="191"/>
      <c r="HQ92" s="191"/>
      <c r="HR92" s="191"/>
      <c r="HS92" s="191"/>
      <c r="HT92" s="191"/>
      <c r="HU92" s="191">
        <v>50</v>
      </c>
      <c r="HV92" s="191"/>
      <c r="HW92" s="191"/>
      <c r="HX92" s="191"/>
      <c r="HY92" s="191"/>
      <c r="HZ92" s="193"/>
      <c r="IA92" s="194"/>
      <c r="IB92" s="191">
        <v>100</v>
      </c>
      <c r="IC92" s="191"/>
      <c r="ID92" s="191"/>
      <c r="IE92" s="191"/>
      <c r="IF92" s="191"/>
      <c r="IG92" s="191"/>
      <c r="IH92" s="191"/>
      <c r="II92" s="191">
        <v>100</v>
      </c>
      <c r="IJ92" s="191"/>
      <c r="IK92" s="191"/>
      <c r="IL92" s="191"/>
      <c r="IM92" s="191"/>
      <c r="IN92" s="191"/>
      <c r="IO92" s="191"/>
      <c r="IP92" s="191"/>
      <c r="IQ92" s="191"/>
      <c r="IR92" s="191">
        <v>100</v>
      </c>
      <c r="IS92" s="191"/>
      <c r="IT92" s="191"/>
      <c r="IU92" s="191"/>
      <c r="IV92" s="191"/>
      <c r="IW92" s="191">
        <v>50</v>
      </c>
      <c r="IX92" s="191"/>
      <c r="IY92" s="191"/>
      <c r="IZ92" s="191"/>
      <c r="JA92" s="191"/>
      <c r="JB92" s="191"/>
      <c r="JC92" s="191"/>
      <c r="JD92" s="191">
        <v>50</v>
      </c>
      <c r="JE92" s="192"/>
      <c r="JF92" s="190"/>
      <c r="JG92" s="191"/>
      <c r="JH92" s="191"/>
      <c r="JI92" s="191"/>
      <c r="JJ92" s="191"/>
      <c r="JK92" s="191">
        <v>150</v>
      </c>
      <c r="JL92" s="191"/>
      <c r="JM92" s="191"/>
      <c r="JN92" s="191"/>
      <c r="JO92" s="191"/>
      <c r="JP92" s="191"/>
      <c r="JQ92" s="191"/>
      <c r="JR92" s="191">
        <v>150</v>
      </c>
      <c r="JS92" s="191"/>
      <c r="JT92" s="191"/>
      <c r="JU92" s="191"/>
      <c r="JV92" s="191"/>
      <c r="JW92" s="191"/>
      <c r="JX92" s="191"/>
      <c r="JY92" s="191"/>
      <c r="JZ92" s="191">
        <v>200</v>
      </c>
      <c r="KA92" s="191"/>
      <c r="KB92" s="191"/>
      <c r="KC92" s="191"/>
      <c r="KD92" s="191"/>
      <c r="KE92" s="191"/>
      <c r="KF92" s="191">
        <v>100</v>
      </c>
      <c r="KG92" s="191"/>
      <c r="KH92" s="191"/>
      <c r="KI92" s="191"/>
      <c r="KJ92" s="193"/>
      <c r="KK92" s="194"/>
      <c r="KL92" s="191"/>
      <c r="KM92" s="191">
        <v>100</v>
      </c>
      <c r="KN92" s="191"/>
      <c r="KO92" s="191"/>
      <c r="KP92" s="191"/>
      <c r="KQ92" s="191"/>
      <c r="KR92" s="191"/>
      <c r="KS92" s="191"/>
      <c r="KT92" s="191"/>
      <c r="KU92" s="191">
        <v>150</v>
      </c>
      <c r="KV92" s="191"/>
      <c r="KW92" s="191"/>
      <c r="KX92" s="191"/>
      <c r="KY92" s="191"/>
      <c r="KZ92" s="191"/>
      <c r="LA92" s="191">
        <v>50</v>
      </c>
      <c r="LB92" s="191"/>
      <c r="LC92" s="191"/>
      <c r="LD92" s="191"/>
      <c r="LE92" s="191"/>
      <c r="LF92" s="191"/>
      <c r="LG92" s="191"/>
      <c r="LH92" s="191">
        <v>50</v>
      </c>
      <c r="LI92" s="191"/>
      <c r="LJ92" s="191"/>
      <c r="LK92" s="191"/>
      <c r="LL92" s="191"/>
      <c r="LM92" s="191"/>
      <c r="LN92" s="192"/>
      <c r="LO92" s="190">
        <v>150</v>
      </c>
      <c r="LP92" s="191"/>
      <c r="LQ92" s="191"/>
      <c r="LR92" s="191"/>
      <c r="LS92" s="191"/>
      <c r="LT92" s="191"/>
      <c r="LU92" s="191"/>
      <c r="LV92" s="191"/>
      <c r="LW92" s="191"/>
      <c r="LX92" s="191"/>
      <c r="LY92" s="191"/>
      <c r="LZ92" s="191"/>
      <c r="MA92" s="191"/>
      <c r="MB92" s="191"/>
      <c r="MC92" s="191">
        <v>150</v>
      </c>
      <c r="MD92" s="191"/>
      <c r="ME92" s="191"/>
      <c r="MF92" s="191"/>
      <c r="MG92" s="191"/>
      <c r="MH92" s="191"/>
      <c r="MI92" s="191"/>
      <c r="MJ92" s="191">
        <v>50</v>
      </c>
      <c r="MK92" s="191"/>
      <c r="ML92" s="191"/>
      <c r="MM92" s="191"/>
      <c r="MN92" s="191"/>
      <c r="MO92" s="191"/>
      <c r="MP92" s="191"/>
      <c r="MQ92" s="191">
        <v>100</v>
      </c>
      <c r="MR92" s="191"/>
      <c r="MS92" s="193"/>
      <c r="MT92" s="194"/>
      <c r="MU92" s="191"/>
      <c r="MV92" s="191"/>
      <c r="MW92" s="191"/>
      <c r="MX92" s="191">
        <v>100</v>
      </c>
      <c r="MY92" s="191"/>
      <c r="MZ92" s="191"/>
      <c r="NA92" s="191"/>
      <c r="NB92" s="191"/>
      <c r="NC92" s="191"/>
      <c r="ND92" s="191"/>
      <c r="NE92" s="191"/>
      <c r="NF92" s="191">
        <v>10</v>
      </c>
      <c r="NG92" s="191"/>
      <c r="NH92" s="191"/>
      <c r="NI92" s="191"/>
      <c r="NJ92" s="191"/>
      <c r="NK92" s="191"/>
      <c r="NL92" s="191">
        <v>100</v>
      </c>
      <c r="NM92" s="191"/>
      <c r="NN92" s="191"/>
      <c r="NO92" s="191"/>
      <c r="NP92" s="191"/>
      <c r="NQ92" s="191"/>
      <c r="NR92" s="191"/>
      <c r="NS92" s="191">
        <v>150</v>
      </c>
      <c r="NT92" s="191"/>
      <c r="NU92" s="191"/>
      <c r="NV92" s="191"/>
      <c r="NW92" s="192"/>
      <c r="NX92" s="190"/>
      <c r="NY92" s="191"/>
      <c r="NZ92" s="191">
        <v>50</v>
      </c>
      <c r="OA92" s="191"/>
      <c r="OB92" s="191"/>
      <c r="OC92" s="191"/>
      <c r="OD92" s="191"/>
      <c r="OE92" s="191"/>
      <c r="OF92" s="191"/>
      <c r="OG92" s="191">
        <v>50</v>
      </c>
      <c r="OH92" s="191"/>
      <c r="OI92" s="191"/>
      <c r="OJ92" s="191"/>
      <c r="OK92" s="191"/>
      <c r="OL92" s="191"/>
      <c r="OM92" s="191"/>
      <c r="ON92" s="191">
        <v>50</v>
      </c>
      <c r="OO92" s="191"/>
      <c r="OP92" s="191"/>
      <c r="OQ92" s="191"/>
      <c r="OR92" s="191"/>
      <c r="OS92" s="191"/>
      <c r="OT92" s="191"/>
      <c r="OU92" s="191"/>
      <c r="OV92" s="191"/>
      <c r="OW92" s="191"/>
      <c r="OX92" s="191"/>
      <c r="OY92" s="191"/>
      <c r="OZ92" s="191"/>
      <c r="PA92" s="191"/>
      <c r="PB92" s="193"/>
      <c r="PC92" s="47"/>
      <c r="PD92" s="154" t="s">
        <v>97</v>
      </c>
      <c r="PE92" s="155" t="s">
        <v>98</v>
      </c>
      <c r="PF92" s="155" t="s">
        <v>98</v>
      </c>
      <c r="PG92" s="155" t="s">
        <v>98</v>
      </c>
      <c r="PH92" s="155" t="s">
        <v>98</v>
      </c>
      <c r="PI92" s="155" t="s">
        <v>98</v>
      </c>
      <c r="PJ92" s="155" t="s">
        <v>98</v>
      </c>
      <c r="PK92" s="155" t="s">
        <v>98</v>
      </c>
      <c r="PL92" s="155" t="s">
        <v>98</v>
      </c>
      <c r="PM92" s="155" t="s">
        <v>98</v>
      </c>
      <c r="PN92" s="155" t="s">
        <v>98</v>
      </c>
      <c r="PO92" s="156"/>
      <c r="PP92" s="156"/>
      <c r="PQ92" s="156"/>
      <c r="PR92" s="156"/>
      <c r="PS92" s="156"/>
      <c r="PT92" s="156"/>
      <c r="PU92" s="156"/>
      <c r="PV92" s="156"/>
      <c r="PW92" s="156"/>
      <c r="PX92" s="195"/>
      <c r="PY92" s="1"/>
      <c r="PZ92" s="196">
        <f t="shared" si="73"/>
        <v>300</v>
      </c>
      <c r="QA92" s="176">
        <f t="shared" si="74"/>
        <v>2.5027112705430883E-3</v>
      </c>
      <c r="QB92" s="177" t="str">
        <f t="shared" ca="1" si="75"/>
        <v>Attente…</v>
      </c>
      <c r="QC92" s="197">
        <f t="shared" si="76"/>
        <v>250</v>
      </c>
      <c r="QD92" s="179">
        <f t="shared" si="77"/>
        <v>2.3408239700374533E-3</v>
      </c>
      <c r="QE92" s="180" t="str">
        <f t="shared" ca="1" si="78"/>
        <v>Attente…</v>
      </c>
      <c r="QF92" s="196">
        <f t="shared" si="79"/>
        <v>210</v>
      </c>
      <c r="QG92" s="176">
        <f t="shared" si="80"/>
        <v>1.6722408026755853E-3</v>
      </c>
      <c r="QH92" s="177" t="str">
        <f t="shared" ca="1" si="81"/>
        <v>Attente…</v>
      </c>
      <c r="QI92" s="197">
        <f t="shared" si="82"/>
        <v>350</v>
      </c>
      <c r="QJ92" s="179">
        <f t="shared" si="83"/>
        <v>2.4547622387431616E-3</v>
      </c>
      <c r="QK92" s="180" t="str">
        <f t="shared" ca="1" si="84"/>
        <v>Attente…</v>
      </c>
      <c r="QL92" s="196">
        <f t="shared" si="85"/>
        <v>350</v>
      </c>
      <c r="QM92" s="176">
        <f t="shared" si="86"/>
        <v>2.5607257828504535E-3</v>
      </c>
      <c r="QN92" s="177" t="str">
        <f t="shared" ca="1" si="87"/>
        <v>Attente…</v>
      </c>
      <c r="QO92" s="197">
        <f t="shared" si="88"/>
        <v>200</v>
      </c>
      <c r="QP92" s="179">
        <f t="shared" si="89"/>
        <v>1.5658028654192437E-3</v>
      </c>
      <c r="QQ92" s="180" t="str">
        <f t="shared" ca="1" si="90"/>
        <v>Attente…</v>
      </c>
      <c r="QR92" s="196">
        <f t="shared" si="91"/>
        <v>400</v>
      </c>
      <c r="QS92" s="176">
        <f t="shared" si="92"/>
        <v>2.8796659587487852E-3</v>
      </c>
      <c r="QT92" s="177" t="str">
        <f t="shared" ca="1" si="93"/>
        <v>Attente…</v>
      </c>
      <c r="QU92" s="197">
        <f t="shared" si="94"/>
        <v>600</v>
      </c>
      <c r="QV92" s="179">
        <f t="shared" si="95"/>
        <v>4.1367898510755651E-3</v>
      </c>
      <c r="QW92" s="180" t="str">
        <f t="shared" ca="1" si="96"/>
        <v>Attente…</v>
      </c>
      <c r="QX92" s="196">
        <f t="shared" si="97"/>
        <v>350</v>
      </c>
      <c r="QY92" s="176">
        <f t="shared" si="98"/>
        <v>2.5540733821769464E-3</v>
      </c>
      <c r="QZ92" s="177" t="str">
        <f t="shared" ca="1" si="99"/>
        <v>Attente…</v>
      </c>
      <c r="RA92" s="197">
        <f t="shared" si="100"/>
        <v>450</v>
      </c>
      <c r="RB92" s="179">
        <f t="shared" si="101"/>
        <v>3.5208512635943978E-3</v>
      </c>
      <c r="RC92" s="180" t="str">
        <f t="shared" ca="1" si="102"/>
        <v>Attente…</v>
      </c>
      <c r="RD92" s="196">
        <f t="shared" si="103"/>
        <v>360</v>
      </c>
      <c r="RE92" s="176">
        <f t="shared" si="104"/>
        <v>3.5870864886408927E-3</v>
      </c>
      <c r="RF92" s="177" t="str">
        <f t="shared" ca="1" si="105"/>
        <v>Attente…</v>
      </c>
      <c r="RG92" s="197">
        <f t="shared" si="106"/>
        <v>150</v>
      </c>
      <c r="RH92" s="179">
        <f t="shared" si="107"/>
        <v>2.7588743792532648E-3</v>
      </c>
      <c r="RI92" s="198" t="str">
        <f t="shared" ca="1" si="108"/>
        <v>Attente…</v>
      </c>
      <c r="RJ92" s="199">
        <f t="shared" si="109"/>
        <v>760</v>
      </c>
      <c r="RK92" s="200" t="str">
        <f t="shared" ca="1" si="66"/>
        <v>Attente…</v>
      </c>
      <c r="RL92" s="199">
        <f t="shared" si="110"/>
        <v>900</v>
      </c>
      <c r="RM92" s="200" t="str">
        <f t="shared" ca="1" si="111"/>
        <v>Atttente…</v>
      </c>
      <c r="RN92" s="199">
        <f t="shared" si="112"/>
        <v>1350</v>
      </c>
      <c r="RO92" s="200" t="str">
        <f t="shared" ca="1" si="67"/>
        <v>Attente…</v>
      </c>
      <c r="RP92" s="199">
        <f t="shared" si="113"/>
        <v>960</v>
      </c>
      <c r="RQ92" s="200" t="str">
        <f t="shared" ca="1" si="68"/>
        <v>Attente…</v>
      </c>
      <c r="RR92" s="201">
        <f t="shared" si="114"/>
        <v>3970</v>
      </c>
      <c r="RS92" s="202" t="str">
        <f t="shared" ca="1" si="69"/>
        <v>Attente…</v>
      </c>
      <c r="RT92" s="103"/>
      <c r="RU92" s="203">
        <f t="shared" si="115"/>
        <v>0.41354166666666664</v>
      </c>
      <c r="RV92" s="204">
        <f t="shared" si="118"/>
        <v>1</v>
      </c>
      <c r="RW92" s="204">
        <f t="shared" si="118"/>
        <v>1</v>
      </c>
      <c r="RX92" s="204">
        <f t="shared" si="116"/>
        <v>48</v>
      </c>
      <c r="RY92" s="205" t="str">
        <f t="shared" si="117"/>
        <v xml:space="preserve">LA BOUILLE - 111 Allée des Lauriers </v>
      </c>
      <c r="RZ92" s="189" t="str">
        <f>IF(OR(RZ91="",RZ91="  &lt;/Document&gt;
&lt;/kml&gt;"),"",
IF(B92="","  &lt;/Document&gt;
&lt;/kml&gt;",
IF(TournéesCAV!Q92=""," ",
"    &lt;Placemark&gt;
      &lt;description&gt;&lt;![CDATA["&amp;B92&amp;"&lt;br&gt;&lt;br&gt;"&amp;RV92&amp;" CAV&lt;br&gt;&lt;br&gt;Présent sur "&amp;RW92&amp;" tournée(s)&lt;br&gt;&lt;br&gt;Taux de remplissage moyen "&amp;TEXT(RU92*1000,"0 %")&amp;"]]&gt;&lt;/description&gt;
      &lt;Style&gt;
        &lt;IconStyle&gt;
          &lt;color&gt;ff"&amp;
          DEC2HEX(0,2)&amp;
          DEC2HEX(
            IF(RU92&lt;=0.5,
               INT(255*(RU92*2)),
               255
            ),2)&amp;
          DEC2HEX(
            IF(RU92&lt;=0.5,
               255,
               INT(255*(1-(RU92-0.5)*2))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&lt;Point&gt;&lt;coordinates&gt;"&amp;R92&amp;","&amp;Q92&amp;",0&lt;/coordinates&gt;&lt;/Point&gt;
    &lt;/Placemark&gt;"
)))</f>
        <v xml:space="preserve">    &lt;Placemark&gt;
      &lt;description&gt;&lt;![CDATA[LA BOUILLE - 111 Allée des Lauriers &lt;br&gt;&lt;br&gt;1 CAV&lt;br&gt;&lt;br&gt;Présent sur 1 tournée(s)&lt;br&gt;&lt;br&gt;Taux de remplissage moyen 41%]]&gt;&lt;/description&gt;
      &lt;Style&gt;
        &lt;IconStyle&gt;
          &lt;color&gt;ff00D2FF&lt;/color&gt;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&lt;Point&gt;&lt;coordinates&gt;0.933767,49.3498305,0&lt;/coordinates&gt;&lt;/Point&gt;
    &lt;/Placemark&gt;</v>
      </c>
    </row>
    <row r="93" spans="2:494" ht="15" hidden="1" customHeight="1" x14ac:dyDescent="0.35">
      <c r="B93" s="153" t="str">
        <f t="shared" si="70"/>
        <v>CLÉON - 83 rue Alain Colas (Parking Leader Price)</v>
      </c>
      <c r="C93" s="154">
        <v>10</v>
      </c>
      <c r="D93" s="155"/>
      <c r="E93" s="155"/>
      <c r="F93" s="155"/>
      <c r="G93" s="155"/>
      <c r="H93" s="155"/>
      <c r="I93" s="155"/>
      <c r="J93" s="156"/>
      <c r="K93" s="157">
        <f t="shared" si="71"/>
        <v>1</v>
      </c>
      <c r="L93" s="157">
        <f t="shared" si="72"/>
        <v>1</v>
      </c>
      <c r="M93" s="158" t="s">
        <v>553</v>
      </c>
      <c r="N93" s="159" t="s">
        <v>554</v>
      </c>
      <c r="O93" s="159">
        <v>76410</v>
      </c>
      <c r="P93" s="159" t="s">
        <v>469</v>
      </c>
      <c r="Q93" s="159" t="s">
        <v>555</v>
      </c>
      <c r="R93" s="159" t="s">
        <v>556</v>
      </c>
      <c r="S93" s="159" t="s">
        <v>93</v>
      </c>
      <c r="T93" s="159" t="s">
        <v>110</v>
      </c>
      <c r="U93" s="159" t="s">
        <v>557</v>
      </c>
      <c r="V93" s="160" t="s">
        <v>123</v>
      </c>
      <c r="W93" s="161"/>
      <c r="X93" s="162"/>
      <c r="Y93" s="163"/>
      <c r="Z93" s="162"/>
      <c r="AA93" s="163"/>
      <c r="AB93" s="162"/>
      <c r="AC93" s="163"/>
      <c r="AD93" s="162"/>
      <c r="AE93" s="163"/>
      <c r="AF93" s="162"/>
      <c r="AG93" s="163"/>
      <c r="AH93" s="163"/>
      <c r="AI93" s="162"/>
      <c r="AJ93" s="163"/>
      <c r="AK93" s="162"/>
      <c r="AL93" s="163"/>
      <c r="AM93" s="162"/>
      <c r="AN93" s="163"/>
      <c r="AO93" s="162">
        <v>7</v>
      </c>
      <c r="AP93" s="164"/>
      <c r="AQ93" s="164"/>
      <c r="AR93" s="164"/>
      <c r="AS93" s="164"/>
      <c r="AT93" s="164"/>
      <c r="AU93" s="164"/>
      <c r="AV93" s="164"/>
      <c r="AW93" s="164"/>
      <c r="AX93" s="164"/>
      <c r="AY93" s="165"/>
      <c r="AZ93" s="41"/>
      <c r="BA93" s="190"/>
      <c r="BB93" s="191">
        <v>200</v>
      </c>
      <c r="BC93" s="191"/>
      <c r="BD93" s="191"/>
      <c r="BE93" s="191"/>
      <c r="BF93" s="191"/>
      <c r="BG93" s="191"/>
      <c r="BH93" s="191">
        <v>100</v>
      </c>
      <c r="BI93" s="191"/>
      <c r="BJ93" s="191"/>
      <c r="BK93" s="191"/>
      <c r="BL93" s="191"/>
      <c r="BM93" s="191"/>
      <c r="BN93" s="191"/>
      <c r="BO93" s="191">
        <v>100</v>
      </c>
      <c r="BP93" s="191"/>
      <c r="BQ93" s="191"/>
      <c r="BR93" s="191"/>
      <c r="BS93" s="191"/>
      <c r="BT93" s="191"/>
      <c r="BU93" s="191"/>
      <c r="BV93" s="191">
        <v>100</v>
      </c>
      <c r="BW93" s="191"/>
      <c r="BX93" s="191"/>
      <c r="BY93" s="191"/>
      <c r="BZ93" s="191"/>
      <c r="CA93" s="191"/>
      <c r="CB93" s="191"/>
      <c r="CC93" s="191">
        <v>150</v>
      </c>
      <c r="CD93" s="191"/>
      <c r="CE93" s="192"/>
      <c r="CF93" s="190"/>
      <c r="CG93" s="191"/>
      <c r="CH93" s="191"/>
      <c r="CI93" s="191"/>
      <c r="CJ93" s="191">
        <v>150</v>
      </c>
      <c r="CK93" s="191"/>
      <c r="CL93" s="191"/>
      <c r="CM93" s="191"/>
      <c r="CN93" s="191"/>
      <c r="CO93" s="191"/>
      <c r="CP93" s="191"/>
      <c r="CQ93" s="191">
        <v>100</v>
      </c>
      <c r="CR93" s="191"/>
      <c r="CS93" s="191"/>
      <c r="CT93" s="191"/>
      <c r="CU93" s="191"/>
      <c r="CV93" s="191"/>
      <c r="CW93" s="191"/>
      <c r="CX93" s="191">
        <v>150</v>
      </c>
      <c r="CY93" s="191"/>
      <c r="CZ93" s="191"/>
      <c r="DA93" s="191"/>
      <c r="DB93" s="191"/>
      <c r="DC93" s="191"/>
      <c r="DD93" s="191"/>
      <c r="DE93" s="191">
        <v>150</v>
      </c>
      <c r="DF93" s="191"/>
      <c r="DG93" s="191"/>
      <c r="DH93" s="193"/>
      <c r="DI93" s="194"/>
      <c r="DJ93" s="191"/>
      <c r="DK93" s="191"/>
      <c r="DL93" s="191"/>
      <c r="DM93" s="191"/>
      <c r="DN93" s="191"/>
      <c r="DO93" s="191"/>
      <c r="DP93" s="191"/>
      <c r="DQ93" s="191"/>
      <c r="DR93" s="191"/>
      <c r="DS93" s="191"/>
      <c r="DT93" s="191">
        <v>150</v>
      </c>
      <c r="DU93" s="191"/>
      <c r="DV93" s="191"/>
      <c r="DW93" s="191"/>
      <c r="DX93" s="191"/>
      <c r="DY93" s="191"/>
      <c r="DZ93" s="191"/>
      <c r="EA93" s="191">
        <v>100</v>
      </c>
      <c r="EB93" s="191"/>
      <c r="EC93" s="191"/>
      <c r="ED93" s="191"/>
      <c r="EE93" s="191"/>
      <c r="EF93" s="191"/>
      <c r="EG93" s="191"/>
      <c r="EH93" s="191">
        <v>200</v>
      </c>
      <c r="EI93" s="191"/>
      <c r="EJ93" s="191"/>
      <c r="EK93" s="191"/>
      <c r="EL93" s="191"/>
      <c r="EM93" s="192"/>
      <c r="EN93" s="190"/>
      <c r="EO93" s="191">
        <v>150</v>
      </c>
      <c r="EP93" s="191"/>
      <c r="EQ93" s="191"/>
      <c r="ER93" s="191"/>
      <c r="ES93" s="191"/>
      <c r="ET93" s="191"/>
      <c r="EU93" s="191"/>
      <c r="EV93" s="191">
        <v>200</v>
      </c>
      <c r="EW93" s="191"/>
      <c r="EX93" s="191"/>
      <c r="EY93" s="191"/>
      <c r="EZ93" s="191"/>
      <c r="FA93" s="191"/>
      <c r="FB93" s="191"/>
      <c r="FC93" s="191">
        <v>200</v>
      </c>
      <c r="FD93" s="191"/>
      <c r="FE93" s="191"/>
      <c r="FF93" s="191"/>
      <c r="FG93" s="191"/>
      <c r="FH93" s="191"/>
      <c r="FI93" s="191"/>
      <c r="FJ93" s="191">
        <v>200</v>
      </c>
      <c r="FK93" s="191"/>
      <c r="FL93" s="191"/>
      <c r="FM93" s="191"/>
      <c r="FN93" s="191"/>
      <c r="FO93" s="191"/>
      <c r="FP93" s="191"/>
      <c r="FQ93" s="193">
        <v>150</v>
      </c>
      <c r="FR93" s="194"/>
      <c r="FS93" s="191"/>
      <c r="FT93" s="191"/>
      <c r="FU93" s="191"/>
      <c r="FV93" s="191"/>
      <c r="FW93" s="191"/>
      <c r="FX93" s="191">
        <v>100</v>
      </c>
      <c r="FY93" s="191"/>
      <c r="FZ93" s="191"/>
      <c r="GA93" s="191"/>
      <c r="GB93" s="191"/>
      <c r="GC93" s="191"/>
      <c r="GD93" s="191"/>
      <c r="GE93" s="191">
        <v>200</v>
      </c>
      <c r="GF93" s="191"/>
      <c r="GG93" s="191"/>
      <c r="GH93" s="191"/>
      <c r="GI93" s="191"/>
      <c r="GJ93" s="191"/>
      <c r="GK93" s="191"/>
      <c r="GL93" s="191">
        <v>150</v>
      </c>
      <c r="GM93" s="191"/>
      <c r="GN93" s="191"/>
      <c r="GO93" s="191"/>
      <c r="GP93" s="191"/>
      <c r="GQ93" s="191"/>
      <c r="GR93" s="191"/>
      <c r="GS93" s="191">
        <v>200</v>
      </c>
      <c r="GT93" s="191"/>
      <c r="GU93" s="191"/>
      <c r="GV93" s="192"/>
      <c r="GW93" s="190"/>
      <c r="GX93" s="191"/>
      <c r="GY93" s="191"/>
      <c r="GZ93" s="191">
        <v>150</v>
      </c>
      <c r="HA93" s="191"/>
      <c r="HB93" s="191"/>
      <c r="HC93" s="191"/>
      <c r="HD93" s="191"/>
      <c r="HE93" s="191"/>
      <c r="HF93" s="191"/>
      <c r="HG93" s="191"/>
      <c r="HH93" s="191"/>
      <c r="HI93" s="191"/>
      <c r="HJ93" s="191"/>
      <c r="HK93" s="191"/>
      <c r="HL93" s="191"/>
      <c r="HM93" s="191"/>
      <c r="HN93" s="191">
        <v>200</v>
      </c>
      <c r="HO93" s="191"/>
      <c r="HP93" s="191"/>
      <c r="HQ93" s="191"/>
      <c r="HR93" s="191"/>
      <c r="HS93" s="191"/>
      <c r="HT93" s="191"/>
      <c r="HU93" s="191">
        <v>200</v>
      </c>
      <c r="HV93" s="191"/>
      <c r="HW93" s="191"/>
      <c r="HX93" s="191"/>
      <c r="HY93" s="191"/>
      <c r="HZ93" s="193"/>
      <c r="IA93" s="194"/>
      <c r="IB93" s="191">
        <v>150</v>
      </c>
      <c r="IC93" s="191"/>
      <c r="ID93" s="191"/>
      <c r="IE93" s="191"/>
      <c r="IF93" s="191"/>
      <c r="IG93" s="191"/>
      <c r="IH93" s="191"/>
      <c r="II93" s="191">
        <v>200</v>
      </c>
      <c r="IJ93" s="191"/>
      <c r="IK93" s="191"/>
      <c r="IL93" s="191"/>
      <c r="IM93" s="191"/>
      <c r="IN93" s="191"/>
      <c r="IO93" s="191"/>
      <c r="IP93" s="191"/>
      <c r="IQ93" s="191">
        <v>150</v>
      </c>
      <c r="IR93" s="191"/>
      <c r="IS93" s="191"/>
      <c r="IT93" s="191"/>
      <c r="IU93" s="191"/>
      <c r="IV93" s="191"/>
      <c r="IW93" s="191"/>
      <c r="IX93" s="191">
        <v>100</v>
      </c>
      <c r="IY93" s="191"/>
      <c r="IZ93" s="191"/>
      <c r="JA93" s="191"/>
      <c r="JB93" s="191"/>
      <c r="JC93" s="191"/>
      <c r="JD93" s="191">
        <v>150</v>
      </c>
      <c r="JE93" s="192"/>
      <c r="JF93" s="190"/>
      <c r="JG93" s="191"/>
      <c r="JH93" s="191"/>
      <c r="JI93" s="191"/>
      <c r="JJ93" s="191"/>
      <c r="JK93" s="191">
        <v>100</v>
      </c>
      <c r="JL93" s="191"/>
      <c r="JM93" s="191"/>
      <c r="JN93" s="191"/>
      <c r="JO93" s="191"/>
      <c r="JP93" s="191"/>
      <c r="JQ93" s="191"/>
      <c r="JR93" s="191"/>
      <c r="JS93" s="191">
        <v>150</v>
      </c>
      <c r="JT93" s="191"/>
      <c r="JU93" s="191"/>
      <c r="JV93" s="191"/>
      <c r="JW93" s="191"/>
      <c r="JX93" s="191"/>
      <c r="JY93" s="191">
        <v>200</v>
      </c>
      <c r="JZ93" s="191"/>
      <c r="KA93" s="191"/>
      <c r="KB93" s="191"/>
      <c r="KC93" s="191"/>
      <c r="KD93" s="191"/>
      <c r="KE93" s="191"/>
      <c r="KF93" s="191"/>
      <c r="KG93" s="191">
        <v>200</v>
      </c>
      <c r="KH93" s="191"/>
      <c r="KI93" s="191"/>
      <c r="KJ93" s="193"/>
      <c r="KK93" s="194"/>
      <c r="KL93" s="191"/>
      <c r="KM93" s="191">
        <v>150</v>
      </c>
      <c r="KN93" s="191"/>
      <c r="KO93" s="191"/>
      <c r="KP93" s="191"/>
      <c r="KQ93" s="191"/>
      <c r="KR93" s="191"/>
      <c r="KS93" s="191"/>
      <c r="KT93" s="191"/>
      <c r="KU93" s="191">
        <v>150</v>
      </c>
      <c r="KV93" s="191"/>
      <c r="KW93" s="191"/>
      <c r="KX93" s="191"/>
      <c r="KY93" s="191"/>
      <c r="KZ93" s="191"/>
      <c r="LA93" s="191">
        <v>200</v>
      </c>
      <c r="LB93" s="191"/>
      <c r="LC93" s="191"/>
      <c r="LD93" s="191"/>
      <c r="LE93" s="191"/>
      <c r="LF93" s="191"/>
      <c r="LG93" s="191"/>
      <c r="LH93" s="191">
        <v>100</v>
      </c>
      <c r="LI93" s="191"/>
      <c r="LJ93" s="191"/>
      <c r="LK93" s="191"/>
      <c r="LL93" s="191"/>
      <c r="LM93" s="191"/>
      <c r="LN93" s="192"/>
      <c r="LO93" s="190">
        <v>150</v>
      </c>
      <c r="LP93" s="191"/>
      <c r="LQ93" s="191"/>
      <c r="LR93" s="191"/>
      <c r="LS93" s="191"/>
      <c r="LT93" s="191"/>
      <c r="LU93" s="191"/>
      <c r="LV93" s="191">
        <v>100</v>
      </c>
      <c r="LW93" s="191"/>
      <c r="LX93" s="191"/>
      <c r="LY93" s="191"/>
      <c r="LZ93" s="191"/>
      <c r="MA93" s="191"/>
      <c r="MB93" s="191"/>
      <c r="MC93" s="191">
        <v>200</v>
      </c>
      <c r="MD93" s="191"/>
      <c r="ME93" s="191"/>
      <c r="MF93" s="191"/>
      <c r="MG93" s="191"/>
      <c r="MH93" s="191"/>
      <c r="MI93" s="191"/>
      <c r="MJ93" s="191">
        <v>100</v>
      </c>
      <c r="MK93" s="191"/>
      <c r="ML93" s="191"/>
      <c r="MM93" s="191"/>
      <c r="MN93" s="191"/>
      <c r="MO93" s="191"/>
      <c r="MP93" s="191"/>
      <c r="MQ93" s="191">
        <v>100</v>
      </c>
      <c r="MR93" s="191"/>
      <c r="MS93" s="193"/>
      <c r="MT93" s="194"/>
      <c r="MU93" s="191"/>
      <c r="MV93" s="191"/>
      <c r="MW93" s="191"/>
      <c r="MX93" s="191">
        <v>150</v>
      </c>
      <c r="MY93" s="191"/>
      <c r="MZ93" s="191"/>
      <c r="NA93" s="191"/>
      <c r="NB93" s="191"/>
      <c r="NC93" s="191"/>
      <c r="ND93" s="191"/>
      <c r="NE93" s="191"/>
      <c r="NF93" s="191"/>
      <c r="NG93" s="191"/>
      <c r="NH93" s="191"/>
      <c r="NI93" s="191"/>
      <c r="NJ93" s="191"/>
      <c r="NK93" s="191"/>
      <c r="NL93" s="191"/>
      <c r="NM93" s="191">
        <v>150</v>
      </c>
      <c r="NN93" s="191"/>
      <c r="NO93" s="191"/>
      <c r="NP93" s="191"/>
      <c r="NQ93" s="191"/>
      <c r="NR93" s="191"/>
      <c r="NS93" s="191">
        <v>50</v>
      </c>
      <c r="NT93" s="191"/>
      <c r="NU93" s="191"/>
      <c r="NV93" s="191"/>
      <c r="NW93" s="192"/>
      <c r="NX93" s="190"/>
      <c r="NY93" s="191"/>
      <c r="NZ93" s="191">
        <v>50</v>
      </c>
      <c r="OA93" s="191"/>
      <c r="OB93" s="191"/>
      <c r="OC93" s="191"/>
      <c r="OD93" s="191"/>
      <c r="OE93" s="191"/>
      <c r="OF93" s="191"/>
      <c r="OG93" s="191">
        <v>150</v>
      </c>
      <c r="OH93" s="191"/>
      <c r="OI93" s="191"/>
      <c r="OJ93" s="191"/>
      <c r="OK93" s="191"/>
      <c r="OL93" s="191"/>
      <c r="OM93" s="191"/>
      <c r="ON93" s="191">
        <v>100</v>
      </c>
      <c r="OO93" s="191"/>
      <c r="OP93" s="191"/>
      <c r="OQ93" s="191"/>
      <c r="OR93" s="191"/>
      <c r="OS93" s="191"/>
      <c r="OT93" s="191"/>
      <c r="OU93" s="191"/>
      <c r="OV93" s="191"/>
      <c r="OW93" s="191"/>
      <c r="OX93" s="191"/>
      <c r="OY93" s="191"/>
      <c r="OZ93" s="191"/>
      <c r="PA93" s="191"/>
      <c r="PB93" s="193"/>
      <c r="PC93" s="47"/>
      <c r="PD93" s="154" t="s">
        <v>97</v>
      </c>
      <c r="PE93" s="155" t="s">
        <v>98</v>
      </c>
      <c r="PF93" s="155" t="s">
        <v>98</v>
      </c>
      <c r="PG93" s="155" t="s">
        <v>97</v>
      </c>
      <c r="PH93" s="155" t="s">
        <v>98</v>
      </c>
      <c r="PI93" s="155" t="s">
        <v>98</v>
      </c>
      <c r="PJ93" s="155" t="s">
        <v>98</v>
      </c>
      <c r="PK93" s="155" t="s">
        <v>98</v>
      </c>
      <c r="PL93" s="155" t="s">
        <v>98</v>
      </c>
      <c r="PM93" s="155" t="s">
        <v>98</v>
      </c>
      <c r="PN93" s="155" t="s">
        <v>98</v>
      </c>
      <c r="PO93" s="156"/>
      <c r="PP93" s="156"/>
      <c r="PQ93" s="156"/>
      <c r="PR93" s="156"/>
      <c r="PS93" s="156"/>
      <c r="PT93" s="156"/>
      <c r="PU93" s="156"/>
      <c r="PV93" s="156"/>
      <c r="PW93" s="156"/>
      <c r="PX93" s="195"/>
      <c r="PY93" s="1"/>
      <c r="PZ93" s="196">
        <f t="shared" si="73"/>
        <v>650</v>
      </c>
      <c r="QA93" s="176">
        <f t="shared" si="74"/>
        <v>5.4225410861766911E-3</v>
      </c>
      <c r="QB93" s="177" t="str">
        <f t="shared" ca="1" si="75"/>
        <v>Attente…</v>
      </c>
      <c r="QC93" s="197">
        <f t="shared" si="76"/>
        <v>550</v>
      </c>
      <c r="QD93" s="179">
        <f t="shared" si="77"/>
        <v>5.1498127340823966E-3</v>
      </c>
      <c r="QE93" s="180" t="str">
        <f t="shared" ca="1" si="78"/>
        <v>Attente…</v>
      </c>
      <c r="QF93" s="196">
        <f t="shared" si="79"/>
        <v>450</v>
      </c>
      <c r="QG93" s="176">
        <f t="shared" si="80"/>
        <v>3.58337314859054E-3</v>
      </c>
      <c r="QH93" s="177" t="str">
        <f t="shared" ca="1" si="81"/>
        <v>Attente…</v>
      </c>
      <c r="QI93" s="197">
        <f t="shared" si="82"/>
        <v>900</v>
      </c>
      <c r="QJ93" s="179">
        <f t="shared" si="83"/>
        <v>6.3122457567681301E-3</v>
      </c>
      <c r="QK93" s="180" t="str">
        <f t="shared" ca="1" si="84"/>
        <v>Attente…</v>
      </c>
      <c r="QL93" s="196">
        <f t="shared" si="85"/>
        <v>650</v>
      </c>
      <c r="QM93" s="176">
        <f t="shared" si="86"/>
        <v>4.755633596722271E-3</v>
      </c>
      <c r="QN93" s="177" t="str">
        <f t="shared" ca="1" si="87"/>
        <v>Attente…</v>
      </c>
      <c r="QO93" s="197">
        <f t="shared" si="88"/>
        <v>550</v>
      </c>
      <c r="QP93" s="179">
        <f t="shared" si="89"/>
        <v>4.3059578799029205E-3</v>
      </c>
      <c r="QQ93" s="180" t="str">
        <f t="shared" ca="1" si="90"/>
        <v>Attente…</v>
      </c>
      <c r="QR93" s="196">
        <f t="shared" si="91"/>
        <v>750</v>
      </c>
      <c r="QS93" s="176">
        <f t="shared" si="92"/>
        <v>5.3993736726539723E-3</v>
      </c>
      <c r="QT93" s="177" t="str">
        <f t="shared" ca="1" si="93"/>
        <v>Attente…</v>
      </c>
      <c r="QU93" s="197">
        <f t="shared" si="94"/>
        <v>650</v>
      </c>
      <c r="QV93" s="179">
        <f t="shared" si="95"/>
        <v>4.4815223386651956E-3</v>
      </c>
      <c r="QW93" s="180" t="str">
        <f t="shared" ca="1" si="96"/>
        <v>Attente…</v>
      </c>
      <c r="QX93" s="196">
        <f t="shared" si="97"/>
        <v>600</v>
      </c>
      <c r="QY93" s="176">
        <f t="shared" si="98"/>
        <v>4.3784115123033365E-3</v>
      </c>
      <c r="QZ93" s="177" t="str">
        <f t="shared" ca="1" si="99"/>
        <v>Attente…</v>
      </c>
      <c r="RA93" s="197">
        <f t="shared" si="100"/>
        <v>650</v>
      </c>
      <c r="RB93" s="179">
        <f t="shared" si="101"/>
        <v>5.08567404741413E-3</v>
      </c>
      <c r="RC93" s="180" t="str">
        <f t="shared" ca="1" si="102"/>
        <v>Attente…</v>
      </c>
      <c r="RD93" s="196">
        <f t="shared" si="103"/>
        <v>350</v>
      </c>
      <c r="RE93" s="176">
        <f t="shared" si="104"/>
        <v>3.4874451972897571E-3</v>
      </c>
      <c r="RF93" s="177" t="str">
        <f t="shared" ca="1" si="105"/>
        <v>Attente…</v>
      </c>
      <c r="RG93" s="197">
        <f t="shared" si="106"/>
        <v>300</v>
      </c>
      <c r="RH93" s="179">
        <f t="shared" si="107"/>
        <v>5.5177487585065296E-3</v>
      </c>
      <c r="RI93" s="198" t="str">
        <f t="shared" ca="1" si="108"/>
        <v>Attente…</v>
      </c>
      <c r="RJ93" s="199">
        <f t="shared" si="109"/>
        <v>1650</v>
      </c>
      <c r="RK93" s="200" t="str">
        <f t="shared" ca="1" si="66"/>
        <v>Attente…</v>
      </c>
      <c r="RL93" s="199">
        <f t="shared" si="110"/>
        <v>2100</v>
      </c>
      <c r="RM93" s="200" t="str">
        <f t="shared" ca="1" si="111"/>
        <v>Atttente…</v>
      </c>
      <c r="RN93" s="199">
        <f t="shared" si="112"/>
        <v>2000</v>
      </c>
      <c r="RO93" s="200" t="str">
        <f t="shared" ca="1" si="67"/>
        <v>Attente…</v>
      </c>
      <c r="RP93" s="199">
        <f t="shared" si="113"/>
        <v>1300</v>
      </c>
      <c r="RQ93" s="200" t="str">
        <f t="shared" ca="1" si="68"/>
        <v>Attente…</v>
      </c>
      <c r="RR93" s="201">
        <f t="shared" si="114"/>
        <v>7050</v>
      </c>
      <c r="RS93" s="202" t="str">
        <f t="shared" ca="1" si="69"/>
        <v>Attente…</v>
      </c>
      <c r="RT93" s="103"/>
      <c r="RU93" s="203">
        <f t="shared" si="115"/>
        <v>0.734375</v>
      </c>
      <c r="RV93" s="204">
        <f t="shared" si="118"/>
        <v>1</v>
      </c>
      <c r="RW93" s="204">
        <f t="shared" si="118"/>
        <v>1</v>
      </c>
      <c r="RX93" s="204">
        <f t="shared" si="116"/>
        <v>48</v>
      </c>
      <c r="RY93" s="205" t="str">
        <f t="shared" si="117"/>
        <v>CLÉON - 83 rue Alain Colas (Parking Leader Price)</v>
      </c>
      <c r="RZ93" s="189" t="str">
        <f>IF(OR(RZ92="",RZ92="  &lt;/Document&gt;
&lt;/kml&gt;"),"",
IF(B93="","  &lt;/Document&gt;
&lt;/kml&gt;",
IF(TournéesCAV!Q93=""," ",
"    &lt;Placemark&gt;
      &lt;description&gt;&lt;![CDATA["&amp;B93&amp;"&lt;br&gt;&lt;br&gt;"&amp;RV93&amp;" CAV&lt;br&gt;&lt;br&gt;Présent sur "&amp;RW93&amp;" tournée(s)&lt;br&gt;&lt;br&gt;Taux de remplissage moyen "&amp;TEXT(RU93*1000,"0 %")&amp;"]]&gt;&lt;/description&gt;
      &lt;Style&gt;
        &lt;IconStyle&gt;
          &lt;color&gt;ff"&amp;
          DEC2HEX(0,2)&amp;
          DEC2HEX(
            IF(RU93&lt;=0.5,
               INT(255*(RU93*2)),
               255
            ),2)&amp;
          DEC2HEX(
            IF(RU93&lt;=0.5,
               255,
               INT(255*(1-(RU93-0.5)*2))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&lt;Point&gt;&lt;coordinates&gt;"&amp;R93&amp;","&amp;Q93&amp;",0&lt;/coordinates&gt;&lt;/Point&gt;
    &lt;/Placemark&gt;"
)))</f>
        <v xml:space="preserve">    &lt;Placemark&gt;
      &lt;description&gt;&lt;![CDATA[CLÉON - 83 rue Alain Colas (Parking Leader Price)&lt;br&gt;&lt;br&gt;1 CAV&lt;br&gt;&lt;br&gt;Présent sur 1 tournée(s)&lt;br&gt;&lt;br&gt;Taux de remplissage moyen 73%]]&gt;&lt;/description&gt;
      &lt;Style&gt;
        &lt;IconStyle&gt;
          &lt;color&gt;ff00FF87&lt;/color&gt;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&lt;Point&gt;&lt;coordinates&gt;1.0371775086677637,49.30898629499202,0&lt;/coordinates&gt;&lt;/Point&gt;
    &lt;/Placemark&gt;</v>
      </c>
    </row>
    <row r="94" spans="2:494" ht="15" hidden="1" customHeight="1" x14ac:dyDescent="0.35">
      <c r="B94" s="153" t="str">
        <f t="shared" si="70"/>
        <v>ELBEUF - 7 Rue du Neubourg (Carrefour Market - Station Service)</v>
      </c>
      <c r="C94" s="154" t="s">
        <v>104</v>
      </c>
      <c r="D94" s="155"/>
      <c r="E94" s="155"/>
      <c r="F94" s="155"/>
      <c r="G94" s="155"/>
      <c r="H94" s="155"/>
      <c r="I94" s="155"/>
      <c r="J94" s="156"/>
      <c r="K94" s="157">
        <f t="shared" si="71"/>
        <v>1</v>
      </c>
      <c r="L94" s="157">
        <f t="shared" si="72"/>
        <v>1</v>
      </c>
      <c r="M94" s="158" t="s">
        <v>558</v>
      </c>
      <c r="N94" s="159" t="s">
        <v>559</v>
      </c>
      <c r="O94" s="159">
        <v>76500</v>
      </c>
      <c r="P94" s="159" t="s">
        <v>463</v>
      </c>
      <c r="Q94" s="159" t="s">
        <v>560</v>
      </c>
      <c r="R94" s="159" t="s">
        <v>561</v>
      </c>
      <c r="S94" s="159" t="s">
        <v>93</v>
      </c>
      <c r="T94" s="159" t="s">
        <v>110</v>
      </c>
      <c r="U94" s="159" t="s">
        <v>562</v>
      </c>
      <c r="V94" s="160" t="s">
        <v>123</v>
      </c>
      <c r="W94" s="161"/>
      <c r="X94" s="162"/>
      <c r="Y94" s="163"/>
      <c r="Z94" s="162"/>
      <c r="AA94" s="163"/>
      <c r="AB94" s="162"/>
      <c r="AC94" s="163"/>
      <c r="AD94" s="162"/>
      <c r="AE94" s="163"/>
      <c r="AF94" s="162"/>
      <c r="AG94" s="163"/>
      <c r="AH94" s="163"/>
      <c r="AI94" s="162"/>
      <c r="AJ94" s="163"/>
      <c r="AK94" s="162"/>
      <c r="AL94" s="163"/>
      <c r="AM94" s="162">
        <v>2</v>
      </c>
      <c r="AN94" s="163"/>
      <c r="AO94" s="162"/>
      <c r="AP94" s="164"/>
      <c r="AQ94" s="164"/>
      <c r="AR94" s="164"/>
      <c r="AS94" s="164"/>
      <c r="AT94" s="164"/>
      <c r="AU94" s="164"/>
      <c r="AV94" s="164"/>
      <c r="AW94" s="164"/>
      <c r="AX94" s="164"/>
      <c r="AY94" s="165"/>
      <c r="AZ94" s="41"/>
      <c r="BA94" s="190"/>
      <c r="BB94" s="191"/>
      <c r="BC94" s="191"/>
      <c r="BD94" s="191"/>
      <c r="BE94" s="191"/>
      <c r="BF94" s="191"/>
      <c r="BG94" s="191">
        <v>150</v>
      </c>
      <c r="BH94" s="191"/>
      <c r="BI94" s="191"/>
      <c r="BJ94" s="191"/>
      <c r="BK94" s="191"/>
      <c r="BL94" s="191"/>
      <c r="BM94" s="191"/>
      <c r="BN94" s="191">
        <v>100</v>
      </c>
      <c r="BO94" s="191"/>
      <c r="BP94" s="191"/>
      <c r="BQ94" s="191"/>
      <c r="BR94" s="191"/>
      <c r="BS94" s="191"/>
      <c r="BT94" s="191"/>
      <c r="BU94" s="191">
        <v>50</v>
      </c>
      <c r="BV94" s="191"/>
      <c r="BW94" s="191"/>
      <c r="BX94" s="191"/>
      <c r="BY94" s="191"/>
      <c r="BZ94" s="191"/>
      <c r="CA94" s="191"/>
      <c r="CB94" s="191">
        <v>150</v>
      </c>
      <c r="CC94" s="191"/>
      <c r="CD94" s="191"/>
      <c r="CE94" s="192"/>
      <c r="CF94" s="190"/>
      <c r="CG94" s="191"/>
      <c r="CH94" s="191"/>
      <c r="CI94" s="191">
        <v>150</v>
      </c>
      <c r="CJ94" s="191"/>
      <c r="CK94" s="191"/>
      <c r="CL94" s="191"/>
      <c r="CM94" s="191"/>
      <c r="CN94" s="191"/>
      <c r="CO94" s="191"/>
      <c r="CP94" s="191">
        <v>200</v>
      </c>
      <c r="CQ94" s="191"/>
      <c r="CR94" s="191"/>
      <c r="CS94" s="191"/>
      <c r="CT94" s="191"/>
      <c r="CU94" s="191"/>
      <c r="CV94" s="191"/>
      <c r="CW94" s="191">
        <v>150</v>
      </c>
      <c r="CX94" s="191"/>
      <c r="CY94" s="191"/>
      <c r="CZ94" s="191"/>
      <c r="DA94" s="191"/>
      <c r="DB94" s="191"/>
      <c r="DC94" s="191"/>
      <c r="DD94" s="191">
        <v>100</v>
      </c>
      <c r="DE94" s="191"/>
      <c r="DF94" s="191"/>
      <c r="DG94" s="191"/>
      <c r="DH94" s="193"/>
      <c r="DI94" s="194"/>
      <c r="DJ94" s="191"/>
      <c r="DK94" s="191"/>
      <c r="DL94" s="191">
        <v>100</v>
      </c>
      <c r="DM94" s="191"/>
      <c r="DN94" s="191"/>
      <c r="DO94" s="191"/>
      <c r="DP94" s="191"/>
      <c r="DQ94" s="191"/>
      <c r="DR94" s="191"/>
      <c r="DS94" s="191">
        <v>100</v>
      </c>
      <c r="DT94" s="191"/>
      <c r="DU94" s="191"/>
      <c r="DV94" s="191"/>
      <c r="DW94" s="191"/>
      <c r="DX94" s="191"/>
      <c r="DY94" s="191"/>
      <c r="DZ94" s="191">
        <v>100</v>
      </c>
      <c r="EA94" s="191"/>
      <c r="EB94" s="191"/>
      <c r="EC94" s="191"/>
      <c r="ED94" s="191"/>
      <c r="EE94" s="191"/>
      <c r="EF94" s="191"/>
      <c r="EG94" s="191">
        <v>200</v>
      </c>
      <c r="EH94" s="191"/>
      <c r="EI94" s="191"/>
      <c r="EJ94" s="191"/>
      <c r="EK94" s="191"/>
      <c r="EL94" s="191"/>
      <c r="EM94" s="192"/>
      <c r="EN94" s="190">
        <v>100</v>
      </c>
      <c r="EO94" s="191"/>
      <c r="EP94" s="191"/>
      <c r="EQ94" s="191"/>
      <c r="ER94" s="191"/>
      <c r="ES94" s="191"/>
      <c r="ET94" s="191"/>
      <c r="EU94" s="191">
        <v>200</v>
      </c>
      <c r="EV94" s="191"/>
      <c r="EW94" s="191"/>
      <c r="EX94" s="191"/>
      <c r="EY94" s="191"/>
      <c r="EZ94" s="191"/>
      <c r="FA94" s="191"/>
      <c r="FB94" s="191">
        <v>200</v>
      </c>
      <c r="FC94" s="191"/>
      <c r="FD94" s="191"/>
      <c r="FE94" s="191"/>
      <c r="FF94" s="191"/>
      <c r="FG94" s="191"/>
      <c r="FH94" s="191"/>
      <c r="FI94" s="191">
        <v>200</v>
      </c>
      <c r="FJ94" s="191"/>
      <c r="FK94" s="191"/>
      <c r="FL94" s="191"/>
      <c r="FM94" s="191"/>
      <c r="FN94" s="191"/>
      <c r="FO94" s="191"/>
      <c r="FP94" s="191">
        <v>200</v>
      </c>
      <c r="FQ94" s="193"/>
      <c r="FR94" s="194"/>
      <c r="FS94" s="191"/>
      <c r="FT94" s="191"/>
      <c r="FU94" s="191"/>
      <c r="FV94" s="191"/>
      <c r="FW94" s="191">
        <v>150</v>
      </c>
      <c r="FX94" s="191"/>
      <c r="FY94" s="191"/>
      <c r="FZ94" s="191"/>
      <c r="GA94" s="191"/>
      <c r="GB94" s="191"/>
      <c r="GC94" s="191"/>
      <c r="GD94" s="191">
        <v>200</v>
      </c>
      <c r="GE94" s="191"/>
      <c r="GF94" s="191"/>
      <c r="GG94" s="191"/>
      <c r="GH94" s="191"/>
      <c r="GI94" s="191"/>
      <c r="GJ94" s="191"/>
      <c r="GK94" s="191">
        <v>200</v>
      </c>
      <c r="GL94" s="191"/>
      <c r="GM94" s="191"/>
      <c r="GN94" s="191"/>
      <c r="GO94" s="191"/>
      <c r="GP94" s="191"/>
      <c r="GQ94" s="191"/>
      <c r="GR94" s="191">
        <v>200</v>
      </c>
      <c r="GS94" s="191"/>
      <c r="GT94" s="191"/>
      <c r="GU94" s="191"/>
      <c r="GV94" s="192"/>
      <c r="GW94" s="190"/>
      <c r="GX94" s="191"/>
      <c r="GY94" s="191">
        <v>200</v>
      </c>
      <c r="GZ94" s="191"/>
      <c r="HA94" s="191"/>
      <c r="HB94" s="191"/>
      <c r="HC94" s="191"/>
      <c r="HD94" s="191"/>
      <c r="HE94" s="191"/>
      <c r="HF94" s="191"/>
      <c r="HG94" s="191"/>
      <c r="HH94" s="191">
        <v>150</v>
      </c>
      <c r="HI94" s="191"/>
      <c r="HJ94" s="191"/>
      <c r="HK94" s="191"/>
      <c r="HL94" s="191"/>
      <c r="HM94" s="191">
        <v>100</v>
      </c>
      <c r="HN94" s="191"/>
      <c r="HO94" s="191"/>
      <c r="HP94" s="191"/>
      <c r="HQ94" s="191"/>
      <c r="HR94" s="191"/>
      <c r="HS94" s="191"/>
      <c r="HT94" s="191">
        <v>200</v>
      </c>
      <c r="HU94" s="191"/>
      <c r="HV94" s="191"/>
      <c r="HW94" s="191"/>
      <c r="HX94" s="191"/>
      <c r="HY94" s="191"/>
      <c r="HZ94" s="193"/>
      <c r="IA94" s="194">
        <v>100</v>
      </c>
      <c r="IB94" s="191"/>
      <c r="IC94" s="191"/>
      <c r="ID94" s="191"/>
      <c r="IE94" s="191"/>
      <c r="IF94" s="191"/>
      <c r="IG94" s="191"/>
      <c r="IH94" s="191">
        <v>150</v>
      </c>
      <c r="II94" s="191"/>
      <c r="IJ94" s="191"/>
      <c r="IK94" s="191"/>
      <c r="IL94" s="191"/>
      <c r="IM94" s="191"/>
      <c r="IN94" s="191"/>
      <c r="IO94" s="191"/>
      <c r="IP94" s="191">
        <v>200</v>
      </c>
      <c r="IQ94" s="191"/>
      <c r="IR94" s="191"/>
      <c r="IS94" s="191"/>
      <c r="IT94" s="191"/>
      <c r="IU94" s="191"/>
      <c r="IV94" s="191">
        <v>150</v>
      </c>
      <c r="IW94" s="191"/>
      <c r="IX94" s="191"/>
      <c r="IY94" s="191"/>
      <c r="IZ94" s="191"/>
      <c r="JA94" s="191"/>
      <c r="JB94" s="191"/>
      <c r="JC94" s="191">
        <v>200</v>
      </c>
      <c r="JD94" s="191"/>
      <c r="JE94" s="192"/>
      <c r="JF94" s="190"/>
      <c r="JG94" s="191"/>
      <c r="JH94" s="191"/>
      <c r="JI94" s="191"/>
      <c r="JJ94" s="191">
        <v>200</v>
      </c>
      <c r="JK94" s="191"/>
      <c r="JL94" s="191"/>
      <c r="JM94" s="191"/>
      <c r="JN94" s="191"/>
      <c r="JO94" s="191"/>
      <c r="JP94" s="191"/>
      <c r="JQ94" s="191">
        <v>150</v>
      </c>
      <c r="JR94" s="191"/>
      <c r="JS94" s="191"/>
      <c r="JT94" s="191"/>
      <c r="JU94" s="191"/>
      <c r="JV94" s="191"/>
      <c r="JW94" s="191"/>
      <c r="JX94" s="191">
        <v>200</v>
      </c>
      <c r="JY94" s="191"/>
      <c r="JZ94" s="191"/>
      <c r="KA94" s="191"/>
      <c r="KB94" s="191"/>
      <c r="KC94" s="191"/>
      <c r="KD94" s="191"/>
      <c r="KE94" s="191">
        <v>150</v>
      </c>
      <c r="KF94" s="191"/>
      <c r="KG94" s="191"/>
      <c r="KH94" s="191"/>
      <c r="KI94" s="191"/>
      <c r="KJ94" s="193"/>
      <c r="KK94" s="194"/>
      <c r="KL94" s="191">
        <v>200</v>
      </c>
      <c r="KM94" s="191"/>
      <c r="KN94" s="191"/>
      <c r="KO94" s="191"/>
      <c r="KP94" s="191"/>
      <c r="KQ94" s="191"/>
      <c r="KR94" s="191"/>
      <c r="KS94" s="191">
        <v>200</v>
      </c>
      <c r="KT94" s="191"/>
      <c r="KU94" s="191"/>
      <c r="KV94" s="191"/>
      <c r="KW94" s="191"/>
      <c r="KX94" s="191"/>
      <c r="KY94" s="191"/>
      <c r="KZ94" s="191">
        <v>100</v>
      </c>
      <c r="LA94" s="191"/>
      <c r="LB94" s="191"/>
      <c r="LC94" s="191"/>
      <c r="LD94" s="191"/>
      <c r="LE94" s="191"/>
      <c r="LF94" s="191"/>
      <c r="LG94" s="191">
        <v>150</v>
      </c>
      <c r="LH94" s="191"/>
      <c r="LI94" s="191"/>
      <c r="LJ94" s="191"/>
      <c r="LK94" s="191"/>
      <c r="LL94" s="191"/>
      <c r="LM94" s="191"/>
      <c r="LN94" s="192">
        <v>200</v>
      </c>
      <c r="LO94" s="190"/>
      <c r="LP94" s="191"/>
      <c r="LQ94" s="191"/>
      <c r="LR94" s="191"/>
      <c r="LS94" s="191"/>
      <c r="LT94" s="191"/>
      <c r="LU94" s="191">
        <v>150</v>
      </c>
      <c r="LV94" s="191"/>
      <c r="LW94" s="191"/>
      <c r="LX94" s="191"/>
      <c r="LY94" s="191"/>
      <c r="LZ94" s="191"/>
      <c r="MA94" s="191"/>
      <c r="MB94" s="191">
        <v>200</v>
      </c>
      <c r="MC94" s="191"/>
      <c r="MD94" s="191"/>
      <c r="ME94" s="191"/>
      <c r="MF94" s="191"/>
      <c r="MG94" s="191"/>
      <c r="MH94" s="191"/>
      <c r="MI94" s="191">
        <v>200</v>
      </c>
      <c r="MJ94" s="191"/>
      <c r="MK94" s="191"/>
      <c r="ML94" s="191"/>
      <c r="MM94" s="191"/>
      <c r="MN94" s="191"/>
      <c r="MO94" s="191"/>
      <c r="MP94" s="191">
        <v>200</v>
      </c>
      <c r="MQ94" s="191"/>
      <c r="MR94" s="191"/>
      <c r="MS94" s="193"/>
      <c r="MT94" s="194"/>
      <c r="MU94" s="191"/>
      <c r="MV94" s="191"/>
      <c r="MW94" s="191">
        <v>200</v>
      </c>
      <c r="MX94" s="191"/>
      <c r="MY94" s="191"/>
      <c r="MZ94" s="191"/>
      <c r="NA94" s="191"/>
      <c r="NB94" s="191"/>
      <c r="NC94" s="191"/>
      <c r="ND94" s="191"/>
      <c r="NE94" s="191">
        <v>200</v>
      </c>
      <c r="NF94" s="191"/>
      <c r="NG94" s="191"/>
      <c r="NH94" s="191"/>
      <c r="NI94" s="191"/>
      <c r="NJ94" s="191"/>
      <c r="NK94" s="191">
        <v>150</v>
      </c>
      <c r="NL94" s="191"/>
      <c r="NM94" s="191"/>
      <c r="NN94" s="191"/>
      <c r="NO94" s="191"/>
      <c r="NP94" s="191"/>
      <c r="NQ94" s="191"/>
      <c r="NR94" s="191">
        <v>200</v>
      </c>
      <c r="NS94" s="191"/>
      <c r="NT94" s="191"/>
      <c r="NU94" s="191"/>
      <c r="NV94" s="191"/>
      <c r="NW94" s="192"/>
      <c r="NX94" s="190"/>
      <c r="NY94" s="191">
        <v>150</v>
      </c>
      <c r="NZ94" s="191"/>
      <c r="OA94" s="191"/>
      <c r="OB94" s="191"/>
      <c r="OC94" s="191"/>
      <c r="OD94" s="191"/>
      <c r="OE94" s="191"/>
      <c r="OF94" s="191">
        <v>200</v>
      </c>
      <c r="OG94" s="191"/>
      <c r="OH94" s="191"/>
      <c r="OI94" s="191"/>
      <c r="OJ94" s="191"/>
      <c r="OK94" s="191"/>
      <c r="OL94" s="191"/>
      <c r="OM94" s="191">
        <v>150</v>
      </c>
      <c r="ON94" s="191"/>
      <c r="OO94" s="191"/>
      <c r="OP94" s="191"/>
      <c r="OQ94" s="191"/>
      <c r="OR94" s="191"/>
      <c r="OS94" s="191"/>
      <c r="OT94" s="191"/>
      <c r="OU94" s="191"/>
      <c r="OV94" s="191"/>
      <c r="OW94" s="191"/>
      <c r="OX94" s="191"/>
      <c r="OY94" s="191"/>
      <c r="OZ94" s="191"/>
      <c r="PA94" s="191"/>
      <c r="PB94" s="193"/>
      <c r="PC94" s="47"/>
      <c r="PD94" s="154" t="s">
        <v>97</v>
      </c>
      <c r="PE94" s="155" t="s">
        <v>98</v>
      </c>
      <c r="PF94" s="155" t="s">
        <v>98</v>
      </c>
      <c r="PG94" s="155" t="s">
        <v>97</v>
      </c>
      <c r="PH94" s="155" t="s">
        <v>98</v>
      </c>
      <c r="PI94" s="155" t="s">
        <v>98</v>
      </c>
      <c r="PJ94" s="155" t="s">
        <v>98</v>
      </c>
      <c r="PK94" s="155" t="s">
        <v>98</v>
      </c>
      <c r="PL94" s="155" t="s">
        <v>98</v>
      </c>
      <c r="PM94" s="155" t="s">
        <v>98</v>
      </c>
      <c r="PN94" s="155" t="s">
        <v>98</v>
      </c>
      <c r="PO94" s="156"/>
      <c r="PP94" s="156"/>
      <c r="PQ94" s="156"/>
      <c r="PR94" s="156"/>
      <c r="PS94" s="156"/>
      <c r="PT94" s="156"/>
      <c r="PU94" s="156"/>
      <c r="PV94" s="156"/>
      <c r="PW94" s="156"/>
      <c r="PX94" s="195"/>
      <c r="PY94" s="1"/>
      <c r="PZ94" s="196">
        <f t="shared" si="73"/>
        <v>450</v>
      </c>
      <c r="QA94" s="176">
        <f t="shared" si="74"/>
        <v>3.7540669058146324E-3</v>
      </c>
      <c r="QB94" s="177" t="str">
        <f t="shared" ca="1" si="75"/>
        <v>Attente…</v>
      </c>
      <c r="QC94" s="197">
        <f t="shared" si="76"/>
        <v>600</v>
      </c>
      <c r="QD94" s="179">
        <f t="shared" si="77"/>
        <v>5.6179775280898875E-3</v>
      </c>
      <c r="QE94" s="180" t="str">
        <f t="shared" ca="1" si="78"/>
        <v>Attente…</v>
      </c>
      <c r="QF94" s="196">
        <f t="shared" si="79"/>
        <v>500</v>
      </c>
      <c r="QG94" s="176">
        <f t="shared" si="80"/>
        <v>3.9815257206561551E-3</v>
      </c>
      <c r="QH94" s="177" t="str">
        <f t="shared" ca="1" si="81"/>
        <v>Attente…</v>
      </c>
      <c r="QI94" s="197">
        <f t="shared" si="82"/>
        <v>900</v>
      </c>
      <c r="QJ94" s="179">
        <f t="shared" si="83"/>
        <v>6.3122457567681301E-3</v>
      </c>
      <c r="QK94" s="180" t="str">
        <f t="shared" ca="1" si="84"/>
        <v>Attente…</v>
      </c>
      <c r="QL94" s="196">
        <f t="shared" si="85"/>
        <v>750</v>
      </c>
      <c r="QM94" s="176">
        <f t="shared" si="86"/>
        <v>5.4872695346795432E-3</v>
      </c>
      <c r="QN94" s="177" t="str">
        <f t="shared" ca="1" si="87"/>
        <v>Attente…</v>
      </c>
      <c r="QO94" s="197">
        <f t="shared" si="88"/>
        <v>650</v>
      </c>
      <c r="QP94" s="179">
        <f t="shared" si="89"/>
        <v>5.088859312612542E-3</v>
      </c>
      <c r="QQ94" s="180" t="str">
        <f t="shared" ca="1" si="90"/>
        <v>Attente…</v>
      </c>
      <c r="QR94" s="196">
        <f t="shared" si="91"/>
        <v>800</v>
      </c>
      <c r="QS94" s="176">
        <f t="shared" si="92"/>
        <v>5.7593319174975705E-3</v>
      </c>
      <c r="QT94" s="177" t="str">
        <f t="shared" ca="1" si="93"/>
        <v>Attente…</v>
      </c>
      <c r="QU94" s="197">
        <f t="shared" si="94"/>
        <v>700</v>
      </c>
      <c r="QV94" s="179">
        <f t="shared" si="95"/>
        <v>4.8262548262548262E-3</v>
      </c>
      <c r="QW94" s="180" t="str">
        <f t="shared" ca="1" si="96"/>
        <v>Attente…</v>
      </c>
      <c r="QX94" s="196">
        <f t="shared" si="97"/>
        <v>850</v>
      </c>
      <c r="QY94" s="176">
        <f t="shared" si="98"/>
        <v>6.2027496424297262E-3</v>
      </c>
      <c r="QZ94" s="177" t="str">
        <f t="shared" ca="1" si="99"/>
        <v>Attente…</v>
      </c>
      <c r="RA94" s="197">
        <f t="shared" si="100"/>
        <v>750</v>
      </c>
      <c r="RB94" s="179">
        <f t="shared" si="101"/>
        <v>5.8680854393239968E-3</v>
      </c>
      <c r="RC94" s="180" t="str">
        <f t="shared" ca="1" si="102"/>
        <v>Attente…</v>
      </c>
      <c r="RD94" s="196">
        <f t="shared" si="103"/>
        <v>750</v>
      </c>
      <c r="RE94" s="176">
        <f t="shared" si="104"/>
        <v>7.4730968513351936E-3</v>
      </c>
      <c r="RF94" s="177" t="str">
        <f t="shared" ca="1" si="105"/>
        <v>Attente…</v>
      </c>
      <c r="RG94" s="197">
        <f t="shared" si="106"/>
        <v>500</v>
      </c>
      <c r="RH94" s="179">
        <f t="shared" si="107"/>
        <v>9.1962479308442154E-3</v>
      </c>
      <c r="RI94" s="198" t="str">
        <f t="shared" ca="1" si="108"/>
        <v>Attente…</v>
      </c>
      <c r="RJ94" s="199">
        <f t="shared" si="109"/>
        <v>1550</v>
      </c>
      <c r="RK94" s="200" t="str">
        <f t="shared" ca="1" si="66"/>
        <v>Attente…</v>
      </c>
      <c r="RL94" s="199">
        <f t="shared" si="110"/>
        <v>2300</v>
      </c>
      <c r="RM94" s="200" t="str">
        <f t="shared" ca="1" si="111"/>
        <v>Atttente…</v>
      </c>
      <c r="RN94" s="199">
        <f t="shared" si="112"/>
        <v>2350</v>
      </c>
      <c r="RO94" s="200" t="str">
        <f t="shared" ca="1" si="67"/>
        <v>Attente…</v>
      </c>
      <c r="RP94" s="199">
        <f t="shared" si="113"/>
        <v>2000</v>
      </c>
      <c r="RQ94" s="200" t="str">
        <f t="shared" ca="1" si="68"/>
        <v>Attente…</v>
      </c>
      <c r="RR94" s="201">
        <f t="shared" si="114"/>
        <v>8200</v>
      </c>
      <c r="RS94" s="202" t="str">
        <f t="shared" ca="1" si="69"/>
        <v>Attente…</v>
      </c>
      <c r="RT94" s="103"/>
      <c r="RU94" s="203">
        <f t="shared" si="115"/>
        <v>0.82</v>
      </c>
      <c r="RV94" s="204">
        <f t="shared" si="118"/>
        <v>1</v>
      </c>
      <c r="RW94" s="204">
        <f t="shared" si="118"/>
        <v>1</v>
      </c>
      <c r="RX94" s="204">
        <f t="shared" si="116"/>
        <v>50</v>
      </c>
      <c r="RY94" s="205" t="str">
        <f t="shared" si="117"/>
        <v>ELBEUF - 7 Rue du Neubourg (Carrefour Market - Station Service)</v>
      </c>
      <c r="RZ94" s="189" t="str">
        <f>IF(OR(RZ93="",RZ93="  &lt;/Document&gt;
&lt;/kml&gt;"),"",
IF(B94="","  &lt;/Document&gt;
&lt;/kml&gt;",
IF(TournéesCAV!Q94=""," ",
"    &lt;Placemark&gt;
      &lt;description&gt;&lt;![CDATA["&amp;B94&amp;"&lt;br&gt;&lt;br&gt;"&amp;RV94&amp;" CAV&lt;br&gt;&lt;br&gt;Présent sur "&amp;RW94&amp;" tournée(s)&lt;br&gt;&lt;br&gt;Taux de remplissage moyen "&amp;TEXT(RU94*1000,"0 %")&amp;"]]&gt;&lt;/description&gt;
      &lt;Style&gt;
        &lt;IconStyle&gt;
          &lt;color&gt;ff"&amp;
          DEC2HEX(0,2)&amp;
          DEC2HEX(
            IF(RU94&lt;=0.5,
               INT(255*(RU94*2)),
               255
            ),2)&amp;
          DEC2HEX(
            IF(RU94&lt;=0.5,
               255,
               INT(255*(1-(RU94-0.5)*2))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&lt;Point&gt;&lt;coordinates&gt;"&amp;R94&amp;","&amp;Q94&amp;",0&lt;/coordinates&gt;&lt;/Point&gt;
    &lt;/Placemark&gt;"
)))</f>
        <v xml:space="preserve">    &lt;Placemark&gt;
      &lt;description&gt;&lt;![CDATA[ELBEUF - 7 Rue du Neubourg (Carrefour Market - Station Service)&lt;br&gt;&lt;br&gt;1 CAV&lt;br&gt;&lt;br&gt;Présent sur 1 tournée(s)&lt;br&gt;&lt;br&gt;Taux de remplissage moyen 82%]]&gt;&lt;/description&gt;
      &lt;Style&gt;
        &lt;IconStyle&gt;
          &lt;color&gt;ff00FF5B&lt;/color&gt;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&lt;Point&gt;&lt;coordinates&gt;1.0099438,49.285096,0&lt;/coordinates&gt;&lt;/Point&gt;
    &lt;/Placemark&gt;</v>
      </c>
    </row>
    <row r="95" spans="2:494" ht="15" hidden="1" customHeight="1" x14ac:dyDescent="0.35">
      <c r="B95" s="153" t="str">
        <f t="shared" si="70"/>
        <v>CAUDEBEC-LÈS-ELBEUF - 8 Rue Lenormand</v>
      </c>
      <c r="C95" s="154">
        <v>89</v>
      </c>
      <c r="D95" s="155"/>
      <c r="E95" s="155"/>
      <c r="F95" s="155"/>
      <c r="G95" s="155"/>
      <c r="H95" s="155"/>
      <c r="I95" s="155"/>
      <c r="J95" s="156"/>
      <c r="K95" s="157">
        <f t="shared" si="71"/>
        <v>1</v>
      </c>
      <c r="L95" s="157">
        <f t="shared" si="72"/>
        <v>1</v>
      </c>
      <c r="M95" s="158" t="s">
        <v>563</v>
      </c>
      <c r="N95" s="159"/>
      <c r="O95" s="159">
        <v>76320</v>
      </c>
      <c r="P95" s="159" t="s">
        <v>564</v>
      </c>
      <c r="Q95" s="159" t="s">
        <v>565</v>
      </c>
      <c r="R95" s="159" t="s">
        <v>566</v>
      </c>
      <c r="S95" s="159" t="s">
        <v>93</v>
      </c>
      <c r="T95" s="159" t="s">
        <v>94</v>
      </c>
      <c r="U95" s="159" t="s">
        <v>567</v>
      </c>
      <c r="V95" s="160" t="s">
        <v>96</v>
      </c>
      <c r="W95" s="161"/>
      <c r="X95" s="162"/>
      <c r="Y95" s="163"/>
      <c r="Z95" s="162"/>
      <c r="AA95" s="163"/>
      <c r="AB95" s="162"/>
      <c r="AC95" s="163"/>
      <c r="AD95" s="162"/>
      <c r="AE95" s="163"/>
      <c r="AF95" s="162"/>
      <c r="AG95" s="163"/>
      <c r="AH95" s="163"/>
      <c r="AI95" s="162"/>
      <c r="AJ95" s="163"/>
      <c r="AK95" s="162"/>
      <c r="AL95" s="163"/>
      <c r="AM95" s="162">
        <v>3</v>
      </c>
      <c r="AN95" s="163"/>
      <c r="AO95" s="162"/>
      <c r="AP95" s="164"/>
      <c r="AQ95" s="164"/>
      <c r="AR95" s="164"/>
      <c r="AS95" s="164"/>
      <c r="AT95" s="164"/>
      <c r="AU95" s="164"/>
      <c r="AV95" s="164"/>
      <c r="AW95" s="164"/>
      <c r="AX95" s="164"/>
      <c r="AY95" s="165"/>
      <c r="AZ95" s="41"/>
      <c r="BA95" s="190"/>
      <c r="BB95" s="191"/>
      <c r="BC95" s="191"/>
      <c r="BD95" s="191"/>
      <c r="BE95" s="191"/>
      <c r="BF95" s="191"/>
      <c r="BG95" s="191">
        <v>150</v>
      </c>
      <c r="BH95" s="191"/>
      <c r="BI95" s="191"/>
      <c r="BJ95" s="191"/>
      <c r="BK95" s="191"/>
      <c r="BL95" s="191"/>
      <c r="BM95" s="191"/>
      <c r="BN95" s="191">
        <v>50</v>
      </c>
      <c r="BO95" s="191"/>
      <c r="BP95" s="191"/>
      <c r="BQ95" s="191"/>
      <c r="BR95" s="191"/>
      <c r="BS95" s="191"/>
      <c r="BT95" s="191"/>
      <c r="BU95" s="191">
        <v>50</v>
      </c>
      <c r="BV95" s="191"/>
      <c r="BW95" s="191"/>
      <c r="BX95" s="191"/>
      <c r="BY95" s="191"/>
      <c r="BZ95" s="191"/>
      <c r="CA95" s="191"/>
      <c r="CB95" s="191">
        <v>150</v>
      </c>
      <c r="CC95" s="191"/>
      <c r="CD95" s="191"/>
      <c r="CE95" s="192"/>
      <c r="CF95" s="190"/>
      <c r="CG95" s="191"/>
      <c r="CH95" s="191"/>
      <c r="CI95" s="191">
        <v>100</v>
      </c>
      <c r="CJ95" s="191"/>
      <c r="CK95" s="191"/>
      <c r="CL95" s="191"/>
      <c r="CM95" s="191"/>
      <c r="CN95" s="191"/>
      <c r="CO95" s="191"/>
      <c r="CP95" s="191">
        <v>100</v>
      </c>
      <c r="CQ95" s="191"/>
      <c r="CR95" s="191"/>
      <c r="CS95" s="191"/>
      <c r="CT95" s="191"/>
      <c r="CU95" s="191"/>
      <c r="CV95" s="191"/>
      <c r="CW95" s="191">
        <v>50</v>
      </c>
      <c r="CX95" s="191"/>
      <c r="CY95" s="191"/>
      <c r="CZ95" s="191"/>
      <c r="DA95" s="191"/>
      <c r="DB95" s="191"/>
      <c r="DC95" s="191"/>
      <c r="DD95" s="191">
        <v>10</v>
      </c>
      <c r="DE95" s="191"/>
      <c r="DF95" s="191"/>
      <c r="DG95" s="191"/>
      <c r="DH95" s="193"/>
      <c r="DI95" s="194"/>
      <c r="DJ95" s="191"/>
      <c r="DK95" s="191"/>
      <c r="DL95" s="191">
        <v>100</v>
      </c>
      <c r="DM95" s="191"/>
      <c r="DN95" s="191"/>
      <c r="DO95" s="191"/>
      <c r="DP95" s="191"/>
      <c r="DQ95" s="191"/>
      <c r="DR95" s="191"/>
      <c r="DS95" s="191">
        <v>150</v>
      </c>
      <c r="DT95" s="191"/>
      <c r="DU95" s="191"/>
      <c r="DV95" s="191"/>
      <c r="DW95" s="191"/>
      <c r="DX95" s="191"/>
      <c r="DY95" s="191"/>
      <c r="DZ95" s="191">
        <v>100</v>
      </c>
      <c r="EA95" s="191"/>
      <c r="EB95" s="191"/>
      <c r="EC95" s="191"/>
      <c r="ED95" s="191"/>
      <c r="EE95" s="191"/>
      <c r="EF95" s="191"/>
      <c r="EG95" s="191">
        <v>150</v>
      </c>
      <c r="EH95" s="191"/>
      <c r="EI95" s="191"/>
      <c r="EJ95" s="191"/>
      <c r="EK95" s="191"/>
      <c r="EL95" s="191"/>
      <c r="EM95" s="192"/>
      <c r="EN95" s="190">
        <v>50</v>
      </c>
      <c r="EO95" s="191"/>
      <c r="EP95" s="191"/>
      <c r="EQ95" s="191"/>
      <c r="ER95" s="191"/>
      <c r="ES95" s="191"/>
      <c r="ET95" s="191"/>
      <c r="EU95" s="191">
        <v>200</v>
      </c>
      <c r="EV95" s="191"/>
      <c r="EW95" s="191"/>
      <c r="EX95" s="191"/>
      <c r="EY95" s="191"/>
      <c r="EZ95" s="191"/>
      <c r="FA95" s="191"/>
      <c r="FB95" s="191">
        <v>50</v>
      </c>
      <c r="FC95" s="191"/>
      <c r="FD95" s="191"/>
      <c r="FE95" s="191"/>
      <c r="FF95" s="191"/>
      <c r="FG95" s="191"/>
      <c r="FH95" s="191"/>
      <c r="FI95" s="191">
        <v>150</v>
      </c>
      <c r="FJ95" s="191"/>
      <c r="FK95" s="191"/>
      <c r="FL95" s="191"/>
      <c r="FM95" s="191"/>
      <c r="FN95" s="191"/>
      <c r="FO95" s="191"/>
      <c r="FP95" s="191">
        <v>150</v>
      </c>
      <c r="FQ95" s="193"/>
      <c r="FR95" s="194"/>
      <c r="FS95" s="191"/>
      <c r="FT95" s="191"/>
      <c r="FU95" s="191"/>
      <c r="FV95" s="191"/>
      <c r="FW95" s="191"/>
      <c r="FX95" s="191"/>
      <c r="FY95" s="191"/>
      <c r="FZ95" s="191"/>
      <c r="GA95" s="191"/>
      <c r="GB95" s="191"/>
      <c r="GC95" s="191"/>
      <c r="GD95" s="191">
        <v>200</v>
      </c>
      <c r="GE95" s="191"/>
      <c r="GF95" s="191"/>
      <c r="GG95" s="191"/>
      <c r="GH95" s="191"/>
      <c r="GI95" s="191"/>
      <c r="GJ95" s="191"/>
      <c r="GK95" s="191">
        <v>100</v>
      </c>
      <c r="GL95" s="191"/>
      <c r="GM95" s="191"/>
      <c r="GN95" s="191"/>
      <c r="GO95" s="191"/>
      <c r="GP95" s="191"/>
      <c r="GQ95" s="191"/>
      <c r="GR95" s="191">
        <v>100</v>
      </c>
      <c r="GS95" s="191"/>
      <c r="GT95" s="191"/>
      <c r="GU95" s="191"/>
      <c r="GV95" s="192"/>
      <c r="GW95" s="190"/>
      <c r="GX95" s="191"/>
      <c r="GY95" s="191">
        <v>50</v>
      </c>
      <c r="GZ95" s="191"/>
      <c r="HA95" s="191"/>
      <c r="HB95" s="191"/>
      <c r="HC95" s="191"/>
      <c r="HD95" s="191"/>
      <c r="HE95" s="191"/>
      <c r="HF95" s="191"/>
      <c r="HG95" s="191"/>
      <c r="HH95" s="191">
        <v>100</v>
      </c>
      <c r="HI95" s="191"/>
      <c r="HJ95" s="191"/>
      <c r="HK95" s="191"/>
      <c r="HL95" s="191"/>
      <c r="HM95" s="191">
        <v>50</v>
      </c>
      <c r="HN95" s="191"/>
      <c r="HO95" s="191"/>
      <c r="HP95" s="191"/>
      <c r="HQ95" s="191"/>
      <c r="HR95" s="191"/>
      <c r="HS95" s="191"/>
      <c r="HT95" s="191">
        <v>50</v>
      </c>
      <c r="HU95" s="191"/>
      <c r="HV95" s="191"/>
      <c r="HW95" s="191"/>
      <c r="HX95" s="191"/>
      <c r="HY95" s="191"/>
      <c r="HZ95" s="193"/>
      <c r="IA95" s="194">
        <v>100</v>
      </c>
      <c r="IB95" s="191"/>
      <c r="IC95" s="191"/>
      <c r="ID95" s="191"/>
      <c r="IE95" s="191"/>
      <c r="IF95" s="191"/>
      <c r="IG95" s="191"/>
      <c r="IH95" s="191">
        <v>100</v>
      </c>
      <c r="II95" s="191"/>
      <c r="IJ95" s="191"/>
      <c r="IK95" s="191"/>
      <c r="IL95" s="191"/>
      <c r="IM95" s="191"/>
      <c r="IN95" s="191"/>
      <c r="IO95" s="191"/>
      <c r="IP95" s="191">
        <v>150</v>
      </c>
      <c r="IQ95" s="191"/>
      <c r="IR95" s="191"/>
      <c r="IS95" s="191"/>
      <c r="IT95" s="191"/>
      <c r="IU95" s="191"/>
      <c r="IV95" s="191">
        <v>50</v>
      </c>
      <c r="IW95" s="191"/>
      <c r="IX95" s="191"/>
      <c r="IY95" s="191"/>
      <c r="IZ95" s="191"/>
      <c r="JA95" s="191"/>
      <c r="JB95" s="191"/>
      <c r="JC95" s="191">
        <v>100</v>
      </c>
      <c r="JD95" s="191"/>
      <c r="JE95" s="192"/>
      <c r="JF95" s="190"/>
      <c r="JG95" s="191"/>
      <c r="JH95" s="191"/>
      <c r="JI95" s="191"/>
      <c r="JJ95" s="191">
        <v>150</v>
      </c>
      <c r="JK95" s="191"/>
      <c r="JL95" s="191"/>
      <c r="JM95" s="191"/>
      <c r="JN95" s="191"/>
      <c r="JO95" s="191"/>
      <c r="JP95" s="191"/>
      <c r="JQ95" s="191">
        <v>100</v>
      </c>
      <c r="JR95" s="191"/>
      <c r="JS95" s="191"/>
      <c r="JT95" s="191"/>
      <c r="JU95" s="191"/>
      <c r="JV95" s="191"/>
      <c r="JW95" s="191"/>
      <c r="JX95" s="191"/>
      <c r="JY95" s="191"/>
      <c r="JZ95" s="191"/>
      <c r="KA95" s="191"/>
      <c r="KB95" s="191"/>
      <c r="KC95" s="191"/>
      <c r="KD95" s="191"/>
      <c r="KE95" s="191">
        <v>150</v>
      </c>
      <c r="KF95" s="191"/>
      <c r="KG95" s="191"/>
      <c r="KH95" s="191"/>
      <c r="KI95" s="191"/>
      <c r="KJ95" s="193"/>
      <c r="KK95" s="194"/>
      <c r="KL95" s="191">
        <v>100</v>
      </c>
      <c r="KM95" s="191"/>
      <c r="KN95" s="191"/>
      <c r="KO95" s="191"/>
      <c r="KP95" s="191"/>
      <c r="KQ95" s="191"/>
      <c r="KR95" s="191"/>
      <c r="KS95" s="191">
        <v>200</v>
      </c>
      <c r="KT95" s="191"/>
      <c r="KU95" s="191"/>
      <c r="KV95" s="191"/>
      <c r="KW95" s="191"/>
      <c r="KX95" s="191"/>
      <c r="KY95" s="191"/>
      <c r="KZ95" s="191">
        <v>150</v>
      </c>
      <c r="LA95" s="191"/>
      <c r="LB95" s="191"/>
      <c r="LC95" s="191"/>
      <c r="LD95" s="191"/>
      <c r="LE95" s="191"/>
      <c r="LF95" s="191"/>
      <c r="LG95" s="191"/>
      <c r="LH95" s="191"/>
      <c r="LI95" s="191"/>
      <c r="LJ95" s="191"/>
      <c r="LK95" s="191"/>
      <c r="LL95" s="191"/>
      <c r="LM95" s="191"/>
      <c r="LN95" s="192">
        <v>150</v>
      </c>
      <c r="LO95" s="190"/>
      <c r="LP95" s="191"/>
      <c r="LQ95" s="191"/>
      <c r="LR95" s="191"/>
      <c r="LS95" s="191"/>
      <c r="LT95" s="191"/>
      <c r="LU95" s="191">
        <v>100</v>
      </c>
      <c r="LV95" s="191"/>
      <c r="LW95" s="191"/>
      <c r="LX95" s="191"/>
      <c r="LY95" s="191"/>
      <c r="LZ95" s="191"/>
      <c r="MA95" s="191"/>
      <c r="MB95" s="191">
        <v>150</v>
      </c>
      <c r="MC95" s="191"/>
      <c r="MD95" s="191"/>
      <c r="ME95" s="191"/>
      <c r="MF95" s="191"/>
      <c r="MG95" s="191"/>
      <c r="MH95" s="191"/>
      <c r="MI95" s="191">
        <v>100</v>
      </c>
      <c r="MJ95" s="191"/>
      <c r="MK95" s="191"/>
      <c r="ML95" s="191"/>
      <c r="MM95" s="191"/>
      <c r="MN95" s="191"/>
      <c r="MO95" s="191"/>
      <c r="MP95" s="191">
        <v>100</v>
      </c>
      <c r="MQ95" s="191"/>
      <c r="MR95" s="191"/>
      <c r="MS95" s="193"/>
      <c r="MT95" s="194"/>
      <c r="MU95" s="191"/>
      <c r="MV95" s="191"/>
      <c r="MW95" s="191">
        <v>100</v>
      </c>
      <c r="MX95" s="191"/>
      <c r="MY95" s="191"/>
      <c r="MZ95" s="191"/>
      <c r="NA95" s="191"/>
      <c r="NB95" s="191"/>
      <c r="NC95" s="191"/>
      <c r="ND95" s="191"/>
      <c r="NE95" s="191">
        <v>100</v>
      </c>
      <c r="NF95" s="191"/>
      <c r="NG95" s="191"/>
      <c r="NH95" s="191"/>
      <c r="NI95" s="191"/>
      <c r="NJ95" s="191"/>
      <c r="NK95" s="191">
        <v>100</v>
      </c>
      <c r="NL95" s="191"/>
      <c r="NM95" s="191"/>
      <c r="NN95" s="191"/>
      <c r="NO95" s="191"/>
      <c r="NP95" s="191"/>
      <c r="NQ95" s="191"/>
      <c r="NR95" s="191">
        <v>50</v>
      </c>
      <c r="NS95" s="191"/>
      <c r="NT95" s="191"/>
      <c r="NU95" s="191"/>
      <c r="NV95" s="191"/>
      <c r="NW95" s="192"/>
      <c r="NX95" s="190"/>
      <c r="NY95" s="191">
        <v>50</v>
      </c>
      <c r="NZ95" s="191"/>
      <c r="OA95" s="191"/>
      <c r="OB95" s="191"/>
      <c r="OC95" s="191"/>
      <c r="OD95" s="191"/>
      <c r="OE95" s="191"/>
      <c r="OF95" s="191">
        <v>10</v>
      </c>
      <c r="OG95" s="191"/>
      <c r="OH95" s="191"/>
      <c r="OI95" s="191"/>
      <c r="OJ95" s="191"/>
      <c r="OK95" s="191"/>
      <c r="OL95" s="191"/>
      <c r="OM95" s="191">
        <v>10</v>
      </c>
      <c r="ON95" s="191"/>
      <c r="OO95" s="191"/>
      <c r="OP95" s="191"/>
      <c r="OQ95" s="191"/>
      <c r="OR95" s="191"/>
      <c r="OS95" s="191"/>
      <c r="OT95" s="191"/>
      <c r="OU95" s="191"/>
      <c r="OV95" s="191"/>
      <c r="OW95" s="191"/>
      <c r="OX95" s="191"/>
      <c r="OY95" s="191"/>
      <c r="OZ95" s="191"/>
      <c r="PA95" s="191"/>
      <c r="PB95" s="193"/>
      <c r="PC95" s="47"/>
      <c r="PD95" s="154" t="s">
        <v>97</v>
      </c>
      <c r="PE95" s="155" t="s">
        <v>98</v>
      </c>
      <c r="PF95" s="155" t="s">
        <v>98</v>
      </c>
      <c r="PG95" s="155" t="s">
        <v>98</v>
      </c>
      <c r="PH95" s="155" t="s">
        <v>98</v>
      </c>
      <c r="PI95" s="155" t="s">
        <v>98</v>
      </c>
      <c r="PJ95" s="155" t="s">
        <v>98</v>
      </c>
      <c r="PK95" s="155" t="s">
        <v>98</v>
      </c>
      <c r="PL95" s="155" t="s">
        <v>98</v>
      </c>
      <c r="PM95" s="155" t="s">
        <v>98</v>
      </c>
      <c r="PN95" s="155" t="s">
        <v>98</v>
      </c>
      <c r="PO95" s="156"/>
      <c r="PP95" s="156"/>
      <c r="PQ95" s="156"/>
      <c r="PR95" s="156"/>
      <c r="PS95" s="156"/>
      <c r="PT95" s="156"/>
      <c r="PU95" s="156"/>
      <c r="PV95" s="156"/>
      <c r="PW95" s="156"/>
      <c r="PX95" s="195"/>
      <c r="PY95" s="1"/>
      <c r="PZ95" s="196">
        <f t="shared" si="73"/>
        <v>400</v>
      </c>
      <c r="QA95" s="176">
        <f t="shared" si="74"/>
        <v>3.3369483607241178E-3</v>
      </c>
      <c r="QB95" s="177" t="str">
        <f t="shared" ca="1" si="75"/>
        <v>Attente…</v>
      </c>
      <c r="QC95" s="197">
        <f t="shared" si="76"/>
        <v>260</v>
      </c>
      <c r="QD95" s="179">
        <f t="shared" si="77"/>
        <v>2.4344569288389513E-3</v>
      </c>
      <c r="QE95" s="180" t="str">
        <f t="shared" ca="1" si="78"/>
        <v>Attente…</v>
      </c>
      <c r="QF95" s="196">
        <f t="shared" si="79"/>
        <v>500</v>
      </c>
      <c r="QG95" s="176">
        <f t="shared" si="80"/>
        <v>3.9815257206561551E-3</v>
      </c>
      <c r="QH95" s="177" t="str">
        <f t="shared" ca="1" si="81"/>
        <v>Attente…</v>
      </c>
      <c r="QI95" s="197">
        <f t="shared" si="82"/>
        <v>600</v>
      </c>
      <c r="QJ95" s="179">
        <f t="shared" si="83"/>
        <v>4.2081638378454198E-3</v>
      </c>
      <c r="QK95" s="180" t="str">
        <f t="shared" ca="1" si="84"/>
        <v>Attente…</v>
      </c>
      <c r="QL95" s="196">
        <f t="shared" si="85"/>
        <v>400</v>
      </c>
      <c r="QM95" s="176">
        <f t="shared" si="86"/>
        <v>2.9265437518290896E-3</v>
      </c>
      <c r="QN95" s="177" t="str">
        <f t="shared" ca="1" si="87"/>
        <v>Attente…</v>
      </c>
      <c r="QO95" s="197">
        <f t="shared" si="88"/>
        <v>250</v>
      </c>
      <c r="QP95" s="179">
        <f t="shared" si="89"/>
        <v>1.9572535817740547E-3</v>
      </c>
      <c r="QQ95" s="180" t="str">
        <f t="shared" ca="1" si="90"/>
        <v>Attente…</v>
      </c>
      <c r="QR95" s="196">
        <f t="shared" si="91"/>
        <v>500</v>
      </c>
      <c r="QS95" s="176">
        <f t="shared" si="92"/>
        <v>3.5995824484359815E-3</v>
      </c>
      <c r="QT95" s="177" t="str">
        <f t="shared" ca="1" si="93"/>
        <v>Attente…</v>
      </c>
      <c r="QU95" s="197">
        <f t="shared" si="94"/>
        <v>400</v>
      </c>
      <c r="QV95" s="179">
        <f t="shared" si="95"/>
        <v>2.7578599007170436E-3</v>
      </c>
      <c r="QW95" s="180" t="str">
        <f t="shared" ca="1" si="96"/>
        <v>Attente…</v>
      </c>
      <c r="QX95" s="196">
        <f t="shared" si="97"/>
        <v>600</v>
      </c>
      <c r="QY95" s="176">
        <f t="shared" si="98"/>
        <v>4.3784115123033365E-3</v>
      </c>
      <c r="QZ95" s="177" t="str">
        <f t="shared" ca="1" si="99"/>
        <v>Attente…</v>
      </c>
      <c r="RA95" s="197">
        <f t="shared" si="100"/>
        <v>450</v>
      </c>
      <c r="RB95" s="179">
        <f t="shared" si="101"/>
        <v>3.5208512635943978E-3</v>
      </c>
      <c r="RC95" s="180" t="str">
        <f t="shared" ca="1" si="102"/>
        <v>Attente…</v>
      </c>
      <c r="RD95" s="196">
        <f t="shared" si="103"/>
        <v>350</v>
      </c>
      <c r="RE95" s="176">
        <f t="shared" si="104"/>
        <v>3.4874451972897571E-3</v>
      </c>
      <c r="RF95" s="177" t="str">
        <f t="shared" ca="1" si="105"/>
        <v>Attente…</v>
      </c>
      <c r="RG95" s="197">
        <f t="shared" si="106"/>
        <v>70</v>
      </c>
      <c r="RH95" s="179">
        <f t="shared" si="107"/>
        <v>1.2874747103181902E-3</v>
      </c>
      <c r="RI95" s="198" t="str">
        <f t="shared" ca="1" si="108"/>
        <v>Attente…</v>
      </c>
      <c r="RJ95" s="199">
        <f t="shared" si="109"/>
        <v>1160</v>
      </c>
      <c r="RK95" s="200" t="str">
        <f t="shared" ca="1" si="66"/>
        <v>Attente…</v>
      </c>
      <c r="RL95" s="199">
        <f t="shared" si="110"/>
        <v>1250</v>
      </c>
      <c r="RM95" s="200" t="str">
        <f t="shared" ca="1" si="111"/>
        <v>Atttente…</v>
      </c>
      <c r="RN95" s="199">
        <f t="shared" si="112"/>
        <v>1500</v>
      </c>
      <c r="RO95" s="200" t="str">
        <f t="shared" ca="1" si="67"/>
        <v>Attente…</v>
      </c>
      <c r="RP95" s="199">
        <f t="shared" si="113"/>
        <v>870</v>
      </c>
      <c r="RQ95" s="200" t="str">
        <f t="shared" ca="1" si="68"/>
        <v>Attente…</v>
      </c>
      <c r="RR95" s="201">
        <f t="shared" si="114"/>
        <v>4780</v>
      </c>
      <c r="RS95" s="202" t="str">
        <f t="shared" ca="1" si="69"/>
        <v>Attente…</v>
      </c>
      <c r="RT95" s="103"/>
      <c r="RU95" s="203">
        <f t="shared" si="115"/>
        <v>0.50851063829787235</v>
      </c>
      <c r="RV95" s="204">
        <f t="shared" si="118"/>
        <v>1</v>
      </c>
      <c r="RW95" s="204">
        <f t="shared" si="118"/>
        <v>1</v>
      </c>
      <c r="RX95" s="204">
        <f t="shared" si="116"/>
        <v>47</v>
      </c>
      <c r="RY95" s="205" t="str">
        <f t="shared" si="117"/>
        <v>CAUDEBEC-LÈS-ELBEUF - 8 Rue Lenormand</v>
      </c>
      <c r="RZ95" s="189" t="str">
        <f>IF(OR(RZ94="",RZ94="  &lt;/Document&gt;
&lt;/kml&gt;"),"",
IF(B95="","  &lt;/Document&gt;
&lt;/kml&gt;",
IF(TournéesCAV!Q95=""," ",
"    &lt;Placemark&gt;
      &lt;description&gt;&lt;![CDATA["&amp;B95&amp;"&lt;br&gt;&lt;br&gt;"&amp;RV95&amp;" CAV&lt;br&gt;&lt;br&gt;Présent sur "&amp;RW95&amp;" tournée(s)&lt;br&gt;&lt;br&gt;Taux de remplissage moyen "&amp;TEXT(RU95*1000,"0 %")&amp;"]]&gt;&lt;/description&gt;
      &lt;Style&gt;
        &lt;IconStyle&gt;
          &lt;color&gt;ff"&amp;
          DEC2HEX(0,2)&amp;
          DEC2HEX(
            IF(RU95&lt;=0.5,
               INT(255*(RU95*2)),
               255
            ),2)&amp;
          DEC2HEX(
            IF(RU95&lt;=0.5,
               255,
               INT(255*(1-(RU95-0.5)*2))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&lt;Point&gt;&lt;coordinates&gt;"&amp;R95&amp;","&amp;Q95&amp;",0&lt;/coordinates&gt;&lt;/Point&gt;
    &lt;/Placemark&gt;"
)))</f>
        <v xml:space="preserve">    &lt;Placemark&gt;
      &lt;description&gt;&lt;![CDATA[CAUDEBEC-LÈS-ELBEUF - 8 Rue Lenormand&lt;br&gt;&lt;br&gt;1 CAV&lt;br&gt;&lt;br&gt;Présent sur 1 tournée(s)&lt;br&gt;&lt;br&gt;Taux de remplissage moyen 51%]]&gt;&lt;/description&gt;
      &lt;Style&gt;
        &lt;IconStyle&gt;
          &lt;color&gt;ff00FFFA&lt;/color&gt;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&lt;Point&gt;&lt;coordinates&gt;1.0126363,49.284012,0&lt;/coordinates&gt;&lt;/Point&gt;
    &lt;/Placemark&gt;</v>
      </c>
    </row>
    <row r="96" spans="2:494" ht="15" hidden="1" customHeight="1" x14ac:dyDescent="0.35">
      <c r="B96" s="153" t="str">
        <f t="shared" si="70"/>
        <v>CAUDEBEC-LÈS-ELBEUF - 856 Rue Emile Zola</v>
      </c>
      <c r="C96" s="154">
        <v>96</v>
      </c>
      <c r="D96" s="155"/>
      <c r="E96" s="155"/>
      <c r="F96" s="155"/>
      <c r="G96" s="155"/>
      <c r="H96" s="155"/>
      <c r="I96" s="155"/>
      <c r="J96" s="156"/>
      <c r="K96" s="157">
        <f t="shared" si="71"/>
        <v>1</v>
      </c>
      <c r="L96" s="157">
        <f t="shared" si="72"/>
        <v>1</v>
      </c>
      <c r="M96" s="158" t="s">
        <v>568</v>
      </c>
      <c r="N96" s="159"/>
      <c r="O96" s="159">
        <v>76320</v>
      </c>
      <c r="P96" s="159" t="s">
        <v>564</v>
      </c>
      <c r="Q96" s="159" t="s">
        <v>569</v>
      </c>
      <c r="R96" s="159" t="s">
        <v>570</v>
      </c>
      <c r="S96" s="159" t="s">
        <v>93</v>
      </c>
      <c r="T96" s="159" t="s">
        <v>94</v>
      </c>
      <c r="U96" s="159" t="s">
        <v>571</v>
      </c>
      <c r="V96" s="160" t="s">
        <v>96</v>
      </c>
      <c r="W96" s="161"/>
      <c r="X96" s="162"/>
      <c r="Y96" s="163"/>
      <c r="Z96" s="162"/>
      <c r="AA96" s="163"/>
      <c r="AB96" s="162"/>
      <c r="AC96" s="163"/>
      <c r="AD96" s="162"/>
      <c r="AE96" s="163"/>
      <c r="AF96" s="162"/>
      <c r="AG96" s="163"/>
      <c r="AH96" s="163"/>
      <c r="AI96" s="162"/>
      <c r="AJ96" s="163"/>
      <c r="AK96" s="162"/>
      <c r="AL96" s="163"/>
      <c r="AM96" s="162">
        <v>4</v>
      </c>
      <c r="AN96" s="163"/>
      <c r="AO96" s="162"/>
      <c r="AP96" s="164"/>
      <c r="AQ96" s="164"/>
      <c r="AR96" s="164"/>
      <c r="AS96" s="164"/>
      <c r="AT96" s="164"/>
      <c r="AU96" s="164"/>
      <c r="AV96" s="164"/>
      <c r="AW96" s="164"/>
      <c r="AX96" s="164"/>
      <c r="AY96" s="165"/>
      <c r="AZ96" s="41"/>
      <c r="BA96" s="190"/>
      <c r="BB96" s="191"/>
      <c r="BC96" s="191"/>
      <c r="BD96" s="191"/>
      <c r="BE96" s="191"/>
      <c r="BF96" s="191"/>
      <c r="BG96" s="191">
        <v>150</v>
      </c>
      <c r="BH96" s="191"/>
      <c r="BI96" s="191"/>
      <c r="BJ96" s="191"/>
      <c r="BK96" s="191"/>
      <c r="BL96" s="191"/>
      <c r="BM96" s="191"/>
      <c r="BN96" s="191">
        <v>150</v>
      </c>
      <c r="BO96" s="191"/>
      <c r="BP96" s="191"/>
      <c r="BQ96" s="191"/>
      <c r="BR96" s="191"/>
      <c r="BS96" s="191"/>
      <c r="BT96" s="191"/>
      <c r="BU96" s="191">
        <v>50</v>
      </c>
      <c r="BV96" s="191"/>
      <c r="BW96" s="191"/>
      <c r="BX96" s="191"/>
      <c r="BY96" s="191"/>
      <c r="BZ96" s="191"/>
      <c r="CA96" s="191"/>
      <c r="CB96" s="191">
        <v>50</v>
      </c>
      <c r="CC96" s="191"/>
      <c r="CD96" s="191"/>
      <c r="CE96" s="192"/>
      <c r="CF96" s="190"/>
      <c r="CG96" s="191"/>
      <c r="CH96" s="191"/>
      <c r="CI96" s="191">
        <v>100</v>
      </c>
      <c r="CJ96" s="191"/>
      <c r="CK96" s="191"/>
      <c r="CL96" s="191"/>
      <c r="CM96" s="191"/>
      <c r="CN96" s="191"/>
      <c r="CO96" s="191"/>
      <c r="CP96" s="191">
        <v>150</v>
      </c>
      <c r="CQ96" s="191"/>
      <c r="CR96" s="191"/>
      <c r="CS96" s="191"/>
      <c r="CT96" s="191"/>
      <c r="CU96" s="191"/>
      <c r="CV96" s="191"/>
      <c r="CW96" s="191">
        <v>10</v>
      </c>
      <c r="CX96" s="191"/>
      <c r="CY96" s="191"/>
      <c r="CZ96" s="191"/>
      <c r="DA96" s="191"/>
      <c r="DB96" s="191"/>
      <c r="DC96" s="191"/>
      <c r="DD96" s="191">
        <v>100</v>
      </c>
      <c r="DE96" s="191"/>
      <c r="DF96" s="191"/>
      <c r="DG96" s="191"/>
      <c r="DH96" s="193"/>
      <c r="DI96" s="194"/>
      <c r="DJ96" s="191"/>
      <c r="DK96" s="191"/>
      <c r="DL96" s="191">
        <v>10</v>
      </c>
      <c r="DM96" s="191"/>
      <c r="DN96" s="191"/>
      <c r="DO96" s="191"/>
      <c r="DP96" s="191"/>
      <c r="DQ96" s="191"/>
      <c r="DR96" s="191"/>
      <c r="DS96" s="191">
        <v>10</v>
      </c>
      <c r="DT96" s="191"/>
      <c r="DU96" s="191"/>
      <c r="DV96" s="191"/>
      <c r="DW96" s="191"/>
      <c r="DX96" s="191"/>
      <c r="DY96" s="191"/>
      <c r="DZ96" s="191">
        <v>10</v>
      </c>
      <c r="EA96" s="191"/>
      <c r="EB96" s="191"/>
      <c r="EC96" s="191"/>
      <c r="ED96" s="191"/>
      <c r="EE96" s="191"/>
      <c r="EF96" s="191"/>
      <c r="EG96" s="191">
        <v>100</v>
      </c>
      <c r="EH96" s="191"/>
      <c r="EI96" s="191"/>
      <c r="EJ96" s="191"/>
      <c r="EK96" s="191"/>
      <c r="EL96" s="191"/>
      <c r="EM96" s="192"/>
      <c r="EN96" s="190">
        <v>100</v>
      </c>
      <c r="EO96" s="191"/>
      <c r="EP96" s="191"/>
      <c r="EQ96" s="191"/>
      <c r="ER96" s="191"/>
      <c r="ES96" s="191"/>
      <c r="ET96" s="191"/>
      <c r="EU96" s="191">
        <v>50</v>
      </c>
      <c r="EV96" s="191"/>
      <c r="EW96" s="191"/>
      <c r="EX96" s="191"/>
      <c r="EY96" s="191"/>
      <c r="EZ96" s="191"/>
      <c r="FA96" s="191"/>
      <c r="FB96" s="191">
        <v>50</v>
      </c>
      <c r="FC96" s="191"/>
      <c r="FD96" s="191"/>
      <c r="FE96" s="191"/>
      <c r="FF96" s="191"/>
      <c r="FG96" s="191"/>
      <c r="FH96" s="191"/>
      <c r="FI96" s="191">
        <v>150</v>
      </c>
      <c r="FJ96" s="191"/>
      <c r="FK96" s="191"/>
      <c r="FL96" s="191"/>
      <c r="FM96" s="191"/>
      <c r="FN96" s="191"/>
      <c r="FO96" s="191"/>
      <c r="FP96" s="191">
        <v>100</v>
      </c>
      <c r="FQ96" s="193"/>
      <c r="FR96" s="194"/>
      <c r="FS96" s="191"/>
      <c r="FT96" s="191"/>
      <c r="FU96" s="191"/>
      <c r="FV96" s="191"/>
      <c r="FW96" s="191"/>
      <c r="FX96" s="191"/>
      <c r="FY96" s="191"/>
      <c r="FZ96" s="191"/>
      <c r="GA96" s="191"/>
      <c r="GB96" s="191"/>
      <c r="GC96" s="191"/>
      <c r="GD96" s="191">
        <v>200</v>
      </c>
      <c r="GE96" s="191"/>
      <c r="GF96" s="191"/>
      <c r="GG96" s="191"/>
      <c r="GH96" s="191"/>
      <c r="GI96" s="191"/>
      <c r="GJ96" s="191"/>
      <c r="GK96" s="191">
        <v>100</v>
      </c>
      <c r="GL96" s="191"/>
      <c r="GM96" s="191"/>
      <c r="GN96" s="191"/>
      <c r="GO96" s="191"/>
      <c r="GP96" s="191"/>
      <c r="GQ96" s="191"/>
      <c r="GR96" s="191">
        <v>100</v>
      </c>
      <c r="GS96" s="191"/>
      <c r="GT96" s="191"/>
      <c r="GU96" s="191"/>
      <c r="GV96" s="192"/>
      <c r="GW96" s="190"/>
      <c r="GX96" s="191"/>
      <c r="GY96" s="191">
        <v>10</v>
      </c>
      <c r="GZ96" s="191"/>
      <c r="HA96" s="191"/>
      <c r="HB96" s="191"/>
      <c r="HC96" s="191"/>
      <c r="HD96" s="191"/>
      <c r="HE96" s="191"/>
      <c r="HF96" s="191"/>
      <c r="HG96" s="191"/>
      <c r="HH96" s="191">
        <v>150</v>
      </c>
      <c r="HI96" s="191"/>
      <c r="HJ96" s="191"/>
      <c r="HK96" s="191"/>
      <c r="HL96" s="191"/>
      <c r="HM96" s="191">
        <v>50</v>
      </c>
      <c r="HN96" s="191"/>
      <c r="HO96" s="191"/>
      <c r="HP96" s="191"/>
      <c r="HQ96" s="191"/>
      <c r="HR96" s="191"/>
      <c r="HS96" s="191"/>
      <c r="HT96" s="191">
        <v>10</v>
      </c>
      <c r="HU96" s="191"/>
      <c r="HV96" s="191"/>
      <c r="HW96" s="191"/>
      <c r="HX96" s="191"/>
      <c r="HY96" s="191"/>
      <c r="HZ96" s="193"/>
      <c r="IA96" s="194">
        <v>50</v>
      </c>
      <c r="IB96" s="191"/>
      <c r="IC96" s="191"/>
      <c r="ID96" s="191"/>
      <c r="IE96" s="191"/>
      <c r="IF96" s="191"/>
      <c r="IG96" s="191"/>
      <c r="IH96" s="191">
        <v>150</v>
      </c>
      <c r="II96" s="191"/>
      <c r="IJ96" s="191"/>
      <c r="IK96" s="191"/>
      <c r="IL96" s="191"/>
      <c r="IM96" s="191"/>
      <c r="IN96" s="191"/>
      <c r="IO96" s="191"/>
      <c r="IP96" s="191">
        <v>100</v>
      </c>
      <c r="IQ96" s="191"/>
      <c r="IR96" s="191"/>
      <c r="IS96" s="191"/>
      <c r="IT96" s="191"/>
      <c r="IU96" s="191"/>
      <c r="IV96" s="191">
        <v>50</v>
      </c>
      <c r="IW96" s="191"/>
      <c r="IX96" s="191"/>
      <c r="IY96" s="191"/>
      <c r="IZ96" s="191"/>
      <c r="JA96" s="191"/>
      <c r="JB96" s="191"/>
      <c r="JC96" s="191">
        <v>10</v>
      </c>
      <c r="JD96" s="191"/>
      <c r="JE96" s="192"/>
      <c r="JF96" s="190"/>
      <c r="JG96" s="191"/>
      <c r="JH96" s="191"/>
      <c r="JI96" s="191"/>
      <c r="JJ96" s="191">
        <v>50</v>
      </c>
      <c r="JK96" s="191"/>
      <c r="JL96" s="191"/>
      <c r="JM96" s="191"/>
      <c r="JN96" s="191"/>
      <c r="JO96" s="191"/>
      <c r="JP96" s="191"/>
      <c r="JQ96" s="191">
        <v>50</v>
      </c>
      <c r="JR96" s="191"/>
      <c r="JS96" s="191"/>
      <c r="JT96" s="191"/>
      <c r="JU96" s="191"/>
      <c r="JV96" s="191"/>
      <c r="JW96" s="191"/>
      <c r="JX96" s="191"/>
      <c r="JY96" s="191"/>
      <c r="JZ96" s="191"/>
      <c r="KA96" s="191"/>
      <c r="KB96" s="191"/>
      <c r="KC96" s="191"/>
      <c r="KD96" s="191"/>
      <c r="KE96" s="191">
        <v>150</v>
      </c>
      <c r="KF96" s="191"/>
      <c r="KG96" s="191"/>
      <c r="KH96" s="191"/>
      <c r="KI96" s="191"/>
      <c r="KJ96" s="193"/>
      <c r="KK96" s="194"/>
      <c r="KL96" s="191">
        <v>100</v>
      </c>
      <c r="KM96" s="191"/>
      <c r="KN96" s="191"/>
      <c r="KO96" s="191"/>
      <c r="KP96" s="191"/>
      <c r="KQ96" s="191"/>
      <c r="KR96" s="191"/>
      <c r="KS96" s="191">
        <v>100</v>
      </c>
      <c r="KT96" s="191"/>
      <c r="KU96" s="191"/>
      <c r="KV96" s="191"/>
      <c r="KW96" s="191"/>
      <c r="KX96" s="191"/>
      <c r="KY96" s="191"/>
      <c r="KZ96" s="191">
        <v>150</v>
      </c>
      <c r="LA96" s="191"/>
      <c r="LB96" s="191"/>
      <c r="LC96" s="191"/>
      <c r="LD96" s="191"/>
      <c r="LE96" s="191"/>
      <c r="LF96" s="191"/>
      <c r="LG96" s="191">
        <v>50</v>
      </c>
      <c r="LH96" s="191"/>
      <c r="LI96" s="191"/>
      <c r="LJ96" s="191"/>
      <c r="LK96" s="191"/>
      <c r="LL96" s="191"/>
      <c r="LM96" s="191"/>
      <c r="LN96" s="192">
        <v>150</v>
      </c>
      <c r="LO96" s="190"/>
      <c r="LP96" s="191"/>
      <c r="LQ96" s="191"/>
      <c r="LR96" s="191"/>
      <c r="LS96" s="191"/>
      <c r="LT96" s="191"/>
      <c r="LU96" s="191">
        <v>50</v>
      </c>
      <c r="LV96" s="191"/>
      <c r="LW96" s="191"/>
      <c r="LX96" s="191"/>
      <c r="LY96" s="191"/>
      <c r="LZ96" s="191"/>
      <c r="MA96" s="191"/>
      <c r="MB96" s="191">
        <v>150</v>
      </c>
      <c r="MC96" s="191"/>
      <c r="MD96" s="191"/>
      <c r="ME96" s="191"/>
      <c r="MF96" s="191"/>
      <c r="MG96" s="191"/>
      <c r="MH96" s="191"/>
      <c r="MI96" s="191">
        <v>50</v>
      </c>
      <c r="MJ96" s="191"/>
      <c r="MK96" s="191"/>
      <c r="ML96" s="191"/>
      <c r="MM96" s="191"/>
      <c r="MN96" s="191"/>
      <c r="MO96" s="191"/>
      <c r="MP96" s="191"/>
      <c r="MQ96" s="191"/>
      <c r="MR96" s="191"/>
      <c r="MS96" s="193"/>
      <c r="MT96" s="194"/>
      <c r="MU96" s="191"/>
      <c r="MV96" s="191"/>
      <c r="MW96" s="191">
        <v>200</v>
      </c>
      <c r="MX96" s="191"/>
      <c r="MY96" s="191"/>
      <c r="MZ96" s="191"/>
      <c r="NA96" s="191"/>
      <c r="NB96" s="191"/>
      <c r="NC96" s="191"/>
      <c r="ND96" s="191"/>
      <c r="NE96" s="191">
        <v>10</v>
      </c>
      <c r="NF96" s="191"/>
      <c r="NG96" s="191"/>
      <c r="NH96" s="191"/>
      <c r="NI96" s="191"/>
      <c r="NJ96" s="191"/>
      <c r="NK96" s="191">
        <v>100</v>
      </c>
      <c r="NL96" s="191"/>
      <c r="NM96" s="191"/>
      <c r="NN96" s="191"/>
      <c r="NO96" s="191"/>
      <c r="NP96" s="191"/>
      <c r="NQ96" s="191"/>
      <c r="NR96" s="191">
        <v>100</v>
      </c>
      <c r="NS96" s="191"/>
      <c r="NT96" s="191"/>
      <c r="NU96" s="191"/>
      <c r="NV96" s="191"/>
      <c r="NW96" s="192"/>
      <c r="NX96" s="190"/>
      <c r="NY96" s="191">
        <v>100</v>
      </c>
      <c r="NZ96" s="191"/>
      <c r="OA96" s="191"/>
      <c r="OB96" s="191"/>
      <c r="OC96" s="191"/>
      <c r="OD96" s="191"/>
      <c r="OE96" s="191"/>
      <c r="OF96" s="191">
        <v>10</v>
      </c>
      <c r="OG96" s="191"/>
      <c r="OH96" s="191"/>
      <c r="OI96" s="191"/>
      <c r="OJ96" s="191"/>
      <c r="OK96" s="191"/>
      <c r="OL96" s="191"/>
      <c r="OM96" s="191">
        <v>50</v>
      </c>
      <c r="ON96" s="191"/>
      <c r="OO96" s="191"/>
      <c r="OP96" s="191"/>
      <c r="OQ96" s="191"/>
      <c r="OR96" s="191"/>
      <c r="OS96" s="191"/>
      <c r="OT96" s="191"/>
      <c r="OU96" s="191"/>
      <c r="OV96" s="191"/>
      <c r="OW96" s="191"/>
      <c r="OX96" s="191"/>
      <c r="OY96" s="191"/>
      <c r="OZ96" s="191"/>
      <c r="PA96" s="191"/>
      <c r="PB96" s="193"/>
      <c r="PC96" s="47"/>
      <c r="PD96" s="154" t="s">
        <v>97</v>
      </c>
      <c r="PE96" s="155" t="s">
        <v>98</v>
      </c>
      <c r="PF96" s="155" t="s">
        <v>98</v>
      </c>
      <c r="PG96" s="155" t="s">
        <v>98</v>
      </c>
      <c r="PH96" s="155" t="s">
        <v>98</v>
      </c>
      <c r="PI96" s="155" t="s">
        <v>98</v>
      </c>
      <c r="PJ96" s="155" t="s">
        <v>98</v>
      </c>
      <c r="PK96" s="155" t="s">
        <v>98</v>
      </c>
      <c r="PL96" s="155" t="s">
        <v>98</v>
      </c>
      <c r="PM96" s="155" t="s">
        <v>98</v>
      </c>
      <c r="PN96" s="155" t="s">
        <v>98</v>
      </c>
      <c r="PO96" s="156"/>
      <c r="PP96" s="156"/>
      <c r="PQ96" s="156"/>
      <c r="PR96" s="156"/>
      <c r="PS96" s="156"/>
      <c r="PT96" s="156"/>
      <c r="PU96" s="156"/>
      <c r="PV96" s="156"/>
      <c r="PW96" s="156"/>
      <c r="PX96" s="195"/>
      <c r="PY96" s="1"/>
      <c r="PZ96" s="196">
        <f t="shared" si="73"/>
        <v>400</v>
      </c>
      <c r="QA96" s="176">
        <f t="shared" si="74"/>
        <v>3.3369483607241178E-3</v>
      </c>
      <c r="QB96" s="177" t="str">
        <f t="shared" ca="1" si="75"/>
        <v>Attente…</v>
      </c>
      <c r="QC96" s="197">
        <f t="shared" si="76"/>
        <v>360</v>
      </c>
      <c r="QD96" s="179">
        <f t="shared" si="77"/>
        <v>3.3707865168539327E-3</v>
      </c>
      <c r="QE96" s="180" t="str">
        <f t="shared" ca="1" si="78"/>
        <v>Attente…</v>
      </c>
      <c r="QF96" s="196">
        <f t="shared" si="79"/>
        <v>130</v>
      </c>
      <c r="QG96" s="176">
        <f t="shared" si="80"/>
        <v>1.0351966873706005E-3</v>
      </c>
      <c r="QH96" s="177" t="str">
        <f t="shared" ca="1" si="81"/>
        <v>Attente…</v>
      </c>
      <c r="QI96" s="197">
        <f t="shared" si="82"/>
        <v>450</v>
      </c>
      <c r="QJ96" s="179">
        <f t="shared" si="83"/>
        <v>3.1561228783840651E-3</v>
      </c>
      <c r="QK96" s="180" t="str">
        <f t="shared" ca="1" si="84"/>
        <v>Attente…</v>
      </c>
      <c r="QL96" s="196">
        <f t="shared" si="85"/>
        <v>400</v>
      </c>
      <c r="QM96" s="176">
        <f t="shared" si="86"/>
        <v>2.9265437518290896E-3</v>
      </c>
      <c r="QN96" s="177" t="str">
        <f t="shared" ca="1" si="87"/>
        <v>Attente…</v>
      </c>
      <c r="QO96" s="197">
        <f t="shared" si="88"/>
        <v>220</v>
      </c>
      <c r="QP96" s="179">
        <f t="shared" si="89"/>
        <v>1.7223831519611681E-3</v>
      </c>
      <c r="QQ96" s="180" t="str">
        <f t="shared" ca="1" si="90"/>
        <v>Attente…</v>
      </c>
      <c r="QR96" s="196">
        <f t="shared" si="91"/>
        <v>360</v>
      </c>
      <c r="QS96" s="176">
        <f t="shared" si="92"/>
        <v>2.5916993628739065E-3</v>
      </c>
      <c r="QT96" s="177" t="str">
        <f t="shared" ca="1" si="93"/>
        <v>Attente…</v>
      </c>
      <c r="QU96" s="197">
        <f t="shared" si="94"/>
        <v>250</v>
      </c>
      <c r="QV96" s="179">
        <f t="shared" si="95"/>
        <v>1.7236624379481523E-3</v>
      </c>
      <c r="QW96" s="180" t="str">
        <f t="shared" ca="1" si="96"/>
        <v>Attente…</v>
      </c>
      <c r="QX96" s="196">
        <f t="shared" si="97"/>
        <v>550</v>
      </c>
      <c r="QY96" s="176">
        <f t="shared" si="98"/>
        <v>4.0135438862780584E-3</v>
      </c>
      <c r="QZ96" s="177" t="str">
        <f t="shared" ca="1" si="99"/>
        <v>Attente…</v>
      </c>
      <c r="RA96" s="197">
        <f t="shared" si="100"/>
        <v>250</v>
      </c>
      <c r="RB96" s="179">
        <f t="shared" si="101"/>
        <v>1.9560284797746656E-3</v>
      </c>
      <c r="RC96" s="180" t="str">
        <f t="shared" ca="1" si="102"/>
        <v>Attente…</v>
      </c>
      <c r="RD96" s="196">
        <f t="shared" si="103"/>
        <v>410</v>
      </c>
      <c r="RE96" s="176">
        <f t="shared" si="104"/>
        <v>4.0852929453965726E-3</v>
      </c>
      <c r="RF96" s="177" t="str">
        <f t="shared" ca="1" si="105"/>
        <v>Attente…</v>
      </c>
      <c r="RG96" s="197">
        <f t="shared" si="106"/>
        <v>160</v>
      </c>
      <c r="RH96" s="179">
        <f t="shared" si="107"/>
        <v>2.9427993378701488E-3</v>
      </c>
      <c r="RI96" s="198" t="str">
        <f t="shared" ca="1" si="108"/>
        <v>Attente…</v>
      </c>
      <c r="RJ96" s="199">
        <f t="shared" si="109"/>
        <v>890</v>
      </c>
      <c r="RK96" s="200" t="str">
        <f t="shared" ca="1" si="66"/>
        <v>Attente…</v>
      </c>
      <c r="RL96" s="199">
        <f t="shared" si="110"/>
        <v>1070</v>
      </c>
      <c r="RM96" s="200" t="str">
        <f t="shared" ca="1" si="111"/>
        <v>Atttente…</v>
      </c>
      <c r="RN96" s="199">
        <f t="shared" si="112"/>
        <v>1160</v>
      </c>
      <c r="RO96" s="200" t="str">
        <f t="shared" ca="1" si="67"/>
        <v>Attente…</v>
      </c>
      <c r="RP96" s="199">
        <f t="shared" si="113"/>
        <v>820</v>
      </c>
      <c r="RQ96" s="200" t="str">
        <f t="shared" ca="1" si="68"/>
        <v>Attente…</v>
      </c>
      <c r="RR96" s="201">
        <f t="shared" si="114"/>
        <v>3940</v>
      </c>
      <c r="RS96" s="202" t="str">
        <f t="shared" ca="1" si="69"/>
        <v>Attente…</v>
      </c>
      <c r="RT96" s="103"/>
      <c r="RU96" s="203">
        <f t="shared" si="115"/>
        <v>0.41914893617021276</v>
      </c>
      <c r="RV96" s="204">
        <f t="shared" si="118"/>
        <v>1</v>
      </c>
      <c r="RW96" s="204">
        <f t="shared" si="118"/>
        <v>1</v>
      </c>
      <c r="RX96" s="204">
        <f t="shared" si="116"/>
        <v>47</v>
      </c>
      <c r="RY96" s="205" t="str">
        <f t="shared" si="117"/>
        <v>CAUDEBEC-LÈS-ELBEUF - 856 Rue Emile Zola</v>
      </c>
      <c r="RZ96" s="189" t="str">
        <f>IF(OR(RZ95="",RZ95="  &lt;/Document&gt;
&lt;/kml&gt;"),"",
IF(B96="","  &lt;/Document&gt;
&lt;/kml&gt;",
IF(TournéesCAV!Q96=""," ",
"    &lt;Placemark&gt;
      &lt;description&gt;&lt;![CDATA["&amp;B96&amp;"&lt;br&gt;&lt;br&gt;"&amp;RV96&amp;" CAV&lt;br&gt;&lt;br&gt;Présent sur "&amp;RW96&amp;" tournée(s)&lt;br&gt;&lt;br&gt;Taux de remplissage moyen "&amp;TEXT(RU96*1000,"0 %")&amp;"]]&gt;&lt;/description&gt;
      &lt;Style&gt;
        &lt;IconStyle&gt;
          &lt;color&gt;ff"&amp;
          DEC2HEX(0,2)&amp;
          DEC2HEX(
            IF(RU96&lt;=0.5,
               INT(255*(RU96*2)),
               255
            ),2)&amp;
          DEC2HEX(
            IF(RU96&lt;=0.5,
               255,
               INT(255*(1-(RU96-0.5)*2))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&lt;Point&gt;&lt;coordinates&gt;"&amp;R96&amp;","&amp;Q96&amp;",0&lt;/coordinates&gt;&lt;/Point&gt;
    &lt;/Placemark&gt;"
)))</f>
        <v xml:space="preserve">    &lt;Placemark&gt;
      &lt;description&gt;&lt;![CDATA[CAUDEBEC-LÈS-ELBEUF - 856 Rue Emile Zola&lt;br&gt;&lt;br&gt;1 CAV&lt;br&gt;&lt;br&gt;Présent sur 1 tournée(s)&lt;br&gt;&lt;br&gt;Taux de remplissage moyen 42%]]&gt;&lt;/description&gt;
      &lt;Style&gt;
        &lt;IconStyle&gt;
          &lt;color&gt;ff00D5FF&lt;/color&gt;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&lt;Point&gt;&lt;coordinates&gt;1.0204458,49.2815389,0&lt;/coordinates&gt;&lt;/Point&gt;
    &lt;/Placemark&gt;</v>
      </c>
    </row>
    <row r="97" spans="2:494" ht="15" hidden="1" customHeight="1" x14ac:dyDescent="0.35">
      <c r="B97" s="153" t="str">
        <f t="shared" si="70"/>
        <v>CAUDEBEC-LÈS-ELBEUF - 67 Rue de Strasbourg (Place de l'Assemblée)</v>
      </c>
      <c r="C97" s="154" t="s">
        <v>104</v>
      </c>
      <c r="D97" s="155" t="s">
        <v>104</v>
      </c>
      <c r="E97" s="155"/>
      <c r="F97" s="155"/>
      <c r="G97" s="155"/>
      <c r="H97" s="155"/>
      <c r="I97" s="155"/>
      <c r="J97" s="156"/>
      <c r="K97" s="157">
        <f t="shared" si="71"/>
        <v>2</v>
      </c>
      <c r="L97" s="157">
        <f t="shared" si="72"/>
        <v>1</v>
      </c>
      <c r="M97" s="158" t="s">
        <v>572</v>
      </c>
      <c r="N97" s="159" t="s">
        <v>573</v>
      </c>
      <c r="O97" s="159">
        <v>76320</v>
      </c>
      <c r="P97" s="159" t="s">
        <v>564</v>
      </c>
      <c r="Q97" s="159" t="s">
        <v>574</v>
      </c>
      <c r="R97" s="159" t="s">
        <v>575</v>
      </c>
      <c r="S97" s="159" t="s">
        <v>93</v>
      </c>
      <c r="T97" s="159" t="s">
        <v>94</v>
      </c>
      <c r="U97" s="159" t="s">
        <v>576</v>
      </c>
      <c r="V97" s="160" t="s">
        <v>123</v>
      </c>
      <c r="W97" s="161"/>
      <c r="X97" s="162"/>
      <c r="Y97" s="163"/>
      <c r="Z97" s="162"/>
      <c r="AA97" s="163"/>
      <c r="AB97" s="162"/>
      <c r="AC97" s="163"/>
      <c r="AD97" s="162"/>
      <c r="AE97" s="163"/>
      <c r="AF97" s="162"/>
      <c r="AG97" s="163"/>
      <c r="AH97" s="163"/>
      <c r="AI97" s="162"/>
      <c r="AJ97" s="163"/>
      <c r="AK97" s="162"/>
      <c r="AL97" s="163"/>
      <c r="AM97" s="162">
        <v>5</v>
      </c>
      <c r="AN97" s="163"/>
      <c r="AO97" s="162"/>
      <c r="AP97" s="164"/>
      <c r="AQ97" s="164"/>
      <c r="AR97" s="164"/>
      <c r="AS97" s="164"/>
      <c r="AT97" s="164"/>
      <c r="AU97" s="164"/>
      <c r="AV97" s="164"/>
      <c r="AW97" s="164"/>
      <c r="AX97" s="164"/>
      <c r="AY97" s="165"/>
      <c r="AZ97" s="41"/>
      <c r="BA97" s="190"/>
      <c r="BB97" s="191"/>
      <c r="BC97" s="191"/>
      <c r="BD97" s="191"/>
      <c r="BE97" s="191"/>
      <c r="BF97" s="191"/>
      <c r="BG97" s="191">
        <v>400</v>
      </c>
      <c r="BH97" s="191"/>
      <c r="BI97" s="191"/>
      <c r="BJ97" s="191"/>
      <c r="BK97" s="191"/>
      <c r="BL97" s="191"/>
      <c r="BM97" s="191"/>
      <c r="BN97" s="191">
        <v>300</v>
      </c>
      <c r="BO97" s="191"/>
      <c r="BP97" s="191"/>
      <c r="BQ97" s="191"/>
      <c r="BR97" s="191"/>
      <c r="BS97" s="191"/>
      <c r="BT97" s="191"/>
      <c r="BU97" s="191">
        <v>110</v>
      </c>
      <c r="BV97" s="191"/>
      <c r="BW97" s="191"/>
      <c r="BX97" s="191"/>
      <c r="BY97" s="191"/>
      <c r="BZ97" s="191"/>
      <c r="CA97" s="191"/>
      <c r="CB97" s="191">
        <v>350</v>
      </c>
      <c r="CC97" s="191"/>
      <c r="CD97" s="191"/>
      <c r="CE97" s="192"/>
      <c r="CF97" s="190"/>
      <c r="CG97" s="191"/>
      <c r="CH97" s="191"/>
      <c r="CI97" s="191">
        <v>350</v>
      </c>
      <c r="CJ97" s="191"/>
      <c r="CK97" s="191"/>
      <c r="CL97" s="191"/>
      <c r="CM97" s="191"/>
      <c r="CN97" s="191"/>
      <c r="CO97" s="191"/>
      <c r="CP97" s="191">
        <v>200</v>
      </c>
      <c r="CQ97" s="191"/>
      <c r="CR97" s="191"/>
      <c r="CS97" s="191"/>
      <c r="CT97" s="191"/>
      <c r="CU97" s="191"/>
      <c r="CV97" s="191"/>
      <c r="CW97" s="191">
        <v>300</v>
      </c>
      <c r="CX97" s="191"/>
      <c r="CY97" s="191"/>
      <c r="CZ97" s="191"/>
      <c r="DA97" s="191"/>
      <c r="DB97" s="191"/>
      <c r="DC97" s="191"/>
      <c r="DD97" s="191">
        <v>400</v>
      </c>
      <c r="DE97" s="191"/>
      <c r="DF97" s="191"/>
      <c r="DG97" s="191"/>
      <c r="DH97" s="193"/>
      <c r="DI97" s="194"/>
      <c r="DJ97" s="191"/>
      <c r="DK97" s="191"/>
      <c r="DL97" s="191">
        <v>350</v>
      </c>
      <c r="DM97" s="191"/>
      <c r="DN97" s="191"/>
      <c r="DO97" s="191"/>
      <c r="DP97" s="191"/>
      <c r="DQ97" s="191"/>
      <c r="DR97" s="191"/>
      <c r="DS97" s="191">
        <v>350</v>
      </c>
      <c r="DT97" s="191"/>
      <c r="DU97" s="191"/>
      <c r="DV97" s="191"/>
      <c r="DW97" s="191"/>
      <c r="DX97" s="191"/>
      <c r="DY97" s="191"/>
      <c r="DZ97" s="191">
        <v>350</v>
      </c>
      <c r="EA97" s="191"/>
      <c r="EB97" s="191"/>
      <c r="EC97" s="191"/>
      <c r="ED97" s="191"/>
      <c r="EE97" s="191"/>
      <c r="EF97" s="191"/>
      <c r="EG97" s="191">
        <v>400</v>
      </c>
      <c r="EH97" s="191"/>
      <c r="EI97" s="191"/>
      <c r="EJ97" s="191"/>
      <c r="EK97" s="191"/>
      <c r="EL97" s="191"/>
      <c r="EM97" s="192"/>
      <c r="EN97" s="190">
        <v>300</v>
      </c>
      <c r="EO97" s="191"/>
      <c r="EP97" s="191"/>
      <c r="EQ97" s="191"/>
      <c r="ER97" s="191"/>
      <c r="ES97" s="191"/>
      <c r="ET97" s="191"/>
      <c r="EU97" s="191">
        <v>300</v>
      </c>
      <c r="EV97" s="191"/>
      <c r="EW97" s="191"/>
      <c r="EX97" s="191"/>
      <c r="EY97" s="191"/>
      <c r="EZ97" s="191"/>
      <c r="FA97" s="191"/>
      <c r="FB97" s="191">
        <v>400</v>
      </c>
      <c r="FC97" s="191"/>
      <c r="FD97" s="191"/>
      <c r="FE97" s="191"/>
      <c r="FF97" s="191"/>
      <c r="FG97" s="191"/>
      <c r="FH97" s="191"/>
      <c r="FI97" s="191">
        <v>400</v>
      </c>
      <c r="FJ97" s="191"/>
      <c r="FK97" s="191"/>
      <c r="FL97" s="191"/>
      <c r="FM97" s="191"/>
      <c r="FN97" s="191"/>
      <c r="FO97" s="191"/>
      <c r="FP97" s="191">
        <v>400</v>
      </c>
      <c r="FQ97" s="193"/>
      <c r="FR97" s="194"/>
      <c r="FS97" s="191"/>
      <c r="FT97" s="191"/>
      <c r="FU97" s="191"/>
      <c r="FV97" s="191"/>
      <c r="FW97" s="191">
        <v>300</v>
      </c>
      <c r="FX97" s="191"/>
      <c r="FY97" s="191"/>
      <c r="FZ97" s="191"/>
      <c r="GA97" s="191"/>
      <c r="GB97" s="191"/>
      <c r="GC97" s="191"/>
      <c r="GD97" s="191">
        <v>400</v>
      </c>
      <c r="GE97" s="191"/>
      <c r="GF97" s="191"/>
      <c r="GG97" s="191"/>
      <c r="GH97" s="191"/>
      <c r="GI97" s="191"/>
      <c r="GJ97" s="191"/>
      <c r="GK97" s="191">
        <v>400</v>
      </c>
      <c r="GL97" s="191"/>
      <c r="GM97" s="191"/>
      <c r="GN97" s="191"/>
      <c r="GO97" s="191"/>
      <c r="GP97" s="191"/>
      <c r="GQ97" s="191"/>
      <c r="GR97" s="191">
        <v>350</v>
      </c>
      <c r="GS97" s="191"/>
      <c r="GT97" s="191"/>
      <c r="GU97" s="191"/>
      <c r="GV97" s="192"/>
      <c r="GW97" s="190"/>
      <c r="GX97" s="191"/>
      <c r="GY97" s="191">
        <v>400</v>
      </c>
      <c r="GZ97" s="191"/>
      <c r="HA97" s="191"/>
      <c r="HB97" s="191"/>
      <c r="HC97" s="191"/>
      <c r="HD97" s="191"/>
      <c r="HE97" s="191"/>
      <c r="HF97" s="191"/>
      <c r="HG97" s="191"/>
      <c r="HH97" s="191">
        <v>300</v>
      </c>
      <c r="HI97" s="191"/>
      <c r="HJ97" s="191"/>
      <c r="HK97" s="191"/>
      <c r="HL97" s="191"/>
      <c r="HM97" s="191">
        <v>200</v>
      </c>
      <c r="HN97" s="191"/>
      <c r="HO97" s="191"/>
      <c r="HP97" s="191"/>
      <c r="HQ97" s="191"/>
      <c r="HR97" s="191"/>
      <c r="HS97" s="191"/>
      <c r="HT97" s="191">
        <v>300</v>
      </c>
      <c r="HU97" s="191"/>
      <c r="HV97" s="191"/>
      <c r="HW97" s="191"/>
      <c r="HX97" s="191"/>
      <c r="HY97" s="191"/>
      <c r="HZ97" s="193"/>
      <c r="IA97" s="194">
        <v>400</v>
      </c>
      <c r="IB97" s="191"/>
      <c r="IC97" s="191"/>
      <c r="ID97" s="191"/>
      <c r="IE97" s="191"/>
      <c r="IF97" s="191"/>
      <c r="IG97" s="191"/>
      <c r="IH97" s="191">
        <v>300</v>
      </c>
      <c r="II97" s="191"/>
      <c r="IJ97" s="191"/>
      <c r="IK97" s="191"/>
      <c r="IL97" s="191"/>
      <c r="IM97" s="191"/>
      <c r="IN97" s="191"/>
      <c r="IO97" s="191"/>
      <c r="IP97" s="191">
        <v>300</v>
      </c>
      <c r="IQ97" s="191"/>
      <c r="IR97" s="191"/>
      <c r="IS97" s="191"/>
      <c r="IT97" s="191"/>
      <c r="IU97" s="191"/>
      <c r="IV97" s="191">
        <v>400</v>
      </c>
      <c r="IW97" s="191"/>
      <c r="IX97" s="191"/>
      <c r="IY97" s="191"/>
      <c r="IZ97" s="191"/>
      <c r="JA97" s="191"/>
      <c r="JB97" s="191"/>
      <c r="JC97" s="191">
        <v>400</v>
      </c>
      <c r="JD97" s="191"/>
      <c r="JE97" s="192"/>
      <c r="JF97" s="190"/>
      <c r="JG97" s="191"/>
      <c r="JH97" s="191"/>
      <c r="JI97" s="191"/>
      <c r="JJ97" s="191">
        <v>400</v>
      </c>
      <c r="JK97" s="191"/>
      <c r="JL97" s="191"/>
      <c r="JM97" s="191"/>
      <c r="JN97" s="191"/>
      <c r="JO97" s="191"/>
      <c r="JP97" s="191"/>
      <c r="JQ97" s="191">
        <v>350</v>
      </c>
      <c r="JR97" s="191"/>
      <c r="JS97" s="191"/>
      <c r="JT97" s="191"/>
      <c r="JU97" s="191"/>
      <c r="JV97" s="191"/>
      <c r="JW97" s="191"/>
      <c r="JX97" s="191"/>
      <c r="JY97" s="191"/>
      <c r="JZ97" s="191"/>
      <c r="KA97" s="191"/>
      <c r="KB97" s="191"/>
      <c r="KC97" s="191"/>
      <c r="KD97" s="191"/>
      <c r="KE97" s="191">
        <v>350</v>
      </c>
      <c r="KF97" s="191"/>
      <c r="KG97" s="191"/>
      <c r="KH97" s="191"/>
      <c r="KI97" s="191"/>
      <c r="KJ97" s="193"/>
      <c r="KK97" s="194"/>
      <c r="KL97" s="191">
        <v>400</v>
      </c>
      <c r="KM97" s="191"/>
      <c r="KN97" s="191"/>
      <c r="KO97" s="191"/>
      <c r="KP97" s="191"/>
      <c r="KQ97" s="191"/>
      <c r="KR97" s="191"/>
      <c r="KS97" s="191">
        <v>350</v>
      </c>
      <c r="KT97" s="191"/>
      <c r="KU97" s="191"/>
      <c r="KV97" s="191"/>
      <c r="KW97" s="191"/>
      <c r="KX97" s="191"/>
      <c r="KY97" s="191"/>
      <c r="KZ97" s="191">
        <v>300</v>
      </c>
      <c r="LA97" s="191"/>
      <c r="LB97" s="191"/>
      <c r="LC97" s="191"/>
      <c r="LD97" s="191"/>
      <c r="LE97" s="191"/>
      <c r="LF97" s="191"/>
      <c r="LG97" s="191">
        <v>300</v>
      </c>
      <c r="LH97" s="191"/>
      <c r="LI97" s="191"/>
      <c r="LJ97" s="191"/>
      <c r="LK97" s="191"/>
      <c r="LL97" s="191"/>
      <c r="LM97" s="191"/>
      <c r="LN97" s="192">
        <v>400</v>
      </c>
      <c r="LO97" s="190"/>
      <c r="LP97" s="191"/>
      <c r="LQ97" s="191"/>
      <c r="LR97" s="191"/>
      <c r="LS97" s="191"/>
      <c r="LT97" s="191"/>
      <c r="LU97" s="191">
        <v>300</v>
      </c>
      <c r="LV97" s="191"/>
      <c r="LW97" s="191"/>
      <c r="LX97" s="191"/>
      <c r="LY97" s="191"/>
      <c r="LZ97" s="191"/>
      <c r="MA97" s="191"/>
      <c r="MB97" s="191">
        <v>300</v>
      </c>
      <c r="MC97" s="191"/>
      <c r="MD97" s="191"/>
      <c r="ME97" s="191"/>
      <c r="MF97" s="191"/>
      <c r="MG97" s="191"/>
      <c r="MH97" s="191"/>
      <c r="MI97" s="191">
        <v>350</v>
      </c>
      <c r="MJ97" s="191"/>
      <c r="MK97" s="191"/>
      <c r="ML97" s="191"/>
      <c r="MM97" s="191"/>
      <c r="MN97" s="191"/>
      <c r="MO97" s="191"/>
      <c r="MP97" s="191">
        <v>110</v>
      </c>
      <c r="MQ97" s="191"/>
      <c r="MR97" s="191"/>
      <c r="MS97" s="193"/>
      <c r="MT97" s="194"/>
      <c r="MU97" s="191"/>
      <c r="MV97" s="191"/>
      <c r="MW97" s="191">
        <v>300</v>
      </c>
      <c r="MX97" s="191"/>
      <c r="MY97" s="191"/>
      <c r="MZ97" s="191"/>
      <c r="NA97" s="191"/>
      <c r="NB97" s="191"/>
      <c r="NC97" s="191"/>
      <c r="ND97" s="191"/>
      <c r="NE97" s="191">
        <v>350</v>
      </c>
      <c r="NF97" s="191"/>
      <c r="NG97" s="191"/>
      <c r="NH97" s="191"/>
      <c r="NI97" s="191"/>
      <c r="NJ97" s="191"/>
      <c r="NK97" s="191">
        <v>250</v>
      </c>
      <c r="NL97" s="191"/>
      <c r="NM97" s="191"/>
      <c r="NN97" s="191"/>
      <c r="NO97" s="191"/>
      <c r="NP97" s="191"/>
      <c r="NQ97" s="191"/>
      <c r="NR97" s="191">
        <v>300</v>
      </c>
      <c r="NS97" s="191"/>
      <c r="NT97" s="191"/>
      <c r="NU97" s="191"/>
      <c r="NV97" s="191"/>
      <c r="NW97" s="192"/>
      <c r="NX97" s="190"/>
      <c r="NY97" s="191">
        <v>250</v>
      </c>
      <c r="NZ97" s="191"/>
      <c r="OA97" s="191"/>
      <c r="OB97" s="191"/>
      <c r="OC97" s="191"/>
      <c r="OD97" s="191"/>
      <c r="OE97" s="191"/>
      <c r="OF97" s="191">
        <v>350</v>
      </c>
      <c r="OG97" s="191"/>
      <c r="OH97" s="191"/>
      <c r="OI97" s="191"/>
      <c r="OJ97" s="191"/>
      <c r="OK97" s="191"/>
      <c r="OL97" s="191"/>
      <c r="OM97" s="191">
        <v>400</v>
      </c>
      <c r="ON97" s="191"/>
      <c r="OO97" s="191"/>
      <c r="OP97" s="191"/>
      <c r="OQ97" s="191"/>
      <c r="OR97" s="191"/>
      <c r="OS97" s="191"/>
      <c r="OT97" s="191"/>
      <c r="OU97" s="191"/>
      <c r="OV97" s="191"/>
      <c r="OW97" s="191"/>
      <c r="OX97" s="191"/>
      <c r="OY97" s="191"/>
      <c r="OZ97" s="191"/>
      <c r="PA97" s="191"/>
      <c r="PB97" s="193"/>
      <c r="PC97" s="47"/>
      <c r="PD97" s="154" t="s">
        <v>97</v>
      </c>
      <c r="PE97" s="155" t="s">
        <v>98</v>
      </c>
      <c r="PF97" s="155" t="s">
        <v>98</v>
      </c>
      <c r="PG97" s="155" t="s">
        <v>97</v>
      </c>
      <c r="PH97" s="155" t="s">
        <v>98</v>
      </c>
      <c r="PI97" s="155" t="s">
        <v>98</v>
      </c>
      <c r="PJ97" s="155" t="s">
        <v>98</v>
      </c>
      <c r="PK97" s="155" t="s">
        <v>98</v>
      </c>
      <c r="PL97" s="155" t="s">
        <v>98</v>
      </c>
      <c r="PM97" s="155" t="s">
        <v>98</v>
      </c>
      <c r="PN97" s="155" t="s">
        <v>98</v>
      </c>
      <c r="PO97" s="156"/>
      <c r="PP97" s="156"/>
      <c r="PQ97" s="156"/>
      <c r="PR97" s="156"/>
      <c r="PS97" s="156"/>
      <c r="PT97" s="156"/>
      <c r="PU97" s="156"/>
      <c r="PV97" s="156"/>
      <c r="PW97" s="156"/>
      <c r="PX97" s="195"/>
      <c r="PY97" s="1"/>
      <c r="PZ97" s="196">
        <f t="shared" si="73"/>
        <v>1160</v>
      </c>
      <c r="QA97" s="176">
        <f t="shared" si="74"/>
        <v>9.6771502460999415E-3</v>
      </c>
      <c r="QB97" s="177" t="str">
        <f t="shared" ca="1" si="75"/>
        <v>Attente…</v>
      </c>
      <c r="QC97" s="197">
        <f t="shared" si="76"/>
        <v>1250</v>
      </c>
      <c r="QD97" s="179">
        <f t="shared" si="77"/>
        <v>1.1704119850187267E-2</v>
      </c>
      <c r="QE97" s="180" t="str">
        <f t="shared" ca="1" si="78"/>
        <v>Attente…</v>
      </c>
      <c r="QF97" s="196">
        <f t="shared" si="79"/>
        <v>1450</v>
      </c>
      <c r="QG97" s="176">
        <f t="shared" si="80"/>
        <v>1.154642458990285E-2</v>
      </c>
      <c r="QH97" s="177" t="str">
        <f t="shared" ca="1" si="81"/>
        <v>Attente…</v>
      </c>
      <c r="QI97" s="197">
        <f t="shared" si="82"/>
        <v>1800</v>
      </c>
      <c r="QJ97" s="179">
        <f t="shared" si="83"/>
        <v>1.262449151353626E-2</v>
      </c>
      <c r="QK97" s="180" t="str">
        <f t="shared" ca="1" si="84"/>
        <v>Attente…</v>
      </c>
      <c r="QL97" s="196">
        <f t="shared" si="85"/>
        <v>1450</v>
      </c>
      <c r="QM97" s="176">
        <f t="shared" si="86"/>
        <v>1.060872110038045E-2</v>
      </c>
      <c r="QN97" s="177" t="str">
        <f t="shared" ca="1" si="87"/>
        <v>Attente…</v>
      </c>
      <c r="QO97" s="197">
        <f t="shared" si="88"/>
        <v>1200</v>
      </c>
      <c r="QP97" s="179">
        <f t="shared" si="89"/>
        <v>9.3948171925154617E-3</v>
      </c>
      <c r="QQ97" s="180" t="str">
        <f t="shared" ca="1" si="90"/>
        <v>Attente…</v>
      </c>
      <c r="QR97" s="196">
        <f t="shared" si="91"/>
        <v>1800</v>
      </c>
      <c r="QS97" s="176">
        <f t="shared" si="92"/>
        <v>1.2958496814369534E-2</v>
      </c>
      <c r="QT97" s="177" t="str">
        <f t="shared" ca="1" si="93"/>
        <v>Attente…</v>
      </c>
      <c r="QU97" s="197">
        <f t="shared" si="94"/>
        <v>1100</v>
      </c>
      <c r="QV97" s="179">
        <f t="shared" si="95"/>
        <v>7.5841147269718702E-3</v>
      </c>
      <c r="QW97" s="180" t="str">
        <f t="shared" ca="1" si="96"/>
        <v>Attente…</v>
      </c>
      <c r="QX97" s="196">
        <f t="shared" si="97"/>
        <v>1750</v>
      </c>
      <c r="QY97" s="176">
        <f t="shared" si="98"/>
        <v>1.277036691088473E-2</v>
      </c>
      <c r="QZ97" s="177" t="str">
        <f t="shared" ca="1" si="99"/>
        <v>Attente…</v>
      </c>
      <c r="RA97" s="197">
        <f t="shared" si="100"/>
        <v>1060</v>
      </c>
      <c r="RB97" s="179">
        <f t="shared" si="101"/>
        <v>8.2935607542445819E-3</v>
      </c>
      <c r="RC97" s="180" t="str">
        <f t="shared" ca="1" si="102"/>
        <v>Attente…</v>
      </c>
      <c r="RD97" s="196">
        <f t="shared" si="103"/>
        <v>1200</v>
      </c>
      <c r="RE97" s="176">
        <f t="shared" si="104"/>
        <v>1.1956954962136309E-2</v>
      </c>
      <c r="RF97" s="177" t="str">
        <f t="shared" ca="1" si="105"/>
        <v>Attente…</v>
      </c>
      <c r="RG97" s="197">
        <f t="shared" si="106"/>
        <v>1000</v>
      </c>
      <c r="RH97" s="179">
        <f t="shared" si="107"/>
        <v>1.8392495861688431E-2</v>
      </c>
      <c r="RI97" s="198" t="str">
        <f t="shared" ca="1" si="108"/>
        <v>Attente…</v>
      </c>
      <c r="RJ97" s="199">
        <f t="shared" si="109"/>
        <v>3860</v>
      </c>
      <c r="RK97" s="200" t="str">
        <f t="shared" ca="1" si="66"/>
        <v>Attente…</v>
      </c>
      <c r="RL97" s="199">
        <f t="shared" si="110"/>
        <v>4450</v>
      </c>
      <c r="RM97" s="200" t="str">
        <f t="shared" ca="1" si="111"/>
        <v>Atttente…</v>
      </c>
      <c r="RN97" s="199">
        <f t="shared" si="112"/>
        <v>4650</v>
      </c>
      <c r="RO97" s="200" t="str">
        <f t="shared" ca="1" si="67"/>
        <v>Attente…</v>
      </c>
      <c r="RP97" s="199">
        <f t="shared" si="113"/>
        <v>3260</v>
      </c>
      <c r="RQ97" s="200" t="str">
        <f t="shared" ca="1" si="68"/>
        <v>Attente…</v>
      </c>
      <c r="RR97" s="201">
        <f t="shared" si="114"/>
        <v>16220</v>
      </c>
      <c r="RS97" s="202" t="str">
        <f t="shared" ca="1" si="69"/>
        <v>Attente…</v>
      </c>
      <c r="RT97" s="103"/>
      <c r="RU97" s="203">
        <f t="shared" si="115"/>
        <v>0.82755102040816331</v>
      </c>
      <c r="RV97" s="204">
        <f t="shared" si="118"/>
        <v>2</v>
      </c>
      <c r="RW97" s="204">
        <f t="shared" si="118"/>
        <v>1</v>
      </c>
      <c r="RX97" s="204">
        <f t="shared" si="116"/>
        <v>49</v>
      </c>
      <c r="RY97" s="205" t="str">
        <f t="shared" si="117"/>
        <v>CAUDEBEC-LÈS-ELBEUF - 67 Rue de Strasbourg (Place de l'Assemblée)</v>
      </c>
      <c r="RZ97" s="189" t="str">
        <f>IF(OR(RZ96="",RZ96="  &lt;/Document&gt;
&lt;/kml&gt;"),"",
IF(B97="","  &lt;/Document&gt;
&lt;/kml&gt;",
IF(TournéesCAV!Q97=""," ",
"    &lt;Placemark&gt;
      &lt;description&gt;&lt;![CDATA["&amp;B97&amp;"&lt;br&gt;&lt;br&gt;"&amp;RV97&amp;" CAV&lt;br&gt;&lt;br&gt;Présent sur "&amp;RW97&amp;" tournée(s)&lt;br&gt;&lt;br&gt;Taux de remplissage moyen "&amp;TEXT(RU97*1000,"0 %")&amp;"]]&gt;&lt;/description&gt;
      &lt;Style&gt;
        &lt;IconStyle&gt;
          &lt;color&gt;ff"&amp;
          DEC2HEX(0,2)&amp;
          DEC2HEX(
            IF(RU97&lt;=0.5,
               INT(255*(RU97*2)),
               255
            ),2)&amp;
          DEC2HEX(
            IF(RU97&lt;=0.5,
               255,
               INT(255*(1-(RU97-0.5)*2))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&lt;Point&gt;&lt;coordinates&gt;"&amp;R97&amp;","&amp;Q97&amp;",0&lt;/coordinates&gt;&lt;/Point&gt;
    &lt;/Placemark&gt;"
)))</f>
        <v xml:space="preserve">    &lt;Placemark&gt;
      &lt;description&gt;&lt;![CDATA[CAUDEBEC-LÈS-ELBEUF - 67 Rue de Strasbourg (Place de l'Assemblée)&lt;br&gt;&lt;br&gt;2 CAV&lt;br&gt;&lt;br&gt;Présent sur 1 tournée(s)&lt;br&gt;&lt;br&gt;Taux de remplissage moyen 83%]]&gt;&lt;/description&gt;
      &lt;Style&gt;
        &lt;IconStyle&gt;
          &lt;color&gt;ff00FF57&lt;/color&gt;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&lt;Point&gt;&lt;coordinates&gt;1.0284224,49.2916303,0&lt;/coordinates&gt;&lt;/Point&gt;
    &lt;/Placemark&gt;</v>
      </c>
    </row>
    <row r="98" spans="2:494" ht="15" hidden="1" customHeight="1" x14ac:dyDescent="0.35">
      <c r="B98" s="153" t="str">
        <f t="shared" si="70"/>
        <v>SAINT-AUBIN-EPINAY - 127 Rue de l'Eglise (Parking de l'école)</v>
      </c>
      <c r="C98" s="154">
        <v>64</v>
      </c>
      <c r="D98" s="155"/>
      <c r="E98" s="155"/>
      <c r="F98" s="155"/>
      <c r="G98" s="155"/>
      <c r="H98" s="155"/>
      <c r="I98" s="155"/>
      <c r="J98" s="156"/>
      <c r="K98" s="157">
        <f t="shared" si="71"/>
        <v>1</v>
      </c>
      <c r="L98" s="157">
        <f t="shared" si="72"/>
        <v>1</v>
      </c>
      <c r="M98" s="158" t="s">
        <v>577</v>
      </c>
      <c r="N98" s="159" t="s">
        <v>322</v>
      </c>
      <c r="O98" s="159">
        <v>76160</v>
      </c>
      <c r="P98" s="159" t="s">
        <v>578</v>
      </c>
      <c r="Q98" s="159" t="s">
        <v>579</v>
      </c>
      <c r="R98" s="159" t="s">
        <v>580</v>
      </c>
      <c r="S98" s="159" t="s">
        <v>93</v>
      </c>
      <c r="T98" s="159" t="s">
        <v>94</v>
      </c>
      <c r="U98" s="159" t="s">
        <v>581</v>
      </c>
      <c r="V98" s="160" t="s">
        <v>96</v>
      </c>
      <c r="W98" s="161"/>
      <c r="X98" s="162"/>
      <c r="Y98" s="163"/>
      <c r="Z98" s="162"/>
      <c r="AA98" s="163"/>
      <c r="AB98" s="162"/>
      <c r="AC98" s="163"/>
      <c r="AD98" s="162"/>
      <c r="AE98" s="163">
        <v>12</v>
      </c>
      <c r="AF98" s="162"/>
      <c r="AG98" s="163"/>
      <c r="AH98" s="163"/>
      <c r="AI98" s="162"/>
      <c r="AJ98" s="163"/>
      <c r="AK98" s="162"/>
      <c r="AL98" s="163"/>
      <c r="AM98" s="162"/>
      <c r="AN98" s="163"/>
      <c r="AO98" s="162"/>
      <c r="AP98" s="164"/>
      <c r="AQ98" s="164"/>
      <c r="AR98" s="164"/>
      <c r="AS98" s="164"/>
      <c r="AT98" s="164"/>
      <c r="AU98" s="164"/>
      <c r="AV98" s="164"/>
      <c r="AW98" s="164"/>
      <c r="AX98" s="164"/>
      <c r="AY98" s="165"/>
      <c r="AZ98" s="41"/>
      <c r="BA98" s="190"/>
      <c r="BB98" s="191"/>
      <c r="BC98" s="191">
        <v>200</v>
      </c>
      <c r="BD98" s="191"/>
      <c r="BE98" s="191"/>
      <c r="BF98" s="191"/>
      <c r="BG98" s="191"/>
      <c r="BH98" s="191"/>
      <c r="BI98" s="191"/>
      <c r="BJ98" s="191">
        <v>150</v>
      </c>
      <c r="BK98" s="191"/>
      <c r="BL98" s="191"/>
      <c r="BM98" s="191"/>
      <c r="BN98" s="191"/>
      <c r="BO98" s="191"/>
      <c r="BP98" s="191"/>
      <c r="BQ98" s="191"/>
      <c r="BR98" s="191"/>
      <c r="BS98" s="191"/>
      <c r="BT98" s="191"/>
      <c r="BU98" s="191"/>
      <c r="BV98" s="191"/>
      <c r="BW98" s="191"/>
      <c r="BX98" s="191">
        <v>200</v>
      </c>
      <c r="BY98" s="191"/>
      <c r="BZ98" s="191"/>
      <c r="CA98" s="191"/>
      <c r="CB98" s="191"/>
      <c r="CC98" s="191"/>
      <c r="CD98" s="191"/>
      <c r="CE98" s="192">
        <v>50</v>
      </c>
      <c r="CF98" s="190"/>
      <c r="CG98" s="191"/>
      <c r="CH98" s="191"/>
      <c r="CI98" s="191"/>
      <c r="CJ98" s="191"/>
      <c r="CK98" s="191"/>
      <c r="CL98" s="191">
        <v>150</v>
      </c>
      <c r="CM98" s="191"/>
      <c r="CN98" s="191"/>
      <c r="CO98" s="191"/>
      <c r="CP98" s="191"/>
      <c r="CQ98" s="191"/>
      <c r="CR98" s="191"/>
      <c r="CS98" s="191">
        <v>150</v>
      </c>
      <c r="CT98" s="191"/>
      <c r="CU98" s="191"/>
      <c r="CV98" s="191"/>
      <c r="CW98" s="191"/>
      <c r="CX98" s="191"/>
      <c r="CY98" s="191"/>
      <c r="CZ98" s="191">
        <v>150</v>
      </c>
      <c r="DA98" s="191"/>
      <c r="DB98" s="191"/>
      <c r="DC98" s="191"/>
      <c r="DD98" s="191"/>
      <c r="DE98" s="191"/>
      <c r="DF98" s="191"/>
      <c r="DG98" s="191"/>
      <c r="DH98" s="193"/>
      <c r="DI98" s="194"/>
      <c r="DJ98" s="191"/>
      <c r="DK98" s="191"/>
      <c r="DL98" s="191"/>
      <c r="DM98" s="191"/>
      <c r="DN98" s="191"/>
      <c r="DO98" s="191">
        <v>100</v>
      </c>
      <c r="DP98" s="191"/>
      <c r="DQ98" s="191"/>
      <c r="DR98" s="191"/>
      <c r="DS98" s="191"/>
      <c r="DT98" s="191"/>
      <c r="DU98" s="191"/>
      <c r="DV98" s="191">
        <v>100</v>
      </c>
      <c r="DW98" s="191"/>
      <c r="DX98" s="191"/>
      <c r="DY98" s="191"/>
      <c r="DZ98" s="191"/>
      <c r="EA98" s="191"/>
      <c r="EB98" s="191"/>
      <c r="EC98" s="191">
        <v>150</v>
      </c>
      <c r="ED98" s="191"/>
      <c r="EE98" s="191"/>
      <c r="EF98" s="191"/>
      <c r="EG98" s="191"/>
      <c r="EH98" s="191"/>
      <c r="EI98" s="191"/>
      <c r="EJ98" s="191">
        <v>50</v>
      </c>
      <c r="EK98" s="191"/>
      <c r="EL98" s="191"/>
      <c r="EM98" s="192"/>
      <c r="EN98" s="190"/>
      <c r="EO98" s="191"/>
      <c r="EP98" s="191"/>
      <c r="EQ98" s="191">
        <v>50</v>
      </c>
      <c r="ER98" s="191"/>
      <c r="ES98" s="191"/>
      <c r="ET98" s="191"/>
      <c r="EU98" s="191"/>
      <c r="EV98" s="191"/>
      <c r="EW98" s="191"/>
      <c r="EX98" s="191">
        <v>150</v>
      </c>
      <c r="EY98" s="191"/>
      <c r="EZ98" s="191"/>
      <c r="FA98" s="191"/>
      <c r="FB98" s="191"/>
      <c r="FC98" s="191"/>
      <c r="FD98" s="191"/>
      <c r="FE98" s="191">
        <v>50</v>
      </c>
      <c r="FF98" s="191"/>
      <c r="FG98" s="191"/>
      <c r="FH98" s="191"/>
      <c r="FI98" s="191"/>
      <c r="FJ98" s="191"/>
      <c r="FK98" s="191"/>
      <c r="FL98" s="191">
        <v>50</v>
      </c>
      <c r="FM98" s="191"/>
      <c r="FN98" s="191"/>
      <c r="FO98" s="191"/>
      <c r="FP98" s="191"/>
      <c r="FQ98" s="193"/>
      <c r="FR98" s="194"/>
      <c r="FS98" s="191">
        <v>150</v>
      </c>
      <c r="FT98" s="191"/>
      <c r="FU98" s="191"/>
      <c r="FV98" s="191"/>
      <c r="FW98" s="191"/>
      <c r="FX98" s="191"/>
      <c r="FY98" s="191"/>
      <c r="FZ98" s="191"/>
      <c r="GA98" s="191"/>
      <c r="GB98" s="191"/>
      <c r="GC98" s="191"/>
      <c r="GD98" s="191"/>
      <c r="GE98" s="191"/>
      <c r="GF98" s="191"/>
      <c r="GG98" s="191">
        <v>50</v>
      </c>
      <c r="GH98" s="191"/>
      <c r="GI98" s="191"/>
      <c r="GJ98" s="191"/>
      <c r="GK98" s="191"/>
      <c r="GL98" s="191"/>
      <c r="GM98" s="191"/>
      <c r="GN98" s="191">
        <v>100</v>
      </c>
      <c r="GO98" s="191"/>
      <c r="GP98" s="191"/>
      <c r="GQ98" s="191"/>
      <c r="GR98" s="191"/>
      <c r="GS98" s="191"/>
      <c r="GT98" s="191"/>
      <c r="GU98" s="191">
        <v>100</v>
      </c>
      <c r="GV98" s="192"/>
      <c r="GW98" s="190"/>
      <c r="GX98" s="191"/>
      <c r="GY98" s="191"/>
      <c r="GZ98" s="191"/>
      <c r="HA98" s="191"/>
      <c r="HB98" s="191">
        <v>50</v>
      </c>
      <c r="HC98" s="191"/>
      <c r="HD98" s="191"/>
      <c r="HE98" s="191"/>
      <c r="HF98" s="191"/>
      <c r="HG98" s="191"/>
      <c r="HH98" s="191"/>
      <c r="HI98" s="191">
        <v>100</v>
      </c>
      <c r="HJ98" s="191"/>
      <c r="HK98" s="191"/>
      <c r="HL98" s="191"/>
      <c r="HM98" s="191"/>
      <c r="HN98" s="191"/>
      <c r="HO98" s="191"/>
      <c r="HP98" s="191">
        <v>200</v>
      </c>
      <c r="HQ98" s="191"/>
      <c r="HR98" s="191"/>
      <c r="HS98" s="191"/>
      <c r="HT98" s="191"/>
      <c r="HU98" s="191"/>
      <c r="HV98" s="191"/>
      <c r="HW98" s="191">
        <v>100</v>
      </c>
      <c r="HX98" s="191"/>
      <c r="HY98" s="191"/>
      <c r="HZ98" s="193"/>
      <c r="IA98" s="194"/>
      <c r="IB98" s="191"/>
      <c r="IC98" s="191"/>
      <c r="ID98" s="191">
        <v>100</v>
      </c>
      <c r="IE98" s="191"/>
      <c r="IF98" s="191"/>
      <c r="IG98" s="191"/>
      <c r="IH98" s="191"/>
      <c r="II98" s="191"/>
      <c r="IJ98" s="191"/>
      <c r="IK98" s="191">
        <v>50</v>
      </c>
      <c r="IL98" s="191"/>
      <c r="IM98" s="191"/>
      <c r="IN98" s="191"/>
      <c r="IO98" s="191"/>
      <c r="IP98" s="191"/>
      <c r="IQ98" s="191"/>
      <c r="IR98" s="191">
        <v>50</v>
      </c>
      <c r="IS98" s="191"/>
      <c r="IT98" s="191"/>
      <c r="IU98" s="191"/>
      <c r="IV98" s="191"/>
      <c r="IW98" s="191"/>
      <c r="IX98" s="191"/>
      <c r="IY98" s="191">
        <v>150</v>
      </c>
      <c r="IZ98" s="191"/>
      <c r="JA98" s="191"/>
      <c r="JB98" s="191"/>
      <c r="JC98" s="191"/>
      <c r="JD98" s="191"/>
      <c r="JE98" s="192"/>
      <c r="JF98" s="190">
        <v>150</v>
      </c>
      <c r="JG98" s="191"/>
      <c r="JH98" s="191"/>
      <c r="JI98" s="191"/>
      <c r="JJ98" s="191"/>
      <c r="JK98" s="191"/>
      <c r="JL98" s="191"/>
      <c r="JM98" s="191">
        <v>100</v>
      </c>
      <c r="JN98" s="191"/>
      <c r="JO98" s="191"/>
      <c r="JP98" s="191"/>
      <c r="JQ98" s="191"/>
      <c r="JR98" s="191"/>
      <c r="JS98" s="191"/>
      <c r="JT98" s="191">
        <v>100</v>
      </c>
      <c r="JU98" s="191"/>
      <c r="JV98" s="191"/>
      <c r="JW98" s="191"/>
      <c r="JX98" s="191"/>
      <c r="JY98" s="191"/>
      <c r="JZ98" s="191">
        <v>200</v>
      </c>
      <c r="KA98" s="191"/>
      <c r="KB98" s="191"/>
      <c r="KC98" s="191"/>
      <c r="KD98" s="191"/>
      <c r="KE98" s="191"/>
      <c r="KF98" s="191"/>
      <c r="KG98" s="191"/>
      <c r="KH98" s="191">
        <v>150</v>
      </c>
      <c r="KI98" s="191"/>
      <c r="KJ98" s="193"/>
      <c r="KK98" s="194"/>
      <c r="KL98" s="191"/>
      <c r="KM98" s="191"/>
      <c r="KN98" s="191"/>
      <c r="KO98" s="191">
        <v>150</v>
      </c>
      <c r="KP98" s="191"/>
      <c r="KQ98" s="191"/>
      <c r="KR98" s="191"/>
      <c r="KS98" s="191"/>
      <c r="KT98" s="191"/>
      <c r="KU98" s="191"/>
      <c r="KV98" s="191">
        <v>50</v>
      </c>
      <c r="KW98" s="191"/>
      <c r="KX98" s="191"/>
      <c r="KY98" s="191"/>
      <c r="KZ98" s="191"/>
      <c r="LA98" s="191"/>
      <c r="LB98" s="191"/>
      <c r="LC98" s="191">
        <v>100</v>
      </c>
      <c r="LD98" s="191"/>
      <c r="LE98" s="191"/>
      <c r="LF98" s="191"/>
      <c r="LG98" s="191"/>
      <c r="LH98" s="191"/>
      <c r="LI98" s="191"/>
      <c r="LJ98" s="191">
        <v>200</v>
      </c>
      <c r="LK98" s="191"/>
      <c r="LL98" s="191"/>
      <c r="LM98" s="191"/>
      <c r="LN98" s="192"/>
      <c r="LO98" s="190"/>
      <c r="LP98" s="191"/>
      <c r="LQ98" s="191">
        <v>100</v>
      </c>
      <c r="LR98" s="191"/>
      <c r="LS98" s="191"/>
      <c r="LT98" s="191"/>
      <c r="LU98" s="191"/>
      <c r="LV98" s="191"/>
      <c r="LW98" s="191"/>
      <c r="LX98" s="191">
        <v>10</v>
      </c>
      <c r="LY98" s="191"/>
      <c r="LZ98" s="191"/>
      <c r="MA98" s="191"/>
      <c r="MB98" s="191"/>
      <c r="MC98" s="191"/>
      <c r="MD98" s="191"/>
      <c r="ME98" s="191">
        <v>100</v>
      </c>
      <c r="MF98" s="191"/>
      <c r="MG98" s="191"/>
      <c r="MH98" s="191"/>
      <c r="MI98" s="191"/>
      <c r="MJ98" s="191"/>
      <c r="MK98" s="191"/>
      <c r="ML98" s="191">
        <v>100</v>
      </c>
      <c r="MM98" s="191"/>
      <c r="MN98" s="191"/>
      <c r="MO98" s="191"/>
      <c r="MP98" s="191"/>
      <c r="MQ98" s="191"/>
      <c r="MR98" s="191"/>
      <c r="MS98" s="193">
        <v>100</v>
      </c>
      <c r="MT98" s="194"/>
      <c r="MU98" s="191"/>
      <c r="MV98" s="191"/>
      <c r="MW98" s="191"/>
      <c r="MX98" s="191"/>
      <c r="MY98" s="191"/>
      <c r="MZ98" s="191">
        <v>50</v>
      </c>
      <c r="NA98" s="191"/>
      <c r="NB98" s="191"/>
      <c r="NC98" s="191"/>
      <c r="ND98" s="191"/>
      <c r="NE98" s="191"/>
      <c r="NF98" s="191"/>
      <c r="NG98" s="191">
        <v>50</v>
      </c>
      <c r="NH98" s="191"/>
      <c r="NI98" s="191"/>
      <c r="NJ98" s="191"/>
      <c r="NK98" s="191"/>
      <c r="NL98" s="191"/>
      <c r="NM98" s="191"/>
      <c r="NN98" s="191">
        <v>50</v>
      </c>
      <c r="NO98" s="191"/>
      <c r="NP98" s="191"/>
      <c r="NQ98" s="191"/>
      <c r="NR98" s="191"/>
      <c r="NS98" s="191"/>
      <c r="NT98" s="191"/>
      <c r="NU98" s="191">
        <v>50</v>
      </c>
      <c r="NV98" s="191"/>
      <c r="NW98" s="192"/>
      <c r="NX98" s="190"/>
      <c r="NY98" s="191"/>
      <c r="NZ98" s="191"/>
      <c r="OA98" s="191"/>
      <c r="OB98" s="191">
        <v>50</v>
      </c>
      <c r="OC98" s="191"/>
      <c r="OD98" s="191"/>
      <c r="OE98" s="191"/>
      <c r="OF98" s="191"/>
      <c r="OG98" s="191"/>
      <c r="OH98" s="191"/>
      <c r="OI98" s="191">
        <v>100</v>
      </c>
      <c r="OJ98" s="191"/>
      <c r="OK98" s="191"/>
      <c r="OL98" s="191"/>
      <c r="OM98" s="191"/>
      <c r="ON98" s="191"/>
      <c r="OO98" s="191"/>
      <c r="OP98" s="191"/>
      <c r="OQ98" s="191"/>
      <c r="OR98" s="191"/>
      <c r="OS98" s="191"/>
      <c r="OT98" s="191"/>
      <c r="OU98" s="191"/>
      <c r="OV98" s="191"/>
      <c r="OW98" s="191"/>
      <c r="OX98" s="191"/>
      <c r="OY98" s="191"/>
      <c r="OZ98" s="191"/>
      <c r="PA98" s="191"/>
      <c r="PB98" s="193"/>
      <c r="PC98" s="47"/>
      <c r="PD98" s="154" t="s">
        <v>97</v>
      </c>
      <c r="PE98" s="155" t="s">
        <v>98</v>
      </c>
      <c r="PF98" s="155" t="s">
        <v>98</v>
      </c>
      <c r="PG98" s="155" t="s">
        <v>98</v>
      </c>
      <c r="PH98" s="155" t="s">
        <v>98</v>
      </c>
      <c r="PI98" s="155" t="s">
        <v>98</v>
      </c>
      <c r="PJ98" s="155" t="s">
        <v>98</v>
      </c>
      <c r="PK98" s="155" t="s">
        <v>98</v>
      </c>
      <c r="PL98" s="155" t="s">
        <v>98</v>
      </c>
      <c r="PM98" s="155" t="s">
        <v>98</v>
      </c>
      <c r="PN98" s="155" t="s">
        <v>98</v>
      </c>
      <c r="PO98" s="156"/>
      <c r="PP98" s="156"/>
      <c r="PQ98" s="156"/>
      <c r="PR98" s="156"/>
      <c r="PS98" s="156"/>
      <c r="PT98" s="156"/>
      <c r="PU98" s="156"/>
      <c r="PV98" s="156"/>
      <c r="PW98" s="156"/>
      <c r="PX98" s="195"/>
      <c r="PY98" s="1"/>
      <c r="PZ98" s="196">
        <f t="shared" si="73"/>
        <v>600</v>
      </c>
      <c r="QA98" s="176">
        <f t="shared" si="74"/>
        <v>5.0054225410861766E-3</v>
      </c>
      <c r="QB98" s="177" t="str">
        <f t="shared" ca="1" si="75"/>
        <v>Attente…</v>
      </c>
      <c r="QC98" s="197">
        <f t="shared" si="76"/>
        <v>450</v>
      </c>
      <c r="QD98" s="179">
        <f t="shared" si="77"/>
        <v>4.2134831460674156E-3</v>
      </c>
      <c r="QE98" s="180" t="str">
        <f t="shared" ca="1" si="78"/>
        <v>Attente…</v>
      </c>
      <c r="QF98" s="196">
        <f t="shared" si="79"/>
        <v>400</v>
      </c>
      <c r="QG98" s="176">
        <f t="shared" si="80"/>
        <v>3.1852205765249245E-3</v>
      </c>
      <c r="QH98" s="177" t="str">
        <f t="shared" ca="1" si="81"/>
        <v>Attente…</v>
      </c>
      <c r="QI98" s="197">
        <f t="shared" si="82"/>
        <v>300</v>
      </c>
      <c r="QJ98" s="179">
        <f t="shared" si="83"/>
        <v>2.1040819189227099E-3</v>
      </c>
      <c r="QK98" s="180" t="str">
        <f t="shared" ca="1" si="84"/>
        <v>Attente…</v>
      </c>
      <c r="QL98" s="196">
        <f t="shared" si="85"/>
        <v>400</v>
      </c>
      <c r="QM98" s="176">
        <f t="shared" si="86"/>
        <v>2.9265437518290896E-3</v>
      </c>
      <c r="QN98" s="177" t="str">
        <f t="shared" ca="1" si="87"/>
        <v>Attente…</v>
      </c>
      <c r="QO98" s="197">
        <f t="shared" si="88"/>
        <v>450</v>
      </c>
      <c r="QP98" s="179">
        <f t="shared" si="89"/>
        <v>3.5230564471932986E-3</v>
      </c>
      <c r="QQ98" s="180" t="str">
        <f t="shared" ca="1" si="90"/>
        <v>Attente…</v>
      </c>
      <c r="QR98" s="196">
        <f t="shared" si="91"/>
        <v>350</v>
      </c>
      <c r="QS98" s="176">
        <f t="shared" si="92"/>
        <v>2.5197077139051871E-3</v>
      </c>
      <c r="QT98" s="177" t="str">
        <f t="shared" ca="1" si="93"/>
        <v>Attente…</v>
      </c>
      <c r="QU98" s="197">
        <f t="shared" si="94"/>
        <v>700</v>
      </c>
      <c r="QV98" s="179">
        <f t="shared" si="95"/>
        <v>4.8262548262548262E-3</v>
      </c>
      <c r="QW98" s="180" t="str">
        <f t="shared" ca="1" si="96"/>
        <v>Attente…</v>
      </c>
      <c r="QX98" s="196">
        <f t="shared" si="97"/>
        <v>500</v>
      </c>
      <c r="QY98" s="176">
        <f t="shared" si="98"/>
        <v>3.6486762602527803E-3</v>
      </c>
      <c r="QZ98" s="177" t="str">
        <f t="shared" ca="1" si="99"/>
        <v>Attente…</v>
      </c>
      <c r="RA98" s="197">
        <f t="shared" si="100"/>
        <v>410</v>
      </c>
      <c r="RB98" s="179">
        <f t="shared" si="101"/>
        <v>3.2078867068304514E-3</v>
      </c>
      <c r="RC98" s="180" t="str">
        <f t="shared" ca="1" si="102"/>
        <v>Attente…</v>
      </c>
      <c r="RD98" s="196">
        <f t="shared" si="103"/>
        <v>200</v>
      </c>
      <c r="RE98" s="176">
        <f t="shared" si="104"/>
        <v>1.9928258270227183E-3</v>
      </c>
      <c r="RF98" s="177" t="str">
        <f t="shared" ca="1" si="105"/>
        <v>Attente…</v>
      </c>
      <c r="RG98" s="197">
        <f t="shared" si="106"/>
        <v>150</v>
      </c>
      <c r="RH98" s="179">
        <f t="shared" si="107"/>
        <v>2.7588743792532648E-3</v>
      </c>
      <c r="RI98" s="198" t="str">
        <f t="shared" ca="1" si="108"/>
        <v>Attente…</v>
      </c>
      <c r="RJ98" s="199">
        <f t="shared" si="109"/>
        <v>1450</v>
      </c>
      <c r="RK98" s="200" t="str">
        <f t="shared" ca="1" si="66"/>
        <v>Attente…</v>
      </c>
      <c r="RL98" s="199">
        <f t="shared" si="110"/>
        <v>1150</v>
      </c>
      <c r="RM98" s="200" t="str">
        <f t="shared" ca="1" si="111"/>
        <v>Atttente…</v>
      </c>
      <c r="RN98" s="199">
        <f t="shared" si="112"/>
        <v>1550</v>
      </c>
      <c r="RO98" s="200" t="str">
        <f t="shared" ca="1" si="67"/>
        <v>Attente…</v>
      </c>
      <c r="RP98" s="199">
        <f t="shared" si="113"/>
        <v>760</v>
      </c>
      <c r="RQ98" s="200" t="str">
        <f t="shared" ca="1" si="68"/>
        <v>Attente…</v>
      </c>
      <c r="RR98" s="201">
        <f t="shared" si="114"/>
        <v>4910</v>
      </c>
      <c r="RS98" s="202" t="str">
        <f t="shared" ca="1" si="69"/>
        <v>Attente…</v>
      </c>
      <c r="RT98" s="103"/>
      <c r="RU98" s="203">
        <f t="shared" si="115"/>
        <v>0.52234042553191484</v>
      </c>
      <c r="RV98" s="204">
        <f t="shared" si="118"/>
        <v>1</v>
      </c>
      <c r="RW98" s="204">
        <f t="shared" si="118"/>
        <v>1</v>
      </c>
      <c r="RX98" s="204">
        <f t="shared" si="116"/>
        <v>47</v>
      </c>
      <c r="RY98" s="205" t="str">
        <f t="shared" si="117"/>
        <v>SAINT-AUBIN-EPINAY - 127 Rue de l'Eglise (Parking de l'école)</v>
      </c>
      <c r="RZ98" s="189" t="str">
        <f>IF(OR(RZ97="",RZ97="  &lt;/Document&gt;
&lt;/kml&gt;"),"",
IF(B98="","  &lt;/Document&gt;
&lt;/kml&gt;",
IF(TournéesCAV!Q80=""," ",
"    &lt;Placemark&gt;
      &lt;description&gt;&lt;![CDATA["&amp;B98&amp;"&lt;br&gt;&lt;br&gt;"&amp;RV98&amp;" CAV&lt;br&gt;&lt;br&gt;Présent sur "&amp;RW98&amp;" tournée(s)&lt;br&gt;&lt;br&gt;Taux de remplissage moyen "&amp;TEXT(RU98*1000,"0 %")&amp;"]]&gt;&lt;/description&gt;
      &lt;Style&gt;
        &lt;IconStyle&gt;
          &lt;color&gt;ff"&amp;
          DEC2HEX(0,2)&amp;
          DEC2HEX(
            IF(RU98&lt;=0.5,
               INT(255*(RU98*2)),
               255
            ),2)&amp;
          DEC2HEX(
            IF(RU98&lt;=0.5,
               255,
               INT(255*(1-(RU98-0.5)*2))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&lt;Point&gt;&lt;coordinates&gt;"&amp;R98&amp;","&amp;Q98&amp;",0&lt;/coordinates&gt;&lt;/Point&gt;
    &lt;/Placemark&gt;"
)))</f>
        <v xml:space="preserve">    &lt;Placemark&gt;
      &lt;description&gt;&lt;![CDATA[SAINT-AUBIN-EPINAY - 127 Rue de l'Eglise (Parking de l'école)&lt;br&gt;&lt;br&gt;1 CAV&lt;br&gt;&lt;br&gt;Présent sur 1 tournée(s)&lt;br&gt;&lt;br&gt;Taux de remplissage moyen 52%]]&gt;&lt;/description&gt;
      &lt;Style&gt;
        &lt;IconStyle&gt;
          &lt;color&gt;ff00FFF3&lt;/color&gt;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&lt;Point&gt;&lt;coordinates&gt;1.1770492,49.4217741,0&lt;/coordinates&gt;&lt;/Point&gt;
    &lt;/Placemark&gt;</v>
      </c>
    </row>
    <row r="99" spans="2:494" ht="15" hidden="1" customHeight="1" x14ac:dyDescent="0.35">
      <c r="B99" s="153" t="str">
        <f t="shared" si="70"/>
        <v>SAINT-JACQUES-SUR-DARNÉTAL - 35 Rue de Verdun (Entre la Mairie et l'Eglise)</v>
      </c>
      <c r="C99" s="154">
        <v>53</v>
      </c>
      <c r="D99" s="155"/>
      <c r="E99" s="155"/>
      <c r="F99" s="155"/>
      <c r="G99" s="155"/>
      <c r="H99" s="155"/>
      <c r="I99" s="155"/>
      <c r="J99" s="156"/>
      <c r="K99" s="157">
        <f t="shared" si="71"/>
        <v>1</v>
      </c>
      <c r="L99" s="157">
        <f t="shared" si="72"/>
        <v>2</v>
      </c>
      <c r="M99" s="158" t="s">
        <v>582</v>
      </c>
      <c r="N99" s="159" t="s">
        <v>583</v>
      </c>
      <c r="O99" s="159">
        <v>76160</v>
      </c>
      <c r="P99" s="159" t="s">
        <v>584</v>
      </c>
      <c r="Q99" s="159" t="s">
        <v>585</v>
      </c>
      <c r="R99" s="159" t="s">
        <v>586</v>
      </c>
      <c r="S99" s="159" t="s">
        <v>93</v>
      </c>
      <c r="T99" s="159" t="s">
        <v>94</v>
      </c>
      <c r="U99" s="159" t="s">
        <v>587</v>
      </c>
      <c r="V99" s="160" t="s">
        <v>96</v>
      </c>
      <c r="W99" s="161"/>
      <c r="X99" s="162"/>
      <c r="Y99" s="163"/>
      <c r="Z99" s="162"/>
      <c r="AA99" s="163"/>
      <c r="AB99" s="162"/>
      <c r="AC99" s="163"/>
      <c r="AD99" s="162">
        <v>12</v>
      </c>
      <c r="AE99" s="163">
        <v>13</v>
      </c>
      <c r="AF99" s="162"/>
      <c r="AG99" s="163"/>
      <c r="AH99" s="163"/>
      <c r="AI99" s="162"/>
      <c r="AJ99" s="163"/>
      <c r="AK99" s="162"/>
      <c r="AL99" s="163"/>
      <c r="AM99" s="162"/>
      <c r="AN99" s="163"/>
      <c r="AO99" s="162"/>
      <c r="AP99" s="164"/>
      <c r="AQ99" s="164"/>
      <c r="AR99" s="164"/>
      <c r="AS99" s="164"/>
      <c r="AT99" s="164"/>
      <c r="AU99" s="164"/>
      <c r="AV99" s="164"/>
      <c r="AW99" s="164"/>
      <c r="AX99" s="164"/>
      <c r="AY99" s="165"/>
      <c r="AZ99" s="41"/>
      <c r="BA99" s="190"/>
      <c r="BB99" s="191"/>
      <c r="BC99" s="191">
        <v>150</v>
      </c>
      <c r="BD99" s="191"/>
      <c r="BE99" s="191"/>
      <c r="BF99" s="191"/>
      <c r="BG99" s="191"/>
      <c r="BH99" s="191"/>
      <c r="BI99" s="191"/>
      <c r="BJ99" s="191">
        <v>200</v>
      </c>
      <c r="BK99" s="191"/>
      <c r="BL99" s="191"/>
      <c r="BM99" s="191">
        <v>100</v>
      </c>
      <c r="BN99" s="191"/>
      <c r="BO99" s="191"/>
      <c r="BP99" s="191"/>
      <c r="BQ99" s="191"/>
      <c r="BR99" s="191"/>
      <c r="BS99" s="191"/>
      <c r="BT99" s="191">
        <v>200</v>
      </c>
      <c r="BU99" s="191"/>
      <c r="BV99" s="191"/>
      <c r="BW99" s="191"/>
      <c r="BX99" s="191">
        <v>200</v>
      </c>
      <c r="BY99" s="191"/>
      <c r="BZ99" s="191"/>
      <c r="CA99" s="191">
        <v>50</v>
      </c>
      <c r="CB99" s="191"/>
      <c r="CC99" s="191"/>
      <c r="CD99" s="191"/>
      <c r="CE99" s="192">
        <v>100</v>
      </c>
      <c r="CF99" s="190"/>
      <c r="CG99" s="191"/>
      <c r="CH99" s="191">
        <v>50</v>
      </c>
      <c r="CI99" s="191"/>
      <c r="CJ99" s="191"/>
      <c r="CK99" s="191"/>
      <c r="CL99" s="191">
        <v>100</v>
      </c>
      <c r="CM99" s="191"/>
      <c r="CN99" s="191"/>
      <c r="CO99" s="191">
        <v>100</v>
      </c>
      <c r="CP99" s="191"/>
      <c r="CQ99" s="191"/>
      <c r="CR99" s="191"/>
      <c r="CS99" s="191">
        <v>100</v>
      </c>
      <c r="CT99" s="191"/>
      <c r="CU99" s="191"/>
      <c r="CV99" s="191">
        <v>100</v>
      </c>
      <c r="CW99" s="191"/>
      <c r="CX99" s="191"/>
      <c r="CY99" s="191"/>
      <c r="CZ99" s="191">
        <v>200</v>
      </c>
      <c r="DA99" s="191"/>
      <c r="DB99" s="191"/>
      <c r="DC99" s="191">
        <v>10</v>
      </c>
      <c r="DD99" s="191"/>
      <c r="DE99" s="191"/>
      <c r="DF99" s="191"/>
      <c r="DG99" s="191"/>
      <c r="DH99" s="193"/>
      <c r="DI99" s="194"/>
      <c r="DJ99" s="191"/>
      <c r="DK99" s="191">
        <v>150</v>
      </c>
      <c r="DL99" s="191"/>
      <c r="DM99" s="191"/>
      <c r="DN99" s="191"/>
      <c r="DO99" s="191">
        <v>150</v>
      </c>
      <c r="DP99" s="191"/>
      <c r="DQ99" s="191"/>
      <c r="DR99" s="191">
        <v>100</v>
      </c>
      <c r="DS99" s="191"/>
      <c r="DT99" s="191"/>
      <c r="DU99" s="191"/>
      <c r="DV99" s="191">
        <v>150</v>
      </c>
      <c r="DW99" s="191"/>
      <c r="DX99" s="191"/>
      <c r="DY99" s="191">
        <v>100</v>
      </c>
      <c r="DZ99" s="191"/>
      <c r="EA99" s="191"/>
      <c r="EB99" s="191"/>
      <c r="EC99" s="191">
        <v>50</v>
      </c>
      <c r="ED99" s="191"/>
      <c r="EE99" s="191"/>
      <c r="EF99" s="191">
        <v>100</v>
      </c>
      <c r="EG99" s="191"/>
      <c r="EH99" s="191"/>
      <c r="EI99" s="191"/>
      <c r="EJ99" s="191">
        <v>100</v>
      </c>
      <c r="EK99" s="191"/>
      <c r="EL99" s="191"/>
      <c r="EM99" s="192">
        <v>150</v>
      </c>
      <c r="EN99" s="190"/>
      <c r="EO99" s="191"/>
      <c r="EP99" s="191"/>
      <c r="EQ99" s="191">
        <v>150</v>
      </c>
      <c r="ER99" s="191"/>
      <c r="ES99" s="191"/>
      <c r="ET99" s="191">
        <v>200</v>
      </c>
      <c r="EU99" s="191"/>
      <c r="EV99" s="191"/>
      <c r="EW99" s="191"/>
      <c r="EX99" s="191">
        <v>150</v>
      </c>
      <c r="EY99" s="191"/>
      <c r="EZ99" s="191"/>
      <c r="FA99" s="191">
        <v>150</v>
      </c>
      <c r="FB99" s="191"/>
      <c r="FC99" s="191"/>
      <c r="FD99" s="191"/>
      <c r="FE99" s="191">
        <v>200</v>
      </c>
      <c r="FF99" s="191"/>
      <c r="FG99" s="191"/>
      <c r="FH99" s="191"/>
      <c r="FI99" s="191">
        <v>150</v>
      </c>
      <c r="FJ99" s="191"/>
      <c r="FK99" s="191"/>
      <c r="FL99" s="191">
        <v>100</v>
      </c>
      <c r="FM99" s="191"/>
      <c r="FN99" s="191"/>
      <c r="FO99" s="191">
        <v>200</v>
      </c>
      <c r="FP99" s="191"/>
      <c r="FQ99" s="193"/>
      <c r="FR99" s="194"/>
      <c r="FS99" s="191">
        <v>200</v>
      </c>
      <c r="FT99" s="191"/>
      <c r="FU99" s="191"/>
      <c r="FV99" s="191">
        <v>200</v>
      </c>
      <c r="FW99" s="191"/>
      <c r="FX99" s="191"/>
      <c r="FY99" s="191"/>
      <c r="FZ99" s="191"/>
      <c r="GA99" s="191"/>
      <c r="GB99" s="191"/>
      <c r="GC99" s="191">
        <v>150</v>
      </c>
      <c r="GD99" s="191"/>
      <c r="GE99" s="191"/>
      <c r="GF99" s="191"/>
      <c r="GG99" s="191">
        <v>100</v>
      </c>
      <c r="GH99" s="191"/>
      <c r="GI99" s="191"/>
      <c r="GJ99" s="191">
        <v>150</v>
      </c>
      <c r="GK99" s="191"/>
      <c r="GL99" s="191"/>
      <c r="GM99" s="191"/>
      <c r="GN99" s="191">
        <v>100</v>
      </c>
      <c r="GO99" s="191"/>
      <c r="GP99" s="191"/>
      <c r="GQ99" s="191">
        <v>200</v>
      </c>
      <c r="GR99" s="191"/>
      <c r="GS99" s="191"/>
      <c r="GT99" s="191"/>
      <c r="GU99" s="191">
        <v>150</v>
      </c>
      <c r="GV99" s="192"/>
      <c r="GW99" s="190"/>
      <c r="GX99" s="191">
        <v>100</v>
      </c>
      <c r="GY99" s="191"/>
      <c r="GZ99" s="191"/>
      <c r="HA99" s="191"/>
      <c r="HB99" s="191">
        <v>150</v>
      </c>
      <c r="HC99" s="191"/>
      <c r="HD99" s="191"/>
      <c r="HE99" s="191"/>
      <c r="HF99" s="191">
        <v>200</v>
      </c>
      <c r="HG99" s="191"/>
      <c r="HH99" s="191"/>
      <c r="HI99" s="191">
        <v>100</v>
      </c>
      <c r="HJ99" s="191"/>
      <c r="HK99" s="191"/>
      <c r="HL99" s="191">
        <v>150</v>
      </c>
      <c r="HM99" s="191"/>
      <c r="HN99" s="191"/>
      <c r="HO99" s="191"/>
      <c r="HP99" s="191">
        <v>200</v>
      </c>
      <c r="HQ99" s="191"/>
      <c r="HR99" s="191"/>
      <c r="HS99" s="191">
        <v>100</v>
      </c>
      <c r="HT99" s="191"/>
      <c r="HU99" s="191"/>
      <c r="HV99" s="191"/>
      <c r="HW99" s="191">
        <v>200</v>
      </c>
      <c r="HX99" s="191"/>
      <c r="HY99" s="191"/>
      <c r="HZ99" s="193">
        <v>150</v>
      </c>
      <c r="IA99" s="194"/>
      <c r="IB99" s="191"/>
      <c r="IC99" s="191"/>
      <c r="ID99" s="191">
        <v>100</v>
      </c>
      <c r="IE99" s="191"/>
      <c r="IF99" s="191"/>
      <c r="IG99" s="191">
        <v>100</v>
      </c>
      <c r="IH99" s="191"/>
      <c r="II99" s="191"/>
      <c r="IJ99" s="191"/>
      <c r="IK99" s="191">
        <v>200</v>
      </c>
      <c r="IL99" s="191"/>
      <c r="IM99" s="191"/>
      <c r="IN99" s="191">
        <v>200</v>
      </c>
      <c r="IO99" s="191"/>
      <c r="IP99" s="191"/>
      <c r="IQ99" s="191"/>
      <c r="IR99" s="191">
        <v>150</v>
      </c>
      <c r="IS99" s="191"/>
      <c r="IT99" s="191"/>
      <c r="IU99" s="191">
        <v>100</v>
      </c>
      <c r="IV99" s="191"/>
      <c r="IW99" s="191"/>
      <c r="IX99" s="191"/>
      <c r="IY99" s="191">
        <v>200</v>
      </c>
      <c r="IZ99" s="191"/>
      <c r="JA99" s="191"/>
      <c r="JB99" s="191">
        <v>200</v>
      </c>
      <c r="JC99" s="191"/>
      <c r="JD99" s="191"/>
      <c r="JE99" s="192"/>
      <c r="JF99" s="190">
        <v>200</v>
      </c>
      <c r="JG99" s="191"/>
      <c r="JH99" s="191"/>
      <c r="JI99" s="191">
        <v>150</v>
      </c>
      <c r="JJ99" s="191"/>
      <c r="JK99" s="191"/>
      <c r="JL99" s="191"/>
      <c r="JM99" s="191">
        <v>200</v>
      </c>
      <c r="JN99" s="191"/>
      <c r="JO99" s="191"/>
      <c r="JP99" s="191">
        <v>150</v>
      </c>
      <c r="JQ99" s="191"/>
      <c r="JR99" s="191"/>
      <c r="JS99" s="191"/>
      <c r="JT99" s="191">
        <v>100</v>
      </c>
      <c r="JU99" s="191"/>
      <c r="JV99" s="191"/>
      <c r="JW99" s="191">
        <v>150</v>
      </c>
      <c r="JX99" s="191"/>
      <c r="JY99" s="191"/>
      <c r="JZ99" s="191">
        <v>200</v>
      </c>
      <c r="KA99" s="191"/>
      <c r="KB99" s="191"/>
      <c r="KC99" s="191"/>
      <c r="KD99" s="191">
        <v>150</v>
      </c>
      <c r="KE99" s="191"/>
      <c r="KF99" s="191"/>
      <c r="KG99" s="191"/>
      <c r="KH99" s="191">
        <v>200</v>
      </c>
      <c r="KI99" s="191"/>
      <c r="KJ99" s="193"/>
      <c r="KK99" s="194">
        <v>200</v>
      </c>
      <c r="KL99" s="191"/>
      <c r="KM99" s="191"/>
      <c r="KN99" s="191"/>
      <c r="KO99" s="191">
        <v>200</v>
      </c>
      <c r="KP99" s="191"/>
      <c r="KQ99" s="191"/>
      <c r="KR99" s="191">
        <v>150</v>
      </c>
      <c r="KS99" s="191"/>
      <c r="KT99" s="191"/>
      <c r="KU99" s="191"/>
      <c r="KV99" s="191">
        <v>50</v>
      </c>
      <c r="KW99" s="191"/>
      <c r="KX99" s="191"/>
      <c r="KY99" s="191">
        <v>200</v>
      </c>
      <c r="KZ99" s="191"/>
      <c r="LA99" s="191"/>
      <c r="LB99" s="191"/>
      <c r="LC99" s="191">
        <v>200</v>
      </c>
      <c r="LD99" s="191"/>
      <c r="LE99" s="191"/>
      <c r="LF99" s="191">
        <v>100</v>
      </c>
      <c r="LG99" s="191"/>
      <c r="LH99" s="191"/>
      <c r="LI99" s="191"/>
      <c r="LJ99" s="191">
        <v>200</v>
      </c>
      <c r="LK99" s="191"/>
      <c r="LL99" s="191"/>
      <c r="LM99" s="191">
        <v>200</v>
      </c>
      <c r="LN99" s="192"/>
      <c r="LO99" s="190"/>
      <c r="LP99" s="191"/>
      <c r="LQ99" s="191">
        <v>100</v>
      </c>
      <c r="LR99" s="191"/>
      <c r="LS99" s="191"/>
      <c r="LT99" s="191">
        <v>150</v>
      </c>
      <c r="LU99" s="191"/>
      <c r="LV99" s="191"/>
      <c r="LW99" s="191"/>
      <c r="LX99" s="191">
        <v>200</v>
      </c>
      <c r="LY99" s="191"/>
      <c r="LZ99" s="191"/>
      <c r="MA99" s="191">
        <v>50</v>
      </c>
      <c r="MB99" s="191"/>
      <c r="MC99" s="191"/>
      <c r="MD99" s="191"/>
      <c r="ME99" s="191">
        <v>100</v>
      </c>
      <c r="MF99" s="191"/>
      <c r="MG99" s="191"/>
      <c r="MH99" s="191">
        <v>100</v>
      </c>
      <c r="MI99" s="191"/>
      <c r="MJ99" s="191"/>
      <c r="MK99" s="191"/>
      <c r="ML99" s="191">
        <v>200</v>
      </c>
      <c r="MM99" s="191"/>
      <c r="MN99" s="191"/>
      <c r="MO99" s="191">
        <v>50</v>
      </c>
      <c r="MP99" s="191"/>
      <c r="MQ99" s="191"/>
      <c r="MR99" s="191"/>
      <c r="MS99" s="193">
        <v>50</v>
      </c>
      <c r="MT99" s="194"/>
      <c r="MU99" s="191"/>
      <c r="MV99" s="191">
        <v>100</v>
      </c>
      <c r="MW99" s="191"/>
      <c r="MX99" s="191"/>
      <c r="MY99" s="191"/>
      <c r="MZ99" s="191">
        <v>150</v>
      </c>
      <c r="NA99" s="191"/>
      <c r="NB99" s="191"/>
      <c r="NC99" s="191">
        <v>100</v>
      </c>
      <c r="ND99" s="191"/>
      <c r="NE99" s="191"/>
      <c r="NF99" s="191"/>
      <c r="NG99" s="191">
        <v>200</v>
      </c>
      <c r="NH99" s="191"/>
      <c r="NI99" s="191"/>
      <c r="NJ99" s="191">
        <v>150</v>
      </c>
      <c r="NK99" s="191"/>
      <c r="NL99" s="191"/>
      <c r="NM99" s="191"/>
      <c r="NN99" s="191">
        <v>50</v>
      </c>
      <c r="NO99" s="191"/>
      <c r="NP99" s="191"/>
      <c r="NQ99" s="191">
        <v>100</v>
      </c>
      <c r="NR99" s="191"/>
      <c r="NS99" s="191"/>
      <c r="NT99" s="191"/>
      <c r="NU99" s="191">
        <v>100</v>
      </c>
      <c r="NV99" s="191"/>
      <c r="NW99" s="192"/>
      <c r="NX99" s="190">
        <v>50</v>
      </c>
      <c r="NY99" s="191"/>
      <c r="NZ99" s="191"/>
      <c r="OA99" s="191"/>
      <c r="OB99" s="191">
        <v>50</v>
      </c>
      <c r="OC99" s="191"/>
      <c r="OD99" s="191"/>
      <c r="OE99" s="191">
        <v>50</v>
      </c>
      <c r="OF99" s="191"/>
      <c r="OG99" s="191"/>
      <c r="OH99" s="191"/>
      <c r="OI99" s="191">
        <v>150</v>
      </c>
      <c r="OJ99" s="191"/>
      <c r="OK99" s="191"/>
      <c r="OL99" s="191"/>
      <c r="OM99" s="191"/>
      <c r="ON99" s="191"/>
      <c r="OO99" s="191"/>
      <c r="OP99" s="191"/>
      <c r="OQ99" s="191"/>
      <c r="OR99" s="191"/>
      <c r="OS99" s="191"/>
      <c r="OT99" s="191"/>
      <c r="OU99" s="191"/>
      <c r="OV99" s="191"/>
      <c r="OW99" s="191"/>
      <c r="OX99" s="191"/>
      <c r="OY99" s="191"/>
      <c r="OZ99" s="191"/>
      <c r="PA99" s="191"/>
      <c r="PB99" s="193"/>
      <c r="PC99" s="47"/>
      <c r="PD99" s="154" t="s">
        <v>97</v>
      </c>
      <c r="PE99" s="155" t="s">
        <v>98</v>
      </c>
      <c r="PF99" s="155" t="s">
        <v>98</v>
      </c>
      <c r="PG99" s="155" t="s">
        <v>98</v>
      </c>
      <c r="PH99" s="155" t="s">
        <v>98</v>
      </c>
      <c r="PI99" s="155" t="s">
        <v>98</v>
      </c>
      <c r="PJ99" s="155" t="s">
        <v>98</v>
      </c>
      <c r="PK99" s="155" t="s">
        <v>98</v>
      </c>
      <c r="PL99" s="155" t="s">
        <v>98</v>
      </c>
      <c r="PM99" s="155" t="s">
        <v>98</v>
      </c>
      <c r="PN99" s="155" t="s">
        <v>98</v>
      </c>
      <c r="PO99" s="156"/>
      <c r="PP99" s="156"/>
      <c r="PQ99" s="156"/>
      <c r="PR99" s="156"/>
      <c r="PS99" s="156"/>
      <c r="PT99" s="156"/>
      <c r="PU99" s="156"/>
      <c r="PV99" s="156"/>
      <c r="PW99" s="156"/>
      <c r="PX99" s="195"/>
      <c r="PY99" s="1"/>
      <c r="PZ99" s="196">
        <f t="shared" si="73"/>
        <v>1000</v>
      </c>
      <c r="QA99" s="176">
        <f t="shared" si="74"/>
        <v>8.3423709018102948E-3</v>
      </c>
      <c r="QB99" s="177" t="str">
        <f t="shared" ca="1" si="75"/>
        <v>Attente…</v>
      </c>
      <c r="QC99" s="197">
        <f t="shared" si="76"/>
        <v>660</v>
      </c>
      <c r="QD99" s="179">
        <f t="shared" si="77"/>
        <v>6.1797752808988764E-3</v>
      </c>
      <c r="QE99" s="180" t="str">
        <f t="shared" ca="1" si="78"/>
        <v>Attente…</v>
      </c>
      <c r="QF99" s="196">
        <f t="shared" si="79"/>
        <v>1050</v>
      </c>
      <c r="QG99" s="176">
        <f t="shared" si="80"/>
        <v>8.3612040133779261E-3</v>
      </c>
      <c r="QH99" s="177" t="str">
        <f t="shared" ca="1" si="81"/>
        <v>Attente…</v>
      </c>
      <c r="QI99" s="197">
        <f t="shared" si="82"/>
        <v>1300</v>
      </c>
      <c r="QJ99" s="179">
        <f t="shared" si="83"/>
        <v>9.1176883153317439E-3</v>
      </c>
      <c r="QK99" s="180" t="str">
        <f t="shared" ca="1" si="84"/>
        <v>Attente…</v>
      </c>
      <c r="QL99" s="196">
        <f t="shared" si="85"/>
        <v>1250</v>
      </c>
      <c r="QM99" s="176">
        <f t="shared" si="86"/>
        <v>9.1454492244659059E-3</v>
      </c>
      <c r="QN99" s="177" t="str">
        <f t="shared" ca="1" si="87"/>
        <v>Attente…</v>
      </c>
      <c r="QO99" s="197">
        <f t="shared" si="88"/>
        <v>1350</v>
      </c>
      <c r="QP99" s="179">
        <f t="shared" si="89"/>
        <v>1.0569169341579894E-2</v>
      </c>
      <c r="QQ99" s="180" t="str">
        <f t="shared" ca="1" si="90"/>
        <v>Attente…</v>
      </c>
      <c r="QR99" s="196">
        <f t="shared" si="91"/>
        <v>1250</v>
      </c>
      <c r="QS99" s="176">
        <f t="shared" si="92"/>
        <v>8.998956121089953E-3</v>
      </c>
      <c r="QT99" s="177" t="str">
        <f t="shared" ca="1" si="93"/>
        <v>Attente…</v>
      </c>
      <c r="QU99" s="197">
        <f t="shared" si="94"/>
        <v>1500</v>
      </c>
      <c r="QV99" s="179">
        <f t="shared" si="95"/>
        <v>1.0341974627688913E-2</v>
      </c>
      <c r="QW99" s="180" t="str">
        <f t="shared" ca="1" si="96"/>
        <v>Attente…</v>
      </c>
      <c r="QX99" s="196">
        <f t="shared" si="97"/>
        <v>1500</v>
      </c>
      <c r="QY99" s="176">
        <f t="shared" si="98"/>
        <v>1.0946028780758342E-2</v>
      </c>
      <c r="QZ99" s="177" t="str">
        <f t="shared" ca="1" si="99"/>
        <v>Attente…</v>
      </c>
      <c r="RA99" s="197">
        <f t="shared" si="100"/>
        <v>1000</v>
      </c>
      <c r="RB99" s="179">
        <f t="shared" si="101"/>
        <v>7.8241139190986624E-3</v>
      </c>
      <c r="RC99" s="180" t="str">
        <f t="shared" ca="1" si="102"/>
        <v>Attente…</v>
      </c>
      <c r="RD99" s="196">
        <f t="shared" si="103"/>
        <v>950</v>
      </c>
      <c r="RE99" s="176">
        <f t="shared" si="104"/>
        <v>9.4659226783579114E-3</v>
      </c>
      <c r="RF99" s="177" t="str">
        <f t="shared" ca="1" si="105"/>
        <v>Attente…</v>
      </c>
      <c r="RG99" s="197">
        <f t="shared" si="106"/>
        <v>300</v>
      </c>
      <c r="RH99" s="179">
        <f t="shared" si="107"/>
        <v>5.5177487585065296E-3</v>
      </c>
      <c r="RI99" s="198" t="str">
        <f t="shared" ca="1" si="108"/>
        <v>Attente…</v>
      </c>
      <c r="RJ99" s="199">
        <f t="shared" si="109"/>
        <v>2710</v>
      </c>
      <c r="RK99" s="200" t="str">
        <f t="shared" ca="1" si="66"/>
        <v>Attente…</v>
      </c>
      <c r="RL99" s="199">
        <f t="shared" si="110"/>
        <v>3900</v>
      </c>
      <c r="RM99" s="200" t="str">
        <f t="shared" ca="1" si="111"/>
        <v>Atttente…</v>
      </c>
      <c r="RN99" s="199">
        <f t="shared" si="112"/>
        <v>4250</v>
      </c>
      <c r="RO99" s="200" t="str">
        <f t="shared" ca="1" si="67"/>
        <v>Attente…</v>
      </c>
      <c r="RP99" s="199">
        <f t="shared" si="113"/>
        <v>2250</v>
      </c>
      <c r="RQ99" s="200" t="str">
        <f t="shared" ca="1" si="68"/>
        <v>Attente…</v>
      </c>
      <c r="RR99" s="201">
        <f t="shared" si="114"/>
        <v>13110</v>
      </c>
      <c r="RS99" s="202" t="str">
        <f t="shared" ca="1" si="69"/>
        <v>Attente…</v>
      </c>
      <c r="RT99" s="103"/>
      <c r="RU99" s="203">
        <f t="shared" si="115"/>
        <v>0.69</v>
      </c>
      <c r="RV99" s="204">
        <f t="shared" si="118"/>
        <v>1</v>
      </c>
      <c r="RW99" s="204">
        <f t="shared" si="118"/>
        <v>2</v>
      </c>
      <c r="RX99" s="204">
        <f t="shared" si="116"/>
        <v>95</v>
      </c>
      <c r="RY99" s="205" t="str">
        <f t="shared" si="117"/>
        <v>SAINT-JACQUES-SUR-DARNÉTAL - 35 Rue de Verdun (Entre la Mairie et l'Eglise)</v>
      </c>
      <c r="RZ99" s="189" t="str">
        <f>IF(OR(RZ98="",RZ98="  &lt;/Document&gt;
&lt;/kml&gt;"),"",
IF(B99="","  &lt;/Document&gt;
&lt;/kml&gt;",
IF(TournéesCAV!Q84=""," ",
"    &lt;Placemark&gt;
      &lt;description&gt;&lt;![CDATA["&amp;B99&amp;"&lt;br&gt;&lt;br&gt;"&amp;RV99&amp;" CAV&lt;br&gt;&lt;br&gt;Présent sur "&amp;RW99&amp;" tournée(s)&lt;br&gt;&lt;br&gt;Taux de remplissage moyen "&amp;TEXT(RU99*1000,"0 %")&amp;"]]&gt;&lt;/description&gt;
      &lt;Style&gt;
        &lt;IconStyle&gt;
          &lt;color&gt;ff"&amp;
          DEC2HEX(0,2)&amp;
          DEC2HEX(
            IF(RU99&lt;=0.5,
               INT(255*(RU99*2)),
               255
            ),2)&amp;
          DEC2HEX(
            IF(RU99&lt;=0.5,
               255,
               INT(255*(1-(RU99-0.5)*2))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&lt;Point&gt;&lt;coordinates&gt;"&amp;R99&amp;","&amp;Q99&amp;",0&lt;/coordinates&gt;&lt;/Point&gt;
    &lt;/Placemark&gt;"
)))</f>
        <v xml:space="preserve">    &lt;Placemark&gt;
      &lt;description&gt;&lt;![CDATA[SAINT-JACQUES-SUR-DARNÉTAL - 35 Rue de Verdun (Entre la Mairie et l'Eglise)&lt;br&gt;&lt;br&gt;1 CAV&lt;br&gt;&lt;br&gt;Présent sur 2 tournée(s)&lt;br&gt;&lt;br&gt;Taux de remplissage moyen 69%]]&gt;&lt;/description&gt;
      &lt;Style&gt;
        &lt;IconStyle&gt;
          &lt;color&gt;ff00FF9E&lt;/color&gt;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&lt;Point&gt;&lt;coordinates&gt;1.2027215,49.4400478,0&lt;/coordinates&gt;&lt;/Point&gt;
    &lt;/Placemark&gt;</v>
      </c>
    </row>
    <row r="100" spans="2:494" ht="15" hidden="1" customHeight="1" x14ac:dyDescent="0.35">
      <c r="B100" s="153" t="str">
        <f t="shared" si="70"/>
        <v>MOULINEAUX - 79 Chemin des Coquelicots</v>
      </c>
      <c r="C100" s="154">
        <v>93</v>
      </c>
      <c r="D100" s="155"/>
      <c r="E100" s="155"/>
      <c r="F100" s="155"/>
      <c r="G100" s="155"/>
      <c r="H100" s="155"/>
      <c r="I100" s="155"/>
      <c r="J100" s="156"/>
      <c r="K100" s="157">
        <f t="shared" si="71"/>
        <v>1</v>
      </c>
      <c r="L100" s="157">
        <f t="shared" si="72"/>
        <v>1</v>
      </c>
      <c r="M100" s="158" t="s">
        <v>588</v>
      </c>
      <c r="N100" s="159"/>
      <c r="O100" s="159">
        <v>76530</v>
      </c>
      <c r="P100" s="159" t="s">
        <v>589</v>
      </c>
      <c r="Q100" s="159" t="s">
        <v>590</v>
      </c>
      <c r="R100" s="159" t="s">
        <v>591</v>
      </c>
      <c r="S100" s="159" t="s">
        <v>93</v>
      </c>
      <c r="T100" s="159" t="s">
        <v>94</v>
      </c>
      <c r="U100" s="159" t="s">
        <v>592</v>
      </c>
      <c r="V100" s="160" t="s">
        <v>96</v>
      </c>
      <c r="W100" s="161"/>
      <c r="X100" s="162"/>
      <c r="Y100" s="163"/>
      <c r="Z100" s="162"/>
      <c r="AA100" s="163"/>
      <c r="AB100" s="162"/>
      <c r="AC100" s="163"/>
      <c r="AD100" s="162"/>
      <c r="AE100" s="163"/>
      <c r="AF100" s="162"/>
      <c r="AG100" s="207">
        <v>8</v>
      </c>
      <c r="AH100" s="163"/>
      <c r="AI100" s="162"/>
      <c r="AJ100" s="163"/>
      <c r="AK100" s="162"/>
      <c r="AL100" s="163"/>
      <c r="AM100" s="162"/>
      <c r="AN100" s="163"/>
      <c r="AO100" s="162"/>
      <c r="AP100" s="164"/>
      <c r="AQ100" s="164"/>
      <c r="AR100" s="164"/>
      <c r="AS100" s="164"/>
      <c r="AT100" s="164"/>
      <c r="AU100" s="164"/>
      <c r="AV100" s="164"/>
      <c r="AW100" s="164"/>
      <c r="AX100" s="164"/>
      <c r="AY100" s="165"/>
      <c r="AZ100" s="41"/>
      <c r="BA100" s="190"/>
      <c r="BB100" s="191">
        <v>150</v>
      </c>
      <c r="BC100" s="191"/>
      <c r="BD100" s="191"/>
      <c r="BE100" s="191"/>
      <c r="BF100" s="191"/>
      <c r="BG100" s="191"/>
      <c r="BH100" s="191"/>
      <c r="BI100" s="191"/>
      <c r="BJ100" s="191"/>
      <c r="BK100" s="191"/>
      <c r="BL100" s="191"/>
      <c r="BM100" s="191"/>
      <c r="BN100" s="191"/>
      <c r="BO100" s="191">
        <v>200</v>
      </c>
      <c r="BP100" s="191"/>
      <c r="BQ100" s="191"/>
      <c r="BR100" s="191"/>
      <c r="BS100" s="191"/>
      <c r="BT100" s="191"/>
      <c r="BU100" s="191"/>
      <c r="BV100" s="191">
        <v>50</v>
      </c>
      <c r="BW100" s="191"/>
      <c r="BX100" s="191"/>
      <c r="BY100" s="191"/>
      <c r="BZ100" s="191"/>
      <c r="CA100" s="191"/>
      <c r="CB100" s="191"/>
      <c r="CC100" s="191">
        <v>50</v>
      </c>
      <c r="CD100" s="191"/>
      <c r="CE100" s="192"/>
      <c r="CF100" s="190"/>
      <c r="CG100" s="191"/>
      <c r="CH100" s="191"/>
      <c r="CI100" s="191"/>
      <c r="CJ100" s="191"/>
      <c r="CK100" s="191"/>
      <c r="CL100" s="191"/>
      <c r="CM100" s="191"/>
      <c r="CN100" s="191"/>
      <c r="CO100" s="191"/>
      <c r="CP100" s="191"/>
      <c r="CQ100" s="191">
        <v>150</v>
      </c>
      <c r="CR100" s="191"/>
      <c r="CS100" s="191"/>
      <c r="CT100" s="191"/>
      <c r="CU100" s="191"/>
      <c r="CV100" s="191"/>
      <c r="CW100" s="191"/>
      <c r="CX100" s="191">
        <v>100</v>
      </c>
      <c r="CY100" s="191"/>
      <c r="CZ100" s="191"/>
      <c r="DA100" s="191"/>
      <c r="DB100" s="191"/>
      <c r="DC100" s="191"/>
      <c r="DD100" s="191"/>
      <c r="DE100" s="191">
        <v>50</v>
      </c>
      <c r="DF100" s="191"/>
      <c r="DG100" s="191"/>
      <c r="DH100" s="193"/>
      <c r="DI100" s="194"/>
      <c r="DJ100" s="191"/>
      <c r="DK100" s="191"/>
      <c r="DL100" s="191"/>
      <c r="DM100" s="191">
        <v>50</v>
      </c>
      <c r="DN100" s="191"/>
      <c r="DO100" s="191"/>
      <c r="DP100" s="191"/>
      <c r="DQ100" s="191"/>
      <c r="DR100" s="191"/>
      <c r="DS100" s="191"/>
      <c r="DT100" s="191">
        <v>100</v>
      </c>
      <c r="DU100" s="191"/>
      <c r="DV100" s="191"/>
      <c r="DW100" s="191"/>
      <c r="DX100" s="191"/>
      <c r="DY100" s="191"/>
      <c r="DZ100" s="191"/>
      <c r="EA100" s="191">
        <v>100</v>
      </c>
      <c r="EB100" s="191"/>
      <c r="EC100" s="191"/>
      <c r="ED100" s="191"/>
      <c r="EE100" s="191"/>
      <c r="EF100" s="191"/>
      <c r="EG100" s="191"/>
      <c r="EH100" s="191">
        <v>150</v>
      </c>
      <c r="EI100" s="191"/>
      <c r="EJ100" s="191"/>
      <c r="EK100" s="191"/>
      <c r="EL100" s="191"/>
      <c r="EM100" s="192"/>
      <c r="EN100" s="190"/>
      <c r="EO100" s="191">
        <v>50</v>
      </c>
      <c r="EP100" s="191"/>
      <c r="EQ100" s="191"/>
      <c r="ER100" s="191"/>
      <c r="ES100" s="191"/>
      <c r="ET100" s="191"/>
      <c r="EU100" s="191"/>
      <c r="EV100" s="191">
        <v>50</v>
      </c>
      <c r="EW100" s="191"/>
      <c r="EX100" s="191"/>
      <c r="EY100" s="191"/>
      <c r="EZ100" s="191"/>
      <c r="FA100" s="191"/>
      <c r="FB100" s="191"/>
      <c r="FC100" s="191">
        <v>100</v>
      </c>
      <c r="FD100" s="191"/>
      <c r="FE100" s="191"/>
      <c r="FF100" s="191"/>
      <c r="FG100" s="191"/>
      <c r="FH100" s="191"/>
      <c r="FI100" s="191"/>
      <c r="FJ100" s="191">
        <v>100</v>
      </c>
      <c r="FK100" s="191"/>
      <c r="FL100" s="191"/>
      <c r="FM100" s="191"/>
      <c r="FN100" s="191"/>
      <c r="FO100" s="191"/>
      <c r="FP100" s="191"/>
      <c r="FQ100" s="193">
        <v>50</v>
      </c>
      <c r="FR100" s="194"/>
      <c r="FS100" s="191"/>
      <c r="FT100" s="191"/>
      <c r="FU100" s="191"/>
      <c r="FV100" s="191"/>
      <c r="FW100" s="191"/>
      <c r="FX100" s="191">
        <v>100</v>
      </c>
      <c r="FY100" s="191"/>
      <c r="FZ100" s="191"/>
      <c r="GA100" s="191"/>
      <c r="GB100" s="191"/>
      <c r="GC100" s="191"/>
      <c r="GD100" s="191"/>
      <c r="GE100" s="191">
        <v>50</v>
      </c>
      <c r="GF100" s="191"/>
      <c r="GG100" s="191"/>
      <c r="GH100" s="191"/>
      <c r="GI100" s="191"/>
      <c r="GJ100" s="191"/>
      <c r="GK100" s="191"/>
      <c r="GL100" s="191">
        <v>150</v>
      </c>
      <c r="GM100" s="191"/>
      <c r="GN100" s="191"/>
      <c r="GO100" s="191"/>
      <c r="GP100" s="191"/>
      <c r="GQ100" s="191"/>
      <c r="GR100" s="191"/>
      <c r="GS100" s="191">
        <v>100</v>
      </c>
      <c r="GT100" s="191"/>
      <c r="GU100" s="191"/>
      <c r="GV100" s="192"/>
      <c r="GW100" s="190"/>
      <c r="GX100" s="191"/>
      <c r="GY100" s="191"/>
      <c r="GZ100" s="191">
        <v>100</v>
      </c>
      <c r="HA100" s="191"/>
      <c r="HB100" s="191"/>
      <c r="HC100" s="191"/>
      <c r="HD100" s="191"/>
      <c r="HE100" s="191"/>
      <c r="HF100" s="191"/>
      <c r="HG100" s="191">
        <v>50</v>
      </c>
      <c r="HH100" s="191"/>
      <c r="HI100" s="191"/>
      <c r="HJ100" s="191"/>
      <c r="HK100" s="191"/>
      <c r="HL100" s="191"/>
      <c r="HM100" s="191"/>
      <c r="HN100" s="191">
        <v>150</v>
      </c>
      <c r="HO100" s="191"/>
      <c r="HP100" s="191"/>
      <c r="HQ100" s="191"/>
      <c r="HR100" s="191"/>
      <c r="HS100" s="191"/>
      <c r="HT100" s="191"/>
      <c r="HU100" s="191">
        <v>50</v>
      </c>
      <c r="HV100" s="191"/>
      <c r="HW100" s="191"/>
      <c r="HX100" s="191"/>
      <c r="HY100" s="191"/>
      <c r="HZ100" s="193"/>
      <c r="IA100" s="194"/>
      <c r="IB100" s="191">
        <v>200</v>
      </c>
      <c r="IC100" s="191"/>
      <c r="ID100" s="191"/>
      <c r="IE100" s="191"/>
      <c r="IF100" s="191"/>
      <c r="IG100" s="191"/>
      <c r="IH100" s="191"/>
      <c r="II100" s="191">
        <v>100</v>
      </c>
      <c r="IJ100" s="191"/>
      <c r="IK100" s="191"/>
      <c r="IL100" s="191"/>
      <c r="IM100" s="191"/>
      <c r="IN100" s="191"/>
      <c r="IO100" s="191"/>
      <c r="IP100" s="191"/>
      <c r="IQ100" s="191"/>
      <c r="IR100" s="191">
        <v>200</v>
      </c>
      <c r="IS100" s="191"/>
      <c r="IT100" s="191"/>
      <c r="IU100" s="191"/>
      <c r="IV100" s="191"/>
      <c r="IW100" s="191">
        <v>10</v>
      </c>
      <c r="IX100" s="191"/>
      <c r="IY100" s="191"/>
      <c r="IZ100" s="191"/>
      <c r="JA100" s="191"/>
      <c r="JB100" s="191"/>
      <c r="JC100" s="191"/>
      <c r="JD100" s="191">
        <v>100</v>
      </c>
      <c r="JE100" s="192"/>
      <c r="JF100" s="190"/>
      <c r="JG100" s="191"/>
      <c r="JH100" s="191"/>
      <c r="JI100" s="191"/>
      <c r="JJ100" s="191"/>
      <c r="JK100" s="191">
        <v>100</v>
      </c>
      <c r="JL100" s="191"/>
      <c r="JM100" s="191"/>
      <c r="JN100" s="191"/>
      <c r="JO100" s="191"/>
      <c r="JP100" s="191"/>
      <c r="JQ100" s="191"/>
      <c r="JR100" s="191">
        <v>100</v>
      </c>
      <c r="JS100" s="191"/>
      <c r="JT100" s="191"/>
      <c r="JU100" s="191"/>
      <c r="JV100" s="191"/>
      <c r="JW100" s="191"/>
      <c r="JX100" s="191"/>
      <c r="JY100" s="191"/>
      <c r="JZ100" s="191">
        <v>100</v>
      </c>
      <c r="KA100" s="191"/>
      <c r="KB100" s="191"/>
      <c r="KC100" s="191"/>
      <c r="KD100" s="191"/>
      <c r="KE100" s="191"/>
      <c r="KF100" s="191">
        <v>150</v>
      </c>
      <c r="KG100" s="191"/>
      <c r="KH100" s="191"/>
      <c r="KI100" s="191"/>
      <c r="KJ100" s="193"/>
      <c r="KK100" s="194"/>
      <c r="KL100" s="191"/>
      <c r="KM100" s="191">
        <v>200</v>
      </c>
      <c r="KN100" s="191"/>
      <c r="KO100" s="191"/>
      <c r="KP100" s="191"/>
      <c r="KQ100" s="191"/>
      <c r="KR100" s="191"/>
      <c r="KS100" s="191"/>
      <c r="KT100" s="191"/>
      <c r="KU100" s="191">
        <v>50</v>
      </c>
      <c r="KV100" s="191"/>
      <c r="KW100" s="191"/>
      <c r="KX100" s="191"/>
      <c r="KY100" s="191"/>
      <c r="KZ100" s="191"/>
      <c r="LA100" s="191">
        <v>50</v>
      </c>
      <c r="LB100" s="191"/>
      <c r="LC100" s="191"/>
      <c r="LD100" s="191"/>
      <c r="LE100" s="191"/>
      <c r="LF100" s="191"/>
      <c r="LG100" s="191"/>
      <c r="LH100" s="191">
        <v>50</v>
      </c>
      <c r="LI100" s="191"/>
      <c r="LJ100" s="191"/>
      <c r="LK100" s="191"/>
      <c r="LL100" s="191"/>
      <c r="LM100" s="191"/>
      <c r="LN100" s="192"/>
      <c r="LO100" s="190">
        <v>150</v>
      </c>
      <c r="LP100" s="191"/>
      <c r="LQ100" s="191"/>
      <c r="LR100" s="191"/>
      <c r="LS100" s="191"/>
      <c r="LT100" s="191"/>
      <c r="LU100" s="191"/>
      <c r="LV100" s="191">
        <v>150</v>
      </c>
      <c r="LW100" s="191"/>
      <c r="LX100" s="191"/>
      <c r="LY100" s="191"/>
      <c r="LZ100" s="191"/>
      <c r="MA100" s="191"/>
      <c r="MB100" s="191"/>
      <c r="MC100" s="191">
        <v>150</v>
      </c>
      <c r="MD100" s="191"/>
      <c r="ME100" s="191"/>
      <c r="MF100" s="191"/>
      <c r="MG100" s="191"/>
      <c r="MH100" s="191"/>
      <c r="MI100" s="191"/>
      <c r="MJ100" s="191">
        <v>100</v>
      </c>
      <c r="MK100" s="191"/>
      <c r="ML100" s="191"/>
      <c r="MM100" s="191"/>
      <c r="MN100" s="191"/>
      <c r="MO100" s="191"/>
      <c r="MP100" s="191"/>
      <c r="MQ100" s="191">
        <v>150</v>
      </c>
      <c r="MR100" s="191"/>
      <c r="MS100" s="193"/>
      <c r="MT100" s="194"/>
      <c r="MU100" s="191"/>
      <c r="MV100" s="191"/>
      <c r="MW100" s="191"/>
      <c r="MX100" s="191">
        <v>100</v>
      </c>
      <c r="MY100" s="191"/>
      <c r="MZ100" s="191"/>
      <c r="NA100" s="191"/>
      <c r="NB100" s="191"/>
      <c r="NC100" s="191"/>
      <c r="ND100" s="191"/>
      <c r="NE100" s="191"/>
      <c r="NF100" s="191">
        <v>100</v>
      </c>
      <c r="NG100" s="191"/>
      <c r="NH100" s="191"/>
      <c r="NI100" s="191"/>
      <c r="NJ100" s="191"/>
      <c r="NK100" s="191"/>
      <c r="NL100" s="191">
        <v>50</v>
      </c>
      <c r="NM100" s="191"/>
      <c r="NN100" s="191"/>
      <c r="NO100" s="191"/>
      <c r="NP100" s="191"/>
      <c r="NQ100" s="191"/>
      <c r="NR100" s="191"/>
      <c r="NS100" s="191">
        <v>50</v>
      </c>
      <c r="NT100" s="191"/>
      <c r="NU100" s="191"/>
      <c r="NV100" s="191"/>
      <c r="NW100" s="192"/>
      <c r="NX100" s="190"/>
      <c r="NY100" s="191"/>
      <c r="NZ100" s="191">
        <v>100</v>
      </c>
      <c r="OA100" s="191"/>
      <c r="OB100" s="191"/>
      <c r="OC100" s="191"/>
      <c r="OD100" s="191"/>
      <c r="OE100" s="191"/>
      <c r="OF100" s="191"/>
      <c r="OG100" s="191">
        <v>50</v>
      </c>
      <c r="OH100" s="191"/>
      <c r="OI100" s="191"/>
      <c r="OJ100" s="191"/>
      <c r="OK100" s="191"/>
      <c r="OL100" s="191"/>
      <c r="OM100" s="191"/>
      <c r="ON100" s="191">
        <v>50</v>
      </c>
      <c r="OO100" s="191"/>
      <c r="OP100" s="191"/>
      <c r="OQ100" s="191"/>
      <c r="OR100" s="191"/>
      <c r="OS100" s="191"/>
      <c r="OT100" s="191"/>
      <c r="OU100" s="191"/>
      <c r="OV100" s="191"/>
      <c r="OW100" s="191"/>
      <c r="OX100" s="191"/>
      <c r="OY100" s="191"/>
      <c r="OZ100" s="191"/>
      <c r="PA100" s="191"/>
      <c r="PB100" s="193"/>
      <c r="PC100" s="47"/>
      <c r="PD100" s="154" t="s">
        <v>97</v>
      </c>
      <c r="PE100" s="155" t="s">
        <v>98</v>
      </c>
      <c r="PF100" s="155" t="s">
        <v>98</v>
      </c>
      <c r="PG100" s="155" t="s">
        <v>98</v>
      </c>
      <c r="PH100" s="155" t="s">
        <v>98</v>
      </c>
      <c r="PI100" s="155" t="s">
        <v>98</v>
      </c>
      <c r="PJ100" s="155" t="s">
        <v>98</v>
      </c>
      <c r="PK100" s="155" t="s">
        <v>98</v>
      </c>
      <c r="PL100" s="155" t="s">
        <v>98</v>
      </c>
      <c r="PM100" s="155" t="s">
        <v>98</v>
      </c>
      <c r="PN100" s="155" t="s">
        <v>98</v>
      </c>
      <c r="PO100" s="156"/>
      <c r="PP100" s="156"/>
      <c r="PQ100" s="156"/>
      <c r="PR100" s="156"/>
      <c r="PS100" s="156"/>
      <c r="PT100" s="156"/>
      <c r="PU100" s="156"/>
      <c r="PV100" s="156"/>
      <c r="PW100" s="156"/>
      <c r="PX100" s="195"/>
      <c r="PY100" s="1"/>
      <c r="PZ100" s="196">
        <f t="shared" si="73"/>
        <v>450</v>
      </c>
      <c r="QA100" s="176">
        <f t="shared" si="74"/>
        <v>3.7540669058146324E-3</v>
      </c>
      <c r="QB100" s="177" t="str">
        <f t="shared" ca="1" si="75"/>
        <v>Attente…</v>
      </c>
      <c r="QC100" s="197">
        <f t="shared" si="76"/>
        <v>300</v>
      </c>
      <c r="QD100" s="179">
        <f t="shared" si="77"/>
        <v>2.8089887640449437E-3</v>
      </c>
      <c r="QE100" s="180" t="str">
        <f t="shared" ca="1" si="78"/>
        <v>Attente…</v>
      </c>
      <c r="QF100" s="196">
        <f t="shared" si="79"/>
        <v>400</v>
      </c>
      <c r="QG100" s="176">
        <f t="shared" si="80"/>
        <v>3.1852205765249245E-3</v>
      </c>
      <c r="QH100" s="177" t="str">
        <f t="shared" ca="1" si="81"/>
        <v>Attente…</v>
      </c>
      <c r="QI100" s="197">
        <f t="shared" si="82"/>
        <v>350</v>
      </c>
      <c r="QJ100" s="179">
        <f t="shared" si="83"/>
        <v>2.4547622387431616E-3</v>
      </c>
      <c r="QK100" s="180" t="str">
        <f t="shared" ca="1" si="84"/>
        <v>Attente…</v>
      </c>
      <c r="QL100" s="196">
        <f t="shared" si="85"/>
        <v>400</v>
      </c>
      <c r="QM100" s="176">
        <f t="shared" si="86"/>
        <v>2.9265437518290896E-3</v>
      </c>
      <c r="QN100" s="177" t="str">
        <f t="shared" ca="1" si="87"/>
        <v>Attente…</v>
      </c>
      <c r="QO100" s="197">
        <f t="shared" si="88"/>
        <v>350</v>
      </c>
      <c r="QP100" s="179">
        <f t="shared" si="89"/>
        <v>2.7401550144836766E-3</v>
      </c>
      <c r="QQ100" s="180" t="str">
        <f t="shared" ca="1" si="90"/>
        <v>Attente…</v>
      </c>
      <c r="QR100" s="196">
        <f t="shared" si="91"/>
        <v>610</v>
      </c>
      <c r="QS100" s="176">
        <f t="shared" si="92"/>
        <v>4.3914905870918973E-3</v>
      </c>
      <c r="QT100" s="177" t="str">
        <f t="shared" ca="1" si="93"/>
        <v>Attente…</v>
      </c>
      <c r="QU100" s="197">
        <f t="shared" si="94"/>
        <v>450</v>
      </c>
      <c r="QV100" s="179">
        <f t="shared" si="95"/>
        <v>3.1025923883066741E-3</v>
      </c>
      <c r="QW100" s="180" t="str">
        <f t="shared" ca="1" si="96"/>
        <v>Attente…</v>
      </c>
      <c r="QX100" s="196">
        <f t="shared" si="97"/>
        <v>350</v>
      </c>
      <c r="QY100" s="176">
        <f t="shared" si="98"/>
        <v>2.5540733821769464E-3</v>
      </c>
      <c r="QZ100" s="177" t="str">
        <f t="shared" ca="1" si="99"/>
        <v>Attente…</v>
      </c>
      <c r="RA100" s="197">
        <f t="shared" si="100"/>
        <v>700</v>
      </c>
      <c r="RB100" s="179">
        <f t="shared" si="101"/>
        <v>5.4768797433690638E-3</v>
      </c>
      <c r="RC100" s="180" t="str">
        <f t="shared" ca="1" si="102"/>
        <v>Attente…</v>
      </c>
      <c r="RD100" s="196">
        <f t="shared" si="103"/>
        <v>300</v>
      </c>
      <c r="RE100" s="176">
        <f t="shared" si="104"/>
        <v>2.9892387405340772E-3</v>
      </c>
      <c r="RF100" s="177" t="str">
        <f t="shared" ca="1" si="105"/>
        <v>Attente…</v>
      </c>
      <c r="RG100" s="197">
        <f t="shared" si="106"/>
        <v>200</v>
      </c>
      <c r="RH100" s="179">
        <f t="shared" si="107"/>
        <v>3.6784991723376862E-3</v>
      </c>
      <c r="RI100" s="198" t="str">
        <f t="shared" ca="1" si="108"/>
        <v>Attente…</v>
      </c>
      <c r="RJ100" s="199">
        <f t="shared" si="109"/>
        <v>1150</v>
      </c>
      <c r="RK100" s="200" t="str">
        <f t="shared" ca="1" si="66"/>
        <v>Attente…</v>
      </c>
      <c r="RL100" s="199">
        <f t="shared" si="110"/>
        <v>1100</v>
      </c>
      <c r="RM100" s="200" t="str">
        <f t="shared" ca="1" si="111"/>
        <v>Atttente…</v>
      </c>
      <c r="RN100" s="199">
        <f t="shared" si="112"/>
        <v>1410</v>
      </c>
      <c r="RO100" s="200" t="str">
        <f t="shared" ca="1" si="67"/>
        <v>Attente…</v>
      </c>
      <c r="RP100" s="199">
        <f t="shared" si="113"/>
        <v>1200</v>
      </c>
      <c r="RQ100" s="200" t="str">
        <f t="shared" ca="1" si="68"/>
        <v>Attente…</v>
      </c>
      <c r="RR100" s="201">
        <f t="shared" si="114"/>
        <v>4860</v>
      </c>
      <c r="RS100" s="202" t="str">
        <f t="shared" ca="1" si="69"/>
        <v>Attente…</v>
      </c>
      <c r="RT100" s="103"/>
      <c r="RU100" s="203">
        <f t="shared" si="115"/>
        <v>0.49591836734693878</v>
      </c>
      <c r="RV100" s="204">
        <f t="shared" si="118"/>
        <v>1</v>
      </c>
      <c r="RW100" s="204">
        <f t="shared" si="118"/>
        <v>1</v>
      </c>
      <c r="RX100" s="204">
        <f t="shared" si="116"/>
        <v>49</v>
      </c>
      <c r="RY100" s="205" t="str">
        <f t="shared" si="117"/>
        <v>MOULINEAUX - 79 Chemin des Coquelicots</v>
      </c>
      <c r="RZ100" s="189" t="str">
        <f>IF(OR(RZ99="",RZ99="  &lt;/Document&gt;
&lt;/kml&gt;"),"",
IF(B100="","  &lt;/Document&gt;
&lt;/kml&gt;",
IF(TournéesCAV!Q100=""," ",
"    &lt;Placemark&gt;
      &lt;description&gt;&lt;![CDATA["&amp;B100&amp;"&lt;br&gt;&lt;br&gt;"&amp;RV100&amp;" CAV&lt;br&gt;&lt;br&gt;Présent sur "&amp;RW100&amp;" tournée(s)&lt;br&gt;&lt;br&gt;Taux de remplissage moyen "&amp;TEXT(RU100*1000,"0 %")&amp;"]]&gt;&lt;/description&gt;
      &lt;Style&gt;
        &lt;IconStyle&gt;
          &lt;color&gt;ff"&amp;
          DEC2HEX(0,2)&amp;
          DEC2HEX(
            IF(RU100&lt;=0.5,
               INT(255*(RU100*2)),
               255
            ),2)&amp;
          DEC2HEX(
            IF(RU100&lt;=0.5,
               255,
               INT(255*(1-(RU100-0.5)*2))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&lt;Point&gt;&lt;coordinates&gt;"&amp;R100&amp;","&amp;Q100&amp;",0&lt;/coordinates&gt;&lt;/Point&gt;
    &lt;/Placemark&gt;"
)))</f>
        <v xml:space="preserve">    &lt;Placemark&gt;
      &lt;description&gt;&lt;![CDATA[MOULINEAUX - 79 Chemin des Coquelicots&lt;br&gt;&lt;br&gt;1 CAV&lt;br&gt;&lt;br&gt;Présent sur 1 tournée(s)&lt;br&gt;&lt;br&gt;Taux de remplissage moyen 50%]]&gt;&lt;/description&gt;
      &lt;Style&gt;
        &lt;IconStyle&gt;
          &lt;color&gt;ff00FCFF&lt;/color&gt;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&lt;Point&gt;&lt;coordinates&gt;0.9664346,49.3427399,0&lt;/coordinates&gt;&lt;/Point&gt;
    &lt;/Placemark&gt;</v>
      </c>
    </row>
    <row r="101" spans="2:494" ht="15" hidden="1" customHeight="1" x14ac:dyDescent="0.35">
      <c r="B101" s="153" t="str">
        <f t="shared" si="70"/>
        <v>LA LONDE - 30 rue des Fusillés (Croisement rue Frete)</v>
      </c>
      <c r="C101" s="154">
        <v>101</v>
      </c>
      <c r="D101" s="155"/>
      <c r="E101" s="155"/>
      <c r="F101" s="155"/>
      <c r="G101" s="155"/>
      <c r="H101" s="155"/>
      <c r="I101" s="155"/>
      <c r="J101" s="156"/>
      <c r="K101" s="157">
        <f t="shared" si="71"/>
        <v>1</v>
      </c>
      <c r="L101" s="157">
        <f t="shared" si="72"/>
        <v>1</v>
      </c>
      <c r="M101" s="158" t="s">
        <v>593</v>
      </c>
      <c r="N101" s="159" t="s">
        <v>594</v>
      </c>
      <c r="O101" s="159">
        <v>76500</v>
      </c>
      <c r="P101" s="159" t="s">
        <v>595</v>
      </c>
      <c r="Q101" s="159" t="s">
        <v>596</v>
      </c>
      <c r="R101" s="159" t="s">
        <v>597</v>
      </c>
      <c r="S101" s="159" t="s">
        <v>93</v>
      </c>
      <c r="T101" s="159" t="s">
        <v>94</v>
      </c>
      <c r="U101" s="159" t="s">
        <v>598</v>
      </c>
      <c r="V101" s="160" t="s">
        <v>96</v>
      </c>
      <c r="W101" s="161"/>
      <c r="X101" s="162"/>
      <c r="Y101" s="163"/>
      <c r="Z101" s="162"/>
      <c r="AA101" s="163"/>
      <c r="AB101" s="162"/>
      <c r="AC101" s="163"/>
      <c r="AD101" s="162"/>
      <c r="AE101" s="163"/>
      <c r="AF101" s="162"/>
      <c r="AG101" s="163"/>
      <c r="AH101" s="163"/>
      <c r="AI101" s="162"/>
      <c r="AJ101" s="163"/>
      <c r="AK101" s="162"/>
      <c r="AL101" s="163"/>
      <c r="AM101" s="162"/>
      <c r="AN101" s="163">
        <v>1</v>
      </c>
      <c r="AO101" s="162"/>
      <c r="AP101" s="164"/>
      <c r="AQ101" s="164"/>
      <c r="AR101" s="164"/>
      <c r="AS101" s="164"/>
      <c r="AT101" s="164"/>
      <c r="AU101" s="164"/>
      <c r="AV101" s="164"/>
      <c r="AW101" s="164"/>
      <c r="AX101" s="164"/>
      <c r="AY101" s="165"/>
      <c r="AZ101" s="41"/>
      <c r="BA101" s="190"/>
      <c r="BB101" s="191"/>
      <c r="BC101" s="191"/>
      <c r="BD101" s="191"/>
      <c r="BE101" s="191"/>
      <c r="BF101" s="191"/>
      <c r="BG101" s="191">
        <v>50</v>
      </c>
      <c r="BH101" s="191"/>
      <c r="BI101" s="191"/>
      <c r="BJ101" s="191"/>
      <c r="BK101" s="191"/>
      <c r="BL101" s="191"/>
      <c r="BM101" s="191"/>
      <c r="BN101" s="191">
        <v>150</v>
      </c>
      <c r="BO101" s="191"/>
      <c r="BP101" s="191"/>
      <c r="BQ101" s="191"/>
      <c r="BR101" s="191"/>
      <c r="BS101" s="191"/>
      <c r="BT101" s="191"/>
      <c r="BU101" s="191">
        <v>100</v>
      </c>
      <c r="BV101" s="191"/>
      <c r="BW101" s="191"/>
      <c r="BX101" s="191"/>
      <c r="BY101" s="191"/>
      <c r="BZ101" s="191"/>
      <c r="CA101" s="191"/>
      <c r="CB101" s="191">
        <v>50</v>
      </c>
      <c r="CC101" s="191"/>
      <c r="CD101" s="191"/>
      <c r="CE101" s="192"/>
      <c r="CF101" s="190"/>
      <c r="CG101" s="191"/>
      <c r="CH101" s="191"/>
      <c r="CI101" s="191">
        <v>50</v>
      </c>
      <c r="CJ101" s="191"/>
      <c r="CK101" s="191"/>
      <c r="CL101" s="191"/>
      <c r="CM101" s="191"/>
      <c r="CN101" s="191"/>
      <c r="CO101" s="191"/>
      <c r="CP101" s="191">
        <v>10</v>
      </c>
      <c r="CQ101" s="191"/>
      <c r="CR101" s="191"/>
      <c r="CS101" s="191"/>
      <c r="CT101" s="191"/>
      <c r="CU101" s="191"/>
      <c r="CV101" s="191"/>
      <c r="CW101" s="191">
        <v>100</v>
      </c>
      <c r="CX101" s="191"/>
      <c r="CY101" s="191"/>
      <c r="CZ101" s="191"/>
      <c r="DA101" s="191"/>
      <c r="DB101" s="191"/>
      <c r="DC101" s="191"/>
      <c r="DD101" s="191">
        <v>200</v>
      </c>
      <c r="DE101" s="191"/>
      <c r="DF101" s="191"/>
      <c r="DG101" s="191"/>
      <c r="DH101" s="193"/>
      <c r="DI101" s="194"/>
      <c r="DJ101" s="191"/>
      <c r="DK101" s="191"/>
      <c r="DL101" s="191">
        <v>100</v>
      </c>
      <c r="DM101" s="191"/>
      <c r="DN101" s="191"/>
      <c r="DO101" s="191"/>
      <c r="DP101" s="191"/>
      <c r="DQ101" s="191"/>
      <c r="DR101" s="191"/>
      <c r="DS101" s="191">
        <v>100</v>
      </c>
      <c r="DT101" s="191"/>
      <c r="DU101" s="191"/>
      <c r="DV101" s="191"/>
      <c r="DW101" s="191"/>
      <c r="DX101" s="191"/>
      <c r="DY101" s="191"/>
      <c r="DZ101" s="191">
        <v>100</v>
      </c>
      <c r="EA101" s="191"/>
      <c r="EB101" s="191"/>
      <c r="EC101" s="191"/>
      <c r="ED101" s="191"/>
      <c r="EE101" s="191"/>
      <c r="EF101" s="191"/>
      <c r="EG101" s="191">
        <v>10</v>
      </c>
      <c r="EH101" s="191"/>
      <c r="EI101" s="191"/>
      <c r="EJ101" s="191"/>
      <c r="EK101" s="191"/>
      <c r="EL101" s="191"/>
      <c r="EM101" s="192"/>
      <c r="EN101" s="190">
        <v>10</v>
      </c>
      <c r="EO101" s="191"/>
      <c r="EP101" s="191"/>
      <c r="EQ101" s="191"/>
      <c r="ER101" s="191"/>
      <c r="ES101" s="191"/>
      <c r="ET101" s="191"/>
      <c r="EU101" s="191">
        <v>100</v>
      </c>
      <c r="EV101" s="191"/>
      <c r="EW101" s="191"/>
      <c r="EX101" s="191"/>
      <c r="EY101" s="191"/>
      <c r="EZ101" s="191"/>
      <c r="FA101" s="191"/>
      <c r="FB101" s="191">
        <v>100</v>
      </c>
      <c r="FC101" s="191"/>
      <c r="FD101" s="191"/>
      <c r="FE101" s="191"/>
      <c r="FF101" s="191"/>
      <c r="FG101" s="191"/>
      <c r="FH101" s="191"/>
      <c r="FI101" s="191">
        <v>150</v>
      </c>
      <c r="FJ101" s="191"/>
      <c r="FK101" s="191"/>
      <c r="FL101" s="191"/>
      <c r="FM101" s="191"/>
      <c r="FN101" s="191"/>
      <c r="FO101" s="191"/>
      <c r="FP101" s="191">
        <v>150</v>
      </c>
      <c r="FQ101" s="193"/>
      <c r="FR101" s="194"/>
      <c r="FS101" s="191"/>
      <c r="FT101" s="191"/>
      <c r="FU101" s="191"/>
      <c r="FV101" s="191"/>
      <c r="FW101" s="191"/>
      <c r="FX101" s="191"/>
      <c r="FY101" s="191"/>
      <c r="FZ101" s="191"/>
      <c r="GA101" s="191"/>
      <c r="GB101" s="191"/>
      <c r="GC101" s="191"/>
      <c r="GD101" s="191"/>
      <c r="GE101" s="191"/>
      <c r="GF101" s="191"/>
      <c r="GG101" s="191"/>
      <c r="GH101" s="191"/>
      <c r="GI101" s="191"/>
      <c r="GJ101" s="191"/>
      <c r="GK101" s="191">
        <v>200</v>
      </c>
      <c r="GL101" s="191"/>
      <c r="GM101" s="191"/>
      <c r="GN101" s="191"/>
      <c r="GO101" s="191"/>
      <c r="GP101" s="191"/>
      <c r="GQ101" s="191"/>
      <c r="GR101" s="191">
        <v>50</v>
      </c>
      <c r="GS101" s="191"/>
      <c r="GT101" s="191"/>
      <c r="GU101" s="191"/>
      <c r="GV101" s="192"/>
      <c r="GW101" s="190"/>
      <c r="GX101" s="191"/>
      <c r="GY101" s="191">
        <v>150</v>
      </c>
      <c r="GZ101" s="191"/>
      <c r="HA101" s="191"/>
      <c r="HB101" s="191"/>
      <c r="HC101" s="191"/>
      <c r="HD101" s="191"/>
      <c r="HE101" s="191"/>
      <c r="HF101" s="191">
        <v>150</v>
      </c>
      <c r="HG101" s="191"/>
      <c r="HH101" s="191"/>
      <c r="HI101" s="191"/>
      <c r="HJ101" s="191"/>
      <c r="HK101" s="191"/>
      <c r="HL101" s="191"/>
      <c r="HM101" s="191">
        <v>100</v>
      </c>
      <c r="HN101" s="191"/>
      <c r="HO101" s="191"/>
      <c r="HP101" s="191"/>
      <c r="HQ101" s="191"/>
      <c r="HR101" s="191"/>
      <c r="HS101" s="191"/>
      <c r="HT101" s="191">
        <v>100</v>
      </c>
      <c r="HU101" s="191"/>
      <c r="HV101" s="191"/>
      <c r="HW101" s="191"/>
      <c r="HX101" s="191"/>
      <c r="HY101" s="191"/>
      <c r="HZ101" s="193"/>
      <c r="IA101" s="194">
        <v>50</v>
      </c>
      <c r="IB101" s="191"/>
      <c r="IC101" s="191"/>
      <c r="ID101" s="191"/>
      <c r="IE101" s="191"/>
      <c r="IF101" s="191"/>
      <c r="IG101" s="191"/>
      <c r="IH101" s="191"/>
      <c r="II101" s="191"/>
      <c r="IJ101" s="191"/>
      <c r="IK101" s="191"/>
      <c r="IL101" s="191"/>
      <c r="IM101" s="191"/>
      <c r="IN101" s="191"/>
      <c r="IO101" s="191"/>
      <c r="IP101" s="191">
        <v>100</v>
      </c>
      <c r="IQ101" s="191"/>
      <c r="IR101" s="191"/>
      <c r="IS101" s="191"/>
      <c r="IT101" s="191"/>
      <c r="IU101" s="191"/>
      <c r="IV101" s="191">
        <v>100</v>
      </c>
      <c r="IW101" s="191"/>
      <c r="IX101" s="191"/>
      <c r="IY101" s="191"/>
      <c r="IZ101" s="191"/>
      <c r="JA101" s="191"/>
      <c r="JB101" s="191"/>
      <c r="JC101" s="191">
        <v>150</v>
      </c>
      <c r="JD101" s="191"/>
      <c r="JE101" s="192"/>
      <c r="JF101" s="190"/>
      <c r="JG101" s="191"/>
      <c r="JH101" s="191"/>
      <c r="JI101" s="191"/>
      <c r="JJ101" s="191">
        <v>150</v>
      </c>
      <c r="JK101" s="191"/>
      <c r="JL101" s="191"/>
      <c r="JM101" s="191"/>
      <c r="JN101" s="191"/>
      <c r="JO101" s="191"/>
      <c r="JP101" s="191"/>
      <c r="JQ101" s="191">
        <v>150</v>
      </c>
      <c r="JR101" s="191"/>
      <c r="JS101" s="191"/>
      <c r="JT101" s="191"/>
      <c r="JU101" s="191"/>
      <c r="JV101" s="191"/>
      <c r="JW101" s="191"/>
      <c r="JX101" s="191">
        <v>150</v>
      </c>
      <c r="JY101" s="191"/>
      <c r="JZ101" s="191"/>
      <c r="KA101" s="191"/>
      <c r="KB101" s="191"/>
      <c r="KC101" s="191"/>
      <c r="KD101" s="191"/>
      <c r="KE101" s="191">
        <v>150</v>
      </c>
      <c r="KF101" s="191"/>
      <c r="KG101" s="191"/>
      <c r="KH101" s="191"/>
      <c r="KI101" s="191"/>
      <c r="KJ101" s="193"/>
      <c r="KK101" s="194"/>
      <c r="KL101" s="191">
        <v>50</v>
      </c>
      <c r="KM101" s="191"/>
      <c r="KN101" s="191"/>
      <c r="KO101" s="191"/>
      <c r="KP101" s="191"/>
      <c r="KQ101" s="191"/>
      <c r="KR101" s="191"/>
      <c r="KS101" s="191">
        <v>100</v>
      </c>
      <c r="KT101" s="191"/>
      <c r="KU101" s="191"/>
      <c r="KV101" s="191"/>
      <c r="KW101" s="191"/>
      <c r="KX101" s="191"/>
      <c r="KY101" s="191"/>
      <c r="KZ101" s="191">
        <v>50</v>
      </c>
      <c r="LA101" s="191"/>
      <c r="LB101" s="191"/>
      <c r="LC101" s="191"/>
      <c r="LD101" s="191"/>
      <c r="LE101" s="191"/>
      <c r="LF101" s="191"/>
      <c r="LG101" s="191">
        <v>150</v>
      </c>
      <c r="LH101" s="191"/>
      <c r="LI101" s="191"/>
      <c r="LJ101" s="191"/>
      <c r="LK101" s="191"/>
      <c r="LL101" s="191"/>
      <c r="LM101" s="191"/>
      <c r="LN101" s="192">
        <v>100</v>
      </c>
      <c r="LO101" s="190"/>
      <c r="LP101" s="191"/>
      <c r="LQ101" s="191"/>
      <c r="LR101" s="191"/>
      <c r="LS101" s="191"/>
      <c r="LT101" s="191"/>
      <c r="LU101" s="191">
        <v>100</v>
      </c>
      <c r="LV101" s="191"/>
      <c r="LW101" s="191"/>
      <c r="LX101" s="191"/>
      <c r="LY101" s="191"/>
      <c r="LZ101" s="191"/>
      <c r="MA101" s="191"/>
      <c r="MB101" s="191">
        <v>100</v>
      </c>
      <c r="MC101" s="191"/>
      <c r="MD101" s="191"/>
      <c r="ME101" s="191"/>
      <c r="MF101" s="191"/>
      <c r="MG101" s="191"/>
      <c r="MH101" s="191"/>
      <c r="MI101" s="191">
        <v>150</v>
      </c>
      <c r="MJ101" s="191"/>
      <c r="MK101" s="191"/>
      <c r="ML101" s="191"/>
      <c r="MM101" s="191"/>
      <c r="MN101" s="191"/>
      <c r="MO101" s="191"/>
      <c r="MP101" s="191">
        <v>100</v>
      </c>
      <c r="MQ101" s="191"/>
      <c r="MR101" s="191"/>
      <c r="MS101" s="193"/>
      <c r="MT101" s="194"/>
      <c r="MU101" s="191"/>
      <c r="MV101" s="191"/>
      <c r="MW101" s="191">
        <v>200</v>
      </c>
      <c r="MX101" s="191"/>
      <c r="MY101" s="191"/>
      <c r="MZ101" s="191"/>
      <c r="NA101" s="191"/>
      <c r="NB101" s="191"/>
      <c r="NC101" s="191"/>
      <c r="ND101" s="191"/>
      <c r="NE101" s="191">
        <v>150</v>
      </c>
      <c r="NF101" s="191"/>
      <c r="NG101" s="191"/>
      <c r="NH101" s="191"/>
      <c r="NI101" s="191"/>
      <c r="NJ101" s="191"/>
      <c r="NK101" s="191">
        <v>50</v>
      </c>
      <c r="NL101" s="191"/>
      <c r="NM101" s="191"/>
      <c r="NN101" s="191"/>
      <c r="NO101" s="191"/>
      <c r="NP101" s="191"/>
      <c r="NQ101" s="191"/>
      <c r="NR101" s="191">
        <v>100</v>
      </c>
      <c r="NS101" s="191"/>
      <c r="NT101" s="191"/>
      <c r="NU101" s="191"/>
      <c r="NV101" s="191"/>
      <c r="NW101" s="192"/>
      <c r="NX101" s="190"/>
      <c r="NY101" s="191">
        <v>100</v>
      </c>
      <c r="NZ101" s="191"/>
      <c r="OA101" s="191"/>
      <c r="OB101" s="191"/>
      <c r="OC101" s="191"/>
      <c r="OD101" s="191"/>
      <c r="OE101" s="191"/>
      <c r="OF101" s="191">
        <v>50</v>
      </c>
      <c r="OG101" s="191"/>
      <c r="OH101" s="191"/>
      <c r="OI101" s="191"/>
      <c r="OJ101" s="191"/>
      <c r="OK101" s="191"/>
      <c r="OL101" s="191"/>
      <c r="OM101" s="191">
        <v>10</v>
      </c>
      <c r="ON101" s="191"/>
      <c r="OO101" s="191"/>
      <c r="OP101" s="191"/>
      <c r="OQ101" s="191"/>
      <c r="OR101" s="191"/>
      <c r="OS101" s="191"/>
      <c r="OT101" s="191"/>
      <c r="OU101" s="191"/>
      <c r="OV101" s="191"/>
      <c r="OW101" s="191"/>
      <c r="OX101" s="191"/>
      <c r="OY101" s="191"/>
      <c r="OZ101" s="191"/>
      <c r="PA101" s="191"/>
      <c r="PB101" s="193"/>
      <c r="PC101" s="47"/>
      <c r="PD101" s="154" t="s">
        <v>97</v>
      </c>
      <c r="PE101" s="155" t="s">
        <v>98</v>
      </c>
      <c r="PF101" s="155" t="s">
        <v>98</v>
      </c>
      <c r="PG101" s="155" t="s">
        <v>98</v>
      </c>
      <c r="PH101" s="155" t="s">
        <v>98</v>
      </c>
      <c r="PI101" s="155" t="s">
        <v>98</v>
      </c>
      <c r="PJ101" s="155" t="s">
        <v>98</v>
      </c>
      <c r="PK101" s="155" t="s">
        <v>98</v>
      </c>
      <c r="PL101" s="155" t="s">
        <v>98</v>
      </c>
      <c r="PM101" s="155" t="s">
        <v>98</v>
      </c>
      <c r="PN101" s="155" t="s">
        <v>98</v>
      </c>
      <c r="PO101" s="156"/>
      <c r="PP101" s="156"/>
      <c r="PQ101" s="156"/>
      <c r="PR101" s="156"/>
      <c r="PS101" s="156"/>
      <c r="PT101" s="156"/>
      <c r="PU101" s="156"/>
      <c r="PV101" s="156"/>
      <c r="PW101" s="156"/>
      <c r="PX101" s="195"/>
      <c r="PY101" s="1"/>
      <c r="PZ101" s="196">
        <f t="shared" si="73"/>
        <v>350</v>
      </c>
      <c r="QA101" s="176">
        <f t="shared" si="74"/>
        <v>2.9198298156336033E-3</v>
      </c>
      <c r="QB101" s="177" t="str">
        <f t="shared" ca="1" si="75"/>
        <v>Attente…</v>
      </c>
      <c r="QC101" s="197">
        <f t="shared" si="76"/>
        <v>360</v>
      </c>
      <c r="QD101" s="179">
        <f t="shared" si="77"/>
        <v>3.3707865168539327E-3</v>
      </c>
      <c r="QE101" s="180" t="str">
        <f t="shared" ca="1" si="78"/>
        <v>Attente…</v>
      </c>
      <c r="QF101" s="196">
        <f t="shared" si="79"/>
        <v>310</v>
      </c>
      <c r="QG101" s="176">
        <f t="shared" si="80"/>
        <v>2.4685459468068165E-3</v>
      </c>
      <c r="QH101" s="177" t="str">
        <f t="shared" ca="1" si="81"/>
        <v>Attente…</v>
      </c>
      <c r="QI101" s="197">
        <f t="shared" si="82"/>
        <v>510</v>
      </c>
      <c r="QJ101" s="179">
        <f t="shared" si="83"/>
        <v>3.576939262168607E-3</v>
      </c>
      <c r="QK101" s="180" t="str">
        <f t="shared" ca="1" si="84"/>
        <v>Attente…</v>
      </c>
      <c r="QL101" s="196">
        <f t="shared" si="85"/>
        <v>250</v>
      </c>
      <c r="QM101" s="176">
        <f t="shared" si="86"/>
        <v>1.8290898448931811E-3</v>
      </c>
      <c r="QN101" s="177" t="str">
        <f t="shared" ca="1" si="87"/>
        <v>Attente…</v>
      </c>
      <c r="QO101" s="197">
        <f t="shared" si="88"/>
        <v>500</v>
      </c>
      <c r="QP101" s="179">
        <f t="shared" si="89"/>
        <v>3.9145071635481093E-3</v>
      </c>
      <c r="QQ101" s="180" t="str">
        <f t="shared" ca="1" si="90"/>
        <v>Attente…</v>
      </c>
      <c r="QR101" s="196">
        <f t="shared" si="91"/>
        <v>400</v>
      </c>
      <c r="QS101" s="176">
        <f t="shared" si="92"/>
        <v>2.8796659587487852E-3</v>
      </c>
      <c r="QT101" s="177" t="str">
        <f t="shared" ca="1" si="93"/>
        <v>Attente…</v>
      </c>
      <c r="QU101" s="197">
        <f t="shared" si="94"/>
        <v>600</v>
      </c>
      <c r="QV101" s="179">
        <f t="shared" si="95"/>
        <v>4.1367898510755651E-3</v>
      </c>
      <c r="QW101" s="180" t="str">
        <f t="shared" ca="1" si="96"/>
        <v>Attente…</v>
      </c>
      <c r="QX101" s="196">
        <f t="shared" si="97"/>
        <v>450</v>
      </c>
      <c r="QY101" s="176">
        <f t="shared" si="98"/>
        <v>3.2838086342275022E-3</v>
      </c>
      <c r="QZ101" s="177" t="str">
        <f t="shared" ca="1" si="99"/>
        <v>Attente…</v>
      </c>
      <c r="RA101" s="197">
        <f t="shared" si="100"/>
        <v>450</v>
      </c>
      <c r="RB101" s="179">
        <f t="shared" si="101"/>
        <v>3.5208512635943978E-3</v>
      </c>
      <c r="RC101" s="180" t="str">
        <f t="shared" ca="1" si="102"/>
        <v>Attente…</v>
      </c>
      <c r="RD101" s="196">
        <f t="shared" si="103"/>
        <v>500</v>
      </c>
      <c r="RE101" s="176">
        <f t="shared" si="104"/>
        <v>4.9820645675567954E-3</v>
      </c>
      <c r="RF101" s="177" t="str">
        <f t="shared" ca="1" si="105"/>
        <v>Attente…</v>
      </c>
      <c r="RG101" s="197">
        <f t="shared" si="106"/>
        <v>160</v>
      </c>
      <c r="RH101" s="179">
        <f t="shared" si="107"/>
        <v>2.9427993378701488E-3</v>
      </c>
      <c r="RI101" s="198" t="str">
        <f t="shared" ca="1" si="108"/>
        <v>Attente…</v>
      </c>
      <c r="RJ101" s="199">
        <f t="shared" si="109"/>
        <v>1020</v>
      </c>
      <c r="RK101" s="200" t="str">
        <f t="shared" ca="1" si="66"/>
        <v>Attente…</v>
      </c>
      <c r="RL101" s="199">
        <f t="shared" si="110"/>
        <v>1260</v>
      </c>
      <c r="RM101" s="200" t="str">
        <f t="shared" ca="1" si="111"/>
        <v>Atttente…</v>
      </c>
      <c r="RN101" s="199">
        <f t="shared" si="112"/>
        <v>1450</v>
      </c>
      <c r="RO101" s="200" t="str">
        <f t="shared" ca="1" si="67"/>
        <v>Attente…</v>
      </c>
      <c r="RP101" s="199">
        <f t="shared" si="113"/>
        <v>1110</v>
      </c>
      <c r="RQ101" s="200" t="str">
        <f t="shared" ca="1" si="68"/>
        <v>Attente…</v>
      </c>
      <c r="RR101" s="201">
        <f t="shared" si="114"/>
        <v>4840</v>
      </c>
      <c r="RS101" s="202" t="str">
        <f t="shared" ca="1" si="69"/>
        <v>Attente…</v>
      </c>
      <c r="RT101" s="103"/>
      <c r="RU101" s="203">
        <f t="shared" si="115"/>
        <v>0.51489361702127656</v>
      </c>
      <c r="RV101" s="204">
        <f t="shared" si="118"/>
        <v>1</v>
      </c>
      <c r="RW101" s="204">
        <f t="shared" si="118"/>
        <v>1</v>
      </c>
      <c r="RX101" s="204">
        <f t="shared" si="116"/>
        <v>47</v>
      </c>
      <c r="RY101" s="205" t="str">
        <f t="shared" si="117"/>
        <v>LA LONDE - 30 rue des Fusillés (Croisement rue Frete)</v>
      </c>
      <c r="RZ101" s="189" t="str">
        <f>IF(OR(RZ100="",RZ100="  &lt;/Document&gt;
&lt;/kml&gt;"),"",
IF(B101="","  &lt;/Document&gt;
&lt;/kml&gt;",
IF(TournéesCAV!Q101=""," ",
"    &lt;Placemark&gt;
      &lt;description&gt;&lt;![CDATA["&amp;B101&amp;"&lt;br&gt;&lt;br&gt;"&amp;RV101&amp;" CAV&lt;br&gt;&lt;br&gt;Présent sur "&amp;RW101&amp;" tournée(s)&lt;br&gt;&lt;br&gt;Taux de remplissage moyen "&amp;TEXT(RU101*1000,"0 %")&amp;"]]&gt;&lt;/description&gt;
      &lt;Style&gt;
        &lt;IconStyle&gt;
          &lt;color&gt;ff"&amp;
          DEC2HEX(0,2)&amp;
          DEC2HEX(
            IF(RU101&lt;=0.5,
               INT(255*(RU101*2)),
               255
            ),2)&amp;
          DEC2HEX(
            IF(RU101&lt;=0.5,
               255,
               INT(255*(1-(RU101-0.5)*2))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&lt;Point&gt;&lt;coordinates&gt;"&amp;R101&amp;","&amp;Q101&amp;",0&lt;/coordinates&gt;&lt;/Point&gt;
    &lt;/Placemark&gt;"
)))</f>
        <v xml:space="preserve">    &lt;Placemark&gt;
      &lt;description&gt;&lt;![CDATA[LA LONDE - 30 rue des Fusillés (Croisement rue Frete)&lt;br&gt;&lt;br&gt;1 CAV&lt;br&gt;&lt;br&gt;Présent sur 1 tournée(s)&lt;br&gt;&lt;br&gt;Taux de remplissage moyen 51%]]&gt;&lt;/description&gt;
      &lt;Style&gt;
        &lt;IconStyle&gt;
          &lt;color&gt;ff00FFF7&lt;/color&gt;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&lt;Point&gt;&lt;coordinates&gt;0.9602677,49.3063384,0&lt;/coordinates&gt;&lt;/Point&gt;
    &lt;/Placemark&gt;</v>
      </c>
    </row>
    <row r="102" spans="2:494" ht="15" hidden="1" customHeight="1" x14ac:dyDescent="0.35">
      <c r="B102" s="153" t="str">
        <f t="shared" si="70"/>
        <v>LA NEUVILLE-CHANT-D'OISEL - Rue du Froc aux Moines (Stade de Foot)</v>
      </c>
      <c r="C102" s="154">
        <v>62</v>
      </c>
      <c r="D102" s="155"/>
      <c r="E102" s="155"/>
      <c r="F102" s="155"/>
      <c r="G102" s="155"/>
      <c r="H102" s="155"/>
      <c r="I102" s="155"/>
      <c r="J102" s="156"/>
      <c r="K102" s="157">
        <f t="shared" si="71"/>
        <v>1</v>
      </c>
      <c r="L102" s="157">
        <f t="shared" si="72"/>
        <v>1</v>
      </c>
      <c r="M102" s="158" t="s">
        <v>599</v>
      </c>
      <c r="N102" s="159" t="s">
        <v>600</v>
      </c>
      <c r="O102" s="159">
        <v>76520</v>
      </c>
      <c r="P102" s="159" t="s">
        <v>601</v>
      </c>
      <c r="Q102" s="159" t="s">
        <v>602</v>
      </c>
      <c r="R102" s="159" t="s">
        <v>603</v>
      </c>
      <c r="S102" s="159" t="s">
        <v>93</v>
      </c>
      <c r="T102" s="159" t="s">
        <v>94</v>
      </c>
      <c r="U102" s="159" t="s">
        <v>604</v>
      </c>
      <c r="V102" s="160" t="s">
        <v>96</v>
      </c>
      <c r="W102" s="161"/>
      <c r="X102" s="162"/>
      <c r="Y102" s="163"/>
      <c r="Z102" s="162"/>
      <c r="AA102" s="163"/>
      <c r="AB102" s="162"/>
      <c r="AC102" s="163"/>
      <c r="AD102" s="162"/>
      <c r="AE102" s="163"/>
      <c r="AF102" s="162"/>
      <c r="AG102" s="163"/>
      <c r="AH102" s="163"/>
      <c r="AI102" s="162"/>
      <c r="AJ102" s="163"/>
      <c r="AK102" s="162"/>
      <c r="AL102" s="163">
        <v>7</v>
      </c>
      <c r="AM102" s="162"/>
      <c r="AN102" s="163"/>
      <c r="AO102" s="162"/>
      <c r="AP102" s="164"/>
      <c r="AQ102" s="164"/>
      <c r="AR102" s="164"/>
      <c r="AS102" s="164"/>
      <c r="AT102" s="164"/>
      <c r="AU102" s="164"/>
      <c r="AV102" s="164"/>
      <c r="AW102" s="164"/>
      <c r="AX102" s="164"/>
      <c r="AY102" s="165"/>
      <c r="AZ102" s="41"/>
      <c r="BA102" s="190"/>
      <c r="BB102" s="191"/>
      <c r="BC102" s="191"/>
      <c r="BD102" s="191"/>
      <c r="BE102" s="191"/>
      <c r="BF102" s="191"/>
      <c r="BG102" s="191"/>
      <c r="BH102" s="191">
        <v>200</v>
      </c>
      <c r="BI102" s="191"/>
      <c r="BJ102" s="191"/>
      <c r="BK102" s="191"/>
      <c r="BL102" s="191"/>
      <c r="BM102" s="191"/>
      <c r="BN102" s="191"/>
      <c r="BO102" s="191">
        <v>100</v>
      </c>
      <c r="BP102" s="191"/>
      <c r="BQ102" s="191"/>
      <c r="BR102" s="191"/>
      <c r="BS102" s="191"/>
      <c r="BT102" s="191"/>
      <c r="BU102" s="191"/>
      <c r="BV102" s="191">
        <v>100</v>
      </c>
      <c r="BW102" s="191"/>
      <c r="BX102" s="191"/>
      <c r="BY102" s="191"/>
      <c r="BZ102" s="191"/>
      <c r="CA102" s="191"/>
      <c r="CB102" s="191"/>
      <c r="CC102" s="191">
        <v>50</v>
      </c>
      <c r="CD102" s="191"/>
      <c r="CE102" s="192"/>
      <c r="CF102" s="190"/>
      <c r="CG102" s="191"/>
      <c r="CH102" s="191"/>
      <c r="CI102" s="191"/>
      <c r="CJ102" s="191">
        <v>50</v>
      </c>
      <c r="CK102" s="191"/>
      <c r="CL102" s="191"/>
      <c r="CM102" s="191"/>
      <c r="CN102" s="191"/>
      <c r="CO102" s="191"/>
      <c r="CP102" s="191"/>
      <c r="CQ102" s="191">
        <v>50</v>
      </c>
      <c r="CR102" s="191"/>
      <c r="CS102" s="191"/>
      <c r="CT102" s="191"/>
      <c r="CU102" s="191"/>
      <c r="CV102" s="191"/>
      <c r="CW102" s="191"/>
      <c r="CX102" s="191">
        <v>50</v>
      </c>
      <c r="CY102" s="191"/>
      <c r="CZ102" s="191"/>
      <c r="DA102" s="191"/>
      <c r="DB102" s="191"/>
      <c r="DC102" s="191"/>
      <c r="DD102" s="191"/>
      <c r="DE102" s="191">
        <v>10</v>
      </c>
      <c r="DF102" s="191"/>
      <c r="DG102" s="191"/>
      <c r="DH102" s="193"/>
      <c r="DI102" s="194"/>
      <c r="DJ102" s="191"/>
      <c r="DK102" s="191"/>
      <c r="DL102" s="191"/>
      <c r="DM102" s="191">
        <v>50</v>
      </c>
      <c r="DN102" s="191"/>
      <c r="DO102" s="191"/>
      <c r="DP102" s="191"/>
      <c r="DQ102" s="191"/>
      <c r="DR102" s="191"/>
      <c r="DS102" s="191"/>
      <c r="DT102" s="191">
        <v>100</v>
      </c>
      <c r="DU102" s="191"/>
      <c r="DV102" s="191"/>
      <c r="DW102" s="191"/>
      <c r="DX102" s="191"/>
      <c r="DY102" s="191"/>
      <c r="DZ102" s="191"/>
      <c r="EA102" s="191"/>
      <c r="EB102" s="191"/>
      <c r="EC102" s="191"/>
      <c r="ED102" s="191"/>
      <c r="EE102" s="191"/>
      <c r="EF102" s="191"/>
      <c r="EG102" s="191"/>
      <c r="EH102" s="191">
        <v>100</v>
      </c>
      <c r="EI102" s="191"/>
      <c r="EJ102" s="191"/>
      <c r="EK102" s="191"/>
      <c r="EL102" s="191"/>
      <c r="EM102" s="192"/>
      <c r="EN102" s="190"/>
      <c r="EO102" s="191">
        <v>50</v>
      </c>
      <c r="EP102" s="191"/>
      <c r="EQ102" s="191"/>
      <c r="ER102" s="191"/>
      <c r="ES102" s="191"/>
      <c r="ET102" s="191"/>
      <c r="EU102" s="191"/>
      <c r="EV102" s="191"/>
      <c r="EW102" s="191"/>
      <c r="EX102" s="191"/>
      <c r="EY102" s="191"/>
      <c r="EZ102" s="191"/>
      <c r="FA102" s="191"/>
      <c r="FB102" s="191"/>
      <c r="FC102" s="191">
        <v>200</v>
      </c>
      <c r="FD102" s="191"/>
      <c r="FE102" s="191"/>
      <c r="FF102" s="191"/>
      <c r="FG102" s="191"/>
      <c r="FH102" s="191"/>
      <c r="FI102" s="191"/>
      <c r="FJ102" s="191"/>
      <c r="FK102" s="191"/>
      <c r="FL102" s="191">
        <v>100</v>
      </c>
      <c r="FM102" s="191"/>
      <c r="FN102" s="191"/>
      <c r="FO102" s="191"/>
      <c r="FP102" s="191"/>
      <c r="FQ102" s="193"/>
      <c r="FR102" s="194"/>
      <c r="FS102" s="191"/>
      <c r="FT102" s="191"/>
      <c r="FU102" s="191"/>
      <c r="FV102" s="191"/>
      <c r="FW102" s="191"/>
      <c r="FX102" s="191">
        <v>100</v>
      </c>
      <c r="FY102" s="191"/>
      <c r="FZ102" s="191"/>
      <c r="GA102" s="191"/>
      <c r="GB102" s="191"/>
      <c r="GC102" s="191"/>
      <c r="GD102" s="191"/>
      <c r="GE102" s="191"/>
      <c r="GF102" s="191"/>
      <c r="GG102" s="191"/>
      <c r="GH102" s="191"/>
      <c r="GI102" s="191"/>
      <c r="GJ102" s="191"/>
      <c r="GK102" s="191"/>
      <c r="GL102" s="191">
        <v>200</v>
      </c>
      <c r="GM102" s="191"/>
      <c r="GN102" s="191"/>
      <c r="GO102" s="191"/>
      <c r="GP102" s="191"/>
      <c r="GQ102" s="191"/>
      <c r="GR102" s="191"/>
      <c r="GS102" s="191"/>
      <c r="GT102" s="191"/>
      <c r="GU102" s="191"/>
      <c r="GV102" s="192"/>
      <c r="GW102" s="190"/>
      <c r="GX102" s="191"/>
      <c r="GY102" s="191"/>
      <c r="GZ102" s="191">
        <v>200</v>
      </c>
      <c r="HA102" s="191"/>
      <c r="HB102" s="191"/>
      <c r="HC102" s="191"/>
      <c r="HD102" s="191"/>
      <c r="HE102" s="191"/>
      <c r="HF102" s="191"/>
      <c r="HG102" s="191"/>
      <c r="HH102" s="191"/>
      <c r="HI102" s="191"/>
      <c r="HJ102" s="191"/>
      <c r="HK102" s="191"/>
      <c r="HL102" s="191"/>
      <c r="HM102" s="191"/>
      <c r="HN102" s="191"/>
      <c r="HO102" s="191"/>
      <c r="HP102" s="191"/>
      <c r="HQ102" s="191"/>
      <c r="HR102" s="191"/>
      <c r="HS102" s="191"/>
      <c r="HT102" s="191"/>
      <c r="HU102" s="191">
        <v>150</v>
      </c>
      <c r="HV102" s="191"/>
      <c r="HW102" s="191"/>
      <c r="HX102" s="191"/>
      <c r="HY102" s="191"/>
      <c r="HZ102" s="193"/>
      <c r="IA102" s="194"/>
      <c r="IB102" s="191">
        <v>200</v>
      </c>
      <c r="IC102" s="191"/>
      <c r="ID102" s="191"/>
      <c r="IE102" s="191"/>
      <c r="IF102" s="191"/>
      <c r="IG102" s="191"/>
      <c r="IH102" s="191"/>
      <c r="II102" s="191">
        <v>100</v>
      </c>
      <c r="IJ102" s="191"/>
      <c r="IK102" s="191"/>
      <c r="IL102" s="191"/>
      <c r="IM102" s="191"/>
      <c r="IN102" s="191"/>
      <c r="IO102" s="191"/>
      <c r="IP102" s="191"/>
      <c r="IQ102" s="191"/>
      <c r="IR102" s="191"/>
      <c r="IS102" s="191"/>
      <c r="IT102" s="191"/>
      <c r="IU102" s="191"/>
      <c r="IV102" s="191"/>
      <c r="IW102" s="191">
        <v>200</v>
      </c>
      <c r="IX102" s="191"/>
      <c r="IY102" s="191"/>
      <c r="IZ102" s="191"/>
      <c r="JA102" s="191"/>
      <c r="JB102" s="191"/>
      <c r="JC102" s="191"/>
      <c r="JD102" s="191"/>
      <c r="JE102" s="192"/>
      <c r="JF102" s="190"/>
      <c r="JG102" s="191"/>
      <c r="JH102" s="191"/>
      <c r="JI102" s="191"/>
      <c r="JJ102" s="191"/>
      <c r="JK102" s="191">
        <v>200</v>
      </c>
      <c r="JL102" s="191"/>
      <c r="JM102" s="191"/>
      <c r="JN102" s="191"/>
      <c r="JO102" s="191"/>
      <c r="JP102" s="191"/>
      <c r="JQ102" s="191"/>
      <c r="JR102" s="191">
        <v>100</v>
      </c>
      <c r="JS102" s="191"/>
      <c r="JT102" s="191"/>
      <c r="JU102" s="191"/>
      <c r="JV102" s="191"/>
      <c r="JW102" s="191"/>
      <c r="JX102" s="191"/>
      <c r="JY102" s="191">
        <v>100</v>
      </c>
      <c r="JZ102" s="191"/>
      <c r="KA102" s="191"/>
      <c r="KB102" s="191"/>
      <c r="KC102" s="191"/>
      <c r="KD102" s="191"/>
      <c r="KE102" s="191"/>
      <c r="KF102" s="191">
        <v>200</v>
      </c>
      <c r="KG102" s="191"/>
      <c r="KH102" s="191"/>
      <c r="KI102" s="191"/>
      <c r="KJ102" s="193"/>
      <c r="KK102" s="194"/>
      <c r="KL102" s="191"/>
      <c r="KM102" s="191">
        <v>150</v>
      </c>
      <c r="KN102" s="191"/>
      <c r="KO102" s="191"/>
      <c r="KP102" s="191"/>
      <c r="KQ102" s="191"/>
      <c r="KR102" s="191"/>
      <c r="KS102" s="191"/>
      <c r="KT102" s="191"/>
      <c r="KU102" s="191">
        <v>150</v>
      </c>
      <c r="KV102" s="191"/>
      <c r="KW102" s="191"/>
      <c r="KX102" s="191"/>
      <c r="KY102" s="191"/>
      <c r="KZ102" s="191"/>
      <c r="LA102" s="191"/>
      <c r="LB102" s="191"/>
      <c r="LC102" s="191"/>
      <c r="LD102" s="191"/>
      <c r="LE102" s="191"/>
      <c r="LF102" s="191"/>
      <c r="LG102" s="191"/>
      <c r="LH102" s="191">
        <v>200</v>
      </c>
      <c r="LI102" s="191"/>
      <c r="LJ102" s="191"/>
      <c r="LK102" s="191"/>
      <c r="LL102" s="191"/>
      <c r="LM102" s="191"/>
      <c r="LN102" s="192"/>
      <c r="LO102" s="190"/>
      <c r="LP102" s="191">
        <v>100</v>
      </c>
      <c r="LQ102" s="191"/>
      <c r="LR102" s="191"/>
      <c r="LS102" s="191"/>
      <c r="LT102" s="191"/>
      <c r="LU102" s="191"/>
      <c r="LV102" s="191">
        <v>50</v>
      </c>
      <c r="LW102" s="191"/>
      <c r="LX102" s="191"/>
      <c r="LY102" s="191"/>
      <c r="LZ102" s="191"/>
      <c r="MA102" s="191"/>
      <c r="MB102" s="191"/>
      <c r="MC102" s="191">
        <v>150</v>
      </c>
      <c r="MD102" s="191"/>
      <c r="ME102" s="191"/>
      <c r="MF102" s="191"/>
      <c r="MG102" s="191"/>
      <c r="MH102" s="191"/>
      <c r="MI102" s="191"/>
      <c r="MJ102" s="191">
        <v>100</v>
      </c>
      <c r="MK102" s="191"/>
      <c r="ML102" s="191"/>
      <c r="MM102" s="191"/>
      <c r="MN102" s="191"/>
      <c r="MO102" s="191"/>
      <c r="MP102" s="191"/>
      <c r="MQ102" s="191">
        <v>150</v>
      </c>
      <c r="MR102" s="191"/>
      <c r="MS102" s="193"/>
      <c r="MT102" s="194"/>
      <c r="MU102" s="191"/>
      <c r="MV102" s="191"/>
      <c r="MW102" s="191"/>
      <c r="MX102" s="191">
        <v>100</v>
      </c>
      <c r="MY102" s="191"/>
      <c r="MZ102" s="191"/>
      <c r="NA102" s="191"/>
      <c r="NB102" s="191"/>
      <c r="NC102" s="191"/>
      <c r="ND102" s="191"/>
      <c r="NE102" s="191"/>
      <c r="NF102" s="191"/>
      <c r="NG102" s="191"/>
      <c r="NH102" s="191"/>
      <c r="NI102" s="191"/>
      <c r="NJ102" s="191"/>
      <c r="NK102" s="191"/>
      <c r="NL102" s="191">
        <v>200</v>
      </c>
      <c r="NM102" s="191"/>
      <c r="NN102" s="191"/>
      <c r="NO102" s="191"/>
      <c r="NP102" s="191"/>
      <c r="NQ102" s="191"/>
      <c r="NR102" s="191"/>
      <c r="NS102" s="191">
        <v>10</v>
      </c>
      <c r="NT102" s="191"/>
      <c r="NU102" s="191"/>
      <c r="NV102" s="191"/>
      <c r="NW102" s="192"/>
      <c r="NX102" s="190"/>
      <c r="NY102" s="191"/>
      <c r="NZ102" s="191">
        <v>50</v>
      </c>
      <c r="OA102" s="191"/>
      <c r="OB102" s="191"/>
      <c r="OC102" s="191"/>
      <c r="OD102" s="191"/>
      <c r="OE102" s="191"/>
      <c r="OF102" s="191"/>
      <c r="OG102" s="191">
        <v>50</v>
      </c>
      <c r="OH102" s="191"/>
      <c r="OI102" s="191"/>
      <c r="OJ102" s="191"/>
      <c r="OK102" s="191"/>
      <c r="OL102" s="191"/>
      <c r="OM102" s="191"/>
      <c r="ON102" s="191">
        <v>50</v>
      </c>
      <c r="OO102" s="191"/>
      <c r="OP102" s="191"/>
      <c r="OQ102" s="191"/>
      <c r="OR102" s="191"/>
      <c r="OS102" s="191"/>
      <c r="OT102" s="191"/>
      <c r="OU102" s="191"/>
      <c r="OV102" s="191"/>
      <c r="OW102" s="191"/>
      <c r="OX102" s="191"/>
      <c r="OY102" s="191"/>
      <c r="OZ102" s="191"/>
      <c r="PA102" s="191"/>
      <c r="PB102" s="193"/>
      <c r="PC102" s="47"/>
      <c r="PD102" s="154" t="s">
        <v>97</v>
      </c>
      <c r="PE102" s="155" t="s">
        <v>98</v>
      </c>
      <c r="PF102" s="155" t="s">
        <v>98</v>
      </c>
      <c r="PG102" s="155" t="s">
        <v>98</v>
      </c>
      <c r="PH102" s="155" t="s">
        <v>98</v>
      </c>
      <c r="PI102" s="155" t="s">
        <v>98</v>
      </c>
      <c r="PJ102" s="155" t="s">
        <v>98</v>
      </c>
      <c r="PK102" s="155" t="s">
        <v>98</v>
      </c>
      <c r="PL102" s="155" t="s">
        <v>98</v>
      </c>
      <c r="PM102" s="155" t="s">
        <v>98</v>
      </c>
      <c r="PN102" s="155" t="s">
        <v>98</v>
      </c>
      <c r="PO102" s="156"/>
      <c r="PP102" s="156"/>
      <c r="PQ102" s="156"/>
      <c r="PR102" s="156"/>
      <c r="PS102" s="156"/>
      <c r="PT102" s="156"/>
      <c r="PU102" s="156"/>
      <c r="PV102" s="156"/>
      <c r="PW102" s="156"/>
      <c r="PX102" s="195"/>
      <c r="PY102" s="1"/>
      <c r="PZ102" s="196">
        <f t="shared" si="73"/>
        <v>450</v>
      </c>
      <c r="QA102" s="176">
        <f t="shared" si="74"/>
        <v>3.7540669058146324E-3</v>
      </c>
      <c r="QB102" s="177" t="str">
        <f t="shared" ca="1" si="75"/>
        <v>Attente…</v>
      </c>
      <c r="QC102" s="197">
        <f t="shared" si="76"/>
        <v>160</v>
      </c>
      <c r="QD102" s="179">
        <f t="shared" si="77"/>
        <v>1.4981273408239701E-3</v>
      </c>
      <c r="QE102" s="180" t="str">
        <f t="shared" ca="1" si="78"/>
        <v>Attente…</v>
      </c>
      <c r="QF102" s="196">
        <f t="shared" si="79"/>
        <v>250</v>
      </c>
      <c r="QG102" s="176">
        <f t="shared" si="80"/>
        <v>1.9907628603280775E-3</v>
      </c>
      <c r="QH102" s="177" t="str">
        <f t="shared" ca="1" si="81"/>
        <v>Attente…</v>
      </c>
      <c r="QI102" s="197">
        <f t="shared" si="82"/>
        <v>350</v>
      </c>
      <c r="QJ102" s="179">
        <f t="shared" si="83"/>
        <v>2.4547622387431616E-3</v>
      </c>
      <c r="QK102" s="180" t="str">
        <f t="shared" ca="1" si="84"/>
        <v>Attente…</v>
      </c>
      <c r="QL102" s="196">
        <f t="shared" si="85"/>
        <v>300</v>
      </c>
      <c r="QM102" s="176">
        <f t="shared" si="86"/>
        <v>2.1949078138718174E-3</v>
      </c>
      <c r="QN102" s="177" t="str">
        <f t="shared" ca="1" si="87"/>
        <v>Attente…</v>
      </c>
      <c r="QO102" s="197">
        <f t="shared" si="88"/>
        <v>350</v>
      </c>
      <c r="QP102" s="179">
        <f t="shared" si="89"/>
        <v>2.7401550144836766E-3</v>
      </c>
      <c r="QQ102" s="180" t="str">
        <f t="shared" ca="1" si="90"/>
        <v>Attente…</v>
      </c>
      <c r="QR102" s="196">
        <f t="shared" si="91"/>
        <v>500</v>
      </c>
      <c r="QS102" s="176">
        <f t="shared" si="92"/>
        <v>3.5995824484359815E-3</v>
      </c>
      <c r="QT102" s="177" t="str">
        <f t="shared" ca="1" si="93"/>
        <v>Attente…</v>
      </c>
      <c r="QU102" s="197">
        <f t="shared" si="94"/>
        <v>600</v>
      </c>
      <c r="QV102" s="179">
        <f t="shared" si="95"/>
        <v>4.1367898510755651E-3</v>
      </c>
      <c r="QW102" s="180" t="str">
        <f t="shared" ca="1" si="96"/>
        <v>Attente…</v>
      </c>
      <c r="QX102" s="196">
        <f t="shared" si="97"/>
        <v>500</v>
      </c>
      <c r="QY102" s="176">
        <f t="shared" si="98"/>
        <v>3.6486762602527803E-3</v>
      </c>
      <c r="QZ102" s="177" t="str">
        <f t="shared" ca="1" si="99"/>
        <v>Attente…</v>
      </c>
      <c r="RA102" s="197">
        <f t="shared" si="100"/>
        <v>550</v>
      </c>
      <c r="RB102" s="179">
        <f t="shared" si="101"/>
        <v>4.3032626555042641E-3</v>
      </c>
      <c r="RC102" s="180" t="str">
        <f t="shared" ca="1" si="102"/>
        <v>Attente…</v>
      </c>
      <c r="RD102" s="196">
        <f t="shared" si="103"/>
        <v>310</v>
      </c>
      <c r="RE102" s="176">
        <f t="shared" si="104"/>
        <v>3.0888800318852132E-3</v>
      </c>
      <c r="RF102" s="177" t="str">
        <f t="shared" ca="1" si="105"/>
        <v>Attente…</v>
      </c>
      <c r="RG102" s="197">
        <f t="shared" si="106"/>
        <v>150</v>
      </c>
      <c r="RH102" s="179">
        <f t="shared" si="107"/>
        <v>2.7588743792532648E-3</v>
      </c>
      <c r="RI102" s="198" t="str">
        <f t="shared" ca="1" si="108"/>
        <v>Attente…</v>
      </c>
      <c r="RJ102" s="199">
        <f t="shared" si="109"/>
        <v>860</v>
      </c>
      <c r="RK102" s="200" t="str">
        <f t="shared" ca="1" si="66"/>
        <v>Attente…</v>
      </c>
      <c r="RL102" s="199">
        <f t="shared" si="110"/>
        <v>1000</v>
      </c>
      <c r="RM102" s="200" t="str">
        <f t="shared" ca="1" si="111"/>
        <v>Atttente…</v>
      </c>
      <c r="RN102" s="199">
        <f t="shared" si="112"/>
        <v>1600</v>
      </c>
      <c r="RO102" s="200" t="str">
        <f t="shared" ca="1" si="67"/>
        <v>Attente…</v>
      </c>
      <c r="RP102" s="199">
        <f t="shared" si="113"/>
        <v>1010</v>
      </c>
      <c r="RQ102" s="200" t="str">
        <f t="shared" ca="1" si="68"/>
        <v>Attente…</v>
      </c>
      <c r="RR102" s="201">
        <f t="shared" si="114"/>
        <v>4470</v>
      </c>
      <c r="RS102" s="202" t="str">
        <f t="shared" ca="1" si="69"/>
        <v>Attente…</v>
      </c>
      <c r="RT102" s="103"/>
      <c r="RU102" s="203">
        <f t="shared" si="115"/>
        <v>0.57307692307692304</v>
      </c>
      <c r="RV102" s="204">
        <f t="shared" si="118"/>
        <v>1</v>
      </c>
      <c r="RW102" s="204">
        <f t="shared" si="118"/>
        <v>1</v>
      </c>
      <c r="RX102" s="204">
        <f t="shared" si="116"/>
        <v>39</v>
      </c>
      <c r="RY102" s="205" t="str">
        <f t="shared" si="117"/>
        <v>LA NEUVILLE-CHANT-D'OISEL - Rue du Froc aux Moines (Stade de Foot)</v>
      </c>
      <c r="RZ102" s="189" t="str">
        <f>IF(OR(RZ101="",RZ101="  &lt;/Document&gt;
&lt;/kml&gt;"),"",
IF(B102="","  &lt;/Document&gt;
&lt;/kml&gt;",
IF(TournéesCAV!Q102=""," ",
"    &lt;Placemark&gt;
      &lt;description&gt;&lt;![CDATA["&amp;B102&amp;"&lt;br&gt;&lt;br&gt;"&amp;RV102&amp;" CAV&lt;br&gt;&lt;br&gt;Présent sur "&amp;RW102&amp;" tournée(s)&lt;br&gt;&lt;br&gt;Taux de remplissage moyen "&amp;TEXT(RU102*1000,"0 %")&amp;"]]&gt;&lt;/description&gt;
      &lt;Style&gt;
        &lt;IconStyle&gt;
          &lt;color&gt;ff"&amp;
          DEC2HEX(0,2)&amp;
          DEC2HEX(
            IF(RU102&lt;=0.5,
               INT(255*(RU102*2)),
               255
            ),2)&amp;
          DEC2HEX(
            IF(RU102&lt;=0.5,
               255,
               INT(255*(1-(RU102-0.5)*2))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&lt;Point&gt;&lt;coordinates&gt;"&amp;R102&amp;","&amp;Q102&amp;",0&lt;/coordinates&gt;&lt;/Point&gt;
    &lt;/Placemark&gt;"
)))</f>
        <v xml:space="preserve">    &lt;Placemark&gt;
      &lt;description&gt;&lt;![CDATA[LA NEUVILLE-CHANT-D'OISEL - Rue du Froc aux Moines (Stade de Foot)&lt;br&gt;&lt;br&gt;1 CAV&lt;br&gt;&lt;br&gt;Présent sur 1 tournée(s)&lt;br&gt;&lt;br&gt;Taux de remplissage moyen 57%]]&gt;&lt;/description&gt;
      &lt;Style&gt;
        &lt;IconStyle&gt;
          &lt;color&gt;ff00FFD9&lt;/color&gt;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&lt;Point&gt;&lt;coordinates&gt;1.2451182344627432,49.368749062688885,0&lt;/coordinates&gt;&lt;/Point&gt;
    &lt;/Placemark&gt;</v>
      </c>
    </row>
    <row r="103" spans="2:494" ht="15" hidden="1" customHeight="1" x14ac:dyDescent="0.35">
      <c r="B103" s="153" t="str">
        <f t="shared" si="70"/>
        <v>LA LONDE - 590 rue Adolphe Marie (Stade de Foot)</v>
      </c>
      <c r="C103" s="213">
        <v>12</v>
      </c>
      <c r="D103" s="214"/>
      <c r="E103" s="214"/>
      <c r="F103" s="214"/>
      <c r="G103" s="214"/>
      <c r="H103" s="214"/>
      <c r="I103" s="214"/>
      <c r="J103" s="215"/>
      <c r="K103" s="216">
        <f t="shared" si="71"/>
        <v>1</v>
      </c>
      <c r="L103" s="216">
        <f t="shared" si="72"/>
        <v>1</v>
      </c>
      <c r="M103" s="209" t="s">
        <v>605</v>
      </c>
      <c r="N103" s="217" t="s">
        <v>600</v>
      </c>
      <c r="O103" s="159">
        <v>76500</v>
      </c>
      <c r="P103" s="159" t="s">
        <v>595</v>
      </c>
      <c r="Q103" s="159" t="s">
        <v>606</v>
      </c>
      <c r="R103" s="159" t="s">
        <v>607</v>
      </c>
      <c r="S103" s="159" t="s">
        <v>93</v>
      </c>
      <c r="T103" s="159" t="s">
        <v>94</v>
      </c>
      <c r="U103" s="159" t="s">
        <v>608</v>
      </c>
      <c r="V103" s="160" t="s">
        <v>123</v>
      </c>
      <c r="W103" s="161"/>
      <c r="X103" s="162"/>
      <c r="Y103" s="163"/>
      <c r="Z103" s="162"/>
      <c r="AA103" s="163"/>
      <c r="AB103" s="162"/>
      <c r="AC103" s="163"/>
      <c r="AD103" s="162"/>
      <c r="AE103" s="163"/>
      <c r="AF103" s="162"/>
      <c r="AG103" s="163"/>
      <c r="AH103" s="163"/>
      <c r="AI103" s="162"/>
      <c r="AJ103" s="163"/>
      <c r="AK103" s="162"/>
      <c r="AL103" s="163"/>
      <c r="AM103" s="162"/>
      <c r="AN103" s="163">
        <v>2</v>
      </c>
      <c r="AO103" s="162"/>
      <c r="AP103" s="164"/>
      <c r="AQ103" s="164"/>
      <c r="AR103" s="164"/>
      <c r="AS103" s="164"/>
      <c r="AT103" s="164"/>
      <c r="AU103" s="164"/>
      <c r="AV103" s="164"/>
      <c r="AW103" s="164"/>
      <c r="AX103" s="164"/>
      <c r="AY103" s="165"/>
      <c r="AZ103" s="41"/>
      <c r="BA103" s="190"/>
      <c r="BB103" s="191"/>
      <c r="BC103" s="191"/>
      <c r="BD103" s="191"/>
      <c r="BE103" s="191"/>
      <c r="BF103" s="191"/>
      <c r="BG103" s="191">
        <v>150</v>
      </c>
      <c r="BH103" s="191"/>
      <c r="BI103" s="191"/>
      <c r="BJ103" s="191"/>
      <c r="BK103" s="191"/>
      <c r="BL103" s="191"/>
      <c r="BM103" s="191"/>
      <c r="BN103" s="191">
        <v>50</v>
      </c>
      <c r="BO103" s="191"/>
      <c r="BP103" s="191"/>
      <c r="BQ103" s="191"/>
      <c r="BR103" s="191"/>
      <c r="BS103" s="191"/>
      <c r="BT103" s="191"/>
      <c r="BU103" s="191">
        <v>100</v>
      </c>
      <c r="BV103" s="191"/>
      <c r="BW103" s="191"/>
      <c r="BX103" s="191"/>
      <c r="BY103" s="191"/>
      <c r="BZ103" s="191"/>
      <c r="CA103" s="191"/>
      <c r="CB103" s="191">
        <v>200</v>
      </c>
      <c r="CC103" s="191"/>
      <c r="CD103" s="191"/>
      <c r="CE103" s="192"/>
      <c r="CF103" s="190"/>
      <c r="CG103" s="191"/>
      <c r="CH103" s="191"/>
      <c r="CI103" s="191">
        <v>50</v>
      </c>
      <c r="CJ103" s="191"/>
      <c r="CK103" s="191"/>
      <c r="CL103" s="191"/>
      <c r="CM103" s="191"/>
      <c r="CN103" s="191"/>
      <c r="CO103" s="191"/>
      <c r="CP103" s="191">
        <v>50</v>
      </c>
      <c r="CQ103" s="191"/>
      <c r="CR103" s="191"/>
      <c r="CS103" s="191"/>
      <c r="CT103" s="191"/>
      <c r="CU103" s="191"/>
      <c r="CV103" s="191"/>
      <c r="CW103" s="191">
        <v>200</v>
      </c>
      <c r="CX103" s="191"/>
      <c r="CY103" s="191"/>
      <c r="CZ103" s="191"/>
      <c r="DA103" s="191"/>
      <c r="DB103" s="191"/>
      <c r="DC103" s="191"/>
      <c r="DD103" s="191">
        <v>200</v>
      </c>
      <c r="DE103" s="191"/>
      <c r="DF103" s="191"/>
      <c r="DG103" s="191"/>
      <c r="DH103" s="193"/>
      <c r="DI103" s="194"/>
      <c r="DJ103" s="191"/>
      <c r="DK103" s="191"/>
      <c r="DL103" s="191">
        <v>50</v>
      </c>
      <c r="DM103" s="191"/>
      <c r="DN103" s="191"/>
      <c r="DO103" s="191"/>
      <c r="DP103" s="191"/>
      <c r="DQ103" s="191"/>
      <c r="DR103" s="191"/>
      <c r="DS103" s="191">
        <v>200</v>
      </c>
      <c r="DT103" s="191"/>
      <c r="DU103" s="191"/>
      <c r="DV103" s="191"/>
      <c r="DW103" s="191"/>
      <c r="DX103" s="191"/>
      <c r="DY103" s="191"/>
      <c r="DZ103" s="191">
        <v>100</v>
      </c>
      <c r="EA103" s="191"/>
      <c r="EB103" s="191"/>
      <c r="EC103" s="191"/>
      <c r="ED103" s="191"/>
      <c r="EE103" s="191"/>
      <c r="EF103" s="191"/>
      <c r="EG103" s="191">
        <v>50</v>
      </c>
      <c r="EH103" s="191"/>
      <c r="EI103" s="191"/>
      <c r="EJ103" s="191"/>
      <c r="EK103" s="191"/>
      <c r="EL103" s="191"/>
      <c r="EM103" s="192"/>
      <c r="EN103" s="190">
        <v>150</v>
      </c>
      <c r="EO103" s="191"/>
      <c r="EP103" s="191"/>
      <c r="EQ103" s="191"/>
      <c r="ER103" s="191"/>
      <c r="ES103" s="191"/>
      <c r="ET103" s="191"/>
      <c r="EU103" s="191">
        <v>150</v>
      </c>
      <c r="EV103" s="191"/>
      <c r="EW103" s="191"/>
      <c r="EX103" s="191"/>
      <c r="EY103" s="191"/>
      <c r="EZ103" s="191"/>
      <c r="FA103" s="191"/>
      <c r="FB103" s="191">
        <v>150</v>
      </c>
      <c r="FC103" s="191"/>
      <c r="FD103" s="191"/>
      <c r="FE103" s="191"/>
      <c r="FF103" s="191"/>
      <c r="FG103" s="191"/>
      <c r="FH103" s="191"/>
      <c r="FI103" s="191">
        <v>150</v>
      </c>
      <c r="FJ103" s="191"/>
      <c r="FK103" s="191"/>
      <c r="FL103" s="191"/>
      <c r="FM103" s="191"/>
      <c r="FN103" s="191"/>
      <c r="FO103" s="191"/>
      <c r="FP103" s="191">
        <v>200</v>
      </c>
      <c r="FQ103" s="193"/>
      <c r="FR103" s="194"/>
      <c r="FS103" s="191"/>
      <c r="FT103" s="191"/>
      <c r="FU103" s="191"/>
      <c r="FV103" s="191"/>
      <c r="FW103" s="191">
        <v>100</v>
      </c>
      <c r="FX103" s="191"/>
      <c r="FY103" s="191"/>
      <c r="FZ103" s="191"/>
      <c r="GA103" s="191"/>
      <c r="GB103" s="191"/>
      <c r="GC103" s="191"/>
      <c r="GD103" s="191">
        <v>150</v>
      </c>
      <c r="GE103" s="191"/>
      <c r="GF103" s="191"/>
      <c r="GG103" s="191"/>
      <c r="GH103" s="191"/>
      <c r="GI103" s="191"/>
      <c r="GJ103" s="191"/>
      <c r="GK103" s="191">
        <v>200</v>
      </c>
      <c r="GL103" s="191"/>
      <c r="GM103" s="191"/>
      <c r="GN103" s="191"/>
      <c r="GO103" s="191"/>
      <c r="GP103" s="191"/>
      <c r="GQ103" s="191"/>
      <c r="GR103" s="191">
        <v>100</v>
      </c>
      <c r="GS103" s="191"/>
      <c r="GT103" s="191"/>
      <c r="GU103" s="191"/>
      <c r="GV103" s="192"/>
      <c r="GW103" s="190"/>
      <c r="GX103" s="191"/>
      <c r="GY103" s="191">
        <v>150</v>
      </c>
      <c r="GZ103" s="191"/>
      <c r="HA103" s="191"/>
      <c r="HB103" s="191"/>
      <c r="HC103" s="191"/>
      <c r="HD103" s="191"/>
      <c r="HE103" s="191"/>
      <c r="HF103" s="191">
        <v>100</v>
      </c>
      <c r="HG103" s="191"/>
      <c r="HH103" s="191"/>
      <c r="HI103" s="191"/>
      <c r="HJ103" s="191"/>
      <c r="HK103" s="191"/>
      <c r="HL103" s="191"/>
      <c r="HM103" s="191">
        <v>100</v>
      </c>
      <c r="HN103" s="191"/>
      <c r="HO103" s="191"/>
      <c r="HP103" s="191"/>
      <c r="HQ103" s="191"/>
      <c r="HR103" s="191"/>
      <c r="HS103" s="191"/>
      <c r="HT103" s="191">
        <v>100</v>
      </c>
      <c r="HU103" s="191"/>
      <c r="HV103" s="191"/>
      <c r="HW103" s="191"/>
      <c r="HX103" s="191"/>
      <c r="HY103" s="191"/>
      <c r="HZ103" s="193"/>
      <c r="IA103" s="194">
        <v>100</v>
      </c>
      <c r="IB103" s="191"/>
      <c r="IC103" s="191"/>
      <c r="ID103" s="191"/>
      <c r="IE103" s="191"/>
      <c r="IF103" s="191"/>
      <c r="IG103" s="191"/>
      <c r="IH103" s="191">
        <v>100</v>
      </c>
      <c r="II103" s="191"/>
      <c r="IJ103" s="191"/>
      <c r="IK103" s="191"/>
      <c r="IL103" s="191"/>
      <c r="IM103" s="191"/>
      <c r="IN103" s="191"/>
      <c r="IO103" s="191"/>
      <c r="IP103" s="191">
        <v>100</v>
      </c>
      <c r="IQ103" s="191"/>
      <c r="IR103" s="191"/>
      <c r="IS103" s="191"/>
      <c r="IT103" s="191"/>
      <c r="IU103" s="191"/>
      <c r="IV103" s="191">
        <v>150</v>
      </c>
      <c r="IW103" s="191"/>
      <c r="IX103" s="191"/>
      <c r="IY103" s="191"/>
      <c r="IZ103" s="191"/>
      <c r="JA103" s="191"/>
      <c r="JB103" s="191"/>
      <c r="JC103" s="191">
        <v>150</v>
      </c>
      <c r="JD103" s="191"/>
      <c r="JE103" s="192"/>
      <c r="JF103" s="190"/>
      <c r="JG103" s="191"/>
      <c r="JH103" s="191"/>
      <c r="JI103" s="191"/>
      <c r="JJ103" s="191">
        <v>100</v>
      </c>
      <c r="JK103" s="191"/>
      <c r="JL103" s="191"/>
      <c r="JM103" s="191"/>
      <c r="JN103" s="191"/>
      <c r="JO103" s="191"/>
      <c r="JP103" s="191"/>
      <c r="JQ103" s="191">
        <v>150</v>
      </c>
      <c r="JR103" s="191"/>
      <c r="JS103" s="191"/>
      <c r="JT103" s="191"/>
      <c r="JU103" s="191"/>
      <c r="JV103" s="191"/>
      <c r="JW103" s="191"/>
      <c r="JX103" s="191">
        <v>150</v>
      </c>
      <c r="JY103" s="191"/>
      <c r="JZ103" s="191"/>
      <c r="KA103" s="191"/>
      <c r="KB103" s="191"/>
      <c r="KC103" s="191"/>
      <c r="KD103" s="191"/>
      <c r="KE103" s="191">
        <v>150</v>
      </c>
      <c r="KF103" s="191"/>
      <c r="KG103" s="191"/>
      <c r="KH103" s="191"/>
      <c r="KI103" s="191"/>
      <c r="KJ103" s="193"/>
      <c r="KK103" s="194"/>
      <c r="KL103" s="191">
        <v>150</v>
      </c>
      <c r="KM103" s="191"/>
      <c r="KN103" s="191"/>
      <c r="KO103" s="191"/>
      <c r="KP103" s="191"/>
      <c r="KQ103" s="191"/>
      <c r="KR103" s="191"/>
      <c r="KS103" s="191">
        <v>100</v>
      </c>
      <c r="KT103" s="191"/>
      <c r="KU103" s="191"/>
      <c r="KV103" s="191"/>
      <c r="KW103" s="191"/>
      <c r="KX103" s="191"/>
      <c r="KY103" s="191"/>
      <c r="KZ103" s="191">
        <v>150</v>
      </c>
      <c r="LA103" s="191"/>
      <c r="LB103" s="191"/>
      <c r="LC103" s="191"/>
      <c r="LD103" s="191"/>
      <c r="LE103" s="191"/>
      <c r="LF103" s="191"/>
      <c r="LG103" s="191">
        <v>100</v>
      </c>
      <c r="LH103" s="191"/>
      <c r="LI103" s="191"/>
      <c r="LJ103" s="191"/>
      <c r="LK103" s="191"/>
      <c r="LL103" s="191"/>
      <c r="LM103" s="191"/>
      <c r="LN103" s="192">
        <v>200</v>
      </c>
      <c r="LO103" s="190"/>
      <c r="LP103" s="191"/>
      <c r="LQ103" s="191"/>
      <c r="LR103" s="191"/>
      <c r="LS103" s="191"/>
      <c r="LT103" s="191"/>
      <c r="LU103" s="191">
        <v>150</v>
      </c>
      <c r="LV103" s="191"/>
      <c r="LW103" s="191"/>
      <c r="LX103" s="191"/>
      <c r="LY103" s="191"/>
      <c r="LZ103" s="191"/>
      <c r="MA103" s="191"/>
      <c r="MB103" s="191">
        <v>100</v>
      </c>
      <c r="MC103" s="191"/>
      <c r="MD103" s="191"/>
      <c r="ME103" s="191"/>
      <c r="MF103" s="191"/>
      <c r="MG103" s="191"/>
      <c r="MH103" s="191"/>
      <c r="MI103" s="191">
        <v>200</v>
      </c>
      <c r="MJ103" s="191"/>
      <c r="MK103" s="191"/>
      <c r="ML103" s="191"/>
      <c r="MM103" s="191"/>
      <c r="MN103" s="191"/>
      <c r="MO103" s="191"/>
      <c r="MP103" s="191">
        <v>100</v>
      </c>
      <c r="MQ103" s="191"/>
      <c r="MR103" s="191"/>
      <c r="MS103" s="193"/>
      <c r="MT103" s="194"/>
      <c r="MU103" s="191"/>
      <c r="MV103" s="191"/>
      <c r="MW103" s="191">
        <v>200</v>
      </c>
      <c r="MX103" s="191"/>
      <c r="MY103" s="191"/>
      <c r="MZ103" s="191"/>
      <c r="NA103" s="191"/>
      <c r="NB103" s="191"/>
      <c r="NC103" s="191"/>
      <c r="ND103" s="191"/>
      <c r="NE103" s="191">
        <v>200</v>
      </c>
      <c r="NF103" s="191"/>
      <c r="NG103" s="191"/>
      <c r="NH103" s="191"/>
      <c r="NI103" s="191"/>
      <c r="NJ103" s="191"/>
      <c r="NK103" s="191">
        <v>400</v>
      </c>
      <c r="NL103" s="191"/>
      <c r="NM103" s="191"/>
      <c r="NN103" s="191"/>
      <c r="NO103" s="191"/>
      <c r="NP103" s="191"/>
      <c r="NQ103" s="191"/>
      <c r="NR103" s="191">
        <v>300</v>
      </c>
      <c r="NS103" s="191"/>
      <c r="NT103" s="191"/>
      <c r="NU103" s="191"/>
      <c r="NV103" s="191"/>
      <c r="NW103" s="192"/>
      <c r="NX103" s="190"/>
      <c r="NY103" s="191">
        <v>150</v>
      </c>
      <c r="NZ103" s="191"/>
      <c r="OA103" s="191"/>
      <c r="OB103" s="191"/>
      <c r="OC103" s="191"/>
      <c r="OD103" s="191"/>
      <c r="OE103" s="191"/>
      <c r="OF103" s="191">
        <v>50</v>
      </c>
      <c r="OG103" s="191"/>
      <c r="OH103" s="191"/>
      <c r="OI103" s="191"/>
      <c r="OJ103" s="191"/>
      <c r="OK103" s="191"/>
      <c r="OL103" s="191"/>
      <c r="OM103" s="191">
        <v>10</v>
      </c>
      <c r="ON103" s="191"/>
      <c r="OO103" s="191"/>
      <c r="OP103" s="191"/>
      <c r="OQ103" s="191"/>
      <c r="OR103" s="191"/>
      <c r="OS103" s="191"/>
      <c r="OT103" s="191"/>
      <c r="OU103" s="191"/>
      <c r="OV103" s="191"/>
      <c r="OW103" s="191"/>
      <c r="OX103" s="191"/>
      <c r="OY103" s="191"/>
      <c r="OZ103" s="191"/>
      <c r="PA103" s="191"/>
      <c r="PB103" s="193"/>
      <c r="PC103" s="47"/>
      <c r="PD103" s="154" t="s">
        <v>97</v>
      </c>
      <c r="PE103" s="155" t="s">
        <v>98</v>
      </c>
      <c r="PF103" s="155" t="s">
        <v>98</v>
      </c>
      <c r="PG103" s="155" t="s">
        <v>97</v>
      </c>
      <c r="PH103" s="155" t="s">
        <v>98</v>
      </c>
      <c r="PI103" s="155" t="s">
        <v>98</v>
      </c>
      <c r="PJ103" s="155" t="s">
        <v>98</v>
      </c>
      <c r="PK103" s="155" t="s">
        <v>98</v>
      </c>
      <c r="PL103" s="155" t="s">
        <v>98</v>
      </c>
      <c r="PM103" s="155" t="s">
        <v>98</v>
      </c>
      <c r="PN103" s="155" t="s">
        <v>98</v>
      </c>
      <c r="PO103" s="156"/>
      <c r="PP103" s="156"/>
      <c r="PQ103" s="156"/>
      <c r="PR103" s="156"/>
      <c r="PS103" s="156"/>
      <c r="PT103" s="156"/>
      <c r="PU103" s="156"/>
      <c r="PV103" s="156"/>
      <c r="PW103" s="156"/>
      <c r="PX103" s="195"/>
      <c r="PY103" s="1"/>
      <c r="PZ103" s="196">
        <f t="shared" si="73"/>
        <v>500</v>
      </c>
      <c r="QA103" s="176">
        <f t="shared" si="74"/>
        <v>4.1711854509051474E-3</v>
      </c>
      <c r="QB103" s="177" t="str">
        <f t="shared" ca="1" si="75"/>
        <v>Attente…</v>
      </c>
      <c r="QC103" s="197">
        <f t="shared" si="76"/>
        <v>500</v>
      </c>
      <c r="QD103" s="179">
        <f t="shared" si="77"/>
        <v>4.6816479400749065E-3</v>
      </c>
      <c r="QE103" s="180" t="str">
        <f t="shared" ca="1" si="78"/>
        <v>Attente…</v>
      </c>
      <c r="QF103" s="196">
        <f t="shared" si="79"/>
        <v>400</v>
      </c>
      <c r="QG103" s="176">
        <f t="shared" si="80"/>
        <v>3.1852205765249245E-3</v>
      </c>
      <c r="QH103" s="177" t="str">
        <f t="shared" ca="1" si="81"/>
        <v>Attente…</v>
      </c>
      <c r="QI103" s="197">
        <f t="shared" si="82"/>
        <v>800</v>
      </c>
      <c r="QJ103" s="179">
        <f t="shared" si="83"/>
        <v>5.6108851171272267E-3</v>
      </c>
      <c r="QK103" s="180" t="str">
        <f t="shared" ca="1" si="84"/>
        <v>Attente…</v>
      </c>
      <c r="QL103" s="196">
        <f t="shared" si="85"/>
        <v>550</v>
      </c>
      <c r="QM103" s="176">
        <f t="shared" si="86"/>
        <v>4.0239976587649988E-3</v>
      </c>
      <c r="QN103" s="177" t="str">
        <f t="shared" ca="1" si="87"/>
        <v>Attente…</v>
      </c>
      <c r="QO103" s="197">
        <f t="shared" si="88"/>
        <v>450</v>
      </c>
      <c r="QP103" s="179">
        <f t="shared" si="89"/>
        <v>3.5230564471932986E-3</v>
      </c>
      <c r="QQ103" s="180" t="str">
        <f t="shared" ca="1" si="90"/>
        <v>Attente…</v>
      </c>
      <c r="QR103" s="196">
        <f t="shared" si="91"/>
        <v>600</v>
      </c>
      <c r="QS103" s="176">
        <f t="shared" si="92"/>
        <v>4.3194989381231778E-3</v>
      </c>
      <c r="QT103" s="177" t="str">
        <f t="shared" ca="1" si="93"/>
        <v>Attente…</v>
      </c>
      <c r="QU103" s="197">
        <f t="shared" si="94"/>
        <v>550</v>
      </c>
      <c r="QV103" s="179">
        <f t="shared" si="95"/>
        <v>3.7920573634859351E-3</v>
      </c>
      <c r="QW103" s="180" t="str">
        <f t="shared" ca="1" si="96"/>
        <v>Attente…</v>
      </c>
      <c r="QX103" s="196">
        <f t="shared" si="97"/>
        <v>700</v>
      </c>
      <c r="QY103" s="176">
        <f t="shared" si="98"/>
        <v>5.1081467643538927E-3</v>
      </c>
      <c r="QZ103" s="177" t="str">
        <f t="shared" ca="1" si="99"/>
        <v>Attente…</v>
      </c>
      <c r="RA103" s="197">
        <f t="shared" si="100"/>
        <v>550</v>
      </c>
      <c r="RB103" s="179">
        <f t="shared" si="101"/>
        <v>4.3032626555042641E-3</v>
      </c>
      <c r="RC103" s="180" t="str">
        <f t="shared" ca="1" si="102"/>
        <v>Attente…</v>
      </c>
      <c r="RD103" s="196">
        <f t="shared" si="103"/>
        <v>1100</v>
      </c>
      <c r="RE103" s="176">
        <f t="shared" si="104"/>
        <v>1.096054204862495E-2</v>
      </c>
      <c r="RF103" s="177" t="str">
        <f t="shared" ca="1" si="105"/>
        <v>Attente…</v>
      </c>
      <c r="RG103" s="197">
        <f t="shared" si="106"/>
        <v>210</v>
      </c>
      <c r="RH103" s="179">
        <f t="shared" si="107"/>
        <v>3.8624241309545707E-3</v>
      </c>
      <c r="RI103" s="198" t="str">
        <f t="shared" ca="1" si="108"/>
        <v>Attente…</v>
      </c>
      <c r="RJ103" s="199">
        <f t="shared" si="109"/>
        <v>1400</v>
      </c>
      <c r="RK103" s="200" t="str">
        <f t="shared" ca="1" si="66"/>
        <v>Attente…</v>
      </c>
      <c r="RL103" s="199">
        <f t="shared" si="110"/>
        <v>1800</v>
      </c>
      <c r="RM103" s="200" t="str">
        <f t="shared" ca="1" si="111"/>
        <v>Atttente…</v>
      </c>
      <c r="RN103" s="199">
        <f t="shared" si="112"/>
        <v>1850</v>
      </c>
      <c r="RO103" s="200" t="str">
        <f t="shared" ca="1" si="67"/>
        <v>Attente…</v>
      </c>
      <c r="RP103" s="199">
        <f t="shared" si="113"/>
        <v>1860</v>
      </c>
      <c r="RQ103" s="200" t="str">
        <f t="shared" ca="1" si="68"/>
        <v>Attente…</v>
      </c>
      <c r="RR103" s="201">
        <f t="shared" si="114"/>
        <v>6910</v>
      </c>
      <c r="RS103" s="202" t="str">
        <f t="shared" ca="1" si="69"/>
        <v>Attente…</v>
      </c>
      <c r="RT103" s="103"/>
      <c r="RU103" s="203">
        <f t="shared" si="115"/>
        <v>0.69099999999999995</v>
      </c>
      <c r="RV103" s="204">
        <f t="shared" si="118"/>
        <v>1</v>
      </c>
      <c r="RW103" s="204">
        <f t="shared" si="118"/>
        <v>1</v>
      </c>
      <c r="RX103" s="204">
        <f t="shared" si="116"/>
        <v>50</v>
      </c>
      <c r="RY103" s="205" t="str">
        <f t="shared" si="117"/>
        <v>LA LONDE - 590 rue Adolphe Marie (Stade de Foot)</v>
      </c>
      <c r="RZ103" s="189" t="str">
        <f>IF(OR(RZ102="",RZ102="  &lt;/Document&gt;
&lt;/kml&gt;"),"",
IF(B103="","  &lt;/Document&gt;
&lt;/kml&gt;",
IF(TournéesCAV!Q103=""," ",
"    &lt;Placemark&gt;
      &lt;description&gt;&lt;![CDATA["&amp;B103&amp;"&lt;br&gt;&lt;br&gt;"&amp;RV103&amp;" CAV&lt;br&gt;&lt;br&gt;Présent sur "&amp;RW103&amp;" tournée(s)&lt;br&gt;&lt;br&gt;Taux de remplissage moyen "&amp;TEXT(RU103*1000,"0 %")&amp;"]]&gt;&lt;/description&gt;
      &lt;Style&gt;
        &lt;IconStyle&gt;
          &lt;color&gt;ff"&amp;
          DEC2HEX(0,2)&amp;
          DEC2HEX(
            IF(RU103&lt;=0.5,
               INT(255*(RU103*2)),
               255
            ),2)&amp;
          DEC2HEX(
            IF(RU103&lt;=0.5,
               255,
               INT(255*(1-(RU103-0.5)*2))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&lt;Point&gt;&lt;coordinates&gt;"&amp;R103&amp;","&amp;Q103&amp;",0&lt;/coordinates&gt;&lt;/Point&gt;
    &lt;/Placemark&gt;"
)))</f>
        <v xml:space="preserve">    &lt;Placemark&gt;
      &lt;description&gt;&lt;![CDATA[LA LONDE - 590 rue Adolphe Marie (Stade de Foot)&lt;br&gt;&lt;br&gt;1 CAV&lt;br&gt;&lt;br&gt;Présent sur 1 tournée(s)&lt;br&gt;&lt;br&gt;Taux de remplissage moyen 69%]]&gt;&lt;/description&gt;
      &lt;Style&gt;
        &lt;IconStyle&gt;
          &lt;color&gt;ff00FF9D&lt;/color&gt;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&lt;Point&gt;&lt;coordinates&gt;0.950701,49.3021885,0&lt;/coordinates&gt;&lt;/Point&gt;
    &lt;/Placemark&gt;</v>
      </c>
    </row>
    <row r="104" spans="2:494" ht="15" hidden="1" customHeight="1" x14ac:dyDescent="0.35">
      <c r="B104" s="153" t="str">
        <f t="shared" si="70"/>
        <v>SAINT-PIERRE-LÈS-ELBEUF - 67 rue Galbois (Parking à coté des écoles)</v>
      </c>
      <c r="C104" s="154">
        <v>5</v>
      </c>
      <c r="D104" s="155"/>
      <c r="E104" s="155"/>
      <c r="F104" s="155"/>
      <c r="G104" s="155"/>
      <c r="H104" s="155"/>
      <c r="I104" s="155"/>
      <c r="J104" s="156"/>
      <c r="K104" s="157">
        <f t="shared" si="71"/>
        <v>1</v>
      </c>
      <c r="L104" s="157">
        <f t="shared" si="72"/>
        <v>1</v>
      </c>
      <c r="M104" s="158" t="s">
        <v>609</v>
      </c>
      <c r="N104" s="159" t="s">
        <v>610</v>
      </c>
      <c r="O104" s="159">
        <v>76320</v>
      </c>
      <c r="P104" s="159" t="s">
        <v>611</v>
      </c>
      <c r="Q104" s="159" t="s">
        <v>612</v>
      </c>
      <c r="R104" s="159" t="s">
        <v>613</v>
      </c>
      <c r="S104" s="159" t="s">
        <v>93</v>
      </c>
      <c r="T104" s="159" t="s">
        <v>94</v>
      </c>
      <c r="U104" s="159" t="s">
        <v>614</v>
      </c>
      <c r="V104" s="160" t="s">
        <v>123</v>
      </c>
      <c r="W104" s="161"/>
      <c r="X104" s="162"/>
      <c r="Y104" s="163"/>
      <c r="Z104" s="162"/>
      <c r="AA104" s="163"/>
      <c r="AB104" s="162"/>
      <c r="AC104" s="163"/>
      <c r="AD104" s="162"/>
      <c r="AE104" s="163"/>
      <c r="AF104" s="162"/>
      <c r="AG104" s="163"/>
      <c r="AH104" s="163"/>
      <c r="AI104" s="162"/>
      <c r="AJ104" s="163"/>
      <c r="AK104" s="162"/>
      <c r="AL104" s="163"/>
      <c r="AM104" s="162">
        <v>6</v>
      </c>
      <c r="AN104" s="163"/>
      <c r="AO104" s="162"/>
      <c r="AP104" s="164"/>
      <c r="AQ104" s="164"/>
      <c r="AR104" s="164"/>
      <c r="AS104" s="164"/>
      <c r="AT104" s="164"/>
      <c r="AU104" s="164"/>
      <c r="AV104" s="164"/>
      <c r="AW104" s="164"/>
      <c r="AX104" s="164"/>
      <c r="AY104" s="165"/>
      <c r="AZ104" s="41"/>
      <c r="BA104" s="190"/>
      <c r="BB104" s="191"/>
      <c r="BC104" s="191"/>
      <c r="BD104" s="191"/>
      <c r="BE104" s="191"/>
      <c r="BF104" s="191"/>
      <c r="BG104" s="191">
        <v>150</v>
      </c>
      <c r="BH104" s="191"/>
      <c r="BI104" s="191"/>
      <c r="BJ104" s="191"/>
      <c r="BK104" s="191"/>
      <c r="BL104" s="191"/>
      <c r="BM104" s="191"/>
      <c r="BN104" s="191">
        <v>50</v>
      </c>
      <c r="BO104" s="191"/>
      <c r="BP104" s="191"/>
      <c r="BQ104" s="191"/>
      <c r="BR104" s="191"/>
      <c r="BS104" s="191"/>
      <c r="BT104" s="191"/>
      <c r="BU104" s="191">
        <v>100</v>
      </c>
      <c r="BV104" s="191"/>
      <c r="BW104" s="191"/>
      <c r="BX104" s="191"/>
      <c r="BY104" s="191"/>
      <c r="BZ104" s="191"/>
      <c r="CA104" s="191"/>
      <c r="CB104" s="191">
        <v>100</v>
      </c>
      <c r="CC104" s="191"/>
      <c r="CD104" s="191"/>
      <c r="CE104" s="192"/>
      <c r="CF104" s="190"/>
      <c r="CG104" s="191"/>
      <c r="CH104" s="191"/>
      <c r="CI104" s="191">
        <v>50</v>
      </c>
      <c r="CJ104" s="191"/>
      <c r="CK104" s="191"/>
      <c r="CL104" s="191"/>
      <c r="CM104" s="191"/>
      <c r="CN104" s="191"/>
      <c r="CO104" s="191"/>
      <c r="CP104" s="191">
        <v>100</v>
      </c>
      <c r="CQ104" s="191"/>
      <c r="CR104" s="191"/>
      <c r="CS104" s="191"/>
      <c r="CT104" s="191"/>
      <c r="CU104" s="191"/>
      <c r="CV104" s="191"/>
      <c r="CW104" s="191">
        <v>200</v>
      </c>
      <c r="CX104" s="191"/>
      <c r="CY104" s="191"/>
      <c r="CZ104" s="191"/>
      <c r="DA104" s="191"/>
      <c r="DB104" s="191"/>
      <c r="DC104" s="191"/>
      <c r="DD104" s="191">
        <v>150</v>
      </c>
      <c r="DE104" s="191"/>
      <c r="DF104" s="191"/>
      <c r="DG104" s="191"/>
      <c r="DH104" s="193"/>
      <c r="DI104" s="194"/>
      <c r="DJ104" s="191"/>
      <c r="DK104" s="191"/>
      <c r="DL104" s="191">
        <v>150</v>
      </c>
      <c r="DM104" s="191"/>
      <c r="DN104" s="191"/>
      <c r="DO104" s="191"/>
      <c r="DP104" s="191"/>
      <c r="DQ104" s="191"/>
      <c r="DR104" s="191"/>
      <c r="DS104" s="191">
        <v>200</v>
      </c>
      <c r="DT104" s="191"/>
      <c r="DU104" s="191"/>
      <c r="DV104" s="191"/>
      <c r="DW104" s="191"/>
      <c r="DX104" s="191"/>
      <c r="DY104" s="191"/>
      <c r="DZ104" s="191">
        <v>150</v>
      </c>
      <c r="EA104" s="191"/>
      <c r="EB104" s="191"/>
      <c r="EC104" s="191"/>
      <c r="ED104" s="191"/>
      <c r="EE104" s="191"/>
      <c r="EF104" s="191"/>
      <c r="EG104" s="191">
        <v>10</v>
      </c>
      <c r="EH104" s="191"/>
      <c r="EI104" s="191"/>
      <c r="EJ104" s="191"/>
      <c r="EK104" s="191"/>
      <c r="EL104" s="191"/>
      <c r="EM104" s="192"/>
      <c r="EN104" s="190">
        <v>100</v>
      </c>
      <c r="EO104" s="191"/>
      <c r="EP104" s="191"/>
      <c r="EQ104" s="191"/>
      <c r="ER104" s="191"/>
      <c r="ES104" s="191"/>
      <c r="ET104" s="191"/>
      <c r="EU104" s="191">
        <v>100</v>
      </c>
      <c r="EV104" s="191"/>
      <c r="EW104" s="191"/>
      <c r="EX104" s="191"/>
      <c r="EY104" s="191"/>
      <c r="EZ104" s="191"/>
      <c r="FA104" s="191"/>
      <c r="FB104" s="191">
        <v>100</v>
      </c>
      <c r="FC104" s="191"/>
      <c r="FD104" s="191"/>
      <c r="FE104" s="191"/>
      <c r="FF104" s="191"/>
      <c r="FG104" s="191"/>
      <c r="FH104" s="191"/>
      <c r="FI104" s="191">
        <v>150</v>
      </c>
      <c r="FJ104" s="191"/>
      <c r="FK104" s="191"/>
      <c r="FL104" s="191"/>
      <c r="FM104" s="191"/>
      <c r="FN104" s="191"/>
      <c r="FO104" s="191"/>
      <c r="FP104" s="191">
        <v>150</v>
      </c>
      <c r="FQ104" s="193"/>
      <c r="FR104" s="194"/>
      <c r="FS104" s="191"/>
      <c r="FT104" s="191"/>
      <c r="FU104" s="191"/>
      <c r="FV104" s="191"/>
      <c r="FW104" s="191"/>
      <c r="FX104" s="191"/>
      <c r="FY104" s="191"/>
      <c r="FZ104" s="191"/>
      <c r="GA104" s="191"/>
      <c r="GB104" s="191"/>
      <c r="GC104" s="191"/>
      <c r="GD104" s="191">
        <v>200</v>
      </c>
      <c r="GE104" s="191"/>
      <c r="GF104" s="191"/>
      <c r="GG104" s="191"/>
      <c r="GH104" s="191"/>
      <c r="GI104" s="191"/>
      <c r="GJ104" s="191"/>
      <c r="GK104" s="191">
        <v>150</v>
      </c>
      <c r="GL104" s="191"/>
      <c r="GM104" s="191"/>
      <c r="GN104" s="191"/>
      <c r="GO104" s="191"/>
      <c r="GP104" s="191"/>
      <c r="GQ104" s="191"/>
      <c r="GR104" s="191">
        <v>100</v>
      </c>
      <c r="GS104" s="191"/>
      <c r="GT104" s="191"/>
      <c r="GU104" s="191"/>
      <c r="GV104" s="192"/>
      <c r="GW104" s="190"/>
      <c r="GX104" s="191"/>
      <c r="GY104" s="191">
        <v>150</v>
      </c>
      <c r="GZ104" s="191"/>
      <c r="HA104" s="191"/>
      <c r="HB104" s="191"/>
      <c r="HC104" s="191"/>
      <c r="HD104" s="191"/>
      <c r="HE104" s="191"/>
      <c r="HF104" s="191"/>
      <c r="HG104" s="191"/>
      <c r="HH104" s="191">
        <v>150</v>
      </c>
      <c r="HI104" s="191"/>
      <c r="HJ104" s="191"/>
      <c r="HK104" s="191"/>
      <c r="HL104" s="191"/>
      <c r="HM104" s="191">
        <v>100</v>
      </c>
      <c r="HN104" s="191"/>
      <c r="HO104" s="191"/>
      <c r="HP104" s="191"/>
      <c r="HQ104" s="191"/>
      <c r="HR104" s="191"/>
      <c r="HS104" s="191"/>
      <c r="HT104" s="191">
        <v>50</v>
      </c>
      <c r="HU104" s="191"/>
      <c r="HV104" s="191"/>
      <c r="HW104" s="191"/>
      <c r="HX104" s="191"/>
      <c r="HY104" s="191"/>
      <c r="HZ104" s="193"/>
      <c r="IA104" s="194">
        <v>100</v>
      </c>
      <c r="IB104" s="191"/>
      <c r="IC104" s="191"/>
      <c r="ID104" s="191"/>
      <c r="IE104" s="191"/>
      <c r="IF104" s="191"/>
      <c r="IG104" s="191"/>
      <c r="IH104" s="191">
        <v>150</v>
      </c>
      <c r="II104" s="191"/>
      <c r="IJ104" s="191"/>
      <c r="IK104" s="191"/>
      <c r="IL104" s="191"/>
      <c r="IM104" s="191"/>
      <c r="IN104" s="191"/>
      <c r="IO104" s="191"/>
      <c r="IP104" s="191">
        <v>200</v>
      </c>
      <c r="IQ104" s="191"/>
      <c r="IR104" s="191"/>
      <c r="IS104" s="191"/>
      <c r="IT104" s="191"/>
      <c r="IU104" s="191"/>
      <c r="IV104" s="191">
        <v>100</v>
      </c>
      <c r="IW104" s="191"/>
      <c r="IX104" s="191"/>
      <c r="IY104" s="191"/>
      <c r="IZ104" s="191"/>
      <c r="JA104" s="191"/>
      <c r="JB104" s="191"/>
      <c r="JC104" s="191">
        <v>150</v>
      </c>
      <c r="JD104" s="191"/>
      <c r="JE104" s="192"/>
      <c r="JF104" s="190"/>
      <c r="JG104" s="191"/>
      <c r="JH104" s="191"/>
      <c r="JI104" s="191"/>
      <c r="JJ104" s="191">
        <v>100</v>
      </c>
      <c r="JK104" s="191"/>
      <c r="JL104" s="191"/>
      <c r="JM104" s="191"/>
      <c r="JN104" s="191"/>
      <c r="JO104" s="191"/>
      <c r="JP104" s="191"/>
      <c r="JQ104" s="191">
        <v>150</v>
      </c>
      <c r="JR104" s="191"/>
      <c r="JS104" s="191"/>
      <c r="JT104" s="191"/>
      <c r="JU104" s="191"/>
      <c r="JV104" s="191"/>
      <c r="JW104" s="191"/>
      <c r="JX104" s="191"/>
      <c r="JY104" s="191"/>
      <c r="JZ104" s="191"/>
      <c r="KA104" s="191"/>
      <c r="KB104" s="191"/>
      <c r="KC104" s="191"/>
      <c r="KD104" s="191"/>
      <c r="KE104" s="191">
        <v>200</v>
      </c>
      <c r="KF104" s="191"/>
      <c r="KG104" s="191"/>
      <c r="KH104" s="191"/>
      <c r="KI104" s="191"/>
      <c r="KJ104" s="193"/>
      <c r="KK104" s="194"/>
      <c r="KL104" s="191">
        <v>200</v>
      </c>
      <c r="KM104" s="191"/>
      <c r="KN104" s="191"/>
      <c r="KO104" s="191"/>
      <c r="KP104" s="191"/>
      <c r="KQ104" s="191"/>
      <c r="KR104" s="191"/>
      <c r="KS104" s="191">
        <v>150</v>
      </c>
      <c r="KT104" s="191"/>
      <c r="KU104" s="191"/>
      <c r="KV104" s="191"/>
      <c r="KW104" s="191"/>
      <c r="KX104" s="191"/>
      <c r="KY104" s="191"/>
      <c r="KZ104" s="191">
        <v>150</v>
      </c>
      <c r="LA104" s="191"/>
      <c r="LB104" s="191"/>
      <c r="LC104" s="191"/>
      <c r="LD104" s="191"/>
      <c r="LE104" s="191"/>
      <c r="LF104" s="191"/>
      <c r="LG104" s="191">
        <v>50</v>
      </c>
      <c r="LH104" s="191"/>
      <c r="LI104" s="191"/>
      <c r="LJ104" s="191"/>
      <c r="LK104" s="191"/>
      <c r="LL104" s="191"/>
      <c r="LM104" s="191"/>
      <c r="LN104" s="192">
        <v>150</v>
      </c>
      <c r="LO104" s="190"/>
      <c r="LP104" s="191"/>
      <c r="LQ104" s="191"/>
      <c r="LR104" s="191"/>
      <c r="LS104" s="191"/>
      <c r="LT104" s="191"/>
      <c r="LU104" s="191">
        <v>150</v>
      </c>
      <c r="LV104" s="191"/>
      <c r="LW104" s="191"/>
      <c r="LX104" s="191"/>
      <c r="LY104" s="191"/>
      <c r="LZ104" s="191"/>
      <c r="MA104" s="191"/>
      <c r="MB104" s="191">
        <v>100</v>
      </c>
      <c r="MC104" s="191"/>
      <c r="MD104" s="191"/>
      <c r="ME104" s="191"/>
      <c r="MF104" s="191"/>
      <c r="MG104" s="191"/>
      <c r="MH104" s="191"/>
      <c r="MI104" s="191">
        <v>100</v>
      </c>
      <c r="MJ104" s="191"/>
      <c r="MK104" s="191"/>
      <c r="ML104" s="191"/>
      <c r="MM104" s="191"/>
      <c r="MN104" s="191"/>
      <c r="MO104" s="191"/>
      <c r="MP104" s="191">
        <v>100</v>
      </c>
      <c r="MQ104" s="191"/>
      <c r="MR104" s="191"/>
      <c r="MS104" s="193"/>
      <c r="MT104" s="194"/>
      <c r="MU104" s="191"/>
      <c r="MV104" s="191"/>
      <c r="MW104" s="191">
        <v>200</v>
      </c>
      <c r="MX104" s="191"/>
      <c r="MY104" s="191"/>
      <c r="MZ104" s="191"/>
      <c r="NA104" s="191"/>
      <c r="NB104" s="191"/>
      <c r="NC104" s="191"/>
      <c r="ND104" s="191"/>
      <c r="NE104" s="191">
        <v>200</v>
      </c>
      <c r="NF104" s="191"/>
      <c r="NG104" s="191"/>
      <c r="NH104" s="191"/>
      <c r="NI104" s="191"/>
      <c r="NJ104" s="191"/>
      <c r="NK104" s="191">
        <v>50</v>
      </c>
      <c r="NL104" s="191"/>
      <c r="NM104" s="191"/>
      <c r="NN104" s="191"/>
      <c r="NO104" s="191"/>
      <c r="NP104" s="191"/>
      <c r="NQ104" s="191"/>
      <c r="NR104" s="191">
        <v>100</v>
      </c>
      <c r="NS104" s="191"/>
      <c r="NT104" s="191"/>
      <c r="NU104" s="191"/>
      <c r="NV104" s="191"/>
      <c r="NW104" s="192"/>
      <c r="NX104" s="190"/>
      <c r="NY104" s="191">
        <v>50</v>
      </c>
      <c r="NZ104" s="191"/>
      <c r="OA104" s="191"/>
      <c r="OB104" s="191"/>
      <c r="OC104" s="191"/>
      <c r="OD104" s="191"/>
      <c r="OE104" s="191"/>
      <c r="OF104" s="191">
        <v>50</v>
      </c>
      <c r="OG104" s="191"/>
      <c r="OH104" s="191"/>
      <c r="OI104" s="191"/>
      <c r="OJ104" s="191"/>
      <c r="OK104" s="191"/>
      <c r="OL104" s="191"/>
      <c r="OM104" s="191">
        <v>50</v>
      </c>
      <c r="ON104" s="191"/>
      <c r="OO104" s="191"/>
      <c r="OP104" s="191"/>
      <c r="OQ104" s="191"/>
      <c r="OR104" s="191"/>
      <c r="OS104" s="191"/>
      <c r="OT104" s="191"/>
      <c r="OU104" s="191"/>
      <c r="OV104" s="191"/>
      <c r="OW104" s="191"/>
      <c r="OX104" s="191"/>
      <c r="OY104" s="191"/>
      <c r="OZ104" s="191"/>
      <c r="PA104" s="191"/>
      <c r="PB104" s="193"/>
      <c r="PC104" s="47"/>
      <c r="PD104" s="154" t="s">
        <v>97</v>
      </c>
      <c r="PE104" s="155" t="s">
        <v>98</v>
      </c>
      <c r="PF104" s="155" t="s">
        <v>98</v>
      </c>
      <c r="PG104" s="155" t="s">
        <v>97</v>
      </c>
      <c r="PH104" s="155" t="s">
        <v>98</v>
      </c>
      <c r="PI104" s="155" t="s">
        <v>98</v>
      </c>
      <c r="PJ104" s="155" t="s">
        <v>98</v>
      </c>
      <c r="PK104" s="155" t="s">
        <v>98</v>
      </c>
      <c r="PL104" s="155" t="s">
        <v>98</v>
      </c>
      <c r="PM104" s="155" t="s">
        <v>98</v>
      </c>
      <c r="PN104" s="155" t="s">
        <v>98</v>
      </c>
      <c r="PO104" s="156"/>
      <c r="PP104" s="156"/>
      <c r="PQ104" s="156"/>
      <c r="PR104" s="156"/>
      <c r="PS104" s="156"/>
      <c r="PT104" s="156"/>
      <c r="PU104" s="156"/>
      <c r="PV104" s="156"/>
      <c r="PW104" s="156"/>
      <c r="PX104" s="195"/>
      <c r="PY104" s="1"/>
      <c r="PZ104" s="196">
        <f t="shared" si="73"/>
        <v>400</v>
      </c>
      <c r="QA104" s="176">
        <f t="shared" si="74"/>
        <v>3.3369483607241178E-3</v>
      </c>
      <c r="QB104" s="177" t="str">
        <f t="shared" ca="1" si="75"/>
        <v>Attente…</v>
      </c>
      <c r="QC104" s="197">
        <f t="shared" si="76"/>
        <v>500</v>
      </c>
      <c r="QD104" s="179">
        <f t="shared" si="77"/>
        <v>4.6816479400749065E-3</v>
      </c>
      <c r="QE104" s="180" t="str">
        <f t="shared" ca="1" si="78"/>
        <v>Attente…</v>
      </c>
      <c r="QF104" s="196">
        <f t="shared" si="79"/>
        <v>510</v>
      </c>
      <c r="QG104" s="176">
        <f t="shared" si="80"/>
        <v>4.0611562350692789E-3</v>
      </c>
      <c r="QH104" s="177" t="str">
        <f t="shared" ca="1" si="81"/>
        <v>Attente…</v>
      </c>
      <c r="QI104" s="197">
        <f t="shared" si="82"/>
        <v>600</v>
      </c>
      <c r="QJ104" s="179">
        <f t="shared" si="83"/>
        <v>4.2081638378454198E-3</v>
      </c>
      <c r="QK104" s="180" t="str">
        <f t="shared" ca="1" si="84"/>
        <v>Attente…</v>
      </c>
      <c r="QL104" s="196">
        <f t="shared" si="85"/>
        <v>450</v>
      </c>
      <c r="QM104" s="176">
        <f t="shared" si="86"/>
        <v>3.2923617208077262E-3</v>
      </c>
      <c r="QN104" s="177" t="str">
        <f t="shared" ca="1" si="87"/>
        <v>Attente…</v>
      </c>
      <c r="QO104" s="197">
        <f t="shared" si="88"/>
        <v>450</v>
      </c>
      <c r="QP104" s="179">
        <f t="shared" si="89"/>
        <v>3.5230564471932986E-3</v>
      </c>
      <c r="QQ104" s="180" t="str">
        <f t="shared" ca="1" si="90"/>
        <v>Attente…</v>
      </c>
      <c r="QR104" s="196">
        <f t="shared" si="91"/>
        <v>700</v>
      </c>
      <c r="QS104" s="176">
        <f t="shared" si="92"/>
        <v>5.0394154278103741E-3</v>
      </c>
      <c r="QT104" s="177" t="str">
        <f t="shared" ca="1" si="93"/>
        <v>Attente…</v>
      </c>
      <c r="QU104" s="197">
        <f t="shared" si="94"/>
        <v>450</v>
      </c>
      <c r="QV104" s="179">
        <f t="shared" si="95"/>
        <v>3.1025923883066741E-3</v>
      </c>
      <c r="QW104" s="180" t="str">
        <f t="shared" ca="1" si="96"/>
        <v>Attente…</v>
      </c>
      <c r="QX104" s="196">
        <f t="shared" si="97"/>
        <v>700</v>
      </c>
      <c r="QY104" s="176">
        <f t="shared" si="98"/>
        <v>5.1081467643538927E-3</v>
      </c>
      <c r="QZ104" s="177" t="str">
        <f t="shared" ca="1" si="99"/>
        <v>Attente…</v>
      </c>
      <c r="RA104" s="197">
        <f t="shared" si="100"/>
        <v>450</v>
      </c>
      <c r="RB104" s="179">
        <f t="shared" si="101"/>
        <v>3.5208512635943978E-3</v>
      </c>
      <c r="RC104" s="180" t="str">
        <f t="shared" ca="1" si="102"/>
        <v>Attente…</v>
      </c>
      <c r="RD104" s="196">
        <f t="shared" si="103"/>
        <v>550</v>
      </c>
      <c r="RE104" s="176">
        <f t="shared" si="104"/>
        <v>5.4802710243124749E-3</v>
      </c>
      <c r="RF104" s="177" t="str">
        <f t="shared" ca="1" si="105"/>
        <v>Attente…</v>
      </c>
      <c r="RG104" s="197">
        <f t="shared" si="106"/>
        <v>150</v>
      </c>
      <c r="RH104" s="179">
        <f t="shared" si="107"/>
        <v>2.7588743792532648E-3</v>
      </c>
      <c r="RI104" s="198" t="str">
        <f t="shared" ca="1" si="108"/>
        <v>Attente…</v>
      </c>
      <c r="RJ104" s="199">
        <f t="shared" si="109"/>
        <v>1410</v>
      </c>
      <c r="RK104" s="200" t="str">
        <f t="shared" ca="1" si="66"/>
        <v>Attente…</v>
      </c>
      <c r="RL104" s="199">
        <f t="shared" si="110"/>
        <v>1500</v>
      </c>
      <c r="RM104" s="200" t="str">
        <f t="shared" ca="1" si="111"/>
        <v>Atttente…</v>
      </c>
      <c r="RN104" s="199">
        <f t="shared" si="112"/>
        <v>1850</v>
      </c>
      <c r="RO104" s="200" t="str">
        <f t="shared" ca="1" si="67"/>
        <v>Attente…</v>
      </c>
      <c r="RP104" s="199">
        <f t="shared" si="113"/>
        <v>1150</v>
      </c>
      <c r="RQ104" s="200" t="str">
        <f t="shared" ca="1" si="68"/>
        <v>Attente…</v>
      </c>
      <c r="RR104" s="201">
        <f t="shared" si="114"/>
        <v>5910</v>
      </c>
      <c r="RS104" s="202" t="str">
        <f t="shared" ca="1" si="69"/>
        <v>Attente…</v>
      </c>
      <c r="RT104" s="103"/>
      <c r="RU104" s="203">
        <f t="shared" si="115"/>
        <v>0.61562499999999998</v>
      </c>
      <c r="RV104" s="204">
        <f t="shared" si="118"/>
        <v>1</v>
      </c>
      <c r="RW104" s="204">
        <f t="shared" si="118"/>
        <v>1</v>
      </c>
      <c r="RX104" s="204">
        <f t="shared" si="116"/>
        <v>48</v>
      </c>
      <c r="RY104" s="205" t="str">
        <f t="shared" si="117"/>
        <v>SAINT-PIERRE-LÈS-ELBEUF - 67 rue Galbois (Parking à coté des écoles)</v>
      </c>
      <c r="RZ104" s="189" t="str">
        <f>IF(OR(RZ103="",RZ103="  &lt;/Document&gt;
&lt;/kml&gt;"),"",
IF(B104="","  &lt;/Document&gt;
&lt;/kml&gt;",
IF(TournéesCAV!Q104=""," ",
"    &lt;Placemark&gt;
      &lt;description&gt;&lt;![CDATA["&amp;B104&amp;"&lt;br&gt;&lt;br&gt;"&amp;RV104&amp;" CAV&lt;br&gt;&lt;br&gt;Présent sur "&amp;RW104&amp;" tournée(s)&lt;br&gt;&lt;br&gt;Taux de remplissage moyen "&amp;TEXT(RU104*1000,"0 %")&amp;"]]&gt;&lt;/description&gt;
      &lt;Style&gt;
        &lt;IconStyle&gt;
          &lt;color&gt;ff"&amp;
          DEC2HEX(0,2)&amp;
          DEC2HEX(
            IF(RU104&lt;=0.5,
               INT(255*(RU104*2)),
               255
            ),2)&amp;
          DEC2HEX(
            IF(RU104&lt;=0.5,
               255,
               INT(255*(1-(RU104-0.5)*2))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&lt;Point&gt;&lt;coordinates&gt;"&amp;R104&amp;","&amp;Q104&amp;",0&lt;/coordinates&gt;&lt;/Point&gt;
    &lt;/Placemark&gt;"
)))</f>
        <v xml:space="preserve">    &lt;Placemark&gt;
      &lt;description&gt;&lt;![CDATA[SAINT-PIERRE-LÈS-ELBEUF - 67 rue Galbois (Parking à coté des écoles)&lt;br&gt;&lt;br&gt;1 CAV&lt;br&gt;&lt;br&gt;Présent sur 1 tournée(s)&lt;br&gt;&lt;br&gt;Taux de remplissage moyen 62%]]&gt;&lt;/description&gt;
      &lt;Style&gt;
        &lt;IconStyle&gt;
          &lt;color&gt;ff00FFC4&lt;/color&gt;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&lt;Point&gt;&lt;coordinates&gt;1.049438,49.2712549,0&lt;/coordinates&gt;&lt;/Point&gt;
    &lt;/Placemark&gt;</v>
      </c>
    </row>
    <row r="105" spans="2:494" ht="15" hidden="1" customHeight="1" x14ac:dyDescent="0.35">
      <c r="B105" s="153" t="str">
        <f t="shared" si="70"/>
        <v>SAINT-OUEN-DU-TILLEUL - 40 rue des Canadiens (Face à la Mairie)</v>
      </c>
      <c r="C105" s="213" t="s">
        <v>104</v>
      </c>
      <c r="D105" s="214" t="s">
        <v>104</v>
      </c>
      <c r="E105" s="214"/>
      <c r="F105" s="214"/>
      <c r="G105" s="214"/>
      <c r="H105" s="214"/>
      <c r="I105" s="214"/>
      <c r="J105" s="215"/>
      <c r="K105" s="216">
        <f t="shared" si="71"/>
        <v>2</v>
      </c>
      <c r="L105" s="216">
        <f t="shared" si="72"/>
        <v>1</v>
      </c>
      <c r="M105" s="209" t="s">
        <v>615</v>
      </c>
      <c r="N105" s="217" t="s">
        <v>616</v>
      </c>
      <c r="O105" s="159">
        <v>27670</v>
      </c>
      <c r="P105" s="159" t="s">
        <v>617</v>
      </c>
      <c r="Q105" s="159" t="s">
        <v>618</v>
      </c>
      <c r="R105" s="159" t="s">
        <v>619</v>
      </c>
      <c r="S105" s="159"/>
      <c r="T105" s="159" t="s">
        <v>620</v>
      </c>
      <c r="U105" s="159" t="s">
        <v>621</v>
      </c>
      <c r="V105" s="160" t="s">
        <v>123</v>
      </c>
      <c r="W105" s="161"/>
      <c r="X105" s="162"/>
      <c r="Y105" s="163"/>
      <c r="Z105" s="162"/>
      <c r="AA105" s="163"/>
      <c r="AB105" s="162"/>
      <c r="AC105" s="163"/>
      <c r="AD105" s="162"/>
      <c r="AE105" s="163"/>
      <c r="AF105" s="162"/>
      <c r="AG105" s="163"/>
      <c r="AH105" s="163"/>
      <c r="AI105" s="162"/>
      <c r="AJ105" s="163"/>
      <c r="AK105" s="162"/>
      <c r="AL105" s="163"/>
      <c r="AM105" s="162"/>
      <c r="AN105" s="163">
        <v>3</v>
      </c>
      <c r="AO105" s="162"/>
      <c r="AP105" s="164"/>
      <c r="AQ105" s="164"/>
      <c r="AR105" s="164"/>
      <c r="AS105" s="164"/>
      <c r="AT105" s="164"/>
      <c r="AU105" s="164"/>
      <c r="AV105" s="164"/>
      <c r="AW105" s="164"/>
      <c r="AX105" s="164"/>
      <c r="AY105" s="165"/>
      <c r="AZ105" s="41"/>
      <c r="BA105" s="190"/>
      <c r="BB105" s="191"/>
      <c r="BC105" s="191"/>
      <c r="BD105" s="191"/>
      <c r="BE105" s="191"/>
      <c r="BF105" s="191"/>
      <c r="BG105" s="191">
        <v>400</v>
      </c>
      <c r="BH105" s="191"/>
      <c r="BI105" s="191"/>
      <c r="BJ105" s="191"/>
      <c r="BK105" s="191"/>
      <c r="BL105" s="191"/>
      <c r="BM105" s="191"/>
      <c r="BN105" s="191">
        <v>200</v>
      </c>
      <c r="BO105" s="191"/>
      <c r="BP105" s="191"/>
      <c r="BQ105" s="191"/>
      <c r="BR105" s="191"/>
      <c r="BS105" s="191"/>
      <c r="BT105" s="191"/>
      <c r="BU105" s="191">
        <v>300</v>
      </c>
      <c r="BV105" s="191"/>
      <c r="BW105" s="191"/>
      <c r="BX105" s="191"/>
      <c r="BY105" s="191"/>
      <c r="BZ105" s="191"/>
      <c r="CA105" s="191"/>
      <c r="CB105" s="191">
        <v>400</v>
      </c>
      <c r="CC105" s="191"/>
      <c r="CD105" s="191"/>
      <c r="CE105" s="192"/>
      <c r="CF105" s="190"/>
      <c r="CG105" s="191"/>
      <c r="CH105" s="191"/>
      <c r="CI105" s="191">
        <v>300</v>
      </c>
      <c r="CJ105" s="191"/>
      <c r="CK105" s="191"/>
      <c r="CL105" s="191"/>
      <c r="CM105" s="191"/>
      <c r="CN105" s="191"/>
      <c r="CO105" s="191"/>
      <c r="CP105" s="191">
        <v>300</v>
      </c>
      <c r="CQ105" s="191"/>
      <c r="CR105" s="191"/>
      <c r="CS105" s="191"/>
      <c r="CT105" s="191"/>
      <c r="CU105" s="191"/>
      <c r="CV105" s="191"/>
      <c r="CW105" s="191">
        <v>400</v>
      </c>
      <c r="CX105" s="191"/>
      <c r="CY105" s="191"/>
      <c r="CZ105" s="191"/>
      <c r="DA105" s="191"/>
      <c r="DB105" s="191"/>
      <c r="DC105" s="191"/>
      <c r="DD105" s="191">
        <v>400</v>
      </c>
      <c r="DE105" s="191"/>
      <c r="DF105" s="191"/>
      <c r="DG105" s="191"/>
      <c r="DH105" s="193"/>
      <c r="DI105" s="194"/>
      <c r="DJ105" s="191"/>
      <c r="DK105" s="191"/>
      <c r="DL105" s="191">
        <v>400</v>
      </c>
      <c r="DM105" s="191"/>
      <c r="DN105" s="191"/>
      <c r="DO105" s="191"/>
      <c r="DP105" s="191"/>
      <c r="DQ105" s="191"/>
      <c r="DR105" s="191"/>
      <c r="DS105" s="191">
        <v>350</v>
      </c>
      <c r="DT105" s="191"/>
      <c r="DU105" s="191"/>
      <c r="DV105" s="191"/>
      <c r="DW105" s="191"/>
      <c r="DX105" s="191"/>
      <c r="DY105" s="191"/>
      <c r="DZ105" s="191">
        <v>400</v>
      </c>
      <c r="EA105" s="191"/>
      <c r="EB105" s="191"/>
      <c r="EC105" s="191"/>
      <c r="ED105" s="191"/>
      <c r="EE105" s="191"/>
      <c r="EF105" s="191"/>
      <c r="EG105" s="191">
        <v>300</v>
      </c>
      <c r="EH105" s="191"/>
      <c r="EI105" s="191"/>
      <c r="EJ105" s="191"/>
      <c r="EK105" s="191"/>
      <c r="EL105" s="191"/>
      <c r="EM105" s="192"/>
      <c r="EN105" s="190">
        <v>400</v>
      </c>
      <c r="EO105" s="191"/>
      <c r="EP105" s="191"/>
      <c r="EQ105" s="191"/>
      <c r="ER105" s="191"/>
      <c r="ES105" s="191"/>
      <c r="ET105" s="191"/>
      <c r="EU105" s="191">
        <v>250</v>
      </c>
      <c r="EV105" s="191"/>
      <c r="EW105" s="191"/>
      <c r="EX105" s="191"/>
      <c r="EY105" s="191"/>
      <c r="EZ105" s="191"/>
      <c r="FA105" s="191"/>
      <c r="FB105" s="191">
        <v>400</v>
      </c>
      <c r="FC105" s="191"/>
      <c r="FD105" s="191"/>
      <c r="FE105" s="191"/>
      <c r="FF105" s="191"/>
      <c r="FG105" s="191"/>
      <c r="FH105" s="191"/>
      <c r="FI105" s="191">
        <v>400</v>
      </c>
      <c r="FJ105" s="191"/>
      <c r="FK105" s="191"/>
      <c r="FL105" s="191"/>
      <c r="FM105" s="191"/>
      <c r="FN105" s="191"/>
      <c r="FO105" s="191"/>
      <c r="FP105" s="191">
        <v>300</v>
      </c>
      <c r="FQ105" s="193"/>
      <c r="FR105" s="194"/>
      <c r="FS105" s="191"/>
      <c r="FT105" s="191"/>
      <c r="FU105" s="191"/>
      <c r="FV105" s="191"/>
      <c r="FW105" s="191">
        <v>400</v>
      </c>
      <c r="FX105" s="191"/>
      <c r="FY105" s="191"/>
      <c r="FZ105" s="191"/>
      <c r="GA105" s="191"/>
      <c r="GB105" s="191"/>
      <c r="GC105" s="191"/>
      <c r="GD105" s="191">
        <v>400</v>
      </c>
      <c r="GE105" s="191"/>
      <c r="GF105" s="191"/>
      <c r="GG105" s="191"/>
      <c r="GH105" s="191"/>
      <c r="GI105" s="191"/>
      <c r="GJ105" s="191"/>
      <c r="GK105" s="191">
        <v>400</v>
      </c>
      <c r="GL105" s="191"/>
      <c r="GM105" s="191"/>
      <c r="GN105" s="191"/>
      <c r="GO105" s="191"/>
      <c r="GP105" s="191"/>
      <c r="GQ105" s="191"/>
      <c r="GR105" s="191">
        <v>400</v>
      </c>
      <c r="GS105" s="191"/>
      <c r="GT105" s="191"/>
      <c r="GU105" s="191"/>
      <c r="GV105" s="192"/>
      <c r="GW105" s="190"/>
      <c r="GX105" s="191"/>
      <c r="GY105" s="191">
        <v>300</v>
      </c>
      <c r="GZ105" s="191"/>
      <c r="HA105" s="191"/>
      <c r="HB105" s="191"/>
      <c r="HC105" s="191"/>
      <c r="HD105" s="191"/>
      <c r="HE105" s="191"/>
      <c r="HF105" s="191">
        <v>400</v>
      </c>
      <c r="HG105" s="191"/>
      <c r="HH105" s="191"/>
      <c r="HI105" s="191"/>
      <c r="HJ105" s="191"/>
      <c r="HK105" s="191"/>
      <c r="HL105" s="191"/>
      <c r="HM105" s="191">
        <v>300</v>
      </c>
      <c r="HN105" s="191"/>
      <c r="HO105" s="191"/>
      <c r="HP105" s="191"/>
      <c r="HQ105" s="191"/>
      <c r="HR105" s="191"/>
      <c r="HS105" s="191"/>
      <c r="HT105" s="191">
        <v>300</v>
      </c>
      <c r="HU105" s="191"/>
      <c r="HV105" s="191"/>
      <c r="HW105" s="191"/>
      <c r="HX105" s="191"/>
      <c r="HY105" s="191"/>
      <c r="HZ105" s="193"/>
      <c r="IA105" s="194">
        <v>400</v>
      </c>
      <c r="IB105" s="191"/>
      <c r="IC105" s="191"/>
      <c r="ID105" s="191"/>
      <c r="IE105" s="191"/>
      <c r="IF105" s="191"/>
      <c r="IG105" s="191"/>
      <c r="IH105" s="191">
        <v>400</v>
      </c>
      <c r="II105" s="191"/>
      <c r="IJ105" s="191"/>
      <c r="IK105" s="191"/>
      <c r="IL105" s="191"/>
      <c r="IM105" s="191"/>
      <c r="IN105" s="191"/>
      <c r="IO105" s="191"/>
      <c r="IP105" s="191">
        <v>400</v>
      </c>
      <c r="IQ105" s="191"/>
      <c r="IR105" s="191"/>
      <c r="IS105" s="191"/>
      <c r="IT105" s="191"/>
      <c r="IU105" s="191"/>
      <c r="IV105" s="191">
        <v>400</v>
      </c>
      <c r="IW105" s="191"/>
      <c r="IX105" s="191"/>
      <c r="IY105" s="191"/>
      <c r="IZ105" s="191"/>
      <c r="JA105" s="191"/>
      <c r="JB105" s="191"/>
      <c r="JC105" s="191">
        <v>400</v>
      </c>
      <c r="JD105" s="191"/>
      <c r="JE105" s="192"/>
      <c r="JF105" s="190"/>
      <c r="JG105" s="191"/>
      <c r="JH105" s="191"/>
      <c r="JI105" s="191"/>
      <c r="JJ105" s="191">
        <v>400</v>
      </c>
      <c r="JK105" s="191"/>
      <c r="JL105" s="191"/>
      <c r="JM105" s="191"/>
      <c r="JN105" s="191"/>
      <c r="JO105" s="191"/>
      <c r="JP105" s="191"/>
      <c r="JQ105" s="191">
        <v>400</v>
      </c>
      <c r="JR105" s="191"/>
      <c r="JS105" s="191"/>
      <c r="JT105" s="191"/>
      <c r="JU105" s="191"/>
      <c r="JV105" s="191"/>
      <c r="JW105" s="191"/>
      <c r="JX105" s="191">
        <v>350</v>
      </c>
      <c r="JY105" s="191"/>
      <c r="JZ105" s="191"/>
      <c r="KA105" s="191"/>
      <c r="KB105" s="191"/>
      <c r="KC105" s="191"/>
      <c r="KD105" s="191"/>
      <c r="KE105" s="191">
        <v>400</v>
      </c>
      <c r="KF105" s="191"/>
      <c r="KG105" s="191"/>
      <c r="KH105" s="191"/>
      <c r="KI105" s="191"/>
      <c r="KJ105" s="193"/>
      <c r="KK105" s="194"/>
      <c r="KL105" s="191">
        <v>400</v>
      </c>
      <c r="KM105" s="191"/>
      <c r="KN105" s="191"/>
      <c r="KO105" s="191"/>
      <c r="KP105" s="191"/>
      <c r="KQ105" s="191"/>
      <c r="KR105" s="191"/>
      <c r="KS105" s="191">
        <v>350</v>
      </c>
      <c r="KT105" s="191"/>
      <c r="KU105" s="191"/>
      <c r="KV105" s="191"/>
      <c r="KW105" s="191"/>
      <c r="KX105" s="191"/>
      <c r="KY105" s="191"/>
      <c r="KZ105" s="191">
        <v>400</v>
      </c>
      <c r="LA105" s="191"/>
      <c r="LB105" s="191"/>
      <c r="LC105" s="191"/>
      <c r="LD105" s="191"/>
      <c r="LE105" s="191"/>
      <c r="LF105" s="191"/>
      <c r="LG105" s="191">
        <v>300</v>
      </c>
      <c r="LH105" s="191"/>
      <c r="LI105" s="191"/>
      <c r="LJ105" s="191"/>
      <c r="LK105" s="191"/>
      <c r="LL105" s="191"/>
      <c r="LM105" s="191"/>
      <c r="LN105" s="192">
        <v>400</v>
      </c>
      <c r="LO105" s="190"/>
      <c r="LP105" s="191"/>
      <c r="LQ105" s="191"/>
      <c r="LR105" s="191"/>
      <c r="LS105" s="191"/>
      <c r="LT105" s="191"/>
      <c r="LU105" s="191">
        <v>350</v>
      </c>
      <c r="LV105" s="191"/>
      <c r="LW105" s="191"/>
      <c r="LX105" s="191"/>
      <c r="LY105" s="191"/>
      <c r="LZ105" s="191"/>
      <c r="MA105" s="191"/>
      <c r="MB105" s="191">
        <v>300</v>
      </c>
      <c r="MC105" s="191"/>
      <c r="MD105" s="191"/>
      <c r="ME105" s="191"/>
      <c r="MF105" s="191"/>
      <c r="MG105" s="191"/>
      <c r="MH105" s="191"/>
      <c r="MI105" s="191">
        <v>400</v>
      </c>
      <c r="MJ105" s="191"/>
      <c r="MK105" s="191"/>
      <c r="ML105" s="191"/>
      <c r="MM105" s="191"/>
      <c r="MN105" s="191"/>
      <c r="MO105" s="191"/>
      <c r="MP105" s="191">
        <v>400</v>
      </c>
      <c r="MQ105" s="191"/>
      <c r="MR105" s="191"/>
      <c r="MS105" s="193"/>
      <c r="MT105" s="194"/>
      <c r="MU105" s="191"/>
      <c r="MV105" s="191"/>
      <c r="MW105" s="191">
        <v>300</v>
      </c>
      <c r="MX105" s="191"/>
      <c r="MY105" s="191"/>
      <c r="MZ105" s="191"/>
      <c r="NA105" s="191"/>
      <c r="NB105" s="191"/>
      <c r="NC105" s="191"/>
      <c r="ND105" s="191"/>
      <c r="NE105" s="191">
        <v>400</v>
      </c>
      <c r="NF105" s="191"/>
      <c r="NG105" s="191"/>
      <c r="NH105" s="191"/>
      <c r="NI105" s="191"/>
      <c r="NJ105" s="191"/>
      <c r="NK105" s="191"/>
      <c r="NL105" s="191"/>
      <c r="NM105" s="191"/>
      <c r="NN105" s="191"/>
      <c r="NO105" s="191"/>
      <c r="NP105" s="191"/>
      <c r="NQ105" s="191"/>
      <c r="NR105" s="191"/>
      <c r="NS105" s="191"/>
      <c r="NT105" s="191"/>
      <c r="NU105" s="191"/>
      <c r="NV105" s="191"/>
      <c r="NW105" s="192"/>
      <c r="NX105" s="190"/>
      <c r="NY105" s="191">
        <v>300</v>
      </c>
      <c r="NZ105" s="191"/>
      <c r="OA105" s="191"/>
      <c r="OB105" s="191"/>
      <c r="OC105" s="191"/>
      <c r="OD105" s="191"/>
      <c r="OE105" s="191"/>
      <c r="OF105" s="191">
        <v>400</v>
      </c>
      <c r="OG105" s="191"/>
      <c r="OH105" s="191"/>
      <c r="OI105" s="191"/>
      <c r="OJ105" s="191"/>
      <c r="OK105" s="191"/>
      <c r="OL105" s="191"/>
      <c r="OM105" s="191">
        <v>150</v>
      </c>
      <c r="ON105" s="191"/>
      <c r="OO105" s="191"/>
      <c r="OP105" s="191"/>
      <c r="OQ105" s="191"/>
      <c r="OR105" s="191"/>
      <c r="OS105" s="191"/>
      <c r="OT105" s="191"/>
      <c r="OU105" s="191"/>
      <c r="OV105" s="191"/>
      <c r="OW105" s="191"/>
      <c r="OX105" s="191"/>
      <c r="OY105" s="191"/>
      <c r="OZ105" s="191"/>
      <c r="PA105" s="191"/>
      <c r="PB105" s="193"/>
      <c r="PC105" s="47"/>
      <c r="PD105" s="154" t="s">
        <v>98</v>
      </c>
      <c r="PE105" s="155" t="s">
        <v>98</v>
      </c>
      <c r="PF105" s="155" t="s">
        <v>98</v>
      </c>
      <c r="PG105" s="155" t="s">
        <v>98</v>
      </c>
      <c r="PH105" s="155" t="s">
        <v>97</v>
      </c>
      <c r="PI105" s="155" t="s">
        <v>98</v>
      </c>
      <c r="PJ105" s="155" t="s">
        <v>98</v>
      </c>
      <c r="PK105" s="155" t="s">
        <v>98</v>
      </c>
      <c r="PL105" s="155" t="s">
        <v>98</v>
      </c>
      <c r="PM105" s="155" t="s">
        <v>98</v>
      </c>
      <c r="PN105" s="155" t="s">
        <v>98</v>
      </c>
      <c r="PO105" s="156"/>
      <c r="PP105" s="156"/>
      <c r="PQ105" s="156"/>
      <c r="PR105" s="156"/>
      <c r="PS105" s="156"/>
      <c r="PT105" s="156"/>
      <c r="PU105" s="156"/>
      <c r="PV105" s="156"/>
      <c r="PW105" s="156"/>
      <c r="PX105" s="195"/>
      <c r="PY105" s="1"/>
      <c r="PZ105" s="196">
        <f t="shared" si="73"/>
        <v>1300</v>
      </c>
      <c r="QA105" s="176">
        <f t="shared" si="74"/>
        <v>1.0845082172353382E-2</v>
      </c>
      <c r="QB105" s="177" t="str">
        <f t="shared" ca="1" si="75"/>
        <v>Attente…</v>
      </c>
      <c r="QC105" s="197">
        <f t="shared" si="76"/>
        <v>1400</v>
      </c>
      <c r="QD105" s="179">
        <f t="shared" si="77"/>
        <v>1.3108614232209739E-2</v>
      </c>
      <c r="QE105" s="180" t="str">
        <f t="shared" ca="1" si="78"/>
        <v>Attente…</v>
      </c>
      <c r="QF105" s="196">
        <f t="shared" si="79"/>
        <v>1450</v>
      </c>
      <c r="QG105" s="176">
        <f t="shared" si="80"/>
        <v>1.154642458990285E-2</v>
      </c>
      <c r="QH105" s="177" t="str">
        <f t="shared" ca="1" si="81"/>
        <v>Attente…</v>
      </c>
      <c r="QI105" s="197">
        <f t="shared" si="82"/>
        <v>1750</v>
      </c>
      <c r="QJ105" s="179">
        <f t="shared" si="83"/>
        <v>1.2273811193715808E-2</v>
      </c>
      <c r="QK105" s="180" t="str">
        <f t="shared" ca="1" si="84"/>
        <v>Attente…</v>
      </c>
      <c r="QL105" s="196">
        <f t="shared" si="85"/>
        <v>1600</v>
      </c>
      <c r="QM105" s="176">
        <f t="shared" si="86"/>
        <v>1.1706175007316359E-2</v>
      </c>
      <c r="QN105" s="177" t="str">
        <f t="shared" ca="1" si="87"/>
        <v>Attente…</v>
      </c>
      <c r="QO105" s="197">
        <f t="shared" si="88"/>
        <v>1300</v>
      </c>
      <c r="QP105" s="179">
        <f t="shared" si="89"/>
        <v>1.0177718625225084E-2</v>
      </c>
      <c r="QQ105" s="180" t="str">
        <f t="shared" ca="1" si="90"/>
        <v>Attente…</v>
      </c>
      <c r="QR105" s="196">
        <f t="shared" si="91"/>
        <v>2000</v>
      </c>
      <c r="QS105" s="176">
        <f t="shared" si="92"/>
        <v>1.4398329793743926E-2</v>
      </c>
      <c r="QT105" s="177" t="str">
        <f t="shared" ca="1" si="93"/>
        <v>Attente…</v>
      </c>
      <c r="QU105" s="197">
        <f t="shared" si="94"/>
        <v>1550</v>
      </c>
      <c r="QV105" s="179">
        <f t="shared" si="95"/>
        <v>1.0686707115278544E-2</v>
      </c>
      <c r="QW105" s="180" t="str">
        <f t="shared" ca="1" si="96"/>
        <v>Attente…</v>
      </c>
      <c r="QX105" s="196">
        <f t="shared" si="97"/>
        <v>1850</v>
      </c>
      <c r="QY105" s="176">
        <f t="shared" si="98"/>
        <v>1.3500102162935287E-2</v>
      </c>
      <c r="QZ105" s="177" t="str">
        <f t="shared" ca="1" si="99"/>
        <v>Attente…</v>
      </c>
      <c r="RA105" s="197">
        <f t="shared" si="100"/>
        <v>1450</v>
      </c>
      <c r="RB105" s="179">
        <f t="shared" si="101"/>
        <v>1.1344965182693061E-2</v>
      </c>
      <c r="RC105" s="180" t="str">
        <f t="shared" ca="1" si="102"/>
        <v>Attente…</v>
      </c>
      <c r="RD105" s="196">
        <f t="shared" si="103"/>
        <v>700</v>
      </c>
      <c r="RE105" s="176">
        <f t="shared" si="104"/>
        <v>6.9748903945795141E-3</v>
      </c>
      <c r="RF105" s="177" t="str">
        <f t="shared" ca="1" si="105"/>
        <v>Attente…</v>
      </c>
      <c r="RG105" s="197">
        <f t="shared" si="106"/>
        <v>850</v>
      </c>
      <c r="RH105" s="179">
        <f t="shared" si="107"/>
        <v>1.5633621482435165E-2</v>
      </c>
      <c r="RI105" s="198" t="str">
        <f t="shared" ca="1" si="108"/>
        <v>Attente…</v>
      </c>
      <c r="RJ105" s="199">
        <f t="shared" si="109"/>
        <v>4150</v>
      </c>
      <c r="RK105" s="200" t="str">
        <f t="shared" ca="1" si="66"/>
        <v>Attente…</v>
      </c>
      <c r="RL105" s="199">
        <f t="shared" si="110"/>
        <v>4650</v>
      </c>
      <c r="RM105" s="200" t="str">
        <f t="shared" ca="1" si="111"/>
        <v>Atttente…</v>
      </c>
      <c r="RN105" s="199">
        <f t="shared" si="112"/>
        <v>5400</v>
      </c>
      <c r="RO105" s="200" t="str">
        <f t="shared" ca="1" si="67"/>
        <v>Attente…</v>
      </c>
      <c r="RP105" s="199">
        <f t="shared" si="113"/>
        <v>3000</v>
      </c>
      <c r="RQ105" s="200" t="str">
        <f t="shared" ca="1" si="68"/>
        <v>Attente…</v>
      </c>
      <c r="RR105" s="201">
        <f t="shared" si="114"/>
        <v>17200</v>
      </c>
      <c r="RS105" s="202" t="str">
        <f t="shared" ca="1" si="69"/>
        <v>Attente…</v>
      </c>
      <c r="RT105" s="103"/>
      <c r="RU105" s="203">
        <f t="shared" si="115"/>
        <v>0.89583333333333326</v>
      </c>
      <c r="RV105" s="204">
        <f t="shared" si="118"/>
        <v>2</v>
      </c>
      <c r="RW105" s="204">
        <f t="shared" si="118"/>
        <v>1</v>
      </c>
      <c r="RX105" s="204">
        <f t="shared" si="116"/>
        <v>48</v>
      </c>
      <c r="RY105" s="205" t="str">
        <f t="shared" si="117"/>
        <v>SAINT-OUEN-DU-TILLEUL - 40 rue des Canadiens (Face à la Mairie)</v>
      </c>
      <c r="RZ105" s="189" t="str">
        <f>IF(OR(RZ104="",RZ104="  &lt;/Document&gt;
&lt;/kml&gt;"),"",
IF(B105="","  &lt;/Document&gt;
&lt;/kml&gt;",
IF(TournéesCAV!Q105=""," ",
"    &lt;Placemark&gt;
      &lt;description&gt;&lt;![CDATA["&amp;B105&amp;"&lt;br&gt;&lt;br&gt;"&amp;RV105&amp;" CAV&lt;br&gt;&lt;br&gt;Présent sur "&amp;RW105&amp;" tournée(s)&lt;br&gt;&lt;br&gt;Taux de remplissage moyen "&amp;TEXT(RU105*1000,"0 %")&amp;"]]&gt;&lt;/description&gt;
      &lt;Style&gt;
        &lt;IconStyle&gt;
          &lt;color&gt;ff"&amp;
          DEC2HEX(0,2)&amp;
          DEC2HEX(
            IF(RU105&lt;=0.5,
               INT(255*(RU105*2)),
               255
            ),2)&amp;
          DEC2HEX(
            IF(RU105&lt;=0.5,
               255,
               INT(255*(1-(RU105-0.5)*2))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&lt;Point&gt;&lt;coordinates&gt;"&amp;R105&amp;","&amp;Q105&amp;",0&lt;/coordinates&gt;&lt;/Point&gt;
    &lt;/Placemark&gt;"
)))</f>
        <v xml:space="preserve">    &lt;Placemark&gt;
      &lt;description&gt;&lt;![CDATA[SAINT-OUEN-DU-TILLEUL - 40 rue des Canadiens (Face à la Mairie)&lt;br&gt;&lt;br&gt;2 CAV&lt;br&gt;&lt;br&gt;Présent sur 1 tournée(s)&lt;br&gt;&lt;br&gt;Taux de remplissage moyen 90%]]&gt;&lt;/description&gt;
      &lt;Style&gt;
        &lt;IconStyle&gt;
          &lt;color&gt;ff00FF35&lt;/color&gt;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&lt;Point&gt;&lt;coordinates&gt;0.9503699,49.2949586,0&lt;/coordinates&gt;&lt;/Point&gt;
    &lt;/Placemark&gt;</v>
      </c>
    </row>
    <row r="106" spans="2:494" ht="15" hidden="1" customHeight="1" x14ac:dyDescent="0.35">
      <c r="B106" s="153" t="str">
        <f t="shared" si="70"/>
        <v>SAINT-PIERRE-LÈS-ELBEUF - 625 rue du Puits Mérot (Parking Leader Price / Face à la mairie)</v>
      </c>
      <c r="C106" s="154">
        <v>17</v>
      </c>
      <c r="D106" s="155"/>
      <c r="E106" s="155"/>
      <c r="F106" s="155"/>
      <c r="G106" s="155"/>
      <c r="H106" s="155"/>
      <c r="I106" s="155"/>
      <c r="J106" s="156"/>
      <c r="K106" s="157">
        <f t="shared" si="71"/>
        <v>1</v>
      </c>
      <c r="L106" s="157">
        <f t="shared" si="72"/>
        <v>1</v>
      </c>
      <c r="M106" s="158" t="s">
        <v>622</v>
      </c>
      <c r="N106" s="159" t="s">
        <v>623</v>
      </c>
      <c r="O106" s="159">
        <v>76320</v>
      </c>
      <c r="P106" s="159" t="s">
        <v>611</v>
      </c>
      <c r="Q106" s="159" t="s">
        <v>624</v>
      </c>
      <c r="R106" s="159" t="s">
        <v>625</v>
      </c>
      <c r="S106" s="159" t="s">
        <v>93</v>
      </c>
      <c r="T106" s="159" t="s">
        <v>110</v>
      </c>
      <c r="U106" s="159" t="s">
        <v>626</v>
      </c>
      <c r="V106" s="160" t="s">
        <v>123</v>
      </c>
      <c r="W106" s="161"/>
      <c r="X106" s="162"/>
      <c r="Y106" s="163"/>
      <c r="Z106" s="162"/>
      <c r="AA106" s="163"/>
      <c r="AB106" s="162"/>
      <c r="AC106" s="163"/>
      <c r="AD106" s="162"/>
      <c r="AE106" s="163"/>
      <c r="AF106" s="162"/>
      <c r="AG106" s="163"/>
      <c r="AH106" s="163"/>
      <c r="AI106" s="162"/>
      <c r="AJ106" s="163"/>
      <c r="AK106" s="162"/>
      <c r="AL106" s="163"/>
      <c r="AM106" s="162">
        <v>7</v>
      </c>
      <c r="AN106" s="163"/>
      <c r="AO106" s="162"/>
      <c r="AP106" s="164"/>
      <c r="AQ106" s="164"/>
      <c r="AR106" s="164"/>
      <c r="AS106" s="164"/>
      <c r="AT106" s="164"/>
      <c r="AU106" s="164"/>
      <c r="AV106" s="164"/>
      <c r="AW106" s="164"/>
      <c r="AX106" s="164"/>
      <c r="AY106" s="165"/>
      <c r="AZ106" s="41"/>
      <c r="BA106" s="190"/>
      <c r="BB106" s="191"/>
      <c r="BC106" s="191"/>
      <c r="BD106" s="191"/>
      <c r="BE106" s="191"/>
      <c r="BF106" s="191"/>
      <c r="BG106" s="191">
        <v>150</v>
      </c>
      <c r="BH106" s="191"/>
      <c r="BI106" s="191"/>
      <c r="BJ106" s="191"/>
      <c r="BK106" s="191"/>
      <c r="BL106" s="191"/>
      <c r="BM106" s="191"/>
      <c r="BN106" s="191">
        <v>50</v>
      </c>
      <c r="BO106" s="191"/>
      <c r="BP106" s="191"/>
      <c r="BQ106" s="191"/>
      <c r="BR106" s="191"/>
      <c r="BS106" s="191"/>
      <c r="BT106" s="191"/>
      <c r="BU106" s="191">
        <v>100</v>
      </c>
      <c r="BV106" s="191"/>
      <c r="BW106" s="191"/>
      <c r="BX106" s="191"/>
      <c r="BY106" s="191"/>
      <c r="BZ106" s="191"/>
      <c r="CA106" s="191"/>
      <c r="CB106" s="191">
        <v>100</v>
      </c>
      <c r="CC106" s="191"/>
      <c r="CD106" s="191"/>
      <c r="CE106" s="192"/>
      <c r="CF106" s="190"/>
      <c r="CG106" s="191"/>
      <c r="CH106" s="191"/>
      <c r="CI106" s="191">
        <v>100</v>
      </c>
      <c r="CJ106" s="191"/>
      <c r="CK106" s="191"/>
      <c r="CL106" s="191"/>
      <c r="CM106" s="191"/>
      <c r="CN106" s="191"/>
      <c r="CO106" s="191"/>
      <c r="CP106" s="191">
        <v>10</v>
      </c>
      <c r="CQ106" s="191"/>
      <c r="CR106" s="191"/>
      <c r="CS106" s="191"/>
      <c r="CT106" s="191"/>
      <c r="CU106" s="191"/>
      <c r="CV106" s="191"/>
      <c r="CW106" s="191">
        <v>100</v>
      </c>
      <c r="CX106" s="191"/>
      <c r="CY106" s="191"/>
      <c r="CZ106" s="191"/>
      <c r="DA106" s="191"/>
      <c r="DB106" s="191"/>
      <c r="DC106" s="191"/>
      <c r="DD106" s="191">
        <v>100</v>
      </c>
      <c r="DE106" s="191"/>
      <c r="DF106" s="191"/>
      <c r="DG106" s="191"/>
      <c r="DH106" s="193"/>
      <c r="DI106" s="194"/>
      <c r="DJ106" s="191"/>
      <c r="DK106" s="191"/>
      <c r="DL106" s="191">
        <v>200</v>
      </c>
      <c r="DM106" s="191"/>
      <c r="DN106" s="191"/>
      <c r="DO106" s="191"/>
      <c r="DP106" s="191"/>
      <c r="DQ106" s="191"/>
      <c r="DR106" s="191"/>
      <c r="DS106" s="191">
        <v>200</v>
      </c>
      <c r="DT106" s="191"/>
      <c r="DU106" s="191"/>
      <c r="DV106" s="191"/>
      <c r="DW106" s="191"/>
      <c r="DX106" s="191"/>
      <c r="DY106" s="191"/>
      <c r="DZ106" s="191">
        <v>150</v>
      </c>
      <c r="EA106" s="191"/>
      <c r="EB106" s="191"/>
      <c r="EC106" s="191"/>
      <c r="ED106" s="191"/>
      <c r="EE106" s="191"/>
      <c r="EF106" s="191"/>
      <c r="EG106" s="191">
        <v>100</v>
      </c>
      <c r="EH106" s="191"/>
      <c r="EI106" s="191"/>
      <c r="EJ106" s="191"/>
      <c r="EK106" s="191"/>
      <c r="EL106" s="191"/>
      <c r="EM106" s="192"/>
      <c r="EN106" s="190">
        <v>150</v>
      </c>
      <c r="EO106" s="191"/>
      <c r="EP106" s="191"/>
      <c r="EQ106" s="191"/>
      <c r="ER106" s="191"/>
      <c r="ES106" s="191"/>
      <c r="ET106" s="191"/>
      <c r="EU106" s="191">
        <v>150</v>
      </c>
      <c r="EV106" s="191"/>
      <c r="EW106" s="191"/>
      <c r="EX106" s="191"/>
      <c r="EY106" s="191"/>
      <c r="EZ106" s="191"/>
      <c r="FA106" s="191"/>
      <c r="FB106" s="191">
        <v>200</v>
      </c>
      <c r="FC106" s="191"/>
      <c r="FD106" s="191"/>
      <c r="FE106" s="191"/>
      <c r="FF106" s="191"/>
      <c r="FG106" s="191"/>
      <c r="FH106" s="191"/>
      <c r="FI106" s="191">
        <v>200</v>
      </c>
      <c r="FJ106" s="191"/>
      <c r="FK106" s="191"/>
      <c r="FL106" s="191"/>
      <c r="FM106" s="191"/>
      <c r="FN106" s="191"/>
      <c r="FO106" s="191"/>
      <c r="FP106" s="191">
        <v>150</v>
      </c>
      <c r="FQ106" s="193"/>
      <c r="FR106" s="194"/>
      <c r="FS106" s="191"/>
      <c r="FT106" s="191"/>
      <c r="FU106" s="191"/>
      <c r="FV106" s="191"/>
      <c r="FW106" s="191"/>
      <c r="FX106" s="191"/>
      <c r="FY106" s="191"/>
      <c r="FZ106" s="191"/>
      <c r="GA106" s="191"/>
      <c r="GB106" s="191"/>
      <c r="GC106" s="191"/>
      <c r="GD106" s="191">
        <v>200</v>
      </c>
      <c r="GE106" s="191"/>
      <c r="GF106" s="191"/>
      <c r="GG106" s="191"/>
      <c r="GH106" s="191"/>
      <c r="GI106" s="191"/>
      <c r="GJ106" s="191"/>
      <c r="GK106" s="191">
        <v>150</v>
      </c>
      <c r="GL106" s="191"/>
      <c r="GM106" s="191"/>
      <c r="GN106" s="191"/>
      <c r="GO106" s="191"/>
      <c r="GP106" s="191"/>
      <c r="GQ106" s="191"/>
      <c r="GR106" s="191">
        <v>200</v>
      </c>
      <c r="GS106" s="191"/>
      <c r="GT106" s="191"/>
      <c r="GU106" s="191"/>
      <c r="GV106" s="192"/>
      <c r="GW106" s="190"/>
      <c r="GX106" s="191"/>
      <c r="GY106" s="191">
        <v>150</v>
      </c>
      <c r="GZ106" s="191"/>
      <c r="HA106" s="191"/>
      <c r="HB106" s="191"/>
      <c r="HC106" s="191"/>
      <c r="HD106" s="191"/>
      <c r="HE106" s="191"/>
      <c r="HF106" s="191"/>
      <c r="HG106" s="191"/>
      <c r="HH106" s="191">
        <v>100</v>
      </c>
      <c r="HI106" s="191"/>
      <c r="HJ106" s="191"/>
      <c r="HK106" s="191"/>
      <c r="HL106" s="191"/>
      <c r="HM106" s="191">
        <v>100</v>
      </c>
      <c r="HN106" s="191"/>
      <c r="HO106" s="191"/>
      <c r="HP106" s="191"/>
      <c r="HQ106" s="191"/>
      <c r="HR106" s="191"/>
      <c r="HS106" s="191"/>
      <c r="HT106" s="191">
        <v>100</v>
      </c>
      <c r="HU106" s="191"/>
      <c r="HV106" s="191"/>
      <c r="HW106" s="191"/>
      <c r="HX106" s="191"/>
      <c r="HY106" s="191"/>
      <c r="HZ106" s="193"/>
      <c r="IA106" s="194">
        <v>100</v>
      </c>
      <c r="IB106" s="191"/>
      <c r="IC106" s="191"/>
      <c r="ID106" s="191"/>
      <c r="IE106" s="191"/>
      <c r="IF106" s="191"/>
      <c r="IG106" s="191"/>
      <c r="IH106" s="191">
        <v>150</v>
      </c>
      <c r="II106" s="191"/>
      <c r="IJ106" s="191"/>
      <c r="IK106" s="191"/>
      <c r="IL106" s="191"/>
      <c r="IM106" s="191"/>
      <c r="IN106" s="191"/>
      <c r="IO106" s="191"/>
      <c r="IP106" s="191">
        <v>150</v>
      </c>
      <c r="IQ106" s="191"/>
      <c r="IR106" s="191"/>
      <c r="IS106" s="191"/>
      <c r="IT106" s="191"/>
      <c r="IU106" s="191"/>
      <c r="IV106" s="191">
        <v>100</v>
      </c>
      <c r="IW106" s="191"/>
      <c r="IX106" s="191"/>
      <c r="IY106" s="191"/>
      <c r="IZ106" s="191"/>
      <c r="JA106" s="191"/>
      <c r="JB106" s="191"/>
      <c r="JC106" s="191">
        <v>150</v>
      </c>
      <c r="JD106" s="191"/>
      <c r="JE106" s="192"/>
      <c r="JF106" s="190"/>
      <c r="JG106" s="191"/>
      <c r="JH106" s="191"/>
      <c r="JI106" s="191"/>
      <c r="JJ106" s="191">
        <v>150</v>
      </c>
      <c r="JK106" s="191"/>
      <c r="JL106" s="191"/>
      <c r="JM106" s="191"/>
      <c r="JN106" s="191"/>
      <c r="JO106" s="191"/>
      <c r="JP106" s="191"/>
      <c r="JQ106" s="191">
        <v>200</v>
      </c>
      <c r="JR106" s="191"/>
      <c r="JS106" s="191"/>
      <c r="JT106" s="191"/>
      <c r="JU106" s="191"/>
      <c r="JV106" s="191"/>
      <c r="JW106" s="191"/>
      <c r="JX106" s="191">
        <v>150</v>
      </c>
      <c r="JY106" s="191"/>
      <c r="JZ106" s="191"/>
      <c r="KA106" s="191"/>
      <c r="KB106" s="191"/>
      <c r="KC106" s="191"/>
      <c r="KD106" s="191"/>
      <c r="KE106" s="191">
        <v>150</v>
      </c>
      <c r="KF106" s="191"/>
      <c r="KG106" s="191"/>
      <c r="KH106" s="191"/>
      <c r="KI106" s="191"/>
      <c r="KJ106" s="193"/>
      <c r="KK106" s="194"/>
      <c r="KL106" s="191">
        <v>200</v>
      </c>
      <c r="KM106" s="191"/>
      <c r="KN106" s="191"/>
      <c r="KO106" s="191"/>
      <c r="KP106" s="191"/>
      <c r="KQ106" s="191"/>
      <c r="KR106" s="191"/>
      <c r="KS106" s="191">
        <v>100</v>
      </c>
      <c r="KT106" s="191"/>
      <c r="KU106" s="191"/>
      <c r="KV106" s="191"/>
      <c r="KW106" s="191"/>
      <c r="KX106" s="191"/>
      <c r="KY106" s="191"/>
      <c r="KZ106" s="191">
        <v>150</v>
      </c>
      <c r="LA106" s="191"/>
      <c r="LB106" s="191"/>
      <c r="LC106" s="191"/>
      <c r="LD106" s="191"/>
      <c r="LE106" s="191"/>
      <c r="LF106" s="191"/>
      <c r="LG106" s="191">
        <v>150</v>
      </c>
      <c r="LH106" s="191"/>
      <c r="LI106" s="191"/>
      <c r="LJ106" s="191"/>
      <c r="LK106" s="191"/>
      <c r="LL106" s="191"/>
      <c r="LM106" s="191"/>
      <c r="LN106" s="192">
        <v>150</v>
      </c>
      <c r="LO106" s="190"/>
      <c r="LP106" s="191"/>
      <c r="LQ106" s="191"/>
      <c r="LR106" s="191"/>
      <c r="LS106" s="191"/>
      <c r="LT106" s="191"/>
      <c r="LU106" s="191">
        <v>100</v>
      </c>
      <c r="LV106" s="191"/>
      <c r="LW106" s="191"/>
      <c r="LX106" s="191"/>
      <c r="LY106" s="191"/>
      <c r="LZ106" s="191"/>
      <c r="MA106" s="191"/>
      <c r="MB106" s="191">
        <v>150</v>
      </c>
      <c r="MC106" s="191"/>
      <c r="MD106" s="191"/>
      <c r="ME106" s="191"/>
      <c r="MF106" s="191"/>
      <c r="MG106" s="191"/>
      <c r="MH106" s="191"/>
      <c r="MI106" s="191">
        <v>150</v>
      </c>
      <c r="MJ106" s="191"/>
      <c r="MK106" s="191"/>
      <c r="ML106" s="191"/>
      <c r="MM106" s="191"/>
      <c r="MN106" s="191"/>
      <c r="MO106" s="191"/>
      <c r="MP106" s="191">
        <v>150</v>
      </c>
      <c r="MQ106" s="191"/>
      <c r="MR106" s="191"/>
      <c r="MS106" s="193"/>
      <c r="MT106" s="194"/>
      <c r="MU106" s="191"/>
      <c r="MV106" s="191"/>
      <c r="MW106" s="191">
        <v>150</v>
      </c>
      <c r="MX106" s="191"/>
      <c r="MY106" s="191"/>
      <c r="MZ106" s="191"/>
      <c r="NA106" s="191"/>
      <c r="NB106" s="191"/>
      <c r="NC106" s="191"/>
      <c r="ND106" s="191"/>
      <c r="NE106" s="191">
        <v>100</v>
      </c>
      <c r="NF106" s="191"/>
      <c r="NG106" s="191"/>
      <c r="NH106" s="191"/>
      <c r="NI106" s="191"/>
      <c r="NJ106" s="191"/>
      <c r="NK106" s="191">
        <v>50</v>
      </c>
      <c r="NL106" s="191"/>
      <c r="NM106" s="191"/>
      <c r="NN106" s="191"/>
      <c r="NO106" s="191"/>
      <c r="NP106" s="191"/>
      <c r="NQ106" s="191"/>
      <c r="NR106" s="191">
        <v>100</v>
      </c>
      <c r="NS106" s="191"/>
      <c r="NT106" s="191"/>
      <c r="NU106" s="191"/>
      <c r="NV106" s="191"/>
      <c r="NW106" s="192"/>
      <c r="NX106" s="190"/>
      <c r="NY106" s="191">
        <v>100</v>
      </c>
      <c r="NZ106" s="191"/>
      <c r="OA106" s="191"/>
      <c r="OB106" s="191"/>
      <c r="OC106" s="191"/>
      <c r="OD106" s="191"/>
      <c r="OE106" s="191"/>
      <c r="OF106" s="191">
        <v>150</v>
      </c>
      <c r="OG106" s="191"/>
      <c r="OH106" s="191"/>
      <c r="OI106" s="191"/>
      <c r="OJ106" s="191"/>
      <c r="OK106" s="191"/>
      <c r="OL106" s="191"/>
      <c r="OM106" s="191">
        <v>100</v>
      </c>
      <c r="ON106" s="191"/>
      <c r="OO106" s="191"/>
      <c r="OP106" s="191"/>
      <c r="OQ106" s="191"/>
      <c r="OR106" s="191"/>
      <c r="OS106" s="191"/>
      <c r="OT106" s="191"/>
      <c r="OU106" s="191"/>
      <c r="OV106" s="191"/>
      <c r="OW106" s="191"/>
      <c r="OX106" s="191"/>
      <c r="OY106" s="191"/>
      <c r="OZ106" s="191"/>
      <c r="PA106" s="191"/>
      <c r="PB106" s="193"/>
      <c r="PC106" s="47"/>
      <c r="PD106" s="154" t="s">
        <v>97</v>
      </c>
      <c r="PE106" s="155" t="s">
        <v>98</v>
      </c>
      <c r="PF106" s="155" t="s">
        <v>98</v>
      </c>
      <c r="PG106" s="155" t="s">
        <v>97</v>
      </c>
      <c r="PH106" s="155" t="s">
        <v>98</v>
      </c>
      <c r="PI106" s="155" t="s">
        <v>98</v>
      </c>
      <c r="PJ106" s="155" t="s">
        <v>98</v>
      </c>
      <c r="PK106" s="155" t="s">
        <v>98</v>
      </c>
      <c r="PL106" s="155" t="s">
        <v>98</v>
      </c>
      <c r="PM106" s="155" t="s">
        <v>98</v>
      </c>
      <c r="PN106" s="155" t="s">
        <v>98</v>
      </c>
      <c r="PO106" s="156"/>
      <c r="PP106" s="156"/>
      <c r="PQ106" s="156"/>
      <c r="PR106" s="156"/>
      <c r="PS106" s="156"/>
      <c r="PT106" s="156"/>
      <c r="PU106" s="156"/>
      <c r="PV106" s="156"/>
      <c r="PW106" s="156"/>
      <c r="PX106" s="195"/>
      <c r="PY106" s="1"/>
      <c r="PZ106" s="196">
        <f t="shared" si="73"/>
        <v>400</v>
      </c>
      <c r="QA106" s="176">
        <f t="shared" si="74"/>
        <v>3.3369483607241178E-3</v>
      </c>
      <c r="QB106" s="177" t="str">
        <f t="shared" ca="1" si="75"/>
        <v>Attente…</v>
      </c>
      <c r="QC106" s="197">
        <f t="shared" si="76"/>
        <v>310</v>
      </c>
      <c r="QD106" s="179">
        <f t="shared" si="77"/>
        <v>2.9026217228464418E-3</v>
      </c>
      <c r="QE106" s="180" t="str">
        <f t="shared" ca="1" si="78"/>
        <v>Attente…</v>
      </c>
      <c r="QF106" s="196">
        <f t="shared" si="79"/>
        <v>650</v>
      </c>
      <c r="QG106" s="176">
        <f t="shared" si="80"/>
        <v>5.175983436853002E-3</v>
      </c>
      <c r="QH106" s="177" t="str">
        <f t="shared" ca="1" si="81"/>
        <v>Attente…</v>
      </c>
      <c r="QI106" s="197">
        <f t="shared" si="82"/>
        <v>850</v>
      </c>
      <c r="QJ106" s="179">
        <f t="shared" si="83"/>
        <v>5.9615654369476788E-3</v>
      </c>
      <c r="QK106" s="180" t="str">
        <f t="shared" ca="1" si="84"/>
        <v>Attente…</v>
      </c>
      <c r="QL106" s="196">
        <f t="shared" si="85"/>
        <v>550</v>
      </c>
      <c r="QM106" s="176">
        <f t="shared" si="86"/>
        <v>4.0239976587649988E-3</v>
      </c>
      <c r="QN106" s="177" t="str">
        <f t="shared" ca="1" si="87"/>
        <v>Attente…</v>
      </c>
      <c r="QO106" s="197">
        <f t="shared" si="88"/>
        <v>450</v>
      </c>
      <c r="QP106" s="179">
        <f t="shared" si="89"/>
        <v>3.5230564471932986E-3</v>
      </c>
      <c r="QQ106" s="180" t="str">
        <f t="shared" ca="1" si="90"/>
        <v>Attente…</v>
      </c>
      <c r="QR106" s="196">
        <f t="shared" si="91"/>
        <v>650</v>
      </c>
      <c r="QS106" s="176">
        <f t="shared" si="92"/>
        <v>4.679457182966776E-3</v>
      </c>
      <c r="QT106" s="177" t="str">
        <f t="shared" ca="1" si="93"/>
        <v>Attente…</v>
      </c>
      <c r="QU106" s="197">
        <f t="shared" si="94"/>
        <v>650</v>
      </c>
      <c r="QV106" s="179">
        <f t="shared" si="95"/>
        <v>4.4815223386651956E-3</v>
      </c>
      <c r="QW106" s="180" t="str">
        <f t="shared" ca="1" si="96"/>
        <v>Attente…</v>
      </c>
      <c r="QX106" s="196">
        <f t="shared" si="97"/>
        <v>750</v>
      </c>
      <c r="QY106" s="176">
        <f t="shared" si="98"/>
        <v>5.4730143903791708E-3</v>
      </c>
      <c r="QZ106" s="177" t="str">
        <f t="shared" ca="1" si="99"/>
        <v>Attente…</v>
      </c>
      <c r="RA106" s="197">
        <f t="shared" si="100"/>
        <v>550</v>
      </c>
      <c r="RB106" s="179">
        <f t="shared" si="101"/>
        <v>4.3032626555042641E-3</v>
      </c>
      <c r="RC106" s="180" t="str">
        <f t="shared" ca="1" si="102"/>
        <v>Attente…</v>
      </c>
      <c r="RD106" s="196">
        <f t="shared" si="103"/>
        <v>400</v>
      </c>
      <c r="RE106" s="176">
        <f t="shared" si="104"/>
        <v>3.9856516540454365E-3</v>
      </c>
      <c r="RF106" s="177" t="str">
        <f t="shared" ca="1" si="105"/>
        <v>Attente…</v>
      </c>
      <c r="RG106" s="197">
        <f t="shared" si="106"/>
        <v>350</v>
      </c>
      <c r="RH106" s="179">
        <f t="shared" si="107"/>
        <v>6.4373735515909506E-3</v>
      </c>
      <c r="RI106" s="198" t="str">
        <f t="shared" ca="1" si="108"/>
        <v>Attente…</v>
      </c>
      <c r="RJ106" s="199">
        <f t="shared" si="109"/>
        <v>1360</v>
      </c>
      <c r="RK106" s="200" t="str">
        <f t="shared" ca="1" si="66"/>
        <v>Attente…</v>
      </c>
      <c r="RL106" s="199">
        <f t="shared" si="110"/>
        <v>1850</v>
      </c>
      <c r="RM106" s="200" t="str">
        <f t="shared" ca="1" si="111"/>
        <v>Atttente…</v>
      </c>
      <c r="RN106" s="199">
        <f t="shared" si="112"/>
        <v>2050</v>
      </c>
      <c r="RO106" s="200" t="str">
        <f t="shared" ca="1" si="67"/>
        <v>Attente…</v>
      </c>
      <c r="RP106" s="199">
        <f t="shared" si="113"/>
        <v>1300</v>
      </c>
      <c r="RQ106" s="200" t="str">
        <f t="shared" ca="1" si="68"/>
        <v>Attente…</v>
      </c>
      <c r="RR106" s="201">
        <f t="shared" si="114"/>
        <v>6560</v>
      </c>
      <c r="RS106" s="202" t="str">
        <f t="shared" ca="1" si="69"/>
        <v>Attente…</v>
      </c>
      <c r="RT106" s="103"/>
      <c r="RU106" s="203">
        <f t="shared" si="115"/>
        <v>0.66938775510204085</v>
      </c>
      <c r="RV106" s="204">
        <f t="shared" si="118"/>
        <v>1</v>
      </c>
      <c r="RW106" s="204">
        <f t="shared" si="118"/>
        <v>1</v>
      </c>
      <c r="RX106" s="204">
        <f t="shared" si="116"/>
        <v>49</v>
      </c>
      <c r="RY106" s="205" t="str">
        <f t="shared" si="117"/>
        <v>SAINT-PIERRE-LÈS-ELBEUF - 625 rue du Puits Mérot (Parking Leader Price / Face à la mairie)</v>
      </c>
      <c r="RZ106" s="189" t="str">
        <f>IF(OR(RZ105="",RZ105="  &lt;/Document&gt;
&lt;/kml&gt;"),"",
IF(B106="","  &lt;/Document&gt;
&lt;/kml&gt;",
IF(TournéesCAV!Q106=""," ",
"    &lt;Placemark&gt;
      &lt;description&gt;&lt;![CDATA["&amp;B106&amp;"&lt;br&gt;&lt;br&gt;"&amp;RV106&amp;" CAV&lt;br&gt;&lt;br&gt;Présent sur "&amp;RW106&amp;" tournée(s)&lt;br&gt;&lt;br&gt;Taux de remplissage moyen "&amp;TEXT(RU106*1000,"0 %")&amp;"]]&gt;&lt;/description&gt;
      &lt;Style&gt;
        &lt;IconStyle&gt;
          &lt;color&gt;ff"&amp;
          DEC2HEX(0,2)&amp;
          DEC2HEX(
            IF(RU106&lt;=0.5,
               INT(255*(RU106*2)),
               255
            ),2)&amp;
          DEC2HEX(
            IF(RU106&lt;=0.5,
               255,
               INT(255*(1-(RU106-0.5)*2))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&lt;Point&gt;&lt;coordinates&gt;"&amp;R106&amp;","&amp;Q106&amp;",0&lt;/coordinates&gt;&lt;/Point&gt;
    &lt;/Placemark&gt;"
)))</f>
        <v xml:space="preserve">    &lt;Placemark&gt;
      &lt;description&gt;&lt;![CDATA[SAINT-PIERRE-LÈS-ELBEUF - 625 rue du Puits Mérot (Parking Leader Price / Face à la mairie)&lt;br&gt;&lt;br&gt;1 CAV&lt;br&gt;&lt;br&gt;Présent sur 1 tournée(s)&lt;br&gt;&lt;br&gt;Taux de remplissage moyen 67%]]&gt;&lt;/description&gt;
      &lt;Style&gt;
        &lt;IconStyle&gt;
          &lt;color&gt;ff00FFA8&lt;/color&gt;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&lt;Point&gt;&lt;coordinates&gt;1.0432253,49.2761596,0&lt;/coordinates&gt;&lt;/Point&gt;
    &lt;/Placemark&gt;</v>
      </c>
    </row>
    <row r="107" spans="2:494" ht="15" hidden="1" customHeight="1" x14ac:dyDescent="0.35">
      <c r="B107" s="153" t="str">
        <f t="shared" si="70"/>
        <v>LA SAUSSAYE - 22 Route du Neubourg (Derrière le Manoir Saint-Nicolas)</v>
      </c>
      <c r="C107" s="154" t="s">
        <v>104</v>
      </c>
      <c r="D107" s="155"/>
      <c r="E107" s="155"/>
      <c r="F107" s="155"/>
      <c r="G107" s="155"/>
      <c r="H107" s="155"/>
      <c r="I107" s="155"/>
      <c r="J107" s="156"/>
      <c r="K107" s="157">
        <f t="shared" si="71"/>
        <v>1</v>
      </c>
      <c r="L107" s="157">
        <f t="shared" si="72"/>
        <v>1</v>
      </c>
      <c r="M107" s="158" t="s">
        <v>627</v>
      </c>
      <c r="N107" s="159" t="s">
        <v>628</v>
      </c>
      <c r="O107" s="159">
        <v>27370</v>
      </c>
      <c r="P107" s="159" t="s">
        <v>629</v>
      </c>
      <c r="Q107" s="159" t="s">
        <v>630</v>
      </c>
      <c r="R107" s="159" t="s">
        <v>631</v>
      </c>
      <c r="S107" s="159"/>
      <c r="T107" s="159" t="s">
        <v>620</v>
      </c>
      <c r="U107" s="159" t="s">
        <v>632</v>
      </c>
      <c r="V107" s="160" t="s">
        <v>123</v>
      </c>
      <c r="W107" s="161"/>
      <c r="X107" s="162"/>
      <c r="Y107" s="163"/>
      <c r="Z107" s="162"/>
      <c r="AA107" s="163"/>
      <c r="AB107" s="162"/>
      <c r="AC107" s="163"/>
      <c r="AD107" s="162"/>
      <c r="AE107" s="163"/>
      <c r="AF107" s="162"/>
      <c r="AG107" s="163"/>
      <c r="AH107" s="163"/>
      <c r="AI107" s="162"/>
      <c r="AJ107" s="163"/>
      <c r="AK107" s="162"/>
      <c r="AL107" s="163"/>
      <c r="AM107" s="162"/>
      <c r="AN107" s="163">
        <v>4</v>
      </c>
      <c r="AO107" s="162"/>
      <c r="AP107" s="164"/>
      <c r="AQ107" s="164"/>
      <c r="AR107" s="164"/>
      <c r="AS107" s="164"/>
      <c r="AT107" s="164"/>
      <c r="AU107" s="164"/>
      <c r="AV107" s="164"/>
      <c r="AW107" s="164"/>
      <c r="AX107" s="164"/>
      <c r="AY107" s="165"/>
      <c r="AZ107" s="41"/>
      <c r="BA107" s="190"/>
      <c r="BB107" s="191"/>
      <c r="BC107" s="191"/>
      <c r="BD107" s="191"/>
      <c r="BE107" s="191"/>
      <c r="BF107" s="191"/>
      <c r="BG107" s="191">
        <v>50</v>
      </c>
      <c r="BH107" s="191"/>
      <c r="BI107" s="191"/>
      <c r="BJ107" s="191"/>
      <c r="BK107" s="191"/>
      <c r="BL107" s="191"/>
      <c r="BM107" s="191"/>
      <c r="BN107" s="191">
        <v>100</v>
      </c>
      <c r="BO107" s="191"/>
      <c r="BP107" s="191"/>
      <c r="BQ107" s="191"/>
      <c r="BR107" s="191"/>
      <c r="BS107" s="191"/>
      <c r="BT107" s="191"/>
      <c r="BU107" s="191">
        <v>150</v>
      </c>
      <c r="BV107" s="191"/>
      <c r="BW107" s="191"/>
      <c r="BX107" s="191"/>
      <c r="BY107" s="191"/>
      <c r="BZ107" s="191"/>
      <c r="CA107" s="191"/>
      <c r="CB107" s="191">
        <v>100</v>
      </c>
      <c r="CC107" s="191"/>
      <c r="CD107" s="191"/>
      <c r="CE107" s="192"/>
      <c r="CF107" s="190"/>
      <c r="CG107" s="191"/>
      <c r="CH107" s="191"/>
      <c r="CI107" s="191">
        <v>100</v>
      </c>
      <c r="CJ107" s="191"/>
      <c r="CK107" s="191"/>
      <c r="CL107" s="191"/>
      <c r="CM107" s="191"/>
      <c r="CN107" s="191"/>
      <c r="CO107" s="191"/>
      <c r="CP107" s="191">
        <v>100</v>
      </c>
      <c r="CQ107" s="191"/>
      <c r="CR107" s="191"/>
      <c r="CS107" s="191"/>
      <c r="CT107" s="191"/>
      <c r="CU107" s="191"/>
      <c r="CV107" s="191"/>
      <c r="CW107" s="191">
        <v>200</v>
      </c>
      <c r="CX107" s="191"/>
      <c r="CY107" s="191"/>
      <c r="CZ107" s="191"/>
      <c r="DA107" s="191"/>
      <c r="DB107" s="191"/>
      <c r="DC107" s="191"/>
      <c r="DD107" s="191"/>
      <c r="DE107" s="191"/>
      <c r="DF107" s="191"/>
      <c r="DG107" s="191"/>
      <c r="DH107" s="193"/>
      <c r="DI107" s="194"/>
      <c r="DJ107" s="191"/>
      <c r="DK107" s="191"/>
      <c r="DL107" s="191"/>
      <c r="DM107" s="191"/>
      <c r="DN107" s="191"/>
      <c r="DO107" s="191"/>
      <c r="DP107" s="191"/>
      <c r="DQ107" s="191"/>
      <c r="DR107" s="191"/>
      <c r="DS107" s="191">
        <v>50</v>
      </c>
      <c r="DT107" s="191"/>
      <c r="DU107" s="191"/>
      <c r="DV107" s="191"/>
      <c r="DW107" s="191"/>
      <c r="DX107" s="191"/>
      <c r="DY107" s="191"/>
      <c r="DZ107" s="191"/>
      <c r="EA107" s="191"/>
      <c r="EB107" s="191"/>
      <c r="EC107" s="191"/>
      <c r="ED107" s="191"/>
      <c r="EE107" s="191"/>
      <c r="EF107" s="191"/>
      <c r="EG107" s="191">
        <v>50</v>
      </c>
      <c r="EH107" s="191"/>
      <c r="EI107" s="191"/>
      <c r="EJ107" s="191"/>
      <c r="EK107" s="191"/>
      <c r="EL107" s="191"/>
      <c r="EM107" s="192"/>
      <c r="EN107" s="190">
        <v>100</v>
      </c>
      <c r="EO107" s="191"/>
      <c r="EP107" s="191"/>
      <c r="EQ107" s="191"/>
      <c r="ER107" s="191"/>
      <c r="ES107" s="191"/>
      <c r="ET107" s="191"/>
      <c r="EU107" s="191">
        <v>50</v>
      </c>
      <c r="EV107" s="191"/>
      <c r="EW107" s="191"/>
      <c r="EX107" s="191"/>
      <c r="EY107" s="191"/>
      <c r="EZ107" s="191"/>
      <c r="FA107" s="191"/>
      <c r="FB107" s="191">
        <v>50</v>
      </c>
      <c r="FC107" s="191"/>
      <c r="FD107" s="191"/>
      <c r="FE107" s="191"/>
      <c r="FF107" s="191"/>
      <c r="FG107" s="191"/>
      <c r="FH107" s="191"/>
      <c r="FI107" s="191">
        <v>150</v>
      </c>
      <c r="FJ107" s="191"/>
      <c r="FK107" s="191"/>
      <c r="FL107" s="191"/>
      <c r="FM107" s="191"/>
      <c r="FN107" s="191"/>
      <c r="FO107" s="191"/>
      <c r="FP107" s="191">
        <v>50</v>
      </c>
      <c r="FQ107" s="193"/>
      <c r="FR107" s="194"/>
      <c r="FS107" s="191"/>
      <c r="FT107" s="191"/>
      <c r="FU107" s="191"/>
      <c r="FV107" s="191"/>
      <c r="FW107" s="191">
        <v>150</v>
      </c>
      <c r="FX107" s="191"/>
      <c r="FY107" s="191"/>
      <c r="FZ107" s="191"/>
      <c r="GA107" s="191"/>
      <c r="GB107" s="191"/>
      <c r="GC107" s="191"/>
      <c r="GD107" s="191">
        <v>150</v>
      </c>
      <c r="GE107" s="191"/>
      <c r="GF107" s="191"/>
      <c r="GG107" s="191"/>
      <c r="GH107" s="191"/>
      <c r="GI107" s="191"/>
      <c r="GJ107" s="191"/>
      <c r="GK107" s="191">
        <v>200</v>
      </c>
      <c r="GL107" s="191"/>
      <c r="GM107" s="191"/>
      <c r="GN107" s="191"/>
      <c r="GO107" s="191"/>
      <c r="GP107" s="191"/>
      <c r="GQ107" s="191"/>
      <c r="GR107" s="191">
        <v>50</v>
      </c>
      <c r="GS107" s="191"/>
      <c r="GT107" s="191"/>
      <c r="GU107" s="191"/>
      <c r="GV107" s="192"/>
      <c r="GW107" s="190"/>
      <c r="GX107" s="191"/>
      <c r="GY107" s="191">
        <v>200</v>
      </c>
      <c r="GZ107" s="191"/>
      <c r="HA107" s="191"/>
      <c r="HB107" s="191"/>
      <c r="HC107" s="191"/>
      <c r="HD107" s="191"/>
      <c r="HE107" s="191"/>
      <c r="HF107" s="191">
        <v>50</v>
      </c>
      <c r="HG107" s="191"/>
      <c r="HH107" s="191"/>
      <c r="HI107" s="191"/>
      <c r="HJ107" s="191"/>
      <c r="HK107" s="191"/>
      <c r="HL107" s="191"/>
      <c r="HM107" s="191">
        <v>100</v>
      </c>
      <c r="HN107" s="191"/>
      <c r="HO107" s="191"/>
      <c r="HP107" s="191"/>
      <c r="HQ107" s="191"/>
      <c r="HR107" s="191"/>
      <c r="HS107" s="191"/>
      <c r="HT107" s="191">
        <v>50</v>
      </c>
      <c r="HU107" s="191"/>
      <c r="HV107" s="191"/>
      <c r="HW107" s="191"/>
      <c r="HX107" s="191"/>
      <c r="HY107" s="191"/>
      <c r="HZ107" s="193"/>
      <c r="IA107" s="194">
        <v>100</v>
      </c>
      <c r="IB107" s="191"/>
      <c r="IC107" s="191"/>
      <c r="ID107" s="191"/>
      <c r="IE107" s="191"/>
      <c r="IF107" s="191"/>
      <c r="IG107" s="191"/>
      <c r="IH107" s="191">
        <v>150</v>
      </c>
      <c r="II107" s="191"/>
      <c r="IJ107" s="191"/>
      <c r="IK107" s="191"/>
      <c r="IL107" s="191"/>
      <c r="IM107" s="191"/>
      <c r="IN107" s="191"/>
      <c r="IO107" s="191"/>
      <c r="IP107" s="191">
        <v>150</v>
      </c>
      <c r="IQ107" s="191"/>
      <c r="IR107" s="191"/>
      <c r="IS107" s="191"/>
      <c r="IT107" s="191"/>
      <c r="IU107" s="191"/>
      <c r="IV107" s="191">
        <v>200</v>
      </c>
      <c r="IW107" s="191"/>
      <c r="IX107" s="191"/>
      <c r="IY107" s="191"/>
      <c r="IZ107" s="191"/>
      <c r="JA107" s="191"/>
      <c r="JB107" s="191"/>
      <c r="JC107" s="191"/>
      <c r="JD107" s="191"/>
      <c r="JE107" s="192"/>
      <c r="JF107" s="190"/>
      <c r="JG107" s="191"/>
      <c r="JH107" s="191"/>
      <c r="JI107" s="191"/>
      <c r="JJ107" s="191">
        <v>200</v>
      </c>
      <c r="JK107" s="191"/>
      <c r="JL107" s="191"/>
      <c r="JM107" s="191"/>
      <c r="JN107" s="191"/>
      <c r="JO107" s="191"/>
      <c r="JP107" s="191"/>
      <c r="JQ107" s="191">
        <v>150</v>
      </c>
      <c r="JR107" s="191"/>
      <c r="JS107" s="191"/>
      <c r="JT107" s="191"/>
      <c r="JU107" s="191"/>
      <c r="JV107" s="191"/>
      <c r="JW107" s="191"/>
      <c r="JX107" s="191">
        <v>150</v>
      </c>
      <c r="JY107" s="191"/>
      <c r="JZ107" s="191"/>
      <c r="KA107" s="191"/>
      <c r="KB107" s="191"/>
      <c r="KC107" s="191"/>
      <c r="KD107" s="191"/>
      <c r="KE107" s="191">
        <v>200</v>
      </c>
      <c r="KF107" s="191"/>
      <c r="KG107" s="191"/>
      <c r="KH107" s="191"/>
      <c r="KI107" s="191"/>
      <c r="KJ107" s="193"/>
      <c r="KK107" s="194"/>
      <c r="KL107" s="191">
        <v>200</v>
      </c>
      <c r="KM107" s="191"/>
      <c r="KN107" s="191"/>
      <c r="KO107" s="191"/>
      <c r="KP107" s="191"/>
      <c r="KQ107" s="191"/>
      <c r="KR107" s="191"/>
      <c r="KS107" s="191">
        <v>100</v>
      </c>
      <c r="KT107" s="191"/>
      <c r="KU107" s="191"/>
      <c r="KV107" s="191"/>
      <c r="KW107" s="191"/>
      <c r="KX107" s="191"/>
      <c r="KY107" s="191"/>
      <c r="KZ107" s="191">
        <v>50</v>
      </c>
      <c r="LA107" s="191"/>
      <c r="LB107" s="191"/>
      <c r="LC107" s="191"/>
      <c r="LD107" s="191"/>
      <c r="LE107" s="191"/>
      <c r="LF107" s="191"/>
      <c r="LG107" s="191">
        <v>150</v>
      </c>
      <c r="LH107" s="191"/>
      <c r="LI107" s="191"/>
      <c r="LJ107" s="191"/>
      <c r="LK107" s="191"/>
      <c r="LL107" s="191"/>
      <c r="LM107" s="191"/>
      <c r="LN107" s="192">
        <v>150</v>
      </c>
      <c r="LO107" s="190"/>
      <c r="LP107" s="191"/>
      <c r="LQ107" s="191"/>
      <c r="LR107" s="191"/>
      <c r="LS107" s="191"/>
      <c r="LT107" s="191"/>
      <c r="LU107" s="191">
        <v>100</v>
      </c>
      <c r="LV107" s="191"/>
      <c r="LW107" s="191"/>
      <c r="LX107" s="191"/>
      <c r="LY107" s="191"/>
      <c r="LZ107" s="191"/>
      <c r="MA107" s="191"/>
      <c r="MB107" s="191">
        <v>150</v>
      </c>
      <c r="MC107" s="191"/>
      <c r="MD107" s="191"/>
      <c r="ME107" s="191"/>
      <c r="MF107" s="191"/>
      <c r="MG107" s="191"/>
      <c r="MH107" s="191"/>
      <c r="MI107" s="191">
        <v>150</v>
      </c>
      <c r="MJ107" s="191"/>
      <c r="MK107" s="191"/>
      <c r="ML107" s="191"/>
      <c r="MM107" s="191"/>
      <c r="MN107" s="191"/>
      <c r="MO107" s="191"/>
      <c r="MP107" s="191">
        <v>50</v>
      </c>
      <c r="MQ107" s="191"/>
      <c r="MR107" s="191"/>
      <c r="MS107" s="193"/>
      <c r="MT107" s="194"/>
      <c r="MU107" s="191"/>
      <c r="MV107" s="191"/>
      <c r="MW107" s="191">
        <v>100</v>
      </c>
      <c r="MX107" s="191"/>
      <c r="MY107" s="191"/>
      <c r="MZ107" s="191"/>
      <c r="NA107" s="191"/>
      <c r="NB107" s="191"/>
      <c r="NC107" s="191"/>
      <c r="ND107" s="191"/>
      <c r="NE107" s="191">
        <v>150</v>
      </c>
      <c r="NF107" s="191"/>
      <c r="NG107" s="191"/>
      <c r="NH107" s="191"/>
      <c r="NI107" s="191"/>
      <c r="NJ107" s="191"/>
      <c r="NK107" s="191">
        <v>50</v>
      </c>
      <c r="NL107" s="191"/>
      <c r="NM107" s="191"/>
      <c r="NN107" s="191"/>
      <c r="NO107" s="191"/>
      <c r="NP107" s="191"/>
      <c r="NQ107" s="191"/>
      <c r="NR107" s="191">
        <v>50</v>
      </c>
      <c r="NS107" s="191"/>
      <c r="NT107" s="191"/>
      <c r="NU107" s="191"/>
      <c r="NV107" s="191"/>
      <c r="NW107" s="192"/>
      <c r="NX107" s="190"/>
      <c r="NY107" s="191">
        <v>150</v>
      </c>
      <c r="NZ107" s="191"/>
      <c r="OA107" s="191"/>
      <c r="OB107" s="191"/>
      <c r="OC107" s="191"/>
      <c r="OD107" s="191"/>
      <c r="OE107" s="191"/>
      <c r="OF107" s="191">
        <v>50</v>
      </c>
      <c r="OG107" s="191"/>
      <c r="OH107" s="191"/>
      <c r="OI107" s="191"/>
      <c r="OJ107" s="191"/>
      <c r="OK107" s="191"/>
      <c r="OL107" s="191"/>
      <c r="OM107" s="191">
        <v>100</v>
      </c>
      <c r="ON107" s="191"/>
      <c r="OO107" s="191"/>
      <c r="OP107" s="191"/>
      <c r="OQ107" s="191"/>
      <c r="OR107" s="191"/>
      <c r="OS107" s="191"/>
      <c r="OT107" s="191"/>
      <c r="OU107" s="191"/>
      <c r="OV107" s="191"/>
      <c r="OW107" s="191"/>
      <c r="OX107" s="191"/>
      <c r="OY107" s="191"/>
      <c r="OZ107" s="191"/>
      <c r="PA107" s="191"/>
      <c r="PB107" s="193"/>
      <c r="PC107" s="47"/>
      <c r="PD107" s="154" t="s">
        <v>98</v>
      </c>
      <c r="PE107" s="155" t="s">
        <v>98</v>
      </c>
      <c r="PF107" s="155" t="s">
        <v>98</v>
      </c>
      <c r="PG107" s="155" t="s">
        <v>98</v>
      </c>
      <c r="PH107" s="155" t="s">
        <v>97</v>
      </c>
      <c r="PI107" s="155" t="s">
        <v>98</v>
      </c>
      <c r="PJ107" s="155" t="s">
        <v>98</v>
      </c>
      <c r="PK107" s="155" t="s">
        <v>98</v>
      </c>
      <c r="PL107" s="155" t="s">
        <v>98</v>
      </c>
      <c r="PM107" s="155" t="s">
        <v>98</v>
      </c>
      <c r="PN107" s="155" t="s">
        <v>98</v>
      </c>
      <c r="PO107" s="156"/>
      <c r="PP107" s="156"/>
      <c r="PQ107" s="156"/>
      <c r="PR107" s="156"/>
      <c r="PS107" s="156"/>
      <c r="PT107" s="156"/>
      <c r="PU107" s="156"/>
      <c r="PV107" s="156"/>
      <c r="PW107" s="156"/>
      <c r="PX107" s="195"/>
      <c r="PY107" s="1"/>
      <c r="PZ107" s="196">
        <f t="shared" si="73"/>
        <v>400</v>
      </c>
      <c r="QA107" s="176">
        <f t="shared" si="74"/>
        <v>3.3369483607241178E-3</v>
      </c>
      <c r="QB107" s="177" t="str">
        <f t="shared" ca="1" si="75"/>
        <v>Attente…</v>
      </c>
      <c r="QC107" s="197">
        <f t="shared" si="76"/>
        <v>400</v>
      </c>
      <c r="QD107" s="179">
        <f t="shared" si="77"/>
        <v>3.7453183520599251E-3</v>
      </c>
      <c r="QE107" s="180" t="str">
        <f t="shared" ca="1" si="78"/>
        <v>Attente…</v>
      </c>
      <c r="QF107" s="196">
        <f t="shared" si="79"/>
        <v>100</v>
      </c>
      <c r="QG107" s="176">
        <f t="shared" si="80"/>
        <v>7.9630514413123112E-4</v>
      </c>
      <c r="QH107" s="177" t="str">
        <f t="shared" ca="1" si="81"/>
        <v>Attente…</v>
      </c>
      <c r="QI107" s="197">
        <f t="shared" si="82"/>
        <v>400</v>
      </c>
      <c r="QJ107" s="179">
        <f t="shared" si="83"/>
        <v>2.8054425585636133E-3</v>
      </c>
      <c r="QK107" s="180" t="str">
        <f t="shared" ca="1" si="84"/>
        <v>Attente…</v>
      </c>
      <c r="QL107" s="196">
        <f t="shared" si="85"/>
        <v>550</v>
      </c>
      <c r="QM107" s="176">
        <f t="shared" si="86"/>
        <v>4.0239976587649988E-3</v>
      </c>
      <c r="QN107" s="177" t="str">
        <f t="shared" ca="1" si="87"/>
        <v>Attente…</v>
      </c>
      <c r="QO107" s="197">
        <f t="shared" si="88"/>
        <v>400</v>
      </c>
      <c r="QP107" s="179">
        <f t="shared" si="89"/>
        <v>3.1316057308384874E-3</v>
      </c>
      <c r="QQ107" s="180" t="str">
        <f t="shared" ca="1" si="90"/>
        <v>Attente…</v>
      </c>
      <c r="QR107" s="196">
        <f t="shared" si="91"/>
        <v>600</v>
      </c>
      <c r="QS107" s="176">
        <f t="shared" si="92"/>
        <v>4.3194989381231778E-3</v>
      </c>
      <c r="QT107" s="177" t="str">
        <f t="shared" ca="1" si="93"/>
        <v>Attente…</v>
      </c>
      <c r="QU107" s="197">
        <f t="shared" si="94"/>
        <v>700</v>
      </c>
      <c r="QV107" s="179">
        <f t="shared" si="95"/>
        <v>4.8262548262548262E-3</v>
      </c>
      <c r="QW107" s="180" t="str">
        <f t="shared" ca="1" si="96"/>
        <v>Attente…</v>
      </c>
      <c r="QX107" s="196">
        <f t="shared" si="97"/>
        <v>650</v>
      </c>
      <c r="QY107" s="176">
        <f t="shared" si="98"/>
        <v>4.7432791383286146E-3</v>
      </c>
      <c r="QZ107" s="177" t="str">
        <f t="shared" ca="1" si="99"/>
        <v>Attente…</v>
      </c>
      <c r="RA107" s="197">
        <f t="shared" si="100"/>
        <v>450</v>
      </c>
      <c r="RB107" s="179">
        <f t="shared" si="101"/>
        <v>3.5208512635943978E-3</v>
      </c>
      <c r="RC107" s="180" t="str">
        <f t="shared" ca="1" si="102"/>
        <v>Attente…</v>
      </c>
      <c r="RD107" s="196">
        <f t="shared" si="103"/>
        <v>350</v>
      </c>
      <c r="RE107" s="176">
        <f t="shared" si="104"/>
        <v>3.4874451972897571E-3</v>
      </c>
      <c r="RF107" s="177" t="str">
        <f t="shared" ca="1" si="105"/>
        <v>Attente…</v>
      </c>
      <c r="RG107" s="197">
        <f t="shared" si="106"/>
        <v>300</v>
      </c>
      <c r="RH107" s="179">
        <f t="shared" si="107"/>
        <v>5.5177487585065296E-3</v>
      </c>
      <c r="RI107" s="198" t="str">
        <f t="shared" ca="1" si="108"/>
        <v>Attente…</v>
      </c>
      <c r="RJ107" s="199">
        <f t="shared" si="109"/>
        <v>900</v>
      </c>
      <c r="RK107" s="200" t="str">
        <f t="shared" ca="1" si="66"/>
        <v>Attente…</v>
      </c>
      <c r="RL107" s="199">
        <f t="shared" si="110"/>
        <v>1350</v>
      </c>
      <c r="RM107" s="200" t="str">
        <f t="shared" ca="1" si="111"/>
        <v>Atttente…</v>
      </c>
      <c r="RN107" s="199">
        <f t="shared" si="112"/>
        <v>1950</v>
      </c>
      <c r="RO107" s="200" t="str">
        <f t="shared" ca="1" si="67"/>
        <v>Attente…</v>
      </c>
      <c r="RP107" s="199">
        <f t="shared" si="113"/>
        <v>1100</v>
      </c>
      <c r="RQ107" s="200" t="str">
        <f t="shared" ca="1" si="68"/>
        <v>Attente…</v>
      </c>
      <c r="RR107" s="201">
        <f t="shared" si="114"/>
        <v>5300</v>
      </c>
      <c r="RS107" s="202" t="str">
        <f t="shared" ca="1" si="69"/>
        <v>Attente…</v>
      </c>
      <c r="RT107" s="103"/>
      <c r="RU107" s="203">
        <f t="shared" si="115"/>
        <v>0.57608695652173914</v>
      </c>
      <c r="RV107" s="204">
        <f t="shared" si="118"/>
        <v>1</v>
      </c>
      <c r="RW107" s="204">
        <f t="shared" si="118"/>
        <v>1</v>
      </c>
      <c r="RX107" s="204">
        <f t="shared" si="116"/>
        <v>46</v>
      </c>
      <c r="RY107" s="205" t="str">
        <f t="shared" si="117"/>
        <v>LA SAUSSAYE - 22 Route du Neubourg (Derrière le Manoir Saint-Nicolas)</v>
      </c>
      <c r="RZ107" s="189" t="str">
        <f>IF(OR(RZ106="",RZ106="  &lt;/Document&gt;
&lt;/kml&gt;"),"",
IF(B107="","  &lt;/Document&gt;
&lt;/kml&gt;",
IF(TournéesCAV!Q107=""," ",
"    &lt;Placemark&gt;
      &lt;description&gt;&lt;![CDATA["&amp;B107&amp;"&lt;br&gt;&lt;br&gt;"&amp;RV107&amp;" CAV&lt;br&gt;&lt;br&gt;Présent sur "&amp;RW107&amp;" tournée(s)&lt;br&gt;&lt;br&gt;Taux de remplissage moyen "&amp;TEXT(RU107*1000,"0 %")&amp;"]]&gt;&lt;/description&gt;
      &lt;Style&gt;
        &lt;IconStyle&gt;
          &lt;color&gt;ff"&amp;
          DEC2HEX(0,2)&amp;
          DEC2HEX(
            IF(RU107&lt;=0.5,
               INT(255*(RU107*2)),
               255
            ),2)&amp;
          DEC2HEX(
            IF(RU107&lt;=0.5,
               255,
               INT(255*(1-(RU107-0.5)*2))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&lt;Point&gt;&lt;coordinates&gt;"&amp;R107&amp;","&amp;Q107&amp;",0&lt;/coordinates&gt;&lt;/Point&gt;
    &lt;/Placemark&gt;"
)))</f>
        <v xml:space="preserve">    &lt;Placemark&gt;
      &lt;description&gt;&lt;![CDATA[LA SAUSSAYE - 22 Route du Neubourg (Derrière le Manoir Saint-Nicolas)&lt;br&gt;&lt;br&gt;1 CAV&lt;br&gt;&lt;br&gt;Présent sur 1 tournée(s)&lt;br&gt;&lt;br&gt;Taux de remplissage moyen 58%]]&gt;&lt;/description&gt;
      &lt;Style&gt;
        &lt;IconStyle&gt;
          &lt;color&gt;ff00FFD8&lt;/color&gt;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&lt;Point&gt;&lt;coordinates&gt;0.9767508,49.260836,0&lt;/coordinates&gt;&lt;/Point&gt;
    &lt;/Placemark&gt;</v>
      </c>
    </row>
    <row r="108" spans="2:494" ht="15" hidden="1" customHeight="1" x14ac:dyDescent="0.35">
      <c r="B108" s="153" t="str">
        <f t="shared" si="70"/>
        <v>CAUDEBEC-LÈS-ELBEUF - 318 Rue Antoine de Saint Exupery</v>
      </c>
      <c r="C108" s="154">
        <v>90</v>
      </c>
      <c r="D108" s="155"/>
      <c r="E108" s="155"/>
      <c r="F108" s="155"/>
      <c r="G108" s="155"/>
      <c r="H108" s="155"/>
      <c r="I108" s="155"/>
      <c r="J108" s="156"/>
      <c r="K108" s="157">
        <f t="shared" si="71"/>
        <v>1</v>
      </c>
      <c r="L108" s="157">
        <f t="shared" si="72"/>
        <v>1</v>
      </c>
      <c r="M108" s="158" t="s">
        <v>633</v>
      </c>
      <c r="N108" s="159"/>
      <c r="O108" s="159">
        <v>76320</v>
      </c>
      <c r="P108" s="159" t="s">
        <v>564</v>
      </c>
      <c r="Q108" s="159" t="s">
        <v>634</v>
      </c>
      <c r="R108" s="159" t="s">
        <v>635</v>
      </c>
      <c r="S108" s="159" t="s">
        <v>93</v>
      </c>
      <c r="T108" s="159" t="s">
        <v>94</v>
      </c>
      <c r="U108" s="159" t="s">
        <v>636</v>
      </c>
      <c r="V108" s="160" t="s">
        <v>96</v>
      </c>
      <c r="W108" s="161"/>
      <c r="X108" s="162"/>
      <c r="Y108" s="163"/>
      <c r="Z108" s="162"/>
      <c r="AA108" s="163"/>
      <c r="AB108" s="162"/>
      <c r="AC108" s="163"/>
      <c r="AD108" s="162"/>
      <c r="AE108" s="163"/>
      <c r="AF108" s="162"/>
      <c r="AG108" s="163"/>
      <c r="AH108" s="163"/>
      <c r="AI108" s="162"/>
      <c r="AJ108" s="163"/>
      <c r="AK108" s="162"/>
      <c r="AL108" s="163"/>
      <c r="AM108" s="162">
        <v>8</v>
      </c>
      <c r="AN108" s="163"/>
      <c r="AO108" s="162"/>
      <c r="AP108" s="164"/>
      <c r="AQ108" s="164"/>
      <c r="AR108" s="164"/>
      <c r="AS108" s="164"/>
      <c r="AT108" s="164"/>
      <c r="AU108" s="164"/>
      <c r="AV108" s="164"/>
      <c r="AW108" s="164"/>
      <c r="AX108" s="164"/>
      <c r="AY108" s="165"/>
      <c r="AZ108" s="41"/>
      <c r="BA108" s="190"/>
      <c r="BB108" s="191"/>
      <c r="BC108" s="191"/>
      <c r="BD108" s="191"/>
      <c r="BE108" s="191"/>
      <c r="BF108" s="191"/>
      <c r="BG108" s="191">
        <v>50</v>
      </c>
      <c r="BH108" s="191"/>
      <c r="BI108" s="191"/>
      <c r="BJ108" s="191"/>
      <c r="BK108" s="191"/>
      <c r="BL108" s="191"/>
      <c r="BM108" s="191"/>
      <c r="BN108" s="191">
        <v>10</v>
      </c>
      <c r="BO108" s="191"/>
      <c r="BP108" s="191"/>
      <c r="BQ108" s="191"/>
      <c r="BR108" s="191"/>
      <c r="BS108" s="191"/>
      <c r="BT108" s="191"/>
      <c r="BU108" s="191">
        <v>50</v>
      </c>
      <c r="BV108" s="191"/>
      <c r="BW108" s="191"/>
      <c r="BX108" s="191"/>
      <c r="BY108" s="191"/>
      <c r="BZ108" s="191"/>
      <c r="CA108" s="191"/>
      <c r="CB108" s="191">
        <v>10</v>
      </c>
      <c r="CC108" s="191"/>
      <c r="CD108" s="191"/>
      <c r="CE108" s="192"/>
      <c r="CF108" s="190"/>
      <c r="CG108" s="191"/>
      <c r="CH108" s="191"/>
      <c r="CI108" s="191">
        <v>10</v>
      </c>
      <c r="CJ108" s="191"/>
      <c r="CK108" s="191"/>
      <c r="CL108" s="191"/>
      <c r="CM108" s="191"/>
      <c r="CN108" s="191"/>
      <c r="CO108" s="191"/>
      <c r="CP108" s="191">
        <v>150</v>
      </c>
      <c r="CQ108" s="191"/>
      <c r="CR108" s="191"/>
      <c r="CS108" s="191"/>
      <c r="CT108" s="191"/>
      <c r="CU108" s="191"/>
      <c r="CV108" s="191"/>
      <c r="CW108" s="191">
        <v>10</v>
      </c>
      <c r="CX108" s="191"/>
      <c r="CY108" s="191"/>
      <c r="CZ108" s="191"/>
      <c r="DA108" s="191"/>
      <c r="DB108" s="191"/>
      <c r="DC108" s="191"/>
      <c r="DD108" s="191">
        <v>50</v>
      </c>
      <c r="DE108" s="191"/>
      <c r="DF108" s="191"/>
      <c r="DG108" s="191"/>
      <c r="DH108" s="193"/>
      <c r="DI108" s="194"/>
      <c r="DJ108" s="191"/>
      <c r="DK108" s="191"/>
      <c r="DL108" s="191">
        <v>150</v>
      </c>
      <c r="DM108" s="191"/>
      <c r="DN108" s="191"/>
      <c r="DO108" s="191"/>
      <c r="DP108" s="191"/>
      <c r="DQ108" s="191"/>
      <c r="DR108" s="191"/>
      <c r="DS108" s="191">
        <v>100</v>
      </c>
      <c r="DT108" s="191"/>
      <c r="DU108" s="191"/>
      <c r="DV108" s="191"/>
      <c r="DW108" s="191"/>
      <c r="DX108" s="191"/>
      <c r="DY108" s="191"/>
      <c r="DZ108" s="191">
        <v>100</v>
      </c>
      <c r="EA108" s="191"/>
      <c r="EB108" s="191"/>
      <c r="EC108" s="191"/>
      <c r="ED108" s="191"/>
      <c r="EE108" s="191"/>
      <c r="EF108" s="191"/>
      <c r="EG108" s="191">
        <v>50</v>
      </c>
      <c r="EH108" s="191"/>
      <c r="EI108" s="191"/>
      <c r="EJ108" s="191"/>
      <c r="EK108" s="191"/>
      <c r="EL108" s="191"/>
      <c r="EM108" s="192"/>
      <c r="EN108" s="190">
        <v>100</v>
      </c>
      <c r="EO108" s="191"/>
      <c r="EP108" s="191"/>
      <c r="EQ108" s="191"/>
      <c r="ER108" s="191"/>
      <c r="ES108" s="191"/>
      <c r="ET108" s="191"/>
      <c r="EU108" s="191">
        <v>10</v>
      </c>
      <c r="EV108" s="191"/>
      <c r="EW108" s="191"/>
      <c r="EX108" s="191"/>
      <c r="EY108" s="191"/>
      <c r="EZ108" s="191"/>
      <c r="FA108" s="191"/>
      <c r="FB108" s="191">
        <v>50</v>
      </c>
      <c r="FC108" s="191"/>
      <c r="FD108" s="191"/>
      <c r="FE108" s="191"/>
      <c r="FF108" s="191"/>
      <c r="FG108" s="191"/>
      <c r="FH108" s="191"/>
      <c r="FI108" s="191">
        <v>150</v>
      </c>
      <c r="FJ108" s="191"/>
      <c r="FK108" s="191"/>
      <c r="FL108" s="191"/>
      <c r="FM108" s="191"/>
      <c r="FN108" s="191"/>
      <c r="FO108" s="191"/>
      <c r="FP108" s="191">
        <v>100</v>
      </c>
      <c r="FQ108" s="193"/>
      <c r="FR108" s="194"/>
      <c r="FS108" s="191"/>
      <c r="FT108" s="191"/>
      <c r="FU108" s="191"/>
      <c r="FV108" s="191"/>
      <c r="FW108" s="191"/>
      <c r="FX108" s="191"/>
      <c r="FY108" s="191"/>
      <c r="FZ108" s="191"/>
      <c r="GA108" s="191"/>
      <c r="GB108" s="191"/>
      <c r="GC108" s="191"/>
      <c r="GD108" s="191">
        <v>150</v>
      </c>
      <c r="GE108" s="191"/>
      <c r="GF108" s="191"/>
      <c r="GG108" s="191"/>
      <c r="GH108" s="191"/>
      <c r="GI108" s="191"/>
      <c r="GJ108" s="191"/>
      <c r="GK108" s="191">
        <v>100</v>
      </c>
      <c r="GL108" s="191"/>
      <c r="GM108" s="191"/>
      <c r="GN108" s="191"/>
      <c r="GO108" s="191"/>
      <c r="GP108" s="191"/>
      <c r="GQ108" s="191"/>
      <c r="GR108" s="191">
        <v>50</v>
      </c>
      <c r="GS108" s="191"/>
      <c r="GT108" s="191"/>
      <c r="GU108" s="191"/>
      <c r="GV108" s="192"/>
      <c r="GW108" s="190"/>
      <c r="GX108" s="191"/>
      <c r="GY108" s="191">
        <v>10</v>
      </c>
      <c r="GZ108" s="191"/>
      <c r="HA108" s="191"/>
      <c r="HB108" s="191"/>
      <c r="HC108" s="191"/>
      <c r="HD108" s="191"/>
      <c r="HE108" s="191"/>
      <c r="HF108" s="191"/>
      <c r="HG108" s="191"/>
      <c r="HH108" s="191">
        <v>50</v>
      </c>
      <c r="HI108" s="191"/>
      <c r="HJ108" s="191"/>
      <c r="HK108" s="191"/>
      <c r="HL108" s="191"/>
      <c r="HM108" s="191">
        <v>50</v>
      </c>
      <c r="HN108" s="191"/>
      <c r="HO108" s="191"/>
      <c r="HP108" s="191"/>
      <c r="HQ108" s="191"/>
      <c r="HR108" s="191"/>
      <c r="HS108" s="191"/>
      <c r="HT108" s="191">
        <v>10</v>
      </c>
      <c r="HU108" s="191"/>
      <c r="HV108" s="191"/>
      <c r="HW108" s="191"/>
      <c r="HX108" s="191"/>
      <c r="HY108" s="191"/>
      <c r="HZ108" s="193"/>
      <c r="IA108" s="194">
        <v>100</v>
      </c>
      <c r="IB108" s="191"/>
      <c r="IC108" s="191"/>
      <c r="ID108" s="191"/>
      <c r="IE108" s="191"/>
      <c r="IF108" s="191"/>
      <c r="IG108" s="191"/>
      <c r="IH108" s="191">
        <v>150</v>
      </c>
      <c r="II108" s="191"/>
      <c r="IJ108" s="191"/>
      <c r="IK108" s="191"/>
      <c r="IL108" s="191"/>
      <c r="IM108" s="191"/>
      <c r="IN108" s="191"/>
      <c r="IO108" s="191"/>
      <c r="IP108" s="191">
        <v>100</v>
      </c>
      <c r="IQ108" s="191"/>
      <c r="IR108" s="191"/>
      <c r="IS108" s="191"/>
      <c r="IT108" s="191"/>
      <c r="IU108" s="191"/>
      <c r="IV108" s="191">
        <v>50</v>
      </c>
      <c r="IW108" s="191"/>
      <c r="IX108" s="191"/>
      <c r="IY108" s="191"/>
      <c r="IZ108" s="191"/>
      <c r="JA108" s="191"/>
      <c r="JB108" s="191"/>
      <c r="JC108" s="191">
        <v>100</v>
      </c>
      <c r="JD108" s="191"/>
      <c r="JE108" s="192"/>
      <c r="JF108" s="190"/>
      <c r="JG108" s="191"/>
      <c r="JH108" s="191"/>
      <c r="JI108" s="191"/>
      <c r="JJ108" s="191">
        <v>50</v>
      </c>
      <c r="JK108" s="191"/>
      <c r="JL108" s="191"/>
      <c r="JM108" s="191"/>
      <c r="JN108" s="191"/>
      <c r="JO108" s="191"/>
      <c r="JP108" s="191"/>
      <c r="JQ108" s="191">
        <v>100</v>
      </c>
      <c r="JR108" s="191"/>
      <c r="JS108" s="191"/>
      <c r="JT108" s="191"/>
      <c r="JU108" s="191"/>
      <c r="JV108" s="191"/>
      <c r="JW108" s="191"/>
      <c r="JX108" s="191">
        <v>50</v>
      </c>
      <c r="JY108" s="191"/>
      <c r="JZ108" s="191"/>
      <c r="KA108" s="191"/>
      <c r="KB108" s="191"/>
      <c r="KC108" s="191"/>
      <c r="KD108" s="191"/>
      <c r="KE108" s="191">
        <v>100</v>
      </c>
      <c r="KF108" s="191"/>
      <c r="KG108" s="191"/>
      <c r="KH108" s="191"/>
      <c r="KI108" s="191"/>
      <c r="KJ108" s="193"/>
      <c r="KK108" s="194"/>
      <c r="KL108" s="191">
        <v>50</v>
      </c>
      <c r="KM108" s="191"/>
      <c r="KN108" s="191"/>
      <c r="KO108" s="191"/>
      <c r="KP108" s="191"/>
      <c r="KQ108" s="191"/>
      <c r="KR108" s="191"/>
      <c r="KS108" s="191">
        <v>100</v>
      </c>
      <c r="KT108" s="191"/>
      <c r="KU108" s="191"/>
      <c r="KV108" s="191"/>
      <c r="KW108" s="191"/>
      <c r="KX108" s="191"/>
      <c r="KY108" s="191"/>
      <c r="KZ108" s="191">
        <v>100</v>
      </c>
      <c r="LA108" s="191"/>
      <c r="LB108" s="191"/>
      <c r="LC108" s="191"/>
      <c r="LD108" s="191"/>
      <c r="LE108" s="191"/>
      <c r="LF108" s="191"/>
      <c r="LG108" s="191">
        <v>150</v>
      </c>
      <c r="LH108" s="191"/>
      <c r="LI108" s="191"/>
      <c r="LJ108" s="191"/>
      <c r="LK108" s="191"/>
      <c r="LL108" s="191"/>
      <c r="LM108" s="191"/>
      <c r="LN108" s="192">
        <v>150</v>
      </c>
      <c r="LO108" s="190"/>
      <c r="LP108" s="191"/>
      <c r="LQ108" s="191"/>
      <c r="LR108" s="191"/>
      <c r="LS108" s="191"/>
      <c r="LT108" s="191"/>
      <c r="LU108" s="191">
        <v>50</v>
      </c>
      <c r="LV108" s="191"/>
      <c r="LW108" s="191"/>
      <c r="LX108" s="191"/>
      <c r="LY108" s="191"/>
      <c r="LZ108" s="191"/>
      <c r="MA108" s="191"/>
      <c r="MB108" s="191">
        <v>100</v>
      </c>
      <c r="MC108" s="191"/>
      <c r="MD108" s="191"/>
      <c r="ME108" s="191"/>
      <c r="MF108" s="191"/>
      <c r="MG108" s="191"/>
      <c r="MH108" s="191"/>
      <c r="MI108" s="191">
        <v>100</v>
      </c>
      <c r="MJ108" s="191"/>
      <c r="MK108" s="191"/>
      <c r="ML108" s="191"/>
      <c r="MM108" s="191"/>
      <c r="MN108" s="191"/>
      <c r="MO108" s="191"/>
      <c r="MP108" s="191">
        <v>50</v>
      </c>
      <c r="MQ108" s="191"/>
      <c r="MR108" s="191"/>
      <c r="MS108" s="193"/>
      <c r="MT108" s="194"/>
      <c r="MU108" s="191"/>
      <c r="MV108" s="191"/>
      <c r="MW108" s="191">
        <v>50</v>
      </c>
      <c r="MX108" s="191"/>
      <c r="MY108" s="191"/>
      <c r="MZ108" s="191"/>
      <c r="NA108" s="191"/>
      <c r="NB108" s="191"/>
      <c r="NC108" s="191"/>
      <c r="ND108" s="191"/>
      <c r="NE108" s="191">
        <v>50</v>
      </c>
      <c r="NF108" s="191"/>
      <c r="NG108" s="191"/>
      <c r="NH108" s="191"/>
      <c r="NI108" s="191"/>
      <c r="NJ108" s="191"/>
      <c r="NK108" s="191">
        <v>50</v>
      </c>
      <c r="NL108" s="191"/>
      <c r="NM108" s="191"/>
      <c r="NN108" s="191"/>
      <c r="NO108" s="191"/>
      <c r="NP108" s="191"/>
      <c r="NQ108" s="191"/>
      <c r="NR108" s="191">
        <v>10</v>
      </c>
      <c r="NS108" s="191"/>
      <c r="NT108" s="191"/>
      <c r="NU108" s="191"/>
      <c r="NV108" s="191"/>
      <c r="NW108" s="192"/>
      <c r="NX108" s="190"/>
      <c r="NY108" s="191">
        <v>100</v>
      </c>
      <c r="NZ108" s="191"/>
      <c r="OA108" s="191"/>
      <c r="OB108" s="191"/>
      <c r="OC108" s="191"/>
      <c r="OD108" s="191"/>
      <c r="OE108" s="191"/>
      <c r="OF108" s="191">
        <v>10</v>
      </c>
      <c r="OG108" s="191"/>
      <c r="OH108" s="191"/>
      <c r="OI108" s="191"/>
      <c r="OJ108" s="191"/>
      <c r="OK108" s="191"/>
      <c r="OL108" s="191"/>
      <c r="OM108" s="191">
        <v>50</v>
      </c>
      <c r="ON108" s="191"/>
      <c r="OO108" s="191"/>
      <c r="OP108" s="191"/>
      <c r="OQ108" s="191"/>
      <c r="OR108" s="191"/>
      <c r="OS108" s="191"/>
      <c r="OT108" s="191"/>
      <c r="OU108" s="191"/>
      <c r="OV108" s="191"/>
      <c r="OW108" s="191"/>
      <c r="OX108" s="191"/>
      <c r="OY108" s="191"/>
      <c r="OZ108" s="191"/>
      <c r="PA108" s="191"/>
      <c r="PB108" s="193"/>
      <c r="PC108" s="47"/>
      <c r="PD108" s="154" t="s">
        <v>97</v>
      </c>
      <c r="PE108" s="155" t="s">
        <v>98</v>
      </c>
      <c r="PF108" s="155" t="s">
        <v>98</v>
      </c>
      <c r="PG108" s="155" t="s">
        <v>98</v>
      </c>
      <c r="PH108" s="155" t="s">
        <v>98</v>
      </c>
      <c r="PI108" s="155" t="s">
        <v>98</v>
      </c>
      <c r="PJ108" s="155" t="s">
        <v>98</v>
      </c>
      <c r="PK108" s="155" t="s">
        <v>98</v>
      </c>
      <c r="PL108" s="155" t="s">
        <v>98</v>
      </c>
      <c r="PM108" s="155" t="s">
        <v>98</v>
      </c>
      <c r="PN108" s="155" t="s">
        <v>98</v>
      </c>
      <c r="PO108" s="156"/>
      <c r="PP108" s="156"/>
      <c r="PQ108" s="156"/>
      <c r="PR108" s="156"/>
      <c r="PS108" s="156"/>
      <c r="PT108" s="156"/>
      <c r="PU108" s="156"/>
      <c r="PV108" s="156"/>
      <c r="PW108" s="156"/>
      <c r="PX108" s="195"/>
      <c r="PY108" s="1"/>
      <c r="PZ108" s="196">
        <f t="shared" si="73"/>
        <v>120</v>
      </c>
      <c r="QA108" s="176">
        <f t="shared" si="74"/>
        <v>1.0010845082172354E-3</v>
      </c>
      <c r="QB108" s="177" t="str">
        <f t="shared" ca="1" si="75"/>
        <v>Attente…</v>
      </c>
      <c r="QC108" s="197">
        <f t="shared" si="76"/>
        <v>220</v>
      </c>
      <c r="QD108" s="179">
        <f t="shared" si="77"/>
        <v>2.0599250936329588E-3</v>
      </c>
      <c r="QE108" s="180" t="str">
        <f t="shared" ca="1" si="78"/>
        <v>Attente…</v>
      </c>
      <c r="QF108" s="196">
        <f t="shared" si="79"/>
        <v>400</v>
      </c>
      <c r="QG108" s="176">
        <f t="shared" si="80"/>
        <v>3.1852205765249245E-3</v>
      </c>
      <c r="QH108" s="177" t="str">
        <f t="shared" ca="1" si="81"/>
        <v>Attente…</v>
      </c>
      <c r="QI108" s="197">
        <f t="shared" si="82"/>
        <v>410</v>
      </c>
      <c r="QJ108" s="179">
        <f t="shared" si="83"/>
        <v>2.8755786225277036E-3</v>
      </c>
      <c r="QK108" s="180" t="str">
        <f t="shared" ca="1" si="84"/>
        <v>Attente…</v>
      </c>
      <c r="QL108" s="196">
        <f t="shared" si="85"/>
        <v>300</v>
      </c>
      <c r="QM108" s="176">
        <f t="shared" si="86"/>
        <v>2.1949078138718174E-3</v>
      </c>
      <c r="QN108" s="177" t="str">
        <f t="shared" ca="1" si="87"/>
        <v>Attente…</v>
      </c>
      <c r="QO108" s="197">
        <f t="shared" si="88"/>
        <v>120</v>
      </c>
      <c r="QP108" s="179">
        <f t="shared" si="89"/>
        <v>9.3948171925154627E-4</v>
      </c>
      <c r="QQ108" s="180" t="str">
        <f t="shared" ca="1" si="90"/>
        <v>Attente…</v>
      </c>
      <c r="QR108" s="196">
        <f t="shared" si="91"/>
        <v>500</v>
      </c>
      <c r="QS108" s="176">
        <f t="shared" si="92"/>
        <v>3.5995824484359815E-3</v>
      </c>
      <c r="QT108" s="177" t="str">
        <f t="shared" ca="1" si="93"/>
        <v>Attente…</v>
      </c>
      <c r="QU108" s="197">
        <f t="shared" si="94"/>
        <v>300</v>
      </c>
      <c r="QV108" s="179">
        <f t="shared" si="95"/>
        <v>2.0683949255377826E-3</v>
      </c>
      <c r="QW108" s="180" t="str">
        <f t="shared" ca="1" si="96"/>
        <v>Attente…</v>
      </c>
      <c r="QX108" s="196">
        <f t="shared" si="97"/>
        <v>550</v>
      </c>
      <c r="QY108" s="176">
        <f t="shared" si="98"/>
        <v>4.0135438862780584E-3</v>
      </c>
      <c r="QZ108" s="177" t="str">
        <f t="shared" ca="1" si="99"/>
        <v>Attente…</v>
      </c>
      <c r="RA108" s="197">
        <f t="shared" si="100"/>
        <v>300</v>
      </c>
      <c r="RB108" s="179">
        <f t="shared" si="101"/>
        <v>2.3472341757295985E-3</v>
      </c>
      <c r="RC108" s="180" t="str">
        <f t="shared" ca="1" si="102"/>
        <v>Attente…</v>
      </c>
      <c r="RD108" s="196">
        <f t="shared" si="103"/>
        <v>160</v>
      </c>
      <c r="RE108" s="176">
        <f t="shared" si="104"/>
        <v>1.5942606616181746E-3</v>
      </c>
      <c r="RF108" s="177" t="str">
        <f t="shared" ca="1" si="105"/>
        <v>Attente…</v>
      </c>
      <c r="RG108" s="197">
        <f t="shared" si="106"/>
        <v>160</v>
      </c>
      <c r="RH108" s="179">
        <f t="shared" si="107"/>
        <v>2.9427993378701488E-3</v>
      </c>
      <c r="RI108" s="198" t="str">
        <f t="shared" ca="1" si="108"/>
        <v>Attente…</v>
      </c>
      <c r="RJ108" s="199">
        <f t="shared" si="109"/>
        <v>740</v>
      </c>
      <c r="RK108" s="200" t="str">
        <f t="shared" ca="1" si="66"/>
        <v>Attente…</v>
      </c>
      <c r="RL108" s="199">
        <f t="shared" si="110"/>
        <v>830</v>
      </c>
      <c r="RM108" s="200" t="str">
        <f t="shared" ca="1" si="111"/>
        <v>Atttente…</v>
      </c>
      <c r="RN108" s="199">
        <f t="shared" si="112"/>
        <v>1350</v>
      </c>
      <c r="RO108" s="200" t="str">
        <f t="shared" ca="1" si="67"/>
        <v>Attente…</v>
      </c>
      <c r="RP108" s="199">
        <f t="shared" si="113"/>
        <v>620</v>
      </c>
      <c r="RQ108" s="200" t="str">
        <f t="shared" ca="1" si="68"/>
        <v>Attente…</v>
      </c>
      <c r="RR108" s="201">
        <f t="shared" si="114"/>
        <v>3540</v>
      </c>
      <c r="RS108" s="202" t="str">
        <f t="shared" ca="1" si="69"/>
        <v>Attente…</v>
      </c>
      <c r="RT108" s="103"/>
      <c r="RU108" s="203">
        <f t="shared" si="115"/>
        <v>0.36122448979591837</v>
      </c>
      <c r="RV108" s="204">
        <f t="shared" si="118"/>
        <v>1</v>
      </c>
      <c r="RW108" s="204">
        <f t="shared" si="118"/>
        <v>1</v>
      </c>
      <c r="RX108" s="204">
        <f t="shared" si="116"/>
        <v>49</v>
      </c>
      <c r="RY108" s="205" t="str">
        <f t="shared" si="117"/>
        <v>CAUDEBEC-LÈS-ELBEUF - 318 Rue Antoine de Saint Exupery</v>
      </c>
      <c r="RZ108" s="189" t="str">
        <f>IF(OR(RZ107="",RZ107="  &lt;/Document&gt;
&lt;/kml&gt;"),"",
IF(B108="","  &lt;/Document&gt;
&lt;/kml&gt;",
IF(TournéesCAV!Q108=""," ",
"    &lt;Placemark&gt;
      &lt;description&gt;&lt;![CDATA["&amp;B108&amp;"&lt;br&gt;&lt;br&gt;"&amp;RV108&amp;" CAV&lt;br&gt;&lt;br&gt;Présent sur "&amp;RW108&amp;" tournée(s)&lt;br&gt;&lt;br&gt;Taux de remplissage moyen "&amp;TEXT(RU108*1000,"0 %")&amp;"]]&gt;&lt;/description&gt;
      &lt;Style&gt;
        &lt;IconStyle&gt;
          &lt;color&gt;ff"&amp;
          DEC2HEX(0,2)&amp;
          DEC2HEX(
            IF(RU108&lt;=0.5,
               INT(255*(RU108*2)),
               255
            ),2)&amp;
          DEC2HEX(
            IF(RU108&lt;=0.5,
               255,
               INT(255*(1-(RU108-0.5)*2))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&lt;Point&gt;&lt;coordinates&gt;"&amp;R108&amp;","&amp;Q108&amp;",0&lt;/coordinates&gt;&lt;/Point&gt;
    &lt;/Placemark&gt;"
)))</f>
        <v xml:space="preserve">    &lt;Placemark&gt;
      &lt;description&gt;&lt;![CDATA[CAUDEBEC-LÈS-ELBEUF - 318 Rue Antoine de Saint Exupery&lt;br&gt;&lt;br&gt;1 CAV&lt;br&gt;&lt;br&gt;Présent sur 1 tournée(s)&lt;br&gt;&lt;br&gt;Taux de remplissage moyen 36%]]&gt;&lt;/description&gt;
      &lt;Style&gt;
        &lt;IconStyle&gt;
          &lt;color&gt;ff00B8FF&lt;/color&gt;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&lt;Point&gt;&lt;coordinates&gt;1.0267816,49.276142,0&lt;/coordinates&gt;&lt;/Point&gt;
    &lt;/Placemark&gt;</v>
      </c>
    </row>
    <row r="109" spans="2:494" ht="15" hidden="1" customHeight="1" x14ac:dyDescent="0.35">
      <c r="B109" s="153" t="str">
        <f t="shared" si="70"/>
        <v>SAINT-AUBIN-LÈS-ELBEUF - Rue du Docteur Villers (CHI - Parking usagers)</v>
      </c>
      <c r="C109" s="154">
        <v>18</v>
      </c>
      <c r="D109" s="155"/>
      <c r="E109" s="155"/>
      <c r="F109" s="155"/>
      <c r="G109" s="155"/>
      <c r="H109" s="155"/>
      <c r="I109" s="155"/>
      <c r="J109" s="156"/>
      <c r="K109" s="157">
        <f t="shared" si="71"/>
        <v>1</v>
      </c>
      <c r="L109" s="157">
        <f t="shared" si="72"/>
        <v>1</v>
      </c>
      <c r="M109" s="158" t="s">
        <v>637</v>
      </c>
      <c r="N109" s="159" t="s">
        <v>638</v>
      </c>
      <c r="O109" s="159">
        <v>76410</v>
      </c>
      <c r="P109" s="159" t="s">
        <v>639</v>
      </c>
      <c r="Q109" s="159" t="s">
        <v>640</v>
      </c>
      <c r="R109" s="159" t="s">
        <v>641</v>
      </c>
      <c r="S109" s="159" t="s">
        <v>93</v>
      </c>
      <c r="T109" s="159" t="s">
        <v>94</v>
      </c>
      <c r="U109" s="159" t="s">
        <v>642</v>
      </c>
      <c r="V109" s="160" t="s">
        <v>123</v>
      </c>
      <c r="W109" s="161"/>
      <c r="X109" s="162"/>
      <c r="Y109" s="163"/>
      <c r="Z109" s="162"/>
      <c r="AA109" s="163"/>
      <c r="AB109" s="162"/>
      <c r="AC109" s="163"/>
      <c r="AD109" s="162"/>
      <c r="AE109" s="163"/>
      <c r="AF109" s="162"/>
      <c r="AG109" s="163"/>
      <c r="AH109" s="163"/>
      <c r="AI109" s="162"/>
      <c r="AJ109" s="163"/>
      <c r="AK109" s="162"/>
      <c r="AL109" s="163"/>
      <c r="AM109" s="162"/>
      <c r="AN109" s="163"/>
      <c r="AO109" s="162">
        <v>8</v>
      </c>
      <c r="AP109" s="164"/>
      <c r="AQ109" s="164"/>
      <c r="AR109" s="164"/>
      <c r="AS109" s="164"/>
      <c r="AT109" s="164"/>
      <c r="AU109" s="164"/>
      <c r="AV109" s="164"/>
      <c r="AW109" s="164"/>
      <c r="AX109" s="164"/>
      <c r="AY109" s="165"/>
      <c r="AZ109" s="41"/>
      <c r="BA109" s="190"/>
      <c r="BB109" s="191">
        <v>10</v>
      </c>
      <c r="BC109" s="191"/>
      <c r="BD109" s="191"/>
      <c r="BE109" s="191"/>
      <c r="BF109" s="191"/>
      <c r="BG109" s="191"/>
      <c r="BH109" s="191">
        <v>50</v>
      </c>
      <c r="BI109" s="191"/>
      <c r="BJ109" s="191"/>
      <c r="BK109" s="191"/>
      <c r="BL109" s="191"/>
      <c r="BM109" s="191"/>
      <c r="BN109" s="191"/>
      <c r="BO109" s="191">
        <v>10</v>
      </c>
      <c r="BP109" s="191"/>
      <c r="BQ109" s="191"/>
      <c r="BR109" s="191"/>
      <c r="BS109" s="191"/>
      <c r="BT109" s="191"/>
      <c r="BU109" s="191"/>
      <c r="BV109" s="191">
        <v>50</v>
      </c>
      <c r="BW109" s="191"/>
      <c r="BX109" s="191"/>
      <c r="BY109" s="191"/>
      <c r="BZ109" s="191"/>
      <c r="CA109" s="191"/>
      <c r="CB109" s="191"/>
      <c r="CC109" s="191">
        <v>10</v>
      </c>
      <c r="CD109" s="191"/>
      <c r="CE109" s="192"/>
      <c r="CF109" s="190"/>
      <c r="CG109" s="191"/>
      <c r="CH109" s="191"/>
      <c r="CI109" s="191"/>
      <c r="CJ109" s="191">
        <v>50</v>
      </c>
      <c r="CK109" s="191"/>
      <c r="CL109" s="191"/>
      <c r="CM109" s="191"/>
      <c r="CN109" s="191"/>
      <c r="CO109" s="191"/>
      <c r="CP109" s="191"/>
      <c r="CQ109" s="191">
        <v>10</v>
      </c>
      <c r="CR109" s="191"/>
      <c r="CS109" s="191"/>
      <c r="CT109" s="191"/>
      <c r="CU109" s="191"/>
      <c r="CV109" s="191"/>
      <c r="CW109" s="191"/>
      <c r="CX109" s="191">
        <v>10</v>
      </c>
      <c r="CY109" s="191"/>
      <c r="CZ109" s="191"/>
      <c r="DA109" s="191"/>
      <c r="DB109" s="191"/>
      <c r="DC109" s="191"/>
      <c r="DD109" s="191"/>
      <c r="DE109" s="191">
        <v>10</v>
      </c>
      <c r="DF109" s="191"/>
      <c r="DG109" s="191"/>
      <c r="DH109" s="193"/>
      <c r="DI109" s="194"/>
      <c r="DJ109" s="191"/>
      <c r="DK109" s="191"/>
      <c r="DL109" s="191"/>
      <c r="DM109" s="191"/>
      <c r="DN109" s="191"/>
      <c r="DO109" s="191"/>
      <c r="DP109" s="191"/>
      <c r="DQ109" s="191"/>
      <c r="DR109" s="191"/>
      <c r="DS109" s="191"/>
      <c r="DT109" s="191">
        <v>50</v>
      </c>
      <c r="DU109" s="191"/>
      <c r="DV109" s="191"/>
      <c r="DW109" s="191"/>
      <c r="DX109" s="191"/>
      <c r="DY109" s="191"/>
      <c r="DZ109" s="191"/>
      <c r="EA109" s="191">
        <v>50</v>
      </c>
      <c r="EB109" s="191"/>
      <c r="EC109" s="191"/>
      <c r="ED109" s="191"/>
      <c r="EE109" s="191"/>
      <c r="EF109" s="191"/>
      <c r="EG109" s="191"/>
      <c r="EH109" s="191">
        <v>10</v>
      </c>
      <c r="EI109" s="191"/>
      <c r="EJ109" s="191"/>
      <c r="EK109" s="191"/>
      <c r="EL109" s="191"/>
      <c r="EM109" s="192"/>
      <c r="EN109" s="190"/>
      <c r="EO109" s="191">
        <v>10</v>
      </c>
      <c r="EP109" s="191"/>
      <c r="EQ109" s="191"/>
      <c r="ER109" s="191"/>
      <c r="ES109" s="191"/>
      <c r="ET109" s="191"/>
      <c r="EU109" s="191"/>
      <c r="EV109" s="191">
        <v>150</v>
      </c>
      <c r="EW109" s="191"/>
      <c r="EX109" s="191"/>
      <c r="EY109" s="191"/>
      <c r="EZ109" s="191"/>
      <c r="FA109" s="191"/>
      <c r="FB109" s="191"/>
      <c r="FC109" s="191">
        <v>50</v>
      </c>
      <c r="FD109" s="191"/>
      <c r="FE109" s="191"/>
      <c r="FF109" s="191"/>
      <c r="FG109" s="191"/>
      <c r="FH109" s="191"/>
      <c r="FI109" s="191"/>
      <c r="FJ109" s="191"/>
      <c r="FK109" s="191"/>
      <c r="FL109" s="191"/>
      <c r="FM109" s="191"/>
      <c r="FN109" s="191"/>
      <c r="FO109" s="191"/>
      <c r="FP109" s="191"/>
      <c r="FQ109" s="193">
        <v>10</v>
      </c>
      <c r="FR109" s="194"/>
      <c r="FS109" s="191"/>
      <c r="FT109" s="191"/>
      <c r="FU109" s="191"/>
      <c r="FV109" s="191"/>
      <c r="FW109" s="191"/>
      <c r="FX109" s="191">
        <v>50</v>
      </c>
      <c r="FY109" s="191"/>
      <c r="FZ109" s="191"/>
      <c r="GA109" s="191"/>
      <c r="GB109" s="191"/>
      <c r="GC109" s="191"/>
      <c r="GD109" s="191"/>
      <c r="GE109" s="191">
        <v>50</v>
      </c>
      <c r="GF109" s="191"/>
      <c r="GG109" s="191"/>
      <c r="GH109" s="191"/>
      <c r="GI109" s="191"/>
      <c r="GJ109" s="191"/>
      <c r="GK109" s="191"/>
      <c r="GL109" s="191">
        <v>50</v>
      </c>
      <c r="GM109" s="191"/>
      <c r="GN109" s="191"/>
      <c r="GO109" s="191"/>
      <c r="GP109" s="191"/>
      <c r="GQ109" s="191"/>
      <c r="GR109" s="191"/>
      <c r="GS109" s="191">
        <v>10</v>
      </c>
      <c r="GT109" s="191"/>
      <c r="GU109" s="191"/>
      <c r="GV109" s="192"/>
      <c r="GW109" s="190"/>
      <c r="GX109" s="191"/>
      <c r="GY109" s="191"/>
      <c r="GZ109" s="191">
        <v>10</v>
      </c>
      <c r="HA109" s="191"/>
      <c r="HB109" s="191"/>
      <c r="HC109" s="191"/>
      <c r="HD109" s="191"/>
      <c r="HE109" s="191"/>
      <c r="HF109" s="191"/>
      <c r="HG109" s="191"/>
      <c r="HH109" s="191"/>
      <c r="HI109" s="191"/>
      <c r="HJ109" s="191"/>
      <c r="HK109" s="191"/>
      <c r="HL109" s="191"/>
      <c r="HM109" s="191"/>
      <c r="HN109" s="191">
        <v>100</v>
      </c>
      <c r="HO109" s="191"/>
      <c r="HP109" s="191"/>
      <c r="HQ109" s="191"/>
      <c r="HR109" s="191"/>
      <c r="HS109" s="191"/>
      <c r="HT109" s="191"/>
      <c r="HU109" s="191">
        <v>10</v>
      </c>
      <c r="HV109" s="191"/>
      <c r="HW109" s="191"/>
      <c r="HX109" s="191"/>
      <c r="HY109" s="191"/>
      <c r="HZ109" s="193"/>
      <c r="IA109" s="194"/>
      <c r="IB109" s="191">
        <v>10</v>
      </c>
      <c r="IC109" s="191"/>
      <c r="ID109" s="191"/>
      <c r="IE109" s="191"/>
      <c r="IF109" s="191"/>
      <c r="IG109" s="191"/>
      <c r="IH109" s="191"/>
      <c r="II109" s="191">
        <v>10</v>
      </c>
      <c r="IJ109" s="191"/>
      <c r="IK109" s="191"/>
      <c r="IL109" s="191"/>
      <c r="IM109" s="191"/>
      <c r="IN109" s="191"/>
      <c r="IO109" s="191"/>
      <c r="IP109" s="191"/>
      <c r="IQ109" s="191">
        <v>10</v>
      </c>
      <c r="IR109" s="191"/>
      <c r="IS109" s="191"/>
      <c r="IT109" s="191"/>
      <c r="IU109" s="191"/>
      <c r="IV109" s="191"/>
      <c r="IW109" s="191"/>
      <c r="IX109" s="191">
        <v>100</v>
      </c>
      <c r="IY109" s="191"/>
      <c r="IZ109" s="191"/>
      <c r="JA109" s="191"/>
      <c r="JB109" s="191"/>
      <c r="JC109" s="191"/>
      <c r="JD109" s="191">
        <v>10</v>
      </c>
      <c r="JE109" s="192"/>
      <c r="JF109" s="190"/>
      <c r="JG109" s="191"/>
      <c r="JH109" s="191"/>
      <c r="JI109" s="191"/>
      <c r="JJ109" s="191"/>
      <c r="JK109" s="191">
        <v>10</v>
      </c>
      <c r="JL109" s="191"/>
      <c r="JM109" s="191"/>
      <c r="JN109" s="191"/>
      <c r="JO109" s="191"/>
      <c r="JP109" s="191"/>
      <c r="JQ109" s="191"/>
      <c r="JR109" s="191"/>
      <c r="JS109" s="191">
        <v>10</v>
      </c>
      <c r="JT109" s="191"/>
      <c r="JU109" s="191"/>
      <c r="JV109" s="191"/>
      <c r="JW109" s="191"/>
      <c r="JX109" s="191"/>
      <c r="JY109" s="191">
        <v>10</v>
      </c>
      <c r="JZ109" s="191"/>
      <c r="KA109" s="191"/>
      <c r="KB109" s="191"/>
      <c r="KC109" s="191"/>
      <c r="KD109" s="191"/>
      <c r="KE109" s="191"/>
      <c r="KF109" s="191"/>
      <c r="KG109" s="191">
        <v>10</v>
      </c>
      <c r="KH109" s="191"/>
      <c r="KI109" s="191"/>
      <c r="KJ109" s="193"/>
      <c r="KK109" s="194"/>
      <c r="KL109" s="191"/>
      <c r="KM109" s="191">
        <v>10</v>
      </c>
      <c r="KN109" s="191"/>
      <c r="KO109" s="191"/>
      <c r="KP109" s="191"/>
      <c r="KQ109" s="191"/>
      <c r="KR109" s="191"/>
      <c r="KS109" s="191"/>
      <c r="KT109" s="191"/>
      <c r="KU109" s="191">
        <v>10</v>
      </c>
      <c r="KV109" s="191"/>
      <c r="KW109" s="191"/>
      <c r="KX109" s="191"/>
      <c r="KY109" s="191"/>
      <c r="KZ109" s="191"/>
      <c r="LA109" s="191">
        <v>10</v>
      </c>
      <c r="LB109" s="191"/>
      <c r="LC109" s="191"/>
      <c r="LD109" s="191"/>
      <c r="LE109" s="191"/>
      <c r="LF109" s="191"/>
      <c r="LG109" s="191"/>
      <c r="LH109" s="191">
        <v>50</v>
      </c>
      <c r="LI109" s="191"/>
      <c r="LJ109" s="191"/>
      <c r="LK109" s="191"/>
      <c r="LL109" s="191"/>
      <c r="LM109" s="191"/>
      <c r="LN109" s="192"/>
      <c r="LO109" s="190">
        <v>10</v>
      </c>
      <c r="LP109" s="191"/>
      <c r="LQ109" s="191"/>
      <c r="LR109" s="191"/>
      <c r="LS109" s="191"/>
      <c r="LT109" s="191"/>
      <c r="LU109" s="191"/>
      <c r="LV109" s="191">
        <v>10</v>
      </c>
      <c r="LW109" s="191"/>
      <c r="LX109" s="191"/>
      <c r="LY109" s="191"/>
      <c r="LZ109" s="191"/>
      <c r="MA109" s="191"/>
      <c r="MB109" s="191"/>
      <c r="MC109" s="191">
        <v>50</v>
      </c>
      <c r="MD109" s="191"/>
      <c r="ME109" s="191"/>
      <c r="MF109" s="191"/>
      <c r="MG109" s="191"/>
      <c r="MH109" s="191"/>
      <c r="MI109" s="191"/>
      <c r="MJ109" s="191">
        <v>10</v>
      </c>
      <c r="MK109" s="191"/>
      <c r="ML109" s="191"/>
      <c r="MM109" s="191"/>
      <c r="MN109" s="191"/>
      <c r="MO109" s="191"/>
      <c r="MP109" s="191"/>
      <c r="MQ109" s="191">
        <v>50</v>
      </c>
      <c r="MR109" s="191"/>
      <c r="MS109" s="193"/>
      <c r="MT109" s="194"/>
      <c r="MU109" s="191"/>
      <c r="MV109" s="191"/>
      <c r="MW109" s="191"/>
      <c r="MX109" s="191">
        <v>10</v>
      </c>
      <c r="MY109" s="191"/>
      <c r="MZ109" s="191"/>
      <c r="NA109" s="191"/>
      <c r="NB109" s="191"/>
      <c r="NC109" s="191"/>
      <c r="ND109" s="191"/>
      <c r="NE109" s="191"/>
      <c r="NF109" s="191"/>
      <c r="NG109" s="191"/>
      <c r="NH109" s="191"/>
      <c r="NI109" s="191"/>
      <c r="NJ109" s="191"/>
      <c r="NK109" s="191"/>
      <c r="NL109" s="191"/>
      <c r="NM109" s="191">
        <v>50</v>
      </c>
      <c r="NN109" s="191"/>
      <c r="NO109" s="191"/>
      <c r="NP109" s="191"/>
      <c r="NQ109" s="191"/>
      <c r="NR109" s="191"/>
      <c r="NS109" s="191">
        <v>50</v>
      </c>
      <c r="NT109" s="191"/>
      <c r="NU109" s="191"/>
      <c r="NV109" s="191"/>
      <c r="NW109" s="192"/>
      <c r="NX109" s="190"/>
      <c r="NY109" s="191"/>
      <c r="NZ109" s="191">
        <v>10</v>
      </c>
      <c r="OA109" s="191"/>
      <c r="OB109" s="191"/>
      <c r="OC109" s="191"/>
      <c r="OD109" s="191"/>
      <c r="OE109" s="191"/>
      <c r="OF109" s="191"/>
      <c r="OG109" s="191">
        <v>50</v>
      </c>
      <c r="OH109" s="191"/>
      <c r="OI109" s="191"/>
      <c r="OJ109" s="191"/>
      <c r="OK109" s="191"/>
      <c r="OL109" s="191"/>
      <c r="OM109" s="191"/>
      <c r="ON109" s="191"/>
      <c r="OO109" s="191"/>
      <c r="OP109" s="191"/>
      <c r="OQ109" s="191"/>
      <c r="OR109" s="191"/>
      <c r="OS109" s="191"/>
      <c r="OT109" s="191"/>
      <c r="OU109" s="191"/>
      <c r="OV109" s="191"/>
      <c r="OW109" s="191"/>
      <c r="OX109" s="191"/>
      <c r="OY109" s="191"/>
      <c r="OZ109" s="191"/>
      <c r="PA109" s="191"/>
      <c r="PB109" s="193"/>
      <c r="PC109" s="47"/>
      <c r="PD109" s="154" t="s">
        <v>97</v>
      </c>
      <c r="PE109" s="155" t="s">
        <v>98</v>
      </c>
      <c r="PF109" s="155" t="s">
        <v>98</v>
      </c>
      <c r="PG109" s="155" t="s">
        <v>97</v>
      </c>
      <c r="PH109" s="155" t="s">
        <v>98</v>
      </c>
      <c r="PI109" s="155" t="s">
        <v>98</v>
      </c>
      <c r="PJ109" s="155" t="s">
        <v>98</v>
      </c>
      <c r="PK109" s="155" t="s">
        <v>98</v>
      </c>
      <c r="PL109" s="155" t="s">
        <v>98</v>
      </c>
      <c r="PM109" s="155" t="s">
        <v>98</v>
      </c>
      <c r="PN109" s="155" t="s">
        <v>98</v>
      </c>
      <c r="PO109" s="156"/>
      <c r="PP109" s="156"/>
      <c r="PQ109" s="156"/>
      <c r="PR109" s="156"/>
      <c r="PS109" s="156"/>
      <c r="PT109" s="156"/>
      <c r="PU109" s="156"/>
      <c r="PV109" s="156"/>
      <c r="PW109" s="156"/>
      <c r="PX109" s="195"/>
      <c r="PY109" s="1"/>
      <c r="PZ109" s="196">
        <f t="shared" si="73"/>
        <v>130</v>
      </c>
      <c r="QA109" s="176">
        <f t="shared" si="74"/>
        <v>1.0845082172353383E-3</v>
      </c>
      <c r="QB109" s="177" t="str">
        <f t="shared" ca="1" si="75"/>
        <v>Attente…</v>
      </c>
      <c r="QC109" s="197">
        <f t="shared" si="76"/>
        <v>80</v>
      </c>
      <c r="QD109" s="179">
        <f t="shared" si="77"/>
        <v>7.4906367041198505E-4</v>
      </c>
      <c r="QE109" s="180" t="str">
        <f t="shared" ca="1" si="78"/>
        <v>Attente…</v>
      </c>
      <c r="QF109" s="196">
        <f t="shared" si="79"/>
        <v>110</v>
      </c>
      <c r="QG109" s="176">
        <f t="shared" si="80"/>
        <v>8.7593565854435424E-4</v>
      </c>
      <c r="QH109" s="177" t="str">
        <f t="shared" ca="1" si="81"/>
        <v>Attente…</v>
      </c>
      <c r="QI109" s="197">
        <f t="shared" si="82"/>
        <v>220</v>
      </c>
      <c r="QJ109" s="179">
        <f t="shared" si="83"/>
        <v>1.5429934072099874E-3</v>
      </c>
      <c r="QK109" s="180" t="str">
        <f t="shared" ca="1" si="84"/>
        <v>Attente…</v>
      </c>
      <c r="QL109" s="196">
        <f t="shared" si="85"/>
        <v>160</v>
      </c>
      <c r="QM109" s="176">
        <f t="shared" si="86"/>
        <v>1.1706175007316359E-3</v>
      </c>
      <c r="QN109" s="177" t="str">
        <f t="shared" ca="1" si="87"/>
        <v>Attente…</v>
      </c>
      <c r="QO109" s="197">
        <f t="shared" si="88"/>
        <v>120</v>
      </c>
      <c r="QP109" s="179">
        <f t="shared" si="89"/>
        <v>9.3948171925154627E-4</v>
      </c>
      <c r="QQ109" s="180" t="str">
        <f t="shared" ca="1" si="90"/>
        <v>Attente…</v>
      </c>
      <c r="QR109" s="196">
        <f t="shared" si="91"/>
        <v>140</v>
      </c>
      <c r="QS109" s="176">
        <f t="shared" si="92"/>
        <v>1.0078830855620748E-3</v>
      </c>
      <c r="QT109" s="177" t="str">
        <f t="shared" ca="1" si="93"/>
        <v>Attente…</v>
      </c>
      <c r="QU109" s="197">
        <f t="shared" si="94"/>
        <v>40</v>
      </c>
      <c r="QV109" s="179">
        <f t="shared" si="95"/>
        <v>2.7578599007170438E-4</v>
      </c>
      <c r="QW109" s="180" t="str">
        <f t="shared" ca="1" si="96"/>
        <v>Attente…</v>
      </c>
      <c r="QX109" s="196">
        <f t="shared" si="97"/>
        <v>80</v>
      </c>
      <c r="QY109" s="176">
        <f t="shared" si="98"/>
        <v>5.8378820164044481E-4</v>
      </c>
      <c r="QZ109" s="177" t="str">
        <f t="shared" ca="1" si="99"/>
        <v>Attente…</v>
      </c>
      <c r="RA109" s="197">
        <f t="shared" si="100"/>
        <v>130</v>
      </c>
      <c r="RB109" s="179">
        <f t="shared" si="101"/>
        <v>1.0171348094828261E-3</v>
      </c>
      <c r="RC109" s="180" t="str">
        <f t="shared" ca="1" si="102"/>
        <v>Attente…</v>
      </c>
      <c r="RD109" s="196">
        <f t="shared" si="103"/>
        <v>110</v>
      </c>
      <c r="RE109" s="176">
        <f t="shared" si="104"/>
        <v>1.096054204862495E-3</v>
      </c>
      <c r="RF109" s="177" t="str">
        <f t="shared" ca="1" si="105"/>
        <v>Attente…</v>
      </c>
      <c r="RG109" s="197">
        <f t="shared" si="106"/>
        <v>60</v>
      </c>
      <c r="RH109" s="179">
        <f t="shared" si="107"/>
        <v>1.1035497517013059E-3</v>
      </c>
      <c r="RI109" s="198" t="str">
        <f t="shared" ca="1" si="108"/>
        <v>Attente…</v>
      </c>
      <c r="RJ109" s="199">
        <f t="shared" si="109"/>
        <v>320</v>
      </c>
      <c r="RK109" s="200" t="str">
        <f t="shared" ca="1" si="66"/>
        <v>Attente…</v>
      </c>
      <c r="RL109" s="199">
        <f t="shared" si="110"/>
        <v>500</v>
      </c>
      <c r="RM109" s="200" t="str">
        <f t="shared" ca="1" si="111"/>
        <v>Atttente…</v>
      </c>
      <c r="RN109" s="199">
        <f t="shared" si="112"/>
        <v>260</v>
      </c>
      <c r="RO109" s="200" t="str">
        <f t="shared" ca="1" si="67"/>
        <v>Attente…</v>
      </c>
      <c r="RP109" s="199">
        <f t="shared" si="113"/>
        <v>300</v>
      </c>
      <c r="RQ109" s="200" t="str">
        <f t="shared" ca="1" si="68"/>
        <v>Attente…</v>
      </c>
      <c r="RR109" s="201">
        <f t="shared" si="114"/>
        <v>1380</v>
      </c>
      <c r="RS109" s="202" t="str">
        <f t="shared" ca="1" si="69"/>
        <v>Attente…</v>
      </c>
      <c r="RT109" s="103"/>
      <c r="RU109" s="203">
        <f t="shared" si="115"/>
        <v>0.15</v>
      </c>
      <c r="RV109" s="204">
        <f t="shared" si="118"/>
        <v>1</v>
      </c>
      <c r="RW109" s="204">
        <f t="shared" si="118"/>
        <v>1</v>
      </c>
      <c r="RX109" s="204">
        <f t="shared" si="116"/>
        <v>46</v>
      </c>
      <c r="RY109" s="205" t="str">
        <f t="shared" si="117"/>
        <v>SAINT-AUBIN-LÈS-ELBEUF - Rue du Docteur Villers (CHI - Parking usagers)</v>
      </c>
      <c r="RZ109" s="189" t="str">
        <f>IF(OR(RZ108="",RZ108="  &lt;/Document&gt;
&lt;/kml&gt;"),"",
IF(B109="","  &lt;/Document&gt;
&lt;/kml&gt;",
IF(TournéesCAV!Q109=""," ",
"    &lt;Placemark&gt;
      &lt;description&gt;&lt;![CDATA["&amp;B109&amp;"&lt;br&gt;&lt;br&gt;"&amp;RV109&amp;" CAV&lt;br&gt;&lt;br&gt;Présent sur "&amp;RW109&amp;" tournée(s)&lt;br&gt;&lt;br&gt;Taux de remplissage moyen "&amp;TEXT(RU109*1000,"0 %")&amp;"]]&gt;&lt;/description&gt;
      &lt;Style&gt;
        &lt;IconStyle&gt;
          &lt;color&gt;ff"&amp;
          DEC2HEX(0,2)&amp;
          DEC2HEX(
            IF(RU109&lt;=0.5,
               INT(255*(RU109*2)),
               255
            ),2)&amp;
          DEC2HEX(
            IF(RU109&lt;=0.5,
               255,
               INT(255*(1-(RU109-0.5)*2))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&lt;Point&gt;&lt;coordinates&gt;"&amp;R109&amp;","&amp;Q109&amp;",0&lt;/coordinates&gt;&lt;/Point&gt;
    &lt;/Placemark&gt;"
)))</f>
        <v xml:space="preserve">    &lt;Placemark&gt;
      &lt;description&gt;&lt;![CDATA[SAINT-AUBIN-LÈS-ELBEUF - Rue du Docteur Villers (CHI - Parking usagers)&lt;br&gt;&lt;br&gt;1 CAV&lt;br&gt;&lt;br&gt;Présent sur 1 tournée(s)&lt;br&gt;&lt;br&gt;Taux de remplissage moyen 15%]]&gt;&lt;/description&gt;
      &lt;Style&gt;
        &lt;IconStyle&gt;
          &lt;color&gt;ff004CFF&lt;/color&gt;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&lt;Point&gt;&lt;coordinates&gt;1.0422025843391358,49.30416367931222,0&lt;/coordinates&gt;&lt;/Point&gt;
    &lt;/Placemark&gt;</v>
      </c>
    </row>
    <row r="110" spans="2:494" ht="15" hidden="1" customHeight="1" x14ac:dyDescent="0.35">
      <c r="B110" s="153" t="str">
        <f t="shared" si="70"/>
        <v>SAINT-AUBIN-LÈS-ELBEUF - Rue du Docteur Villers (Entrée EHPAD)</v>
      </c>
      <c r="C110" s="154" t="s">
        <v>104</v>
      </c>
      <c r="D110" s="155"/>
      <c r="E110" s="155"/>
      <c r="F110" s="155"/>
      <c r="G110" s="155"/>
      <c r="H110" s="155"/>
      <c r="I110" s="155"/>
      <c r="J110" s="156"/>
      <c r="K110" s="157">
        <f t="shared" si="71"/>
        <v>1</v>
      </c>
      <c r="L110" s="157">
        <f t="shared" si="72"/>
        <v>1</v>
      </c>
      <c r="M110" s="158" t="s">
        <v>637</v>
      </c>
      <c r="N110" s="159" t="s">
        <v>643</v>
      </c>
      <c r="O110" s="159">
        <v>76410</v>
      </c>
      <c r="P110" s="159" t="s">
        <v>639</v>
      </c>
      <c r="Q110" s="159" t="s">
        <v>644</v>
      </c>
      <c r="R110" s="159" t="s">
        <v>645</v>
      </c>
      <c r="S110" s="159"/>
      <c r="T110" s="159" t="s">
        <v>94</v>
      </c>
      <c r="U110" s="159" t="s">
        <v>646</v>
      </c>
      <c r="V110" s="160" t="s">
        <v>123</v>
      </c>
      <c r="W110" s="161"/>
      <c r="X110" s="162"/>
      <c r="Y110" s="163"/>
      <c r="Z110" s="162"/>
      <c r="AA110" s="163"/>
      <c r="AB110" s="162"/>
      <c r="AC110" s="163"/>
      <c r="AD110" s="162"/>
      <c r="AE110" s="163"/>
      <c r="AF110" s="162"/>
      <c r="AG110" s="163"/>
      <c r="AH110" s="163"/>
      <c r="AI110" s="162"/>
      <c r="AJ110" s="163"/>
      <c r="AK110" s="162"/>
      <c r="AL110" s="163"/>
      <c r="AM110" s="162"/>
      <c r="AN110" s="163"/>
      <c r="AO110" s="162">
        <v>9</v>
      </c>
      <c r="AP110" s="164"/>
      <c r="AQ110" s="164"/>
      <c r="AR110" s="164"/>
      <c r="AS110" s="164"/>
      <c r="AT110" s="164"/>
      <c r="AU110" s="164"/>
      <c r="AV110" s="164"/>
      <c r="AW110" s="164"/>
      <c r="AX110" s="164"/>
      <c r="AY110" s="165"/>
      <c r="AZ110" s="41"/>
      <c r="BA110" s="190"/>
      <c r="BB110" s="191">
        <v>10</v>
      </c>
      <c r="BC110" s="191"/>
      <c r="BD110" s="191"/>
      <c r="BE110" s="191"/>
      <c r="BF110" s="191"/>
      <c r="BG110" s="191"/>
      <c r="BH110" s="191">
        <v>100</v>
      </c>
      <c r="BI110" s="191"/>
      <c r="BJ110" s="191"/>
      <c r="BK110" s="191"/>
      <c r="BL110" s="191"/>
      <c r="BM110" s="191"/>
      <c r="BN110" s="191"/>
      <c r="BO110" s="191">
        <v>10</v>
      </c>
      <c r="BP110" s="191"/>
      <c r="BQ110" s="191"/>
      <c r="BR110" s="191"/>
      <c r="BS110" s="191"/>
      <c r="BT110" s="191"/>
      <c r="BU110" s="191"/>
      <c r="BV110" s="191">
        <v>50</v>
      </c>
      <c r="BW110" s="191"/>
      <c r="BX110" s="191"/>
      <c r="BY110" s="191"/>
      <c r="BZ110" s="191"/>
      <c r="CA110" s="191"/>
      <c r="CB110" s="191"/>
      <c r="CC110" s="191">
        <v>50</v>
      </c>
      <c r="CD110" s="191"/>
      <c r="CE110" s="192"/>
      <c r="CF110" s="190"/>
      <c r="CG110" s="191"/>
      <c r="CH110" s="191"/>
      <c r="CI110" s="191"/>
      <c r="CJ110" s="191">
        <v>10</v>
      </c>
      <c r="CK110" s="191"/>
      <c r="CL110" s="191"/>
      <c r="CM110" s="191"/>
      <c r="CN110" s="191"/>
      <c r="CO110" s="191"/>
      <c r="CP110" s="191"/>
      <c r="CQ110" s="191">
        <v>50</v>
      </c>
      <c r="CR110" s="191"/>
      <c r="CS110" s="191"/>
      <c r="CT110" s="191"/>
      <c r="CU110" s="191"/>
      <c r="CV110" s="191"/>
      <c r="CW110" s="191"/>
      <c r="CX110" s="191">
        <v>50</v>
      </c>
      <c r="CY110" s="191"/>
      <c r="CZ110" s="191"/>
      <c r="DA110" s="191"/>
      <c r="DB110" s="191"/>
      <c r="DC110" s="191"/>
      <c r="DD110" s="191"/>
      <c r="DE110" s="191">
        <v>10</v>
      </c>
      <c r="DF110" s="191"/>
      <c r="DG110" s="191"/>
      <c r="DH110" s="193"/>
      <c r="DI110" s="194"/>
      <c r="DJ110" s="191"/>
      <c r="DK110" s="191"/>
      <c r="DL110" s="191"/>
      <c r="DM110" s="191"/>
      <c r="DN110" s="191"/>
      <c r="DO110" s="191"/>
      <c r="DP110" s="191"/>
      <c r="DQ110" s="191"/>
      <c r="DR110" s="191"/>
      <c r="DS110" s="191"/>
      <c r="DT110" s="191">
        <v>100</v>
      </c>
      <c r="DU110" s="191"/>
      <c r="DV110" s="191"/>
      <c r="DW110" s="191"/>
      <c r="DX110" s="191"/>
      <c r="DY110" s="191"/>
      <c r="DZ110" s="191"/>
      <c r="EA110" s="191">
        <v>10</v>
      </c>
      <c r="EB110" s="191"/>
      <c r="EC110" s="191"/>
      <c r="ED110" s="191"/>
      <c r="EE110" s="191"/>
      <c r="EF110" s="191"/>
      <c r="EG110" s="191"/>
      <c r="EH110" s="191">
        <v>10</v>
      </c>
      <c r="EI110" s="191"/>
      <c r="EJ110" s="191"/>
      <c r="EK110" s="191"/>
      <c r="EL110" s="191"/>
      <c r="EM110" s="192"/>
      <c r="EN110" s="190"/>
      <c r="EO110" s="191">
        <v>10</v>
      </c>
      <c r="EP110" s="191"/>
      <c r="EQ110" s="191"/>
      <c r="ER110" s="191"/>
      <c r="ES110" s="191"/>
      <c r="ET110" s="191"/>
      <c r="EU110" s="191"/>
      <c r="EV110" s="191">
        <v>50</v>
      </c>
      <c r="EW110" s="191"/>
      <c r="EX110" s="191"/>
      <c r="EY110" s="191"/>
      <c r="EZ110" s="191"/>
      <c r="FA110" s="191"/>
      <c r="FB110" s="191"/>
      <c r="FC110" s="191">
        <v>50</v>
      </c>
      <c r="FD110" s="191"/>
      <c r="FE110" s="191"/>
      <c r="FF110" s="191"/>
      <c r="FG110" s="191"/>
      <c r="FH110" s="191"/>
      <c r="FI110" s="191"/>
      <c r="FJ110" s="191">
        <v>10</v>
      </c>
      <c r="FK110" s="191"/>
      <c r="FL110" s="191"/>
      <c r="FM110" s="191"/>
      <c r="FN110" s="191"/>
      <c r="FO110" s="191"/>
      <c r="FP110" s="191"/>
      <c r="FQ110" s="193">
        <v>50</v>
      </c>
      <c r="FR110" s="194"/>
      <c r="FS110" s="191"/>
      <c r="FT110" s="191"/>
      <c r="FU110" s="191"/>
      <c r="FV110" s="191"/>
      <c r="FW110" s="191"/>
      <c r="FX110" s="191">
        <v>50</v>
      </c>
      <c r="FY110" s="191"/>
      <c r="FZ110" s="191"/>
      <c r="GA110" s="191"/>
      <c r="GB110" s="191"/>
      <c r="GC110" s="191"/>
      <c r="GD110" s="191"/>
      <c r="GE110" s="191">
        <v>50</v>
      </c>
      <c r="GF110" s="191"/>
      <c r="GG110" s="191"/>
      <c r="GH110" s="191"/>
      <c r="GI110" s="191"/>
      <c r="GJ110" s="191"/>
      <c r="GK110" s="191"/>
      <c r="GL110" s="191">
        <v>50</v>
      </c>
      <c r="GM110" s="191"/>
      <c r="GN110" s="191"/>
      <c r="GO110" s="191"/>
      <c r="GP110" s="191"/>
      <c r="GQ110" s="191"/>
      <c r="GR110" s="191"/>
      <c r="GS110" s="191">
        <v>10</v>
      </c>
      <c r="GT110" s="191"/>
      <c r="GU110" s="191"/>
      <c r="GV110" s="192"/>
      <c r="GW110" s="190"/>
      <c r="GX110" s="191"/>
      <c r="GY110" s="191"/>
      <c r="GZ110" s="191">
        <v>50</v>
      </c>
      <c r="HA110" s="191"/>
      <c r="HB110" s="191"/>
      <c r="HC110" s="191"/>
      <c r="HD110" s="191"/>
      <c r="HE110" s="191"/>
      <c r="HF110" s="191"/>
      <c r="HG110" s="191"/>
      <c r="HH110" s="191"/>
      <c r="HI110" s="191"/>
      <c r="HJ110" s="191"/>
      <c r="HK110" s="191"/>
      <c r="HL110" s="191"/>
      <c r="HM110" s="191"/>
      <c r="HN110" s="191">
        <v>200</v>
      </c>
      <c r="HO110" s="191"/>
      <c r="HP110" s="191"/>
      <c r="HQ110" s="191"/>
      <c r="HR110" s="191"/>
      <c r="HS110" s="191"/>
      <c r="HT110" s="191"/>
      <c r="HU110" s="191">
        <v>10</v>
      </c>
      <c r="HV110" s="191"/>
      <c r="HW110" s="191"/>
      <c r="HX110" s="191"/>
      <c r="HY110" s="191"/>
      <c r="HZ110" s="193"/>
      <c r="IA110" s="194"/>
      <c r="IB110" s="191">
        <v>10</v>
      </c>
      <c r="IC110" s="191"/>
      <c r="ID110" s="191"/>
      <c r="IE110" s="191"/>
      <c r="IF110" s="191"/>
      <c r="IG110" s="191"/>
      <c r="IH110" s="191"/>
      <c r="II110" s="191">
        <v>50</v>
      </c>
      <c r="IJ110" s="191"/>
      <c r="IK110" s="191"/>
      <c r="IL110" s="191"/>
      <c r="IM110" s="191"/>
      <c r="IN110" s="191"/>
      <c r="IO110" s="191"/>
      <c r="IP110" s="191"/>
      <c r="IQ110" s="191">
        <v>50</v>
      </c>
      <c r="IR110" s="191"/>
      <c r="IS110" s="191"/>
      <c r="IT110" s="191"/>
      <c r="IU110" s="191"/>
      <c r="IV110" s="191"/>
      <c r="IW110" s="191"/>
      <c r="IX110" s="191">
        <v>10</v>
      </c>
      <c r="IY110" s="191"/>
      <c r="IZ110" s="191"/>
      <c r="JA110" s="191"/>
      <c r="JB110" s="191"/>
      <c r="JC110" s="191"/>
      <c r="JD110" s="191">
        <v>50</v>
      </c>
      <c r="JE110" s="192"/>
      <c r="JF110" s="190"/>
      <c r="JG110" s="191"/>
      <c r="JH110" s="191"/>
      <c r="JI110" s="191"/>
      <c r="JJ110" s="191"/>
      <c r="JK110" s="191">
        <v>100</v>
      </c>
      <c r="JL110" s="191"/>
      <c r="JM110" s="191"/>
      <c r="JN110" s="191"/>
      <c r="JO110" s="191"/>
      <c r="JP110" s="191"/>
      <c r="JQ110" s="191"/>
      <c r="JR110" s="191"/>
      <c r="JS110" s="191">
        <v>10</v>
      </c>
      <c r="JT110" s="191"/>
      <c r="JU110" s="191"/>
      <c r="JV110" s="191"/>
      <c r="JW110" s="191"/>
      <c r="JX110" s="191"/>
      <c r="JY110" s="191">
        <v>50</v>
      </c>
      <c r="JZ110" s="191"/>
      <c r="KA110" s="191"/>
      <c r="KB110" s="191"/>
      <c r="KC110" s="191"/>
      <c r="KD110" s="191"/>
      <c r="KE110" s="191"/>
      <c r="KF110" s="191"/>
      <c r="KG110" s="191">
        <v>50</v>
      </c>
      <c r="KH110" s="191"/>
      <c r="KI110" s="191"/>
      <c r="KJ110" s="193"/>
      <c r="KK110" s="194"/>
      <c r="KL110" s="191"/>
      <c r="KM110" s="191">
        <v>10</v>
      </c>
      <c r="KN110" s="191"/>
      <c r="KO110" s="191"/>
      <c r="KP110" s="191"/>
      <c r="KQ110" s="191"/>
      <c r="KR110" s="191"/>
      <c r="KS110" s="191"/>
      <c r="KT110" s="191"/>
      <c r="KU110" s="191">
        <v>10</v>
      </c>
      <c r="KV110" s="191"/>
      <c r="KW110" s="191"/>
      <c r="KX110" s="191"/>
      <c r="KY110" s="191"/>
      <c r="KZ110" s="191"/>
      <c r="LA110" s="191">
        <v>10</v>
      </c>
      <c r="LB110" s="191"/>
      <c r="LC110" s="191"/>
      <c r="LD110" s="191"/>
      <c r="LE110" s="191"/>
      <c r="LF110" s="191"/>
      <c r="LG110" s="191"/>
      <c r="LH110" s="191">
        <v>50</v>
      </c>
      <c r="LI110" s="191"/>
      <c r="LJ110" s="191"/>
      <c r="LK110" s="191"/>
      <c r="LL110" s="191"/>
      <c r="LM110" s="191"/>
      <c r="LN110" s="192"/>
      <c r="LO110" s="190">
        <v>10</v>
      </c>
      <c r="LP110" s="191"/>
      <c r="LQ110" s="191"/>
      <c r="LR110" s="191"/>
      <c r="LS110" s="191"/>
      <c r="LT110" s="191"/>
      <c r="LU110" s="191"/>
      <c r="LV110" s="191">
        <v>10</v>
      </c>
      <c r="LW110" s="191"/>
      <c r="LX110" s="191"/>
      <c r="LY110" s="191"/>
      <c r="LZ110" s="191"/>
      <c r="MA110" s="191"/>
      <c r="MB110" s="191"/>
      <c r="MC110" s="191">
        <v>50</v>
      </c>
      <c r="MD110" s="191"/>
      <c r="ME110" s="191"/>
      <c r="MF110" s="191"/>
      <c r="MG110" s="191"/>
      <c r="MH110" s="191"/>
      <c r="MI110" s="191"/>
      <c r="MJ110" s="191">
        <v>50</v>
      </c>
      <c r="MK110" s="191"/>
      <c r="ML110" s="191"/>
      <c r="MM110" s="191"/>
      <c r="MN110" s="191"/>
      <c r="MO110" s="191"/>
      <c r="MP110" s="191"/>
      <c r="MQ110" s="191">
        <v>50</v>
      </c>
      <c r="MR110" s="191"/>
      <c r="MS110" s="193"/>
      <c r="MT110" s="194"/>
      <c r="MU110" s="191"/>
      <c r="MV110" s="191"/>
      <c r="MW110" s="191"/>
      <c r="MX110" s="191">
        <v>10</v>
      </c>
      <c r="MY110" s="191"/>
      <c r="MZ110" s="191"/>
      <c r="NA110" s="191"/>
      <c r="NB110" s="191"/>
      <c r="NC110" s="191"/>
      <c r="ND110" s="191"/>
      <c r="NE110" s="191"/>
      <c r="NF110" s="191"/>
      <c r="NG110" s="191"/>
      <c r="NH110" s="191"/>
      <c r="NI110" s="191"/>
      <c r="NJ110" s="191"/>
      <c r="NK110" s="191"/>
      <c r="NL110" s="191"/>
      <c r="NM110" s="191">
        <v>50</v>
      </c>
      <c r="NN110" s="191"/>
      <c r="NO110" s="191"/>
      <c r="NP110" s="191"/>
      <c r="NQ110" s="191"/>
      <c r="NR110" s="191"/>
      <c r="NS110" s="191">
        <v>50</v>
      </c>
      <c r="NT110" s="191"/>
      <c r="NU110" s="191"/>
      <c r="NV110" s="191"/>
      <c r="NW110" s="192"/>
      <c r="NX110" s="190"/>
      <c r="NY110" s="191"/>
      <c r="NZ110" s="191">
        <v>50</v>
      </c>
      <c r="OA110" s="191"/>
      <c r="OB110" s="191"/>
      <c r="OC110" s="191"/>
      <c r="OD110" s="191"/>
      <c r="OE110" s="191"/>
      <c r="OF110" s="191"/>
      <c r="OG110" s="191">
        <v>50</v>
      </c>
      <c r="OH110" s="191"/>
      <c r="OI110" s="191"/>
      <c r="OJ110" s="191"/>
      <c r="OK110" s="191"/>
      <c r="OL110" s="191"/>
      <c r="OM110" s="191"/>
      <c r="ON110" s="191"/>
      <c r="OO110" s="191"/>
      <c r="OP110" s="191"/>
      <c r="OQ110" s="191"/>
      <c r="OR110" s="191"/>
      <c r="OS110" s="191"/>
      <c r="OT110" s="191"/>
      <c r="OU110" s="191"/>
      <c r="OV110" s="191"/>
      <c r="OW110" s="191"/>
      <c r="OX110" s="191"/>
      <c r="OY110" s="191"/>
      <c r="OZ110" s="191"/>
      <c r="PA110" s="191"/>
      <c r="PB110" s="193"/>
      <c r="PC110" s="47"/>
      <c r="PD110" s="154" t="s">
        <v>97</v>
      </c>
      <c r="PE110" s="155" t="s">
        <v>98</v>
      </c>
      <c r="PF110" s="155" t="s">
        <v>98</v>
      </c>
      <c r="PG110" s="155" t="s">
        <v>97</v>
      </c>
      <c r="PH110" s="155" t="s">
        <v>98</v>
      </c>
      <c r="PI110" s="155" t="s">
        <v>98</v>
      </c>
      <c r="PJ110" s="155" t="s">
        <v>98</v>
      </c>
      <c r="PK110" s="155" t="s">
        <v>98</v>
      </c>
      <c r="PL110" s="155" t="s">
        <v>98</v>
      </c>
      <c r="PM110" s="155" t="s">
        <v>98</v>
      </c>
      <c r="PN110" s="155" t="s">
        <v>98</v>
      </c>
      <c r="PO110" s="156"/>
      <c r="PP110" s="156"/>
      <c r="PQ110" s="156"/>
      <c r="PR110" s="156"/>
      <c r="PS110" s="156"/>
      <c r="PT110" s="156"/>
      <c r="PU110" s="156"/>
      <c r="PV110" s="156"/>
      <c r="PW110" s="156"/>
      <c r="PX110" s="195"/>
      <c r="PY110" s="1"/>
      <c r="PZ110" s="196">
        <f t="shared" si="73"/>
        <v>220</v>
      </c>
      <c r="QA110" s="176">
        <f t="shared" si="74"/>
        <v>1.8353215983982648E-3</v>
      </c>
      <c r="QB110" s="177" t="str">
        <f t="shared" ca="1" si="75"/>
        <v>Attente…</v>
      </c>
      <c r="QC110" s="197">
        <f t="shared" si="76"/>
        <v>120</v>
      </c>
      <c r="QD110" s="179">
        <f t="shared" si="77"/>
        <v>1.1235955056179776E-3</v>
      </c>
      <c r="QE110" s="180" t="str">
        <f t="shared" ca="1" si="78"/>
        <v>Attente…</v>
      </c>
      <c r="QF110" s="196">
        <f t="shared" si="79"/>
        <v>120</v>
      </c>
      <c r="QG110" s="176">
        <f t="shared" si="80"/>
        <v>9.5556617295747726E-4</v>
      </c>
      <c r="QH110" s="177" t="str">
        <f t="shared" ca="1" si="81"/>
        <v>Attente…</v>
      </c>
      <c r="QI110" s="197">
        <f t="shared" si="82"/>
        <v>170</v>
      </c>
      <c r="QJ110" s="179">
        <f t="shared" si="83"/>
        <v>1.1923130873895357E-3</v>
      </c>
      <c r="QK110" s="180" t="str">
        <f t="shared" ca="1" si="84"/>
        <v>Attente…</v>
      </c>
      <c r="QL110" s="196">
        <f t="shared" si="85"/>
        <v>160</v>
      </c>
      <c r="QM110" s="176">
        <f t="shared" si="86"/>
        <v>1.1706175007316359E-3</v>
      </c>
      <c r="QN110" s="177" t="str">
        <f t="shared" ca="1" si="87"/>
        <v>Attente…</v>
      </c>
      <c r="QO110" s="197">
        <f t="shared" si="88"/>
        <v>260</v>
      </c>
      <c r="QP110" s="179">
        <f t="shared" si="89"/>
        <v>2.035543725045017E-3</v>
      </c>
      <c r="QQ110" s="180" t="str">
        <f t="shared" ca="1" si="90"/>
        <v>Attente…</v>
      </c>
      <c r="QR110" s="196">
        <f t="shared" si="91"/>
        <v>170</v>
      </c>
      <c r="QS110" s="176">
        <f t="shared" si="92"/>
        <v>1.2238580324682336E-3</v>
      </c>
      <c r="QT110" s="177" t="str">
        <f t="shared" ca="1" si="93"/>
        <v>Attente…</v>
      </c>
      <c r="QU110" s="197">
        <f t="shared" si="94"/>
        <v>210</v>
      </c>
      <c r="QV110" s="179">
        <f t="shared" si="95"/>
        <v>1.4478764478764478E-3</v>
      </c>
      <c r="QW110" s="180" t="str">
        <f t="shared" ca="1" si="96"/>
        <v>Attente…</v>
      </c>
      <c r="QX110" s="196">
        <f t="shared" si="97"/>
        <v>80</v>
      </c>
      <c r="QY110" s="176">
        <f t="shared" si="98"/>
        <v>5.8378820164044481E-4</v>
      </c>
      <c r="QZ110" s="177" t="str">
        <f t="shared" ca="1" si="99"/>
        <v>Attente…</v>
      </c>
      <c r="RA110" s="197">
        <f t="shared" si="100"/>
        <v>170</v>
      </c>
      <c r="RB110" s="179">
        <f t="shared" si="101"/>
        <v>1.3300993662467727E-3</v>
      </c>
      <c r="RC110" s="180" t="str">
        <f t="shared" ca="1" si="102"/>
        <v>Attente…</v>
      </c>
      <c r="RD110" s="196">
        <f t="shared" si="103"/>
        <v>110</v>
      </c>
      <c r="RE110" s="176">
        <f t="shared" si="104"/>
        <v>1.096054204862495E-3</v>
      </c>
      <c r="RF110" s="177" t="str">
        <f t="shared" ca="1" si="105"/>
        <v>Attente…</v>
      </c>
      <c r="RG110" s="197">
        <f t="shared" si="106"/>
        <v>100</v>
      </c>
      <c r="RH110" s="179">
        <f t="shared" si="107"/>
        <v>1.8392495861688431E-3</v>
      </c>
      <c r="RI110" s="198" t="str">
        <f t="shared" ca="1" si="108"/>
        <v>Attente…</v>
      </c>
      <c r="RJ110" s="199">
        <f t="shared" si="109"/>
        <v>460</v>
      </c>
      <c r="RK110" s="200" t="str">
        <f t="shared" ca="1" si="66"/>
        <v>Attente…</v>
      </c>
      <c r="RL110" s="199">
        <f t="shared" si="110"/>
        <v>590</v>
      </c>
      <c r="RM110" s="200" t="str">
        <f t="shared" ca="1" si="111"/>
        <v>Atttente…</v>
      </c>
      <c r="RN110" s="199">
        <f t="shared" si="112"/>
        <v>460</v>
      </c>
      <c r="RO110" s="200" t="str">
        <f t="shared" ca="1" si="67"/>
        <v>Attente…</v>
      </c>
      <c r="RP110" s="199">
        <f t="shared" si="113"/>
        <v>380</v>
      </c>
      <c r="RQ110" s="200" t="str">
        <f t="shared" ca="1" si="68"/>
        <v>Attente…</v>
      </c>
      <c r="RR110" s="201">
        <f t="shared" si="114"/>
        <v>1890</v>
      </c>
      <c r="RS110" s="202" t="str">
        <f t="shared" ca="1" si="69"/>
        <v>Attente…</v>
      </c>
      <c r="RT110" s="103"/>
      <c r="RU110" s="203">
        <f t="shared" si="115"/>
        <v>0.20106382978723403</v>
      </c>
      <c r="RV110" s="204">
        <f t="shared" si="118"/>
        <v>1</v>
      </c>
      <c r="RW110" s="204">
        <f t="shared" si="118"/>
        <v>1</v>
      </c>
      <c r="RX110" s="204">
        <f t="shared" si="116"/>
        <v>47</v>
      </c>
      <c r="RY110" s="205" t="str">
        <f t="shared" si="117"/>
        <v>SAINT-AUBIN-LÈS-ELBEUF - Rue du Docteur Villers (Entrée EHPAD)</v>
      </c>
      <c r="RZ110" s="189" t="str">
        <f>IF(OR(RZ109="",RZ109="  &lt;/Document&gt;
&lt;/kml&gt;"),"",
IF(B110="","  &lt;/Document&gt;
&lt;/kml&gt;",
IF(TournéesCAV!Q110=""," ",
"    &lt;Placemark&gt;
      &lt;description&gt;&lt;![CDATA["&amp;B110&amp;"&lt;br&gt;&lt;br&gt;"&amp;RV110&amp;" CAV&lt;br&gt;&lt;br&gt;Présent sur "&amp;RW110&amp;" tournée(s)&lt;br&gt;&lt;br&gt;Taux de remplissage moyen "&amp;TEXT(RU110*1000,"0 %")&amp;"]]&gt;&lt;/description&gt;
      &lt;Style&gt;
        &lt;IconStyle&gt;
          &lt;color&gt;ff"&amp;
          DEC2HEX(0,2)&amp;
          DEC2HEX(
            IF(RU110&lt;=0.5,
               INT(255*(RU110*2)),
               255
            ),2)&amp;
          DEC2HEX(
            IF(RU110&lt;=0.5,
               255,
               INT(255*(1-(RU110-0.5)*2))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&lt;Point&gt;&lt;coordinates&gt;"&amp;R110&amp;","&amp;Q110&amp;",0&lt;/coordinates&gt;&lt;/Point&gt;
    &lt;/Placemark&gt;"
)))</f>
        <v xml:space="preserve">    &lt;Placemark&gt;
      &lt;description&gt;&lt;![CDATA[SAINT-AUBIN-LÈS-ELBEUF - Rue du Docteur Villers (Entrée EHPAD)&lt;br&gt;&lt;br&gt;1 CAV&lt;br&gt;&lt;br&gt;Présent sur 1 tournée(s)&lt;br&gt;&lt;br&gt;Taux de remplissage moyen 20%]]&gt;&lt;/description&gt;
      &lt;Style&gt;
        &lt;IconStyle&gt;
          &lt;color&gt;ff0066FF&lt;/color&gt;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&lt;Point&gt;&lt;coordinates&gt;1.041674189163202,49.30401280525894,0&lt;/coordinates&gt;&lt;/Point&gt;
    &lt;/Placemark&gt;</v>
      </c>
    </row>
    <row r="111" spans="2:494" ht="15" hidden="1" customHeight="1" x14ac:dyDescent="0.35">
      <c r="B111" s="153" t="str">
        <f t="shared" si="70"/>
        <v>SAINT-AUBIN-LÈS-ELBEUF - 20 Espace Foudriots (Derrière La Poste)</v>
      </c>
      <c r="C111" s="154">
        <v>7</v>
      </c>
      <c r="D111" s="155"/>
      <c r="E111" s="155"/>
      <c r="F111" s="155"/>
      <c r="G111" s="155"/>
      <c r="H111" s="155"/>
      <c r="I111" s="155"/>
      <c r="J111" s="156"/>
      <c r="K111" s="157">
        <f t="shared" si="71"/>
        <v>1</v>
      </c>
      <c r="L111" s="157">
        <f t="shared" si="72"/>
        <v>1</v>
      </c>
      <c r="M111" s="158" t="s">
        <v>647</v>
      </c>
      <c r="N111" s="159" t="s">
        <v>648</v>
      </c>
      <c r="O111" s="159">
        <v>76410</v>
      </c>
      <c r="P111" s="159" t="s">
        <v>639</v>
      </c>
      <c r="Q111" s="159" t="s">
        <v>649</v>
      </c>
      <c r="R111" s="159" t="s">
        <v>650</v>
      </c>
      <c r="S111" s="159" t="s">
        <v>93</v>
      </c>
      <c r="T111" s="159" t="s">
        <v>94</v>
      </c>
      <c r="U111" s="159" t="s">
        <v>651</v>
      </c>
      <c r="V111" s="160" t="s">
        <v>123</v>
      </c>
      <c r="W111" s="161"/>
      <c r="X111" s="162"/>
      <c r="Y111" s="163"/>
      <c r="Z111" s="162"/>
      <c r="AA111" s="163"/>
      <c r="AB111" s="162"/>
      <c r="AC111" s="163"/>
      <c r="AD111" s="162"/>
      <c r="AE111" s="163"/>
      <c r="AF111" s="162"/>
      <c r="AG111" s="163"/>
      <c r="AH111" s="163"/>
      <c r="AI111" s="162"/>
      <c r="AJ111" s="163"/>
      <c r="AK111" s="162"/>
      <c r="AL111" s="163"/>
      <c r="AM111" s="162"/>
      <c r="AN111" s="163"/>
      <c r="AO111" s="162">
        <v>10</v>
      </c>
      <c r="AP111" s="164"/>
      <c r="AQ111" s="164"/>
      <c r="AR111" s="164"/>
      <c r="AS111" s="164"/>
      <c r="AT111" s="164"/>
      <c r="AU111" s="164"/>
      <c r="AV111" s="164"/>
      <c r="AW111" s="164"/>
      <c r="AX111" s="164"/>
      <c r="AY111" s="165"/>
      <c r="AZ111" s="41"/>
      <c r="BA111" s="190"/>
      <c r="BB111" s="191">
        <v>200</v>
      </c>
      <c r="BC111" s="191"/>
      <c r="BD111" s="191"/>
      <c r="BE111" s="191"/>
      <c r="BF111" s="191"/>
      <c r="BG111" s="191"/>
      <c r="BH111" s="191">
        <v>100</v>
      </c>
      <c r="BI111" s="191"/>
      <c r="BJ111" s="191"/>
      <c r="BK111" s="191"/>
      <c r="BL111" s="191"/>
      <c r="BM111" s="191"/>
      <c r="BN111" s="191"/>
      <c r="BO111" s="191">
        <v>100</v>
      </c>
      <c r="BP111" s="191"/>
      <c r="BQ111" s="191"/>
      <c r="BR111" s="191"/>
      <c r="BS111" s="191"/>
      <c r="BT111" s="191"/>
      <c r="BU111" s="191"/>
      <c r="BV111" s="191">
        <v>100</v>
      </c>
      <c r="BW111" s="191"/>
      <c r="BX111" s="191"/>
      <c r="BY111" s="191"/>
      <c r="BZ111" s="191"/>
      <c r="CA111" s="191"/>
      <c r="CB111" s="191"/>
      <c r="CC111" s="191">
        <v>50</v>
      </c>
      <c r="CD111" s="191"/>
      <c r="CE111" s="192"/>
      <c r="CF111" s="190"/>
      <c r="CG111" s="191"/>
      <c r="CH111" s="191"/>
      <c r="CI111" s="191"/>
      <c r="CJ111" s="191">
        <v>100</v>
      </c>
      <c r="CK111" s="191"/>
      <c r="CL111" s="191"/>
      <c r="CM111" s="191"/>
      <c r="CN111" s="191"/>
      <c r="CO111" s="191"/>
      <c r="CP111" s="191"/>
      <c r="CQ111" s="191">
        <v>100</v>
      </c>
      <c r="CR111" s="191"/>
      <c r="CS111" s="191"/>
      <c r="CT111" s="191"/>
      <c r="CU111" s="191"/>
      <c r="CV111" s="191"/>
      <c r="CW111" s="191"/>
      <c r="CX111" s="191">
        <v>100</v>
      </c>
      <c r="CY111" s="191"/>
      <c r="CZ111" s="191"/>
      <c r="DA111" s="191"/>
      <c r="DB111" s="191"/>
      <c r="DC111" s="191"/>
      <c r="DD111" s="191"/>
      <c r="DE111" s="191">
        <v>150</v>
      </c>
      <c r="DF111" s="191"/>
      <c r="DG111" s="191"/>
      <c r="DH111" s="193"/>
      <c r="DI111" s="194"/>
      <c r="DJ111" s="191"/>
      <c r="DK111" s="191"/>
      <c r="DL111" s="191"/>
      <c r="DM111" s="191"/>
      <c r="DN111" s="191"/>
      <c r="DO111" s="191"/>
      <c r="DP111" s="191"/>
      <c r="DQ111" s="191"/>
      <c r="DR111" s="191"/>
      <c r="DS111" s="191"/>
      <c r="DT111" s="191">
        <v>150</v>
      </c>
      <c r="DU111" s="191"/>
      <c r="DV111" s="191"/>
      <c r="DW111" s="191"/>
      <c r="DX111" s="191"/>
      <c r="DY111" s="191"/>
      <c r="DZ111" s="191"/>
      <c r="EA111" s="191">
        <v>100</v>
      </c>
      <c r="EB111" s="191"/>
      <c r="EC111" s="191"/>
      <c r="ED111" s="191"/>
      <c r="EE111" s="191"/>
      <c r="EF111" s="191"/>
      <c r="EG111" s="191"/>
      <c r="EH111" s="191">
        <v>150</v>
      </c>
      <c r="EI111" s="191"/>
      <c r="EJ111" s="191"/>
      <c r="EK111" s="191"/>
      <c r="EL111" s="191"/>
      <c r="EM111" s="192"/>
      <c r="EN111" s="190"/>
      <c r="EO111" s="191">
        <v>50</v>
      </c>
      <c r="EP111" s="191"/>
      <c r="EQ111" s="191"/>
      <c r="ER111" s="191"/>
      <c r="ES111" s="191"/>
      <c r="ET111" s="191"/>
      <c r="EU111" s="191"/>
      <c r="EV111" s="191">
        <v>200</v>
      </c>
      <c r="EW111" s="191"/>
      <c r="EX111" s="191"/>
      <c r="EY111" s="191"/>
      <c r="EZ111" s="191"/>
      <c r="FA111" s="191"/>
      <c r="FB111" s="191"/>
      <c r="FC111" s="191">
        <v>200</v>
      </c>
      <c r="FD111" s="191"/>
      <c r="FE111" s="191"/>
      <c r="FF111" s="191"/>
      <c r="FG111" s="191"/>
      <c r="FH111" s="191"/>
      <c r="FI111" s="191"/>
      <c r="FJ111" s="191">
        <v>200</v>
      </c>
      <c r="FK111" s="191"/>
      <c r="FL111" s="191"/>
      <c r="FM111" s="191"/>
      <c r="FN111" s="191"/>
      <c r="FO111" s="191"/>
      <c r="FP111" s="191"/>
      <c r="FQ111" s="193">
        <v>150</v>
      </c>
      <c r="FR111" s="194"/>
      <c r="FS111" s="191"/>
      <c r="FT111" s="191"/>
      <c r="FU111" s="191"/>
      <c r="FV111" s="191"/>
      <c r="FW111" s="191"/>
      <c r="FX111" s="191">
        <v>150</v>
      </c>
      <c r="FY111" s="191"/>
      <c r="FZ111" s="191"/>
      <c r="GA111" s="191"/>
      <c r="GB111" s="191"/>
      <c r="GC111" s="191"/>
      <c r="GD111" s="191"/>
      <c r="GE111" s="191">
        <v>200</v>
      </c>
      <c r="GF111" s="191"/>
      <c r="GG111" s="191"/>
      <c r="GH111" s="191"/>
      <c r="GI111" s="191"/>
      <c r="GJ111" s="191"/>
      <c r="GK111" s="191"/>
      <c r="GL111" s="191">
        <v>150</v>
      </c>
      <c r="GM111" s="191"/>
      <c r="GN111" s="191"/>
      <c r="GO111" s="191"/>
      <c r="GP111" s="191"/>
      <c r="GQ111" s="191"/>
      <c r="GR111" s="191"/>
      <c r="GS111" s="191">
        <v>100</v>
      </c>
      <c r="GT111" s="191"/>
      <c r="GU111" s="191"/>
      <c r="GV111" s="192"/>
      <c r="GW111" s="190"/>
      <c r="GX111" s="191"/>
      <c r="GY111" s="191"/>
      <c r="GZ111" s="191">
        <v>200</v>
      </c>
      <c r="HA111" s="191"/>
      <c r="HB111" s="191"/>
      <c r="HC111" s="191"/>
      <c r="HD111" s="191"/>
      <c r="HE111" s="191"/>
      <c r="HF111" s="191"/>
      <c r="HG111" s="191"/>
      <c r="HH111" s="191"/>
      <c r="HI111" s="191"/>
      <c r="HJ111" s="191"/>
      <c r="HK111" s="191"/>
      <c r="HL111" s="191"/>
      <c r="HM111" s="191"/>
      <c r="HN111" s="191">
        <v>150</v>
      </c>
      <c r="HO111" s="191"/>
      <c r="HP111" s="191"/>
      <c r="HQ111" s="191"/>
      <c r="HR111" s="191"/>
      <c r="HS111" s="191"/>
      <c r="HT111" s="191"/>
      <c r="HU111" s="191">
        <v>150</v>
      </c>
      <c r="HV111" s="191"/>
      <c r="HW111" s="191"/>
      <c r="HX111" s="191"/>
      <c r="HY111" s="191"/>
      <c r="HZ111" s="193"/>
      <c r="IA111" s="194"/>
      <c r="IB111" s="191">
        <v>100</v>
      </c>
      <c r="IC111" s="191"/>
      <c r="ID111" s="191"/>
      <c r="IE111" s="191"/>
      <c r="IF111" s="191"/>
      <c r="IG111" s="191"/>
      <c r="IH111" s="191"/>
      <c r="II111" s="191">
        <v>100</v>
      </c>
      <c r="IJ111" s="191"/>
      <c r="IK111" s="191"/>
      <c r="IL111" s="191"/>
      <c r="IM111" s="191"/>
      <c r="IN111" s="191"/>
      <c r="IO111" s="191"/>
      <c r="IP111" s="191"/>
      <c r="IQ111" s="191">
        <v>200</v>
      </c>
      <c r="IR111" s="191"/>
      <c r="IS111" s="191"/>
      <c r="IT111" s="191"/>
      <c r="IU111" s="191"/>
      <c r="IV111" s="191"/>
      <c r="IW111" s="191"/>
      <c r="IX111" s="191">
        <v>200</v>
      </c>
      <c r="IY111" s="191"/>
      <c r="IZ111" s="191"/>
      <c r="JA111" s="191"/>
      <c r="JB111" s="191"/>
      <c r="JC111" s="191"/>
      <c r="JD111" s="191">
        <v>150</v>
      </c>
      <c r="JE111" s="192"/>
      <c r="JF111" s="190"/>
      <c r="JG111" s="191"/>
      <c r="JH111" s="191"/>
      <c r="JI111" s="191"/>
      <c r="JJ111" s="191"/>
      <c r="JK111" s="191">
        <v>200</v>
      </c>
      <c r="JL111" s="191"/>
      <c r="JM111" s="191"/>
      <c r="JN111" s="191"/>
      <c r="JO111" s="191"/>
      <c r="JP111" s="191"/>
      <c r="JQ111" s="191"/>
      <c r="JR111" s="191"/>
      <c r="JS111" s="191">
        <v>150</v>
      </c>
      <c r="JT111" s="191"/>
      <c r="JU111" s="191"/>
      <c r="JV111" s="191"/>
      <c r="JW111" s="191"/>
      <c r="JX111" s="191"/>
      <c r="JY111" s="191">
        <v>200</v>
      </c>
      <c r="JZ111" s="191"/>
      <c r="KA111" s="191"/>
      <c r="KB111" s="191"/>
      <c r="KC111" s="191"/>
      <c r="KD111" s="191"/>
      <c r="KE111" s="191"/>
      <c r="KF111" s="191"/>
      <c r="KG111" s="191">
        <v>200</v>
      </c>
      <c r="KH111" s="191"/>
      <c r="KI111" s="191"/>
      <c r="KJ111" s="193"/>
      <c r="KK111" s="194"/>
      <c r="KL111" s="191"/>
      <c r="KM111" s="191">
        <v>50</v>
      </c>
      <c r="KN111" s="191"/>
      <c r="KO111" s="191"/>
      <c r="KP111" s="191"/>
      <c r="KQ111" s="191"/>
      <c r="KR111" s="191"/>
      <c r="KS111" s="191"/>
      <c r="KT111" s="191"/>
      <c r="KU111" s="191">
        <v>150</v>
      </c>
      <c r="KV111" s="191"/>
      <c r="KW111" s="191"/>
      <c r="KX111" s="191"/>
      <c r="KY111" s="191"/>
      <c r="KZ111" s="191"/>
      <c r="LA111" s="191">
        <v>100</v>
      </c>
      <c r="LB111" s="191"/>
      <c r="LC111" s="191"/>
      <c r="LD111" s="191"/>
      <c r="LE111" s="191"/>
      <c r="LF111" s="191"/>
      <c r="LG111" s="191"/>
      <c r="LH111" s="191">
        <v>100</v>
      </c>
      <c r="LI111" s="191"/>
      <c r="LJ111" s="191"/>
      <c r="LK111" s="191"/>
      <c r="LL111" s="191"/>
      <c r="LM111" s="191"/>
      <c r="LN111" s="192"/>
      <c r="LO111" s="190">
        <v>150</v>
      </c>
      <c r="LP111" s="191"/>
      <c r="LQ111" s="191"/>
      <c r="LR111" s="191"/>
      <c r="LS111" s="191"/>
      <c r="LT111" s="191"/>
      <c r="LU111" s="191"/>
      <c r="LV111" s="191">
        <v>150</v>
      </c>
      <c r="LW111" s="191"/>
      <c r="LX111" s="191"/>
      <c r="LY111" s="191"/>
      <c r="LZ111" s="191"/>
      <c r="MA111" s="191"/>
      <c r="MB111" s="191"/>
      <c r="MC111" s="191">
        <v>150</v>
      </c>
      <c r="MD111" s="191"/>
      <c r="ME111" s="191"/>
      <c r="MF111" s="191"/>
      <c r="MG111" s="191"/>
      <c r="MH111" s="191"/>
      <c r="MI111" s="191"/>
      <c r="MJ111" s="191">
        <v>100</v>
      </c>
      <c r="MK111" s="191"/>
      <c r="ML111" s="191"/>
      <c r="MM111" s="191"/>
      <c r="MN111" s="191"/>
      <c r="MO111" s="191"/>
      <c r="MP111" s="191"/>
      <c r="MQ111" s="191">
        <v>50</v>
      </c>
      <c r="MR111" s="191"/>
      <c r="MS111" s="193"/>
      <c r="MT111" s="194"/>
      <c r="MU111" s="191"/>
      <c r="MV111" s="191"/>
      <c r="MW111" s="191"/>
      <c r="MX111" s="191">
        <v>200</v>
      </c>
      <c r="MY111" s="191"/>
      <c r="MZ111" s="191"/>
      <c r="NA111" s="191"/>
      <c r="NB111" s="191"/>
      <c r="NC111" s="191"/>
      <c r="ND111" s="191"/>
      <c r="NE111" s="191"/>
      <c r="NF111" s="191"/>
      <c r="NG111" s="191"/>
      <c r="NH111" s="191"/>
      <c r="NI111" s="191"/>
      <c r="NJ111" s="191"/>
      <c r="NK111" s="191"/>
      <c r="NL111" s="191"/>
      <c r="NM111" s="191">
        <v>150</v>
      </c>
      <c r="NN111" s="191"/>
      <c r="NO111" s="191"/>
      <c r="NP111" s="191"/>
      <c r="NQ111" s="191"/>
      <c r="NR111" s="191"/>
      <c r="NS111" s="191">
        <v>100</v>
      </c>
      <c r="NT111" s="191"/>
      <c r="NU111" s="191"/>
      <c r="NV111" s="191"/>
      <c r="NW111" s="192"/>
      <c r="NX111" s="190"/>
      <c r="NY111" s="191"/>
      <c r="NZ111" s="191">
        <v>100</v>
      </c>
      <c r="OA111" s="191"/>
      <c r="OB111" s="191"/>
      <c r="OC111" s="191"/>
      <c r="OD111" s="191"/>
      <c r="OE111" s="191"/>
      <c r="OF111" s="191"/>
      <c r="OG111" s="191">
        <v>50</v>
      </c>
      <c r="OH111" s="191"/>
      <c r="OI111" s="191"/>
      <c r="OJ111" s="191"/>
      <c r="OK111" s="191"/>
      <c r="OL111" s="191"/>
      <c r="OM111" s="191"/>
      <c r="ON111" s="191">
        <v>100</v>
      </c>
      <c r="OO111" s="191"/>
      <c r="OP111" s="191"/>
      <c r="OQ111" s="191"/>
      <c r="OR111" s="191"/>
      <c r="OS111" s="191"/>
      <c r="OT111" s="191"/>
      <c r="OU111" s="191"/>
      <c r="OV111" s="191"/>
      <c r="OW111" s="191"/>
      <c r="OX111" s="191"/>
      <c r="OY111" s="191"/>
      <c r="OZ111" s="191"/>
      <c r="PA111" s="191"/>
      <c r="PB111" s="193"/>
      <c r="PC111" s="47"/>
      <c r="PD111" s="154" t="s">
        <v>97</v>
      </c>
      <c r="PE111" s="155" t="s">
        <v>98</v>
      </c>
      <c r="PF111" s="155" t="s">
        <v>98</v>
      </c>
      <c r="PG111" s="155" t="s">
        <v>97</v>
      </c>
      <c r="PH111" s="155" t="s">
        <v>98</v>
      </c>
      <c r="PI111" s="155" t="s">
        <v>98</v>
      </c>
      <c r="PJ111" s="155" t="s">
        <v>98</v>
      </c>
      <c r="PK111" s="155" t="s">
        <v>98</v>
      </c>
      <c r="PL111" s="155" t="s">
        <v>98</v>
      </c>
      <c r="PM111" s="155" t="s">
        <v>98</v>
      </c>
      <c r="PN111" s="155" t="s">
        <v>98</v>
      </c>
      <c r="PO111" s="156"/>
      <c r="PP111" s="156"/>
      <c r="PQ111" s="156"/>
      <c r="PR111" s="156"/>
      <c r="PS111" s="156"/>
      <c r="PT111" s="156"/>
      <c r="PU111" s="156"/>
      <c r="PV111" s="156"/>
      <c r="PW111" s="156"/>
      <c r="PX111" s="195"/>
      <c r="PY111" s="1"/>
      <c r="PZ111" s="196">
        <f t="shared" si="73"/>
        <v>550</v>
      </c>
      <c r="QA111" s="176">
        <f t="shared" si="74"/>
        <v>4.588303995995662E-3</v>
      </c>
      <c r="QB111" s="177" t="str">
        <f t="shared" ca="1" si="75"/>
        <v>Attente…</v>
      </c>
      <c r="QC111" s="197">
        <f t="shared" si="76"/>
        <v>450</v>
      </c>
      <c r="QD111" s="179">
        <f t="shared" si="77"/>
        <v>4.2134831460674156E-3</v>
      </c>
      <c r="QE111" s="180" t="str">
        <f t="shared" ca="1" si="78"/>
        <v>Attente…</v>
      </c>
      <c r="QF111" s="196">
        <f t="shared" si="79"/>
        <v>400</v>
      </c>
      <c r="QG111" s="176">
        <f t="shared" si="80"/>
        <v>3.1852205765249245E-3</v>
      </c>
      <c r="QH111" s="177" t="str">
        <f t="shared" ca="1" si="81"/>
        <v>Attente…</v>
      </c>
      <c r="QI111" s="197">
        <f t="shared" si="82"/>
        <v>800</v>
      </c>
      <c r="QJ111" s="179">
        <f t="shared" si="83"/>
        <v>5.6108851171272267E-3</v>
      </c>
      <c r="QK111" s="180" t="str">
        <f t="shared" ca="1" si="84"/>
        <v>Attente…</v>
      </c>
      <c r="QL111" s="196">
        <f t="shared" si="85"/>
        <v>600</v>
      </c>
      <c r="QM111" s="176">
        <f t="shared" si="86"/>
        <v>4.3898156277436349E-3</v>
      </c>
      <c r="QN111" s="177" t="str">
        <f t="shared" ca="1" si="87"/>
        <v>Attente…</v>
      </c>
      <c r="QO111" s="197">
        <f t="shared" si="88"/>
        <v>500</v>
      </c>
      <c r="QP111" s="179">
        <f t="shared" si="89"/>
        <v>3.9145071635481093E-3</v>
      </c>
      <c r="QQ111" s="180" t="str">
        <f t="shared" ca="1" si="90"/>
        <v>Attente…</v>
      </c>
      <c r="QR111" s="196">
        <f t="shared" si="91"/>
        <v>750</v>
      </c>
      <c r="QS111" s="176">
        <f t="shared" si="92"/>
        <v>5.3993736726539723E-3</v>
      </c>
      <c r="QT111" s="177" t="str">
        <f t="shared" ca="1" si="93"/>
        <v>Attente…</v>
      </c>
      <c r="QU111" s="197">
        <f t="shared" si="94"/>
        <v>750</v>
      </c>
      <c r="QV111" s="179">
        <f t="shared" si="95"/>
        <v>5.1709873138444567E-3</v>
      </c>
      <c r="QW111" s="180" t="str">
        <f t="shared" ca="1" si="96"/>
        <v>Attente…</v>
      </c>
      <c r="QX111" s="196">
        <f t="shared" si="97"/>
        <v>400</v>
      </c>
      <c r="QY111" s="176">
        <f t="shared" si="98"/>
        <v>2.918941008202224E-3</v>
      </c>
      <c r="QZ111" s="177" t="str">
        <f t="shared" ca="1" si="99"/>
        <v>Attente…</v>
      </c>
      <c r="RA111" s="197">
        <f t="shared" si="100"/>
        <v>600</v>
      </c>
      <c r="RB111" s="179">
        <f t="shared" si="101"/>
        <v>4.6944683514591971E-3</v>
      </c>
      <c r="RC111" s="180" t="str">
        <f t="shared" ca="1" si="102"/>
        <v>Attente…</v>
      </c>
      <c r="RD111" s="196">
        <f t="shared" si="103"/>
        <v>450</v>
      </c>
      <c r="RE111" s="176">
        <f t="shared" si="104"/>
        <v>4.483858110801116E-3</v>
      </c>
      <c r="RF111" s="177" t="str">
        <f t="shared" ca="1" si="105"/>
        <v>Attente…</v>
      </c>
      <c r="RG111" s="197">
        <f t="shared" si="106"/>
        <v>250</v>
      </c>
      <c r="RH111" s="179">
        <f t="shared" si="107"/>
        <v>4.5981239654221077E-3</v>
      </c>
      <c r="RI111" s="198" t="str">
        <f t="shared" ca="1" si="108"/>
        <v>Attente…</v>
      </c>
      <c r="RJ111" s="199">
        <f t="shared" si="109"/>
        <v>1400</v>
      </c>
      <c r="RK111" s="200" t="str">
        <f t="shared" ca="1" si="66"/>
        <v>Attente…</v>
      </c>
      <c r="RL111" s="199">
        <f t="shared" si="110"/>
        <v>1900</v>
      </c>
      <c r="RM111" s="200" t="str">
        <f t="shared" ca="1" si="111"/>
        <v>Atttente…</v>
      </c>
      <c r="RN111" s="199">
        <f t="shared" si="112"/>
        <v>1900</v>
      </c>
      <c r="RO111" s="200" t="str">
        <f t="shared" ca="1" si="67"/>
        <v>Attente…</v>
      </c>
      <c r="RP111" s="199">
        <f t="shared" si="113"/>
        <v>1300</v>
      </c>
      <c r="RQ111" s="200" t="str">
        <f t="shared" ca="1" si="68"/>
        <v>Attente…</v>
      </c>
      <c r="RR111" s="201">
        <f t="shared" si="114"/>
        <v>6500</v>
      </c>
      <c r="RS111" s="202" t="str">
        <f t="shared" ca="1" si="69"/>
        <v>Attente…</v>
      </c>
      <c r="RT111" s="103"/>
      <c r="RU111" s="203">
        <f t="shared" si="115"/>
        <v>0.67708333333333326</v>
      </c>
      <c r="RV111" s="204">
        <f t="shared" si="118"/>
        <v>1</v>
      </c>
      <c r="RW111" s="204">
        <f t="shared" si="118"/>
        <v>1</v>
      </c>
      <c r="RX111" s="204">
        <f t="shared" si="116"/>
        <v>48</v>
      </c>
      <c r="RY111" s="205" t="str">
        <f t="shared" si="117"/>
        <v>SAINT-AUBIN-LÈS-ELBEUF - 20 Espace Foudriots (Derrière La Poste)</v>
      </c>
      <c r="RZ111" s="189" t="str">
        <f>IF(OR(RZ110="",RZ110="  &lt;/Document&gt;
&lt;/kml&gt;"),"",
IF(B111="","  &lt;/Document&gt;
&lt;/kml&gt;",
IF(TournéesCAV!Q111=""," ",
"    &lt;Placemark&gt;
      &lt;description&gt;&lt;![CDATA["&amp;B111&amp;"&lt;br&gt;&lt;br&gt;"&amp;RV111&amp;" CAV&lt;br&gt;&lt;br&gt;Présent sur "&amp;RW111&amp;" tournée(s)&lt;br&gt;&lt;br&gt;Taux de remplissage moyen "&amp;TEXT(RU111*1000,"0 %")&amp;"]]&gt;&lt;/description&gt;
      &lt;Style&gt;
        &lt;IconStyle&gt;
          &lt;color&gt;ff"&amp;
          DEC2HEX(0,2)&amp;
          DEC2HEX(
            IF(RU111&lt;=0.5,
               INT(255*(RU111*2)),
               255
            ),2)&amp;
          DEC2HEX(
            IF(RU111&lt;=0.5,
               255,
               INT(255*(1-(RU111-0.5)*2))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&lt;Point&gt;&lt;coordinates&gt;"&amp;R111&amp;","&amp;Q111&amp;",0&lt;/coordinates&gt;&lt;/Point&gt;
    &lt;/Placemark&gt;"
)))</f>
        <v xml:space="preserve">    &lt;Placemark&gt;
      &lt;description&gt;&lt;![CDATA[SAINT-AUBIN-LÈS-ELBEUF - 20 Espace Foudriots (Derrière La Poste)&lt;br&gt;&lt;br&gt;1 CAV&lt;br&gt;&lt;br&gt;Présent sur 1 tournée(s)&lt;br&gt;&lt;br&gt;Taux de remplissage moyen 68%]]&gt;&lt;/description&gt;
      &lt;Style&gt;
        &lt;IconStyle&gt;
          &lt;color&gt;ff00FFA4&lt;/color&gt;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&lt;Point&gt;&lt;coordinates&gt;1.0127645,49.3027597,0&lt;/coordinates&gt;&lt;/Point&gt;
    &lt;/Placemark&gt;</v>
      </c>
    </row>
    <row r="112" spans="2:494" ht="15" hidden="1" customHeight="1" x14ac:dyDescent="0.35">
      <c r="B112" s="153" t="str">
        <f t="shared" si="70"/>
        <v>SAINT-AUBIN-LÈS-ELBEUF - 5 rue Pierre Saint Georges (Gare de Saint Aubin)</v>
      </c>
      <c r="C112" s="154">
        <v>14</v>
      </c>
      <c r="D112" s="155"/>
      <c r="E112" s="155"/>
      <c r="F112" s="155"/>
      <c r="G112" s="155"/>
      <c r="H112" s="155"/>
      <c r="I112" s="155"/>
      <c r="J112" s="156"/>
      <c r="K112" s="157">
        <f t="shared" si="71"/>
        <v>1</v>
      </c>
      <c r="L112" s="157">
        <f t="shared" si="72"/>
        <v>1</v>
      </c>
      <c r="M112" s="158" t="s">
        <v>652</v>
      </c>
      <c r="N112" s="159" t="s">
        <v>653</v>
      </c>
      <c r="O112" s="159">
        <v>76410</v>
      </c>
      <c r="P112" s="159" t="s">
        <v>639</v>
      </c>
      <c r="Q112" s="159" t="s">
        <v>654</v>
      </c>
      <c r="R112" s="159" t="s">
        <v>655</v>
      </c>
      <c r="S112" s="159" t="s">
        <v>93</v>
      </c>
      <c r="T112" s="159" t="s">
        <v>94</v>
      </c>
      <c r="U112" s="159" t="s">
        <v>656</v>
      </c>
      <c r="V112" s="160" t="s">
        <v>123</v>
      </c>
      <c r="W112" s="161"/>
      <c r="X112" s="162"/>
      <c r="Y112" s="163"/>
      <c r="Z112" s="162"/>
      <c r="AA112" s="163"/>
      <c r="AB112" s="162"/>
      <c r="AC112" s="163"/>
      <c r="AD112" s="162"/>
      <c r="AE112" s="163"/>
      <c r="AF112" s="162"/>
      <c r="AG112" s="163"/>
      <c r="AH112" s="163"/>
      <c r="AI112" s="162"/>
      <c r="AJ112" s="163"/>
      <c r="AK112" s="162"/>
      <c r="AL112" s="163"/>
      <c r="AM112" s="162"/>
      <c r="AN112" s="163"/>
      <c r="AO112" s="162">
        <v>11</v>
      </c>
      <c r="AP112" s="164"/>
      <c r="AQ112" s="164"/>
      <c r="AR112" s="164"/>
      <c r="AS112" s="164"/>
      <c r="AT112" s="164"/>
      <c r="AU112" s="164"/>
      <c r="AV112" s="164"/>
      <c r="AW112" s="164"/>
      <c r="AX112" s="164"/>
      <c r="AY112" s="165"/>
      <c r="AZ112" s="41"/>
      <c r="BA112" s="190"/>
      <c r="BB112" s="191">
        <v>200</v>
      </c>
      <c r="BC112" s="191"/>
      <c r="BD112" s="191"/>
      <c r="BE112" s="191"/>
      <c r="BF112" s="191"/>
      <c r="BG112" s="191"/>
      <c r="BH112" s="191">
        <v>100</v>
      </c>
      <c r="BI112" s="191"/>
      <c r="BJ112" s="191"/>
      <c r="BK112" s="191"/>
      <c r="BL112" s="191"/>
      <c r="BM112" s="191"/>
      <c r="BN112" s="191"/>
      <c r="BO112" s="191">
        <v>100</v>
      </c>
      <c r="BP112" s="191"/>
      <c r="BQ112" s="191"/>
      <c r="BR112" s="191"/>
      <c r="BS112" s="191"/>
      <c r="BT112" s="191"/>
      <c r="BU112" s="191"/>
      <c r="BV112" s="191">
        <v>50</v>
      </c>
      <c r="BW112" s="191"/>
      <c r="BX112" s="191"/>
      <c r="BY112" s="191"/>
      <c r="BZ112" s="191"/>
      <c r="CA112" s="191"/>
      <c r="CB112" s="191"/>
      <c r="CC112" s="191">
        <v>50</v>
      </c>
      <c r="CD112" s="191"/>
      <c r="CE112" s="192"/>
      <c r="CF112" s="190"/>
      <c r="CG112" s="191"/>
      <c r="CH112" s="191"/>
      <c r="CI112" s="191"/>
      <c r="CJ112" s="191">
        <v>100</v>
      </c>
      <c r="CK112" s="191"/>
      <c r="CL112" s="191"/>
      <c r="CM112" s="191"/>
      <c r="CN112" s="191"/>
      <c r="CO112" s="191"/>
      <c r="CP112" s="191"/>
      <c r="CQ112" s="191">
        <v>100</v>
      </c>
      <c r="CR112" s="191"/>
      <c r="CS112" s="191"/>
      <c r="CT112" s="191"/>
      <c r="CU112" s="191"/>
      <c r="CV112" s="191"/>
      <c r="CW112" s="191"/>
      <c r="CX112" s="191">
        <v>100</v>
      </c>
      <c r="CY112" s="191"/>
      <c r="CZ112" s="191"/>
      <c r="DA112" s="191"/>
      <c r="DB112" s="191"/>
      <c r="DC112" s="191"/>
      <c r="DD112" s="191"/>
      <c r="DE112" s="191">
        <v>100</v>
      </c>
      <c r="DF112" s="191"/>
      <c r="DG112" s="191"/>
      <c r="DH112" s="193"/>
      <c r="DI112" s="194"/>
      <c r="DJ112" s="191"/>
      <c r="DK112" s="191"/>
      <c r="DL112" s="191"/>
      <c r="DM112" s="191"/>
      <c r="DN112" s="191"/>
      <c r="DO112" s="191"/>
      <c r="DP112" s="191"/>
      <c r="DQ112" s="191"/>
      <c r="DR112" s="191"/>
      <c r="DS112" s="191"/>
      <c r="DT112" s="191">
        <v>150</v>
      </c>
      <c r="DU112" s="191"/>
      <c r="DV112" s="191"/>
      <c r="DW112" s="191"/>
      <c r="DX112" s="191"/>
      <c r="DY112" s="191"/>
      <c r="DZ112" s="191"/>
      <c r="EA112" s="191">
        <v>150</v>
      </c>
      <c r="EB112" s="191"/>
      <c r="EC112" s="191"/>
      <c r="ED112" s="191"/>
      <c r="EE112" s="191"/>
      <c r="EF112" s="191"/>
      <c r="EG112" s="191"/>
      <c r="EH112" s="191">
        <v>100</v>
      </c>
      <c r="EI112" s="191"/>
      <c r="EJ112" s="191"/>
      <c r="EK112" s="191"/>
      <c r="EL112" s="191"/>
      <c r="EM112" s="192"/>
      <c r="EN112" s="190"/>
      <c r="EO112" s="191">
        <v>150</v>
      </c>
      <c r="EP112" s="191"/>
      <c r="EQ112" s="191"/>
      <c r="ER112" s="191"/>
      <c r="ES112" s="191"/>
      <c r="ET112" s="191"/>
      <c r="EU112" s="191"/>
      <c r="EV112" s="191">
        <v>200</v>
      </c>
      <c r="EW112" s="191"/>
      <c r="EX112" s="191"/>
      <c r="EY112" s="191"/>
      <c r="EZ112" s="191"/>
      <c r="FA112" s="191"/>
      <c r="FB112" s="191"/>
      <c r="FC112" s="191">
        <v>150</v>
      </c>
      <c r="FD112" s="191"/>
      <c r="FE112" s="191"/>
      <c r="FF112" s="191"/>
      <c r="FG112" s="191"/>
      <c r="FH112" s="191"/>
      <c r="FI112" s="191"/>
      <c r="FJ112" s="191">
        <v>200</v>
      </c>
      <c r="FK112" s="191"/>
      <c r="FL112" s="191"/>
      <c r="FM112" s="191"/>
      <c r="FN112" s="191"/>
      <c r="FO112" s="191"/>
      <c r="FP112" s="191"/>
      <c r="FQ112" s="193">
        <v>150</v>
      </c>
      <c r="FR112" s="194"/>
      <c r="FS112" s="191"/>
      <c r="FT112" s="191"/>
      <c r="FU112" s="191"/>
      <c r="FV112" s="191"/>
      <c r="FW112" s="191"/>
      <c r="FX112" s="191">
        <v>150</v>
      </c>
      <c r="FY112" s="191"/>
      <c r="FZ112" s="191"/>
      <c r="GA112" s="191"/>
      <c r="GB112" s="191"/>
      <c r="GC112" s="191"/>
      <c r="GD112" s="191"/>
      <c r="GE112" s="191">
        <v>200</v>
      </c>
      <c r="GF112" s="191"/>
      <c r="GG112" s="191"/>
      <c r="GH112" s="191"/>
      <c r="GI112" s="191"/>
      <c r="GJ112" s="191"/>
      <c r="GK112" s="191"/>
      <c r="GL112" s="191">
        <v>150</v>
      </c>
      <c r="GM112" s="191"/>
      <c r="GN112" s="191"/>
      <c r="GO112" s="191"/>
      <c r="GP112" s="191"/>
      <c r="GQ112" s="191"/>
      <c r="GR112" s="191"/>
      <c r="GS112" s="191">
        <v>150</v>
      </c>
      <c r="GT112" s="191"/>
      <c r="GU112" s="191"/>
      <c r="GV112" s="192"/>
      <c r="GW112" s="190"/>
      <c r="GX112" s="191"/>
      <c r="GY112" s="191"/>
      <c r="GZ112" s="191">
        <v>200</v>
      </c>
      <c r="HA112" s="191"/>
      <c r="HB112" s="191"/>
      <c r="HC112" s="191"/>
      <c r="HD112" s="191"/>
      <c r="HE112" s="191"/>
      <c r="HF112" s="191"/>
      <c r="HG112" s="191"/>
      <c r="HH112" s="191"/>
      <c r="HI112" s="191"/>
      <c r="HJ112" s="191"/>
      <c r="HK112" s="191"/>
      <c r="HL112" s="191"/>
      <c r="HM112" s="191"/>
      <c r="HN112" s="191">
        <v>100</v>
      </c>
      <c r="HO112" s="191"/>
      <c r="HP112" s="191"/>
      <c r="HQ112" s="191"/>
      <c r="HR112" s="191"/>
      <c r="HS112" s="191"/>
      <c r="HT112" s="191"/>
      <c r="HU112" s="191">
        <v>150</v>
      </c>
      <c r="HV112" s="191"/>
      <c r="HW112" s="191"/>
      <c r="HX112" s="191"/>
      <c r="HY112" s="191"/>
      <c r="HZ112" s="193"/>
      <c r="IA112" s="194"/>
      <c r="IB112" s="191">
        <v>150</v>
      </c>
      <c r="IC112" s="191"/>
      <c r="ID112" s="191"/>
      <c r="IE112" s="191"/>
      <c r="IF112" s="191"/>
      <c r="IG112" s="191"/>
      <c r="IH112" s="191"/>
      <c r="II112" s="191">
        <v>100</v>
      </c>
      <c r="IJ112" s="191"/>
      <c r="IK112" s="191"/>
      <c r="IL112" s="191"/>
      <c r="IM112" s="191"/>
      <c r="IN112" s="191"/>
      <c r="IO112" s="191"/>
      <c r="IP112" s="191"/>
      <c r="IQ112" s="191">
        <v>150</v>
      </c>
      <c r="IR112" s="191"/>
      <c r="IS112" s="191"/>
      <c r="IT112" s="191"/>
      <c r="IU112" s="191"/>
      <c r="IV112" s="191"/>
      <c r="IW112" s="191"/>
      <c r="IX112" s="191">
        <v>150</v>
      </c>
      <c r="IY112" s="191"/>
      <c r="IZ112" s="191"/>
      <c r="JA112" s="191"/>
      <c r="JB112" s="191"/>
      <c r="JC112" s="191"/>
      <c r="JD112" s="191">
        <v>150</v>
      </c>
      <c r="JE112" s="192"/>
      <c r="JF112" s="190"/>
      <c r="JG112" s="191"/>
      <c r="JH112" s="191"/>
      <c r="JI112" s="191"/>
      <c r="JJ112" s="191"/>
      <c r="JK112" s="191">
        <v>200</v>
      </c>
      <c r="JL112" s="191"/>
      <c r="JM112" s="191"/>
      <c r="JN112" s="191"/>
      <c r="JO112" s="191"/>
      <c r="JP112" s="191"/>
      <c r="JQ112" s="191"/>
      <c r="JR112" s="191"/>
      <c r="JS112" s="191">
        <v>100</v>
      </c>
      <c r="JT112" s="191"/>
      <c r="JU112" s="191"/>
      <c r="JV112" s="191"/>
      <c r="JW112" s="191"/>
      <c r="JX112" s="191"/>
      <c r="JY112" s="191">
        <v>150</v>
      </c>
      <c r="JZ112" s="191"/>
      <c r="KA112" s="191"/>
      <c r="KB112" s="191"/>
      <c r="KC112" s="191"/>
      <c r="KD112" s="191"/>
      <c r="KE112" s="191"/>
      <c r="KF112" s="191"/>
      <c r="KG112" s="191">
        <v>200</v>
      </c>
      <c r="KH112" s="191"/>
      <c r="KI112" s="191"/>
      <c r="KJ112" s="193"/>
      <c r="KK112" s="194"/>
      <c r="KL112" s="191"/>
      <c r="KM112" s="191">
        <v>100</v>
      </c>
      <c r="KN112" s="191"/>
      <c r="KO112" s="191"/>
      <c r="KP112" s="191"/>
      <c r="KQ112" s="191"/>
      <c r="KR112" s="191"/>
      <c r="KS112" s="191"/>
      <c r="KT112" s="191"/>
      <c r="KU112" s="191">
        <v>150</v>
      </c>
      <c r="KV112" s="191"/>
      <c r="KW112" s="191"/>
      <c r="KX112" s="191"/>
      <c r="KY112" s="191"/>
      <c r="KZ112" s="191"/>
      <c r="LA112" s="191">
        <v>100</v>
      </c>
      <c r="LB112" s="191"/>
      <c r="LC112" s="191"/>
      <c r="LD112" s="191"/>
      <c r="LE112" s="191"/>
      <c r="LF112" s="191"/>
      <c r="LG112" s="191"/>
      <c r="LH112" s="191">
        <v>150</v>
      </c>
      <c r="LI112" s="191"/>
      <c r="LJ112" s="191"/>
      <c r="LK112" s="191"/>
      <c r="LL112" s="191"/>
      <c r="LM112" s="191"/>
      <c r="LN112" s="192"/>
      <c r="LO112" s="190">
        <v>150</v>
      </c>
      <c r="LP112" s="191"/>
      <c r="LQ112" s="191"/>
      <c r="LR112" s="191"/>
      <c r="LS112" s="191"/>
      <c r="LT112" s="191"/>
      <c r="LU112" s="191"/>
      <c r="LV112" s="191">
        <v>100</v>
      </c>
      <c r="LW112" s="191"/>
      <c r="LX112" s="191"/>
      <c r="LY112" s="191"/>
      <c r="LZ112" s="191"/>
      <c r="MA112" s="191"/>
      <c r="MB112" s="191"/>
      <c r="MC112" s="191">
        <v>150</v>
      </c>
      <c r="MD112" s="191"/>
      <c r="ME112" s="191"/>
      <c r="MF112" s="191"/>
      <c r="MG112" s="191"/>
      <c r="MH112" s="191"/>
      <c r="MI112" s="191"/>
      <c r="MJ112" s="191">
        <v>100</v>
      </c>
      <c r="MK112" s="191"/>
      <c r="ML112" s="191"/>
      <c r="MM112" s="191"/>
      <c r="MN112" s="191"/>
      <c r="MO112" s="191"/>
      <c r="MP112" s="191"/>
      <c r="MQ112" s="191">
        <v>50</v>
      </c>
      <c r="MR112" s="191"/>
      <c r="MS112" s="193"/>
      <c r="MT112" s="194"/>
      <c r="MU112" s="191"/>
      <c r="MV112" s="191"/>
      <c r="MW112" s="191"/>
      <c r="MX112" s="191">
        <v>200</v>
      </c>
      <c r="MY112" s="191"/>
      <c r="MZ112" s="191"/>
      <c r="NA112" s="191"/>
      <c r="NB112" s="191"/>
      <c r="NC112" s="191"/>
      <c r="ND112" s="191"/>
      <c r="NE112" s="191"/>
      <c r="NF112" s="191"/>
      <c r="NG112" s="191"/>
      <c r="NH112" s="191"/>
      <c r="NI112" s="191"/>
      <c r="NJ112" s="191"/>
      <c r="NK112" s="191"/>
      <c r="NL112" s="191"/>
      <c r="NM112" s="191">
        <v>150</v>
      </c>
      <c r="NN112" s="191"/>
      <c r="NO112" s="191"/>
      <c r="NP112" s="191"/>
      <c r="NQ112" s="191"/>
      <c r="NR112" s="191"/>
      <c r="NS112" s="191">
        <v>100</v>
      </c>
      <c r="NT112" s="191"/>
      <c r="NU112" s="191"/>
      <c r="NV112" s="191"/>
      <c r="NW112" s="192"/>
      <c r="NX112" s="190"/>
      <c r="NY112" s="191"/>
      <c r="NZ112" s="191">
        <v>100</v>
      </c>
      <c r="OA112" s="191"/>
      <c r="OB112" s="191"/>
      <c r="OC112" s="191"/>
      <c r="OD112" s="191"/>
      <c r="OE112" s="191"/>
      <c r="OF112" s="191"/>
      <c r="OG112" s="191">
        <v>50</v>
      </c>
      <c r="OH112" s="191"/>
      <c r="OI112" s="191"/>
      <c r="OJ112" s="191"/>
      <c r="OK112" s="191"/>
      <c r="OL112" s="191"/>
      <c r="OM112" s="191"/>
      <c r="ON112" s="191">
        <v>100</v>
      </c>
      <c r="OO112" s="191"/>
      <c r="OP112" s="191"/>
      <c r="OQ112" s="191"/>
      <c r="OR112" s="191"/>
      <c r="OS112" s="191"/>
      <c r="OT112" s="191"/>
      <c r="OU112" s="191"/>
      <c r="OV112" s="191"/>
      <c r="OW112" s="191"/>
      <c r="OX112" s="191"/>
      <c r="OY112" s="191"/>
      <c r="OZ112" s="191"/>
      <c r="PA112" s="191"/>
      <c r="PB112" s="193"/>
      <c r="PC112" s="47"/>
      <c r="PD112" s="154" t="s">
        <v>97</v>
      </c>
      <c r="PE112" s="155" t="s">
        <v>98</v>
      </c>
      <c r="PF112" s="155" t="s">
        <v>98</v>
      </c>
      <c r="PG112" s="155" t="s">
        <v>97</v>
      </c>
      <c r="PH112" s="155" t="s">
        <v>98</v>
      </c>
      <c r="PI112" s="155" t="s">
        <v>98</v>
      </c>
      <c r="PJ112" s="155" t="s">
        <v>98</v>
      </c>
      <c r="PK112" s="155" t="s">
        <v>98</v>
      </c>
      <c r="PL112" s="155" t="s">
        <v>98</v>
      </c>
      <c r="PM112" s="155" t="s">
        <v>98</v>
      </c>
      <c r="PN112" s="155" t="s">
        <v>98</v>
      </c>
      <c r="PO112" s="156"/>
      <c r="PP112" s="156"/>
      <c r="PQ112" s="156"/>
      <c r="PR112" s="156"/>
      <c r="PS112" s="156"/>
      <c r="PT112" s="156"/>
      <c r="PU112" s="156"/>
      <c r="PV112" s="156"/>
      <c r="PW112" s="156"/>
      <c r="PX112" s="195"/>
      <c r="PY112" s="1"/>
      <c r="PZ112" s="196">
        <f t="shared" si="73"/>
        <v>500</v>
      </c>
      <c r="QA112" s="176">
        <f t="shared" si="74"/>
        <v>4.1711854509051474E-3</v>
      </c>
      <c r="QB112" s="177" t="str">
        <f t="shared" ca="1" si="75"/>
        <v>Attente…</v>
      </c>
      <c r="QC112" s="197">
        <f t="shared" si="76"/>
        <v>400</v>
      </c>
      <c r="QD112" s="179">
        <f t="shared" si="77"/>
        <v>3.7453183520599251E-3</v>
      </c>
      <c r="QE112" s="180" t="str">
        <f t="shared" ca="1" si="78"/>
        <v>Attente…</v>
      </c>
      <c r="QF112" s="196">
        <f t="shared" si="79"/>
        <v>400</v>
      </c>
      <c r="QG112" s="176">
        <f t="shared" si="80"/>
        <v>3.1852205765249245E-3</v>
      </c>
      <c r="QH112" s="177" t="str">
        <f t="shared" ca="1" si="81"/>
        <v>Attente…</v>
      </c>
      <c r="QI112" s="197">
        <f t="shared" si="82"/>
        <v>850</v>
      </c>
      <c r="QJ112" s="179">
        <f t="shared" si="83"/>
        <v>5.9615654369476788E-3</v>
      </c>
      <c r="QK112" s="180" t="str">
        <f t="shared" ca="1" si="84"/>
        <v>Attente…</v>
      </c>
      <c r="QL112" s="196">
        <f t="shared" si="85"/>
        <v>650</v>
      </c>
      <c r="QM112" s="176">
        <f t="shared" si="86"/>
        <v>4.755633596722271E-3</v>
      </c>
      <c r="QN112" s="177" t="str">
        <f t="shared" ca="1" si="87"/>
        <v>Attente…</v>
      </c>
      <c r="QO112" s="197">
        <f t="shared" si="88"/>
        <v>450</v>
      </c>
      <c r="QP112" s="179">
        <f t="shared" si="89"/>
        <v>3.5230564471932986E-3</v>
      </c>
      <c r="QQ112" s="180" t="str">
        <f t="shared" ca="1" si="90"/>
        <v>Attente…</v>
      </c>
      <c r="QR112" s="196">
        <f t="shared" si="91"/>
        <v>700</v>
      </c>
      <c r="QS112" s="176">
        <f t="shared" si="92"/>
        <v>5.0394154278103741E-3</v>
      </c>
      <c r="QT112" s="177" t="str">
        <f t="shared" ca="1" si="93"/>
        <v>Attente…</v>
      </c>
      <c r="QU112" s="197">
        <f t="shared" si="94"/>
        <v>650</v>
      </c>
      <c r="QV112" s="179">
        <f t="shared" si="95"/>
        <v>4.4815223386651956E-3</v>
      </c>
      <c r="QW112" s="180" t="str">
        <f t="shared" ca="1" si="96"/>
        <v>Attente…</v>
      </c>
      <c r="QX112" s="196">
        <f t="shared" si="97"/>
        <v>500</v>
      </c>
      <c r="QY112" s="176">
        <f t="shared" si="98"/>
        <v>3.6486762602527803E-3</v>
      </c>
      <c r="QZ112" s="177" t="str">
        <f t="shared" ca="1" si="99"/>
        <v>Attente…</v>
      </c>
      <c r="RA112" s="197">
        <f t="shared" si="100"/>
        <v>550</v>
      </c>
      <c r="RB112" s="179">
        <f t="shared" si="101"/>
        <v>4.3032626555042641E-3</v>
      </c>
      <c r="RC112" s="180" t="str">
        <f t="shared" ca="1" si="102"/>
        <v>Attente…</v>
      </c>
      <c r="RD112" s="196">
        <f t="shared" si="103"/>
        <v>450</v>
      </c>
      <c r="RE112" s="176">
        <f t="shared" si="104"/>
        <v>4.483858110801116E-3</v>
      </c>
      <c r="RF112" s="177" t="str">
        <f t="shared" ca="1" si="105"/>
        <v>Attente…</v>
      </c>
      <c r="RG112" s="197">
        <f t="shared" si="106"/>
        <v>250</v>
      </c>
      <c r="RH112" s="179">
        <f t="shared" si="107"/>
        <v>4.5981239654221077E-3</v>
      </c>
      <c r="RI112" s="198" t="str">
        <f t="shared" ca="1" si="108"/>
        <v>Attente…</v>
      </c>
      <c r="RJ112" s="199">
        <f t="shared" si="109"/>
        <v>1300</v>
      </c>
      <c r="RK112" s="200" t="str">
        <f t="shared" ca="1" si="66"/>
        <v>Attente…</v>
      </c>
      <c r="RL112" s="199">
        <f t="shared" si="110"/>
        <v>1950</v>
      </c>
      <c r="RM112" s="200" t="str">
        <f t="shared" ca="1" si="111"/>
        <v>Atttente…</v>
      </c>
      <c r="RN112" s="199">
        <f t="shared" si="112"/>
        <v>1850</v>
      </c>
      <c r="RO112" s="200" t="str">
        <f t="shared" ca="1" si="67"/>
        <v>Attente…</v>
      </c>
      <c r="RP112" s="199">
        <f t="shared" si="113"/>
        <v>1250</v>
      </c>
      <c r="RQ112" s="200" t="str">
        <f t="shared" ca="1" si="68"/>
        <v>Attente…</v>
      </c>
      <c r="RR112" s="201">
        <f t="shared" si="114"/>
        <v>6350</v>
      </c>
      <c r="RS112" s="202" t="str">
        <f t="shared" ca="1" si="69"/>
        <v>Attente…</v>
      </c>
      <c r="RT112" s="103"/>
      <c r="RU112" s="203">
        <f t="shared" si="115"/>
        <v>0.66145833333333326</v>
      </c>
      <c r="RV112" s="204">
        <f t="shared" si="118"/>
        <v>1</v>
      </c>
      <c r="RW112" s="204">
        <f t="shared" si="118"/>
        <v>1</v>
      </c>
      <c r="RX112" s="204">
        <f t="shared" si="116"/>
        <v>48</v>
      </c>
      <c r="RY112" s="205" t="str">
        <f t="shared" si="117"/>
        <v>SAINT-AUBIN-LÈS-ELBEUF - 5 rue Pierre Saint Georges (Gare de Saint Aubin)</v>
      </c>
      <c r="RZ112" s="189" t="str">
        <f>IF(OR(RZ111="",RZ111="  &lt;/Document&gt;
&lt;/kml&gt;"),"",
IF(B112="","  &lt;/Document&gt;
&lt;/kml&gt;",
IF(TournéesCAV!Q112=""," ",
"    &lt;Placemark&gt;
      &lt;description&gt;&lt;![CDATA["&amp;B112&amp;"&lt;br&gt;&lt;br&gt;"&amp;RV112&amp;" CAV&lt;br&gt;&lt;br&gt;Présent sur "&amp;RW112&amp;" tournée(s)&lt;br&gt;&lt;br&gt;Taux de remplissage moyen "&amp;TEXT(RU112*1000,"0 %")&amp;"]]&gt;&lt;/description&gt;
      &lt;Style&gt;
        &lt;IconStyle&gt;
          &lt;color&gt;ff"&amp;
          DEC2HEX(0,2)&amp;
          DEC2HEX(
            IF(RU112&lt;=0.5,
               INT(255*(RU112*2)),
               255
            ),2)&amp;
          DEC2HEX(
            IF(RU112&lt;=0.5,
               255,
               INT(255*(1-(RU112-0.5)*2))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&lt;Point&gt;&lt;coordinates&gt;"&amp;R112&amp;","&amp;Q112&amp;",0&lt;/coordinates&gt;&lt;/Point&gt;
    &lt;/Placemark&gt;"
)))</f>
        <v xml:space="preserve">    &lt;Placemark&gt;
      &lt;description&gt;&lt;![CDATA[SAINT-AUBIN-LÈS-ELBEUF - 5 rue Pierre Saint Georges (Gare de Saint Aubin)&lt;br&gt;&lt;br&gt;1 CAV&lt;br&gt;&lt;br&gt;Présent sur 1 tournée(s)&lt;br&gt;&lt;br&gt;Taux de remplissage moyen 66%]]&gt;&lt;/description&gt;
      &lt;Style&gt;
        &lt;IconStyle&gt;
          &lt;color&gt;ff00FFAC&lt;/color&gt;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&lt;Point&gt;&lt;coordinates&gt;1.0089665,49.3027374,0&lt;/coordinates&gt;&lt;/Point&gt;
    &lt;/Placemark&gt;</v>
      </c>
    </row>
    <row r="113" spans="2:494" ht="15" hidden="1" customHeight="1" x14ac:dyDescent="0.35">
      <c r="B113" s="153" t="str">
        <f t="shared" si="70"/>
        <v>CAUDEBEC-LÈS-ELBEUF - 1049 Rue de la Villette</v>
      </c>
      <c r="C113" s="154">
        <v>98</v>
      </c>
      <c r="D113" s="155"/>
      <c r="E113" s="155"/>
      <c r="F113" s="155"/>
      <c r="G113" s="155"/>
      <c r="H113" s="155"/>
      <c r="I113" s="155"/>
      <c r="J113" s="156"/>
      <c r="K113" s="157">
        <f t="shared" si="71"/>
        <v>1</v>
      </c>
      <c r="L113" s="157">
        <f t="shared" si="72"/>
        <v>1</v>
      </c>
      <c r="M113" s="158" t="s">
        <v>657</v>
      </c>
      <c r="N113" s="159"/>
      <c r="O113" s="159">
        <v>76320</v>
      </c>
      <c r="P113" s="159" t="s">
        <v>564</v>
      </c>
      <c r="Q113" s="159" t="s">
        <v>658</v>
      </c>
      <c r="R113" s="159" t="s">
        <v>659</v>
      </c>
      <c r="S113" s="159" t="s">
        <v>93</v>
      </c>
      <c r="T113" s="159" t="s">
        <v>94</v>
      </c>
      <c r="U113" s="159" t="s">
        <v>660</v>
      </c>
      <c r="V113" s="160" t="s">
        <v>96</v>
      </c>
      <c r="W113" s="161"/>
      <c r="X113" s="162"/>
      <c r="Y113" s="163"/>
      <c r="Z113" s="162"/>
      <c r="AA113" s="163"/>
      <c r="AB113" s="162"/>
      <c r="AC113" s="163"/>
      <c r="AD113" s="162"/>
      <c r="AE113" s="163"/>
      <c r="AF113" s="162"/>
      <c r="AG113" s="163"/>
      <c r="AH113" s="163"/>
      <c r="AI113" s="162"/>
      <c r="AJ113" s="163"/>
      <c r="AK113" s="162"/>
      <c r="AL113" s="163"/>
      <c r="AM113" s="162">
        <v>9</v>
      </c>
      <c r="AN113" s="163"/>
      <c r="AO113" s="162"/>
      <c r="AP113" s="164"/>
      <c r="AQ113" s="164"/>
      <c r="AR113" s="164"/>
      <c r="AS113" s="164"/>
      <c r="AT113" s="164"/>
      <c r="AU113" s="164"/>
      <c r="AV113" s="164"/>
      <c r="AW113" s="164"/>
      <c r="AX113" s="164"/>
      <c r="AY113" s="165"/>
      <c r="AZ113" s="41"/>
      <c r="BA113" s="190"/>
      <c r="BB113" s="191"/>
      <c r="BC113" s="191"/>
      <c r="BD113" s="191"/>
      <c r="BE113" s="191"/>
      <c r="BF113" s="191"/>
      <c r="BG113" s="191">
        <v>50</v>
      </c>
      <c r="BH113" s="191"/>
      <c r="BI113" s="191"/>
      <c r="BJ113" s="191"/>
      <c r="BK113" s="191"/>
      <c r="BL113" s="191"/>
      <c r="BM113" s="191"/>
      <c r="BN113" s="191">
        <v>10</v>
      </c>
      <c r="BO113" s="191"/>
      <c r="BP113" s="191"/>
      <c r="BQ113" s="191"/>
      <c r="BR113" s="191"/>
      <c r="BS113" s="191"/>
      <c r="BT113" s="191"/>
      <c r="BU113" s="191">
        <v>100</v>
      </c>
      <c r="BV113" s="191"/>
      <c r="BW113" s="191"/>
      <c r="BX113" s="191"/>
      <c r="BY113" s="191"/>
      <c r="BZ113" s="191"/>
      <c r="CA113" s="191"/>
      <c r="CB113" s="191">
        <v>50</v>
      </c>
      <c r="CC113" s="191"/>
      <c r="CD113" s="191"/>
      <c r="CE113" s="192"/>
      <c r="CF113" s="190"/>
      <c r="CG113" s="191"/>
      <c r="CH113" s="191"/>
      <c r="CI113" s="191">
        <v>10</v>
      </c>
      <c r="CJ113" s="191"/>
      <c r="CK113" s="191"/>
      <c r="CL113" s="191"/>
      <c r="CM113" s="191"/>
      <c r="CN113" s="191"/>
      <c r="CO113" s="191"/>
      <c r="CP113" s="191">
        <v>10</v>
      </c>
      <c r="CQ113" s="191"/>
      <c r="CR113" s="191"/>
      <c r="CS113" s="191"/>
      <c r="CT113" s="191"/>
      <c r="CU113" s="191"/>
      <c r="CV113" s="191"/>
      <c r="CW113" s="191">
        <v>100</v>
      </c>
      <c r="CX113" s="191"/>
      <c r="CY113" s="191"/>
      <c r="CZ113" s="191"/>
      <c r="DA113" s="191"/>
      <c r="DB113" s="191"/>
      <c r="DC113" s="191"/>
      <c r="DD113" s="191">
        <v>100</v>
      </c>
      <c r="DE113" s="191"/>
      <c r="DF113" s="191"/>
      <c r="DG113" s="191"/>
      <c r="DH113" s="193"/>
      <c r="DI113" s="194"/>
      <c r="DJ113" s="191"/>
      <c r="DK113" s="191"/>
      <c r="DL113" s="191">
        <v>200</v>
      </c>
      <c r="DM113" s="191"/>
      <c r="DN113" s="191"/>
      <c r="DO113" s="191"/>
      <c r="DP113" s="191"/>
      <c r="DQ113" s="191"/>
      <c r="DR113" s="191"/>
      <c r="DS113" s="191">
        <v>50</v>
      </c>
      <c r="DT113" s="191"/>
      <c r="DU113" s="191"/>
      <c r="DV113" s="191"/>
      <c r="DW113" s="191"/>
      <c r="DX113" s="191"/>
      <c r="DY113" s="191"/>
      <c r="DZ113" s="191">
        <v>160</v>
      </c>
      <c r="EA113" s="191"/>
      <c r="EB113" s="191"/>
      <c r="EC113" s="191"/>
      <c r="ED113" s="191"/>
      <c r="EE113" s="191"/>
      <c r="EF113" s="191"/>
      <c r="EG113" s="191">
        <v>10</v>
      </c>
      <c r="EH113" s="191"/>
      <c r="EI113" s="191"/>
      <c r="EJ113" s="191"/>
      <c r="EK113" s="191"/>
      <c r="EL113" s="191"/>
      <c r="EM113" s="192"/>
      <c r="EN113" s="190">
        <v>100</v>
      </c>
      <c r="EO113" s="191"/>
      <c r="EP113" s="191"/>
      <c r="EQ113" s="191"/>
      <c r="ER113" s="191"/>
      <c r="ES113" s="191"/>
      <c r="ET113" s="191"/>
      <c r="EU113" s="191">
        <v>10</v>
      </c>
      <c r="EV113" s="191"/>
      <c r="EW113" s="191"/>
      <c r="EX113" s="191"/>
      <c r="EY113" s="191"/>
      <c r="EZ113" s="191"/>
      <c r="FA113" s="191"/>
      <c r="FB113" s="191">
        <v>150</v>
      </c>
      <c r="FC113" s="191"/>
      <c r="FD113" s="191"/>
      <c r="FE113" s="191"/>
      <c r="FF113" s="191"/>
      <c r="FG113" s="191"/>
      <c r="FH113" s="191"/>
      <c r="FI113" s="191">
        <v>200</v>
      </c>
      <c r="FJ113" s="191"/>
      <c r="FK113" s="191"/>
      <c r="FL113" s="191"/>
      <c r="FM113" s="191"/>
      <c r="FN113" s="191"/>
      <c r="FO113" s="191"/>
      <c r="FP113" s="191">
        <v>200</v>
      </c>
      <c r="FQ113" s="193"/>
      <c r="FR113" s="194"/>
      <c r="FS113" s="191"/>
      <c r="FT113" s="191"/>
      <c r="FU113" s="191"/>
      <c r="FV113" s="191"/>
      <c r="FW113" s="191"/>
      <c r="FX113" s="191"/>
      <c r="FY113" s="191"/>
      <c r="FZ113" s="191"/>
      <c r="GA113" s="191"/>
      <c r="GB113" s="191"/>
      <c r="GC113" s="191"/>
      <c r="GD113" s="191">
        <v>200</v>
      </c>
      <c r="GE113" s="191"/>
      <c r="GF113" s="191"/>
      <c r="GG113" s="191"/>
      <c r="GH113" s="191"/>
      <c r="GI113" s="191"/>
      <c r="GJ113" s="191"/>
      <c r="GK113" s="191">
        <v>50</v>
      </c>
      <c r="GL113" s="191"/>
      <c r="GM113" s="191"/>
      <c r="GN113" s="191"/>
      <c r="GO113" s="191"/>
      <c r="GP113" s="191"/>
      <c r="GQ113" s="191"/>
      <c r="GR113" s="191">
        <v>100</v>
      </c>
      <c r="GS113" s="191"/>
      <c r="GT113" s="191"/>
      <c r="GU113" s="191"/>
      <c r="GV113" s="192"/>
      <c r="GW113" s="190"/>
      <c r="GX113" s="191"/>
      <c r="GY113" s="191">
        <v>100</v>
      </c>
      <c r="GZ113" s="191"/>
      <c r="HA113" s="191"/>
      <c r="HB113" s="191"/>
      <c r="HC113" s="191"/>
      <c r="HD113" s="191"/>
      <c r="HE113" s="191"/>
      <c r="HF113" s="191"/>
      <c r="HG113" s="191"/>
      <c r="HH113" s="191">
        <v>50</v>
      </c>
      <c r="HI113" s="191"/>
      <c r="HJ113" s="191"/>
      <c r="HK113" s="191"/>
      <c r="HL113" s="191"/>
      <c r="HM113" s="191">
        <v>10</v>
      </c>
      <c r="HN113" s="191"/>
      <c r="HO113" s="191"/>
      <c r="HP113" s="191"/>
      <c r="HQ113" s="191"/>
      <c r="HR113" s="191"/>
      <c r="HS113" s="191"/>
      <c r="HT113" s="191">
        <v>150</v>
      </c>
      <c r="HU113" s="191"/>
      <c r="HV113" s="191"/>
      <c r="HW113" s="191"/>
      <c r="HX113" s="191"/>
      <c r="HY113" s="191"/>
      <c r="HZ113" s="193"/>
      <c r="IA113" s="194">
        <v>50</v>
      </c>
      <c r="IB113" s="191"/>
      <c r="IC113" s="191"/>
      <c r="ID113" s="191"/>
      <c r="IE113" s="191"/>
      <c r="IF113" s="191"/>
      <c r="IG113" s="191"/>
      <c r="IH113" s="191">
        <v>150</v>
      </c>
      <c r="II113" s="191"/>
      <c r="IJ113" s="191"/>
      <c r="IK113" s="191"/>
      <c r="IL113" s="191"/>
      <c r="IM113" s="191"/>
      <c r="IN113" s="191"/>
      <c r="IO113" s="191"/>
      <c r="IP113" s="191"/>
      <c r="IQ113" s="191"/>
      <c r="IR113" s="191"/>
      <c r="IS113" s="191"/>
      <c r="IT113" s="191"/>
      <c r="IU113" s="191"/>
      <c r="IV113" s="191">
        <v>10</v>
      </c>
      <c r="IW113" s="191"/>
      <c r="IX113" s="191"/>
      <c r="IY113" s="191"/>
      <c r="IZ113" s="191"/>
      <c r="JA113" s="191"/>
      <c r="JB113" s="191"/>
      <c r="JC113" s="191">
        <v>150</v>
      </c>
      <c r="JD113" s="191"/>
      <c r="JE113" s="192"/>
      <c r="JF113" s="190"/>
      <c r="JG113" s="191"/>
      <c r="JH113" s="191"/>
      <c r="JI113" s="191"/>
      <c r="JJ113" s="191">
        <v>50</v>
      </c>
      <c r="JK113" s="191"/>
      <c r="JL113" s="191"/>
      <c r="JM113" s="191"/>
      <c r="JN113" s="191"/>
      <c r="JO113" s="191"/>
      <c r="JP113" s="191"/>
      <c r="JQ113" s="191">
        <v>150</v>
      </c>
      <c r="JR113" s="191"/>
      <c r="JS113" s="191"/>
      <c r="JT113" s="191"/>
      <c r="JU113" s="191"/>
      <c r="JV113" s="191"/>
      <c r="JW113" s="191"/>
      <c r="JX113" s="191">
        <v>50</v>
      </c>
      <c r="JY113" s="191"/>
      <c r="JZ113" s="191"/>
      <c r="KA113" s="191"/>
      <c r="KB113" s="191"/>
      <c r="KC113" s="191"/>
      <c r="KD113" s="191"/>
      <c r="KE113" s="191">
        <v>50</v>
      </c>
      <c r="KF113" s="191"/>
      <c r="KG113" s="191"/>
      <c r="KH113" s="191"/>
      <c r="KI113" s="191"/>
      <c r="KJ113" s="193"/>
      <c r="KK113" s="194"/>
      <c r="KL113" s="191">
        <v>100</v>
      </c>
      <c r="KM113" s="191"/>
      <c r="KN113" s="191"/>
      <c r="KO113" s="191"/>
      <c r="KP113" s="191"/>
      <c r="KQ113" s="191"/>
      <c r="KR113" s="191"/>
      <c r="KS113" s="191">
        <v>50</v>
      </c>
      <c r="KT113" s="191"/>
      <c r="KU113" s="191"/>
      <c r="KV113" s="191"/>
      <c r="KW113" s="191"/>
      <c r="KX113" s="191"/>
      <c r="KY113" s="191"/>
      <c r="KZ113" s="191">
        <v>100</v>
      </c>
      <c r="LA113" s="191"/>
      <c r="LB113" s="191"/>
      <c r="LC113" s="191"/>
      <c r="LD113" s="191"/>
      <c r="LE113" s="191"/>
      <c r="LF113" s="191"/>
      <c r="LG113" s="191">
        <v>50</v>
      </c>
      <c r="LH113" s="191"/>
      <c r="LI113" s="191"/>
      <c r="LJ113" s="191"/>
      <c r="LK113" s="191"/>
      <c r="LL113" s="191"/>
      <c r="LM113" s="191"/>
      <c r="LN113" s="192"/>
      <c r="LO113" s="190"/>
      <c r="LP113" s="191"/>
      <c r="LQ113" s="191"/>
      <c r="LR113" s="191"/>
      <c r="LS113" s="191"/>
      <c r="LT113" s="191"/>
      <c r="LU113" s="191">
        <v>200</v>
      </c>
      <c r="LV113" s="191"/>
      <c r="LW113" s="191"/>
      <c r="LX113" s="191"/>
      <c r="LY113" s="191"/>
      <c r="LZ113" s="191"/>
      <c r="MA113" s="191"/>
      <c r="MB113" s="191">
        <v>150</v>
      </c>
      <c r="MC113" s="191"/>
      <c r="MD113" s="191"/>
      <c r="ME113" s="191"/>
      <c r="MF113" s="191"/>
      <c r="MG113" s="191"/>
      <c r="MH113" s="191"/>
      <c r="MI113" s="191">
        <v>100</v>
      </c>
      <c r="MJ113" s="191"/>
      <c r="MK113" s="191"/>
      <c r="ML113" s="191"/>
      <c r="MM113" s="191"/>
      <c r="MN113" s="191"/>
      <c r="MO113" s="191"/>
      <c r="MP113" s="191">
        <v>150</v>
      </c>
      <c r="MQ113" s="191"/>
      <c r="MR113" s="191"/>
      <c r="MS113" s="193"/>
      <c r="MT113" s="194"/>
      <c r="MU113" s="191"/>
      <c r="MV113" s="191"/>
      <c r="MW113" s="191">
        <v>50</v>
      </c>
      <c r="MX113" s="191"/>
      <c r="MY113" s="191"/>
      <c r="MZ113" s="191"/>
      <c r="NA113" s="191"/>
      <c r="NB113" s="191"/>
      <c r="NC113" s="191"/>
      <c r="ND113" s="191"/>
      <c r="NE113" s="191">
        <v>200</v>
      </c>
      <c r="NF113" s="191"/>
      <c r="NG113" s="191"/>
      <c r="NH113" s="191"/>
      <c r="NI113" s="191"/>
      <c r="NJ113" s="191"/>
      <c r="NK113" s="191">
        <v>50</v>
      </c>
      <c r="NL113" s="191"/>
      <c r="NM113" s="191"/>
      <c r="NN113" s="191"/>
      <c r="NO113" s="191"/>
      <c r="NP113" s="191"/>
      <c r="NQ113" s="191"/>
      <c r="NR113" s="191">
        <v>100</v>
      </c>
      <c r="NS113" s="191"/>
      <c r="NT113" s="191"/>
      <c r="NU113" s="191"/>
      <c r="NV113" s="191"/>
      <c r="NW113" s="192"/>
      <c r="NX113" s="190"/>
      <c r="NY113" s="191">
        <v>100</v>
      </c>
      <c r="NZ113" s="191"/>
      <c r="OA113" s="191"/>
      <c r="OB113" s="191"/>
      <c r="OC113" s="191"/>
      <c r="OD113" s="191"/>
      <c r="OE113" s="191"/>
      <c r="OF113" s="191">
        <v>150</v>
      </c>
      <c r="OG113" s="191"/>
      <c r="OH113" s="191"/>
      <c r="OI113" s="191"/>
      <c r="OJ113" s="191"/>
      <c r="OK113" s="191"/>
      <c r="OL113" s="191"/>
      <c r="OM113" s="191">
        <v>50</v>
      </c>
      <c r="ON113" s="191"/>
      <c r="OO113" s="191"/>
      <c r="OP113" s="191"/>
      <c r="OQ113" s="191"/>
      <c r="OR113" s="191"/>
      <c r="OS113" s="191"/>
      <c r="OT113" s="191"/>
      <c r="OU113" s="191"/>
      <c r="OV113" s="191"/>
      <c r="OW113" s="191"/>
      <c r="OX113" s="191"/>
      <c r="OY113" s="191"/>
      <c r="OZ113" s="191"/>
      <c r="PA113" s="191"/>
      <c r="PB113" s="193"/>
      <c r="PC113" s="47"/>
      <c r="PD113" s="154" t="s">
        <v>97</v>
      </c>
      <c r="PE113" s="155" t="s">
        <v>98</v>
      </c>
      <c r="PF113" s="155" t="s">
        <v>98</v>
      </c>
      <c r="PG113" s="155" t="s">
        <v>98</v>
      </c>
      <c r="PH113" s="155" t="s">
        <v>98</v>
      </c>
      <c r="PI113" s="155" t="s">
        <v>98</v>
      </c>
      <c r="PJ113" s="155" t="s">
        <v>98</v>
      </c>
      <c r="PK113" s="155" t="s">
        <v>98</v>
      </c>
      <c r="PL113" s="155" t="s">
        <v>98</v>
      </c>
      <c r="PM113" s="155" t="s">
        <v>98</v>
      </c>
      <c r="PN113" s="155" t="s">
        <v>98</v>
      </c>
      <c r="PO113" s="156"/>
      <c r="PP113" s="156"/>
      <c r="PQ113" s="156"/>
      <c r="PR113" s="156"/>
      <c r="PS113" s="156"/>
      <c r="PT113" s="156"/>
      <c r="PU113" s="156"/>
      <c r="PV113" s="156"/>
      <c r="PW113" s="156"/>
      <c r="PX113" s="195"/>
      <c r="PY113" s="1"/>
      <c r="PZ113" s="196">
        <f t="shared" si="73"/>
        <v>210</v>
      </c>
      <c r="QA113" s="176">
        <f t="shared" si="74"/>
        <v>1.7518978893801618E-3</v>
      </c>
      <c r="QB113" s="177" t="str">
        <f t="shared" ca="1" si="75"/>
        <v>Attente…</v>
      </c>
      <c r="QC113" s="197">
        <f t="shared" si="76"/>
        <v>220</v>
      </c>
      <c r="QD113" s="179">
        <f t="shared" si="77"/>
        <v>2.0599250936329588E-3</v>
      </c>
      <c r="QE113" s="180" t="str">
        <f t="shared" ca="1" si="78"/>
        <v>Attente…</v>
      </c>
      <c r="QF113" s="196">
        <f t="shared" si="79"/>
        <v>420</v>
      </c>
      <c r="QG113" s="176">
        <f t="shared" si="80"/>
        <v>3.3444816053511705E-3</v>
      </c>
      <c r="QH113" s="177" t="str">
        <f t="shared" ca="1" si="81"/>
        <v>Attente…</v>
      </c>
      <c r="QI113" s="197">
        <f t="shared" si="82"/>
        <v>660</v>
      </c>
      <c r="QJ113" s="179">
        <f t="shared" si="83"/>
        <v>4.6289802216299622E-3</v>
      </c>
      <c r="QK113" s="180" t="str">
        <f t="shared" ca="1" si="84"/>
        <v>Attente…</v>
      </c>
      <c r="QL113" s="196">
        <f t="shared" si="85"/>
        <v>350</v>
      </c>
      <c r="QM113" s="176">
        <f t="shared" si="86"/>
        <v>2.5607257828504535E-3</v>
      </c>
      <c r="QN113" s="177" t="str">
        <f t="shared" ca="1" si="87"/>
        <v>Attente…</v>
      </c>
      <c r="QO113" s="197">
        <f t="shared" si="88"/>
        <v>310</v>
      </c>
      <c r="QP113" s="179">
        <f t="shared" si="89"/>
        <v>2.4269944413998277E-3</v>
      </c>
      <c r="QQ113" s="180" t="str">
        <f t="shared" ca="1" si="90"/>
        <v>Attente…</v>
      </c>
      <c r="QR113" s="196">
        <f t="shared" si="91"/>
        <v>360</v>
      </c>
      <c r="QS113" s="176">
        <f t="shared" si="92"/>
        <v>2.5916993628739065E-3</v>
      </c>
      <c r="QT113" s="177" t="str">
        <f t="shared" ca="1" si="93"/>
        <v>Attente…</v>
      </c>
      <c r="QU113" s="197">
        <f t="shared" si="94"/>
        <v>300</v>
      </c>
      <c r="QV113" s="179">
        <f t="shared" si="95"/>
        <v>2.0683949255377826E-3</v>
      </c>
      <c r="QW113" s="180" t="str">
        <f t="shared" ca="1" si="96"/>
        <v>Attente…</v>
      </c>
      <c r="QX113" s="196">
        <f t="shared" si="97"/>
        <v>300</v>
      </c>
      <c r="QY113" s="176">
        <f t="shared" si="98"/>
        <v>2.1892057561516682E-3</v>
      </c>
      <c r="QZ113" s="177" t="str">
        <f t="shared" ca="1" si="99"/>
        <v>Attente…</v>
      </c>
      <c r="RA113" s="197">
        <f t="shared" si="100"/>
        <v>600</v>
      </c>
      <c r="RB113" s="179">
        <f t="shared" si="101"/>
        <v>4.6944683514591971E-3</v>
      </c>
      <c r="RC113" s="180" t="str">
        <f t="shared" ca="1" si="102"/>
        <v>Attente…</v>
      </c>
      <c r="RD113" s="196">
        <f t="shared" si="103"/>
        <v>400</v>
      </c>
      <c r="RE113" s="176">
        <f t="shared" si="104"/>
        <v>3.9856516540454365E-3</v>
      </c>
      <c r="RF113" s="177" t="str">
        <f t="shared" ca="1" si="105"/>
        <v>Attente…</v>
      </c>
      <c r="RG113" s="197">
        <f t="shared" si="106"/>
        <v>300</v>
      </c>
      <c r="RH113" s="179">
        <f t="shared" si="107"/>
        <v>5.5177487585065296E-3</v>
      </c>
      <c r="RI113" s="198" t="str">
        <f t="shared" ca="1" si="108"/>
        <v>Attente…</v>
      </c>
      <c r="RJ113" s="199">
        <f t="shared" si="109"/>
        <v>850</v>
      </c>
      <c r="RK113" s="200" t="str">
        <f t="shared" ca="1" si="66"/>
        <v>Attente…</v>
      </c>
      <c r="RL113" s="199">
        <f t="shared" si="110"/>
        <v>1320</v>
      </c>
      <c r="RM113" s="200" t="str">
        <f t="shared" ca="1" si="111"/>
        <v>Atttente…</v>
      </c>
      <c r="RN113" s="199">
        <f t="shared" si="112"/>
        <v>960</v>
      </c>
      <c r="RO113" s="200" t="str">
        <f t="shared" ca="1" si="67"/>
        <v>Attente…</v>
      </c>
      <c r="RP113" s="199">
        <f t="shared" si="113"/>
        <v>1300</v>
      </c>
      <c r="RQ113" s="200" t="str">
        <f t="shared" ca="1" si="68"/>
        <v>Attente…</v>
      </c>
      <c r="RR113" s="201">
        <f t="shared" si="114"/>
        <v>4430</v>
      </c>
      <c r="RS113" s="202" t="str">
        <f t="shared" ca="1" si="69"/>
        <v>Attente…</v>
      </c>
      <c r="RT113" s="103"/>
      <c r="RU113" s="203">
        <f t="shared" si="115"/>
        <v>0.47127659574468084</v>
      </c>
      <c r="RV113" s="204">
        <f t="shared" si="118"/>
        <v>1</v>
      </c>
      <c r="RW113" s="204">
        <f t="shared" si="118"/>
        <v>1</v>
      </c>
      <c r="RX113" s="204">
        <f t="shared" si="116"/>
        <v>47</v>
      </c>
      <c r="RY113" s="205" t="str">
        <f t="shared" si="117"/>
        <v>CAUDEBEC-LÈS-ELBEUF - 1049 Rue de la Villette</v>
      </c>
      <c r="RZ113" s="189" t="str">
        <f>IF(OR(RZ112="",RZ112="  &lt;/Document&gt;
&lt;/kml&gt;"),"",
IF(B113="","  &lt;/Document&gt;
&lt;/kml&gt;",
IF(TournéesCAV!Q113=""," ",
"    &lt;Placemark&gt;
      &lt;description&gt;&lt;![CDATA["&amp;B113&amp;"&lt;br&gt;&lt;br&gt;"&amp;RV113&amp;" CAV&lt;br&gt;&lt;br&gt;Présent sur "&amp;RW113&amp;" tournée(s)&lt;br&gt;&lt;br&gt;Taux de remplissage moyen "&amp;TEXT(RU113*1000,"0 %")&amp;"]]&gt;&lt;/description&gt;
      &lt;Style&gt;
        &lt;IconStyle&gt;
          &lt;color&gt;ff"&amp;
          DEC2HEX(0,2)&amp;
          DEC2HEX(
            IF(RU113&lt;=0.5,
               INT(255*(RU113*2)),
               255
            ),2)&amp;
          DEC2HEX(
            IF(RU113&lt;=0.5,
               255,
               INT(255*(1-(RU113-0.5)*2))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&lt;Point&gt;&lt;coordinates&gt;"&amp;R113&amp;","&amp;Q113&amp;",0&lt;/coordinates&gt;&lt;/Point&gt;
    &lt;/Placemark&gt;"
)))</f>
        <v xml:space="preserve">    &lt;Placemark&gt;
      &lt;description&gt;&lt;![CDATA[CAUDEBEC-LÈS-ELBEUF - 1049 Rue de la Villette&lt;br&gt;&lt;br&gt;1 CAV&lt;br&gt;&lt;br&gt;Présent sur 1 tournée(s)&lt;br&gt;&lt;br&gt;Taux de remplissage moyen 47%]]&gt;&lt;/description&gt;
      &lt;Style&gt;
        &lt;IconStyle&gt;
          &lt;color&gt;ff00F0FF&lt;/color&gt;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&lt;Point&gt;&lt;coordinates&gt;1.035268,49.282711,0&lt;/coordinates&gt;&lt;/Point&gt;
    &lt;/Placemark&gt;</v>
      </c>
    </row>
    <row r="114" spans="2:494" ht="15" hidden="1" customHeight="1" x14ac:dyDescent="0.35">
      <c r="B114" s="153" t="str">
        <f t="shared" si="70"/>
        <v>ELBEUF - 2 rue Jean Jaures (Sous le pont Jean Jaurès)</v>
      </c>
      <c r="C114" s="154">
        <v>3</v>
      </c>
      <c r="D114" s="155"/>
      <c r="E114" s="155"/>
      <c r="F114" s="155"/>
      <c r="G114" s="155"/>
      <c r="H114" s="155"/>
      <c r="I114" s="155"/>
      <c r="J114" s="156"/>
      <c r="K114" s="157">
        <f t="shared" si="71"/>
        <v>1</v>
      </c>
      <c r="L114" s="157">
        <f t="shared" si="72"/>
        <v>1</v>
      </c>
      <c r="M114" s="158" t="s">
        <v>661</v>
      </c>
      <c r="N114" s="159" t="s">
        <v>662</v>
      </c>
      <c r="O114" s="159">
        <v>76500</v>
      </c>
      <c r="P114" s="159" t="s">
        <v>463</v>
      </c>
      <c r="Q114" s="159" t="s">
        <v>663</v>
      </c>
      <c r="R114" s="159" t="s">
        <v>664</v>
      </c>
      <c r="S114" s="159" t="s">
        <v>93</v>
      </c>
      <c r="T114" s="159" t="s">
        <v>94</v>
      </c>
      <c r="U114" s="159" t="s">
        <v>665</v>
      </c>
      <c r="V114" s="160" t="s">
        <v>123</v>
      </c>
      <c r="W114" s="161"/>
      <c r="X114" s="162"/>
      <c r="Y114" s="163"/>
      <c r="Z114" s="162"/>
      <c r="AA114" s="163"/>
      <c r="AB114" s="162"/>
      <c r="AC114" s="163"/>
      <c r="AD114" s="162"/>
      <c r="AE114" s="163"/>
      <c r="AF114" s="162"/>
      <c r="AG114" s="163"/>
      <c r="AH114" s="163"/>
      <c r="AI114" s="162"/>
      <c r="AJ114" s="163"/>
      <c r="AK114" s="162"/>
      <c r="AL114" s="163"/>
      <c r="AM114" s="162"/>
      <c r="AN114" s="163">
        <v>5</v>
      </c>
      <c r="AO114" s="162"/>
      <c r="AP114" s="164"/>
      <c r="AQ114" s="164"/>
      <c r="AR114" s="164"/>
      <c r="AS114" s="164"/>
      <c r="AT114" s="164"/>
      <c r="AU114" s="164"/>
      <c r="AV114" s="164"/>
      <c r="AW114" s="164"/>
      <c r="AX114" s="164"/>
      <c r="AY114" s="165"/>
      <c r="AZ114" s="41"/>
      <c r="BA114" s="190"/>
      <c r="BB114" s="191"/>
      <c r="BC114" s="191"/>
      <c r="BD114" s="191"/>
      <c r="BE114" s="191"/>
      <c r="BF114" s="191"/>
      <c r="BG114" s="191">
        <v>200</v>
      </c>
      <c r="BH114" s="191"/>
      <c r="BI114" s="191"/>
      <c r="BJ114" s="191"/>
      <c r="BK114" s="191"/>
      <c r="BL114" s="191"/>
      <c r="BM114" s="191"/>
      <c r="BN114" s="191">
        <v>50</v>
      </c>
      <c r="BO114" s="191"/>
      <c r="BP114" s="191"/>
      <c r="BQ114" s="191"/>
      <c r="BR114" s="191"/>
      <c r="BS114" s="191"/>
      <c r="BT114" s="191"/>
      <c r="BU114" s="191">
        <v>10</v>
      </c>
      <c r="BV114" s="191"/>
      <c r="BW114" s="191"/>
      <c r="BX114" s="191"/>
      <c r="BY114" s="191"/>
      <c r="BZ114" s="191"/>
      <c r="CA114" s="191"/>
      <c r="CB114" s="191">
        <v>50</v>
      </c>
      <c r="CC114" s="191"/>
      <c r="CD114" s="191"/>
      <c r="CE114" s="192"/>
      <c r="CF114" s="190"/>
      <c r="CG114" s="191"/>
      <c r="CH114" s="191"/>
      <c r="CI114" s="191">
        <v>50</v>
      </c>
      <c r="CJ114" s="191"/>
      <c r="CK114" s="191"/>
      <c r="CL114" s="191"/>
      <c r="CM114" s="191"/>
      <c r="CN114" s="191"/>
      <c r="CO114" s="191"/>
      <c r="CP114" s="191">
        <v>50</v>
      </c>
      <c r="CQ114" s="191"/>
      <c r="CR114" s="191"/>
      <c r="CS114" s="191"/>
      <c r="CT114" s="191"/>
      <c r="CU114" s="191"/>
      <c r="CV114" s="191"/>
      <c r="CW114" s="191">
        <v>100</v>
      </c>
      <c r="CX114" s="191"/>
      <c r="CY114" s="191"/>
      <c r="CZ114" s="191"/>
      <c r="DA114" s="191"/>
      <c r="DB114" s="191"/>
      <c r="DC114" s="191"/>
      <c r="DD114" s="191">
        <v>150</v>
      </c>
      <c r="DE114" s="191"/>
      <c r="DF114" s="191"/>
      <c r="DG114" s="191"/>
      <c r="DH114" s="193"/>
      <c r="DI114" s="194"/>
      <c r="DJ114" s="191"/>
      <c r="DK114" s="191"/>
      <c r="DL114" s="191">
        <v>200</v>
      </c>
      <c r="DM114" s="191"/>
      <c r="DN114" s="191"/>
      <c r="DO114" s="191"/>
      <c r="DP114" s="191"/>
      <c r="DQ114" s="191"/>
      <c r="DR114" s="191"/>
      <c r="DS114" s="191">
        <v>150</v>
      </c>
      <c r="DT114" s="191"/>
      <c r="DU114" s="191"/>
      <c r="DV114" s="191"/>
      <c r="DW114" s="191"/>
      <c r="DX114" s="191"/>
      <c r="DY114" s="191"/>
      <c r="DZ114" s="191">
        <v>50</v>
      </c>
      <c r="EA114" s="191"/>
      <c r="EB114" s="191"/>
      <c r="EC114" s="191"/>
      <c r="ED114" s="191"/>
      <c r="EE114" s="191"/>
      <c r="EF114" s="191"/>
      <c r="EG114" s="191">
        <v>10</v>
      </c>
      <c r="EH114" s="191"/>
      <c r="EI114" s="191"/>
      <c r="EJ114" s="191"/>
      <c r="EK114" s="191"/>
      <c r="EL114" s="191"/>
      <c r="EM114" s="192"/>
      <c r="EN114" s="190">
        <v>150</v>
      </c>
      <c r="EO114" s="191"/>
      <c r="EP114" s="191"/>
      <c r="EQ114" s="191"/>
      <c r="ER114" s="191"/>
      <c r="ES114" s="191"/>
      <c r="ET114" s="191"/>
      <c r="EU114" s="191">
        <v>100</v>
      </c>
      <c r="EV114" s="191"/>
      <c r="EW114" s="191"/>
      <c r="EX114" s="191"/>
      <c r="EY114" s="191"/>
      <c r="EZ114" s="191"/>
      <c r="FA114" s="191"/>
      <c r="FB114" s="191">
        <v>100</v>
      </c>
      <c r="FC114" s="191"/>
      <c r="FD114" s="191"/>
      <c r="FE114" s="191"/>
      <c r="FF114" s="191"/>
      <c r="FG114" s="191"/>
      <c r="FH114" s="191"/>
      <c r="FI114" s="191">
        <v>150</v>
      </c>
      <c r="FJ114" s="191"/>
      <c r="FK114" s="191"/>
      <c r="FL114" s="191"/>
      <c r="FM114" s="191"/>
      <c r="FN114" s="191"/>
      <c r="FO114" s="191"/>
      <c r="FP114" s="191">
        <v>200</v>
      </c>
      <c r="FQ114" s="193"/>
      <c r="FR114" s="194"/>
      <c r="FS114" s="191"/>
      <c r="FT114" s="191"/>
      <c r="FU114" s="191"/>
      <c r="FV114" s="191"/>
      <c r="FW114" s="191">
        <v>100</v>
      </c>
      <c r="FX114" s="191"/>
      <c r="FY114" s="191"/>
      <c r="FZ114" s="191"/>
      <c r="GA114" s="191"/>
      <c r="GB114" s="191"/>
      <c r="GC114" s="191"/>
      <c r="GD114" s="191">
        <v>150</v>
      </c>
      <c r="GE114" s="191"/>
      <c r="GF114" s="191"/>
      <c r="GG114" s="191"/>
      <c r="GH114" s="191"/>
      <c r="GI114" s="191"/>
      <c r="GJ114" s="191"/>
      <c r="GK114" s="191">
        <v>150</v>
      </c>
      <c r="GL114" s="191"/>
      <c r="GM114" s="191"/>
      <c r="GN114" s="191"/>
      <c r="GO114" s="191"/>
      <c r="GP114" s="191"/>
      <c r="GQ114" s="191"/>
      <c r="GR114" s="191">
        <v>100</v>
      </c>
      <c r="GS114" s="191"/>
      <c r="GT114" s="191"/>
      <c r="GU114" s="191"/>
      <c r="GV114" s="192"/>
      <c r="GW114" s="190"/>
      <c r="GX114" s="191"/>
      <c r="GY114" s="191">
        <v>150</v>
      </c>
      <c r="GZ114" s="191"/>
      <c r="HA114" s="191"/>
      <c r="HB114" s="191"/>
      <c r="HC114" s="191"/>
      <c r="HD114" s="191"/>
      <c r="HE114" s="191"/>
      <c r="HF114" s="191">
        <v>100</v>
      </c>
      <c r="HG114" s="191"/>
      <c r="HH114" s="191"/>
      <c r="HI114" s="191"/>
      <c r="HJ114" s="191"/>
      <c r="HK114" s="191"/>
      <c r="HL114" s="191"/>
      <c r="HM114" s="191">
        <v>150</v>
      </c>
      <c r="HN114" s="191"/>
      <c r="HO114" s="191"/>
      <c r="HP114" s="191"/>
      <c r="HQ114" s="191"/>
      <c r="HR114" s="191"/>
      <c r="HS114" s="191"/>
      <c r="HT114" s="191">
        <v>200</v>
      </c>
      <c r="HU114" s="191"/>
      <c r="HV114" s="191"/>
      <c r="HW114" s="191"/>
      <c r="HX114" s="191"/>
      <c r="HY114" s="191"/>
      <c r="HZ114" s="193"/>
      <c r="IA114" s="194">
        <v>150</v>
      </c>
      <c r="IB114" s="191"/>
      <c r="IC114" s="191"/>
      <c r="ID114" s="191"/>
      <c r="IE114" s="191"/>
      <c r="IF114" s="191"/>
      <c r="IG114" s="191"/>
      <c r="IH114" s="191">
        <v>100</v>
      </c>
      <c r="II114" s="191"/>
      <c r="IJ114" s="191"/>
      <c r="IK114" s="191"/>
      <c r="IL114" s="191"/>
      <c r="IM114" s="191"/>
      <c r="IN114" s="191"/>
      <c r="IO114" s="191"/>
      <c r="IP114" s="191">
        <v>100</v>
      </c>
      <c r="IQ114" s="191"/>
      <c r="IR114" s="191"/>
      <c r="IS114" s="191"/>
      <c r="IT114" s="191"/>
      <c r="IU114" s="191"/>
      <c r="IV114" s="191"/>
      <c r="IW114" s="191"/>
      <c r="IX114" s="191"/>
      <c r="IY114" s="191"/>
      <c r="IZ114" s="191"/>
      <c r="JA114" s="191"/>
      <c r="JB114" s="191"/>
      <c r="JC114" s="191">
        <v>200</v>
      </c>
      <c r="JD114" s="191"/>
      <c r="JE114" s="192"/>
      <c r="JF114" s="190"/>
      <c r="JG114" s="191"/>
      <c r="JH114" s="191"/>
      <c r="JI114" s="191"/>
      <c r="JJ114" s="191">
        <v>200</v>
      </c>
      <c r="JK114" s="191"/>
      <c r="JL114" s="191"/>
      <c r="JM114" s="191"/>
      <c r="JN114" s="191"/>
      <c r="JO114" s="191"/>
      <c r="JP114" s="191"/>
      <c r="JQ114" s="191">
        <v>150</v>
      </c>
      <c r="JR114" s="191"/>
      <c r="JS114" s="191"/>
      <c r="JT114" s="191"/>
      <c r="JU114" s="191"/>
      <c r="JV114" s="191"/>
      <c r="JW114" s="191"/>
      <c r="JX114" s="191">
        <v>150</v>
      </c>
      <c r="JY114" s="191"/>
      <c r="JZ114" s="191"/>
      <c r="KA114" s="191"/>
      <c r="KB114" s="191"/>
      <c r="KC114" s="191"/>
      <c r="KD114" s="191"/>
      <c r="KE114" s="191">
        <v>200</v>
      </c>
      <c r="KF114" s="191"/>
      <c r="KG114" s="191"/>
      <c r="KH114" s="191"/>
      <c r="KI114" s="191"/>
      <c r="KJ114" s="193"/>
      <c r="KK114" s="194"/>
      <c r="KL114" s="191">
        <v>150</v>
      </c>
      <c r="KM114" s="191"/>
      <c r="KN114" s="191"/>
      <c r="KO114" s="191"/>
      <c r="KP114" s="191"/>
      <c r="KQ114" s="191"/>
      <c r="KR114" s="191"/>
      <c r="KS114" s="191">
        <v>50</v>
      </c>
      <c r="KT114" s="191"/>
      <c r="KU114" s="191"/>
      <c r="KV114" s="191"/>
      <c r="KW114" s="191"/>
      <c r="KX114" s="191"/>
      <c r="KY114" s="191"/>
      <c r="KZ114" s="191">
        <v>10</v>
      </c>
      <c r="LA114" s="191"/>
      <c r="LB114" s="191"/>
      <c r="LC114" s="191"/>
      <c r="LD114" s="191"/>
      <c r="LE114" s="191"/>
      <c r="LF114" s="191"/>
      <c r="LG114" s="191">
        <v>100</v>
      </c>
      <c r="LH114" s="191"/>
      <c r="LI114" s="191"/>
      <c r="LJ114" s="191"/>
      <c r="LK114" s="191"/>
      <c r="LL114" s="191"/>
      <c r="LM114" s="191"/>
      <c r="LN114" s="192">
        <v>100</v>
      </c>
      <c r="LO114" s="190"/>
      <c r="LP114" s="191"/>
      <c r="LQ114" s="191"/>
      <c r="LR114" s="191"/>
      <c r="LS114" s="191"/>
      <c r="LT114" s="191"/>
      <c r="LU114" s="191">
        <v>50</v>
      </c>
      <c r="LV114" s="191"/>
      <c r="LW114" s="191"/>
      <c r="LX114" s="191"/>
      <c r="LY114" s="191"/>
      <c r="LZ114" s="191"/>
      <c r="MA114" s="191"/>
      <c r="MB114" s="191">
        <v>50</v>
      </c>
      <c r="MC114" s="191"/>
      <c r="MD114" s="191"/>
      <c r="ME114" s="191"/>
      <c r="MF114" s="191"/>
      <c r="MG114" s="191"/>
      <c r="MH114" s="191"/>
      <c r="MI114" s="191">
        <v>10</v>
      </c>
      <c r="MJ114" s="191"/>
      <c r="MK114" s="191"/>
      <c r="ML114" s="191"/>
      <c r="MM114" s="191"/>
      <c r="MN114" s="191"/>
      <c r="MO114" s="191"/>
      <c r="MP114" s="191">
        <v>150</v>
      </c>
      <c r="MQ114" s="191"/>
      <c r="MR114" s="191"/>
      <c r="MS114" s="193"/>
      <c r="MT114" s="194"/>
      <c r="MU114" s="191"/>
      <c r="MV114" s="191"/>
      <c r="MW114" s="191">
        <v>150</v>
      </c>
      <c r="MX114" s="191"/>
      <c r="MY114" s="191"/>
      <c r="MZ114" s="191"/>
      <c r="NA114" s="191"/>
      <c r="NB114" s="191"/>
      <c r="NC114" s="191"/>
      <c r="ND114" s="191"/>
      <c r="NE114" s="191">
        <v>50</v>
      </c>
      <c r="NF114" s="191"/>
      <c r="NG114" s="191"/>
      <c r="NH114" s="191"/>
      <c r="NI114" s="191"/>
      <c r="NJ114" s="191"/>
      <c r="NK114" s="191">
        <v>100</v>
      </c>
      <c r="NL114" s="191"/>
      <c r="NM114" s="191"/>
      <c r="NN114" s="191"/>
      <c r="NO114" s="191"/>
      <c r="NP114" s="191"/>
      <c r="NQ114" s="191"/>
      <c r="NR114" s="191">
        <v>100</v>
      </c>
      <c r="NS114" s="191"/>
      <c r="NT114" s="191"/>
      <c r="NU114" s="191"/>
      <c r="NV114" s="191"/>
      <c r="NW114" s="192"/>
      <c r="NX114" s="190"/>
      <c r="NY114" s="191">
        <v>200</v>
      </c>
      <c r="NZ114" s="191"/>
      <c r="OA114" s="191"/>
      <c r="OB114" s="191"/>
      <c r="OC114" s="191"/>
      <c r="OD114" s="191"/>
      <c r="OE114" s="191"/>
      <c r="OF114" s="191">
        <v>100</v>
      </c>
      <c r="OG114" s="191"/>
      <c r="OH114" s="191"/>
      <c r="OI114" s="191"/>
      <c r="OJ114" s="191"/>
      <c r="OK114" s="191"/>
      <c r="OL114" s="191"/>
      <c r="OM114" s="191">
        <v>150</v>
      </c>
      <c r="ON114" s="191"/>
      <c r="OO114" s="191"/>
      <c r="OP114" s="191"/>
      <c r="OQ114" s="191"/>
      <c r="OR114" s="191"/>
      <c r="OS114" s="191"/>
      <c r="OT114" s="191"/>
      <c r="OU114" s="191"/>
      <c r="OV114" s="191"/>
      <c r="OW114" s="191"/>
      <c r="OX114" s="191"/>
      <c r="OY114" s="191"/>
      <c r="OZ114" s="191"/>
      <c r="PA114" s="191"/>
      <c r="PB114" s="193"/>
      <c r="PC114" s="47"/>
      <c r="PD114" s="154" t="s">
        <v>97</v>
      </c>
      <c r="PE114" s="155" t="s">
        <v>98</v>
      </c>
      <c r="PF114" s="155" t="s">
        <v>98</v>
      </c>
      <c r="PG114" s="155" t="s">
        <v>97</v>
      </c>
      <c r="PH114" s="155" t="s">
        <v>98</v>
      </c>
      <c r="PI114" s="155" t="s">
        <v>98</v>
      </c>
      <c r="PJ114" s="155" t="s">
        <v>98</v>
      </c>
      <c r="PK114" s="155" t="s">
        <v>98</v>
      </c>
      <c r="PL114" s="155" t="s">
        <v>98</v>
      </c>
      <c r="PM114" s="155" t="s">
        <v>98</v>
      </c>
      <c r="PN114" s="155" t="s">
        <v>98</v>
      </c>
      <c r="PO114" s="156"/>
      <c r="PP114" s="156"/>
      <c r="PQ114" s="156"/>
      <c r="PR114" s="156"/>
      <c r="PS114" s="156"/>
      <c r="PT114" s="156"/>
      <c r="PU114" s="156"/>
      <c r="PV114" s="156"/>
      <c r="PW114" s="156"/>
      <c r="PX114" s="195"/>
      <c r="PY114" s="1"/>
      <c r="PZ114" s="196">
        <f t="shared" si="73"/>
        <v>310</v>
      </c>
      <c r="QA114" s="176">
        <f t="shared" si="74"/>
        <v>2.5861349795611912E-3</v>
      </c>
      <c r="QB114" s="177" t="str">
        <f t="shared" ca="1" si="75"/>
        <v>Attente…</v>
      </c>
      <c r="QC114" s="197">
        <f t="shared" si="76"/>
        <v>350</v>
      </c>
      <c r="QD114" s="179">
        <f t="shared" si="77"/>
        <v>3.2771535580524347E-3</v>
      </c>
      <c r="QE114" s="180" t="str">
        <f t="shared" ca="1" si="78"/>
        <v>Attente…</v>
      </c>
      <c r="QF114" s="196">
        <f t="shared" si="79"/>
        <v>410</v>
      </c>
      <c r="QG114" s="176">
        <f t="shared" si="80"/>
        <v>3.2648510909380475E-3</v>
      </c>
      <c r="QH114" s="177" t="str">
        <f t="shared" ca="1" si="81"/>
        <v>Attente…</v>
      </c>
      <c r="QI114" s="197">
        <f t="shared" si="82"/>
        <v>700</v>
      </c>
      <c r="QJ114" s="179">
        <f t="shared" si="83"/>
        <v>4.9095244774863232E-3</v>
      </c>
      <c r="QK114" s="180" t="str">
        <f t="shared" ca="1" si="84"/>
        <v>Attente…</v>
      </c>
      <c r="QL114" s="196">
        <f t="shared" si="85"/>
        <v>500</v>
      </c>
      <c r="QM114" s="176">
        <f t="shared" si="86"/>
        <v>3.6581796897863623E-3</v>
      </c>
      <c r="QN114" s="177" t="str">
        <f t="shared" ca="1" si="87"/>
        <v>Attente…</v>
      </c>
      <c r="QO114" s="197">
        <f t="shared" si="88"/>
        <v>600</v>
      </c>
      <c r="QP114" s="179">
        <f t="shared" si="89"/>
        <v>4.6974085962577308E-3</v>
      </c>
      <c r="QQ114" s="180" t="str">
        <f t="shared" ca="1" si="90"/>
        <v>Attente…</v>
      </c>
      <c r="QR114" s="196">
        <f t="shared" si="91"/>
        <v>550</v>
      </c>
      <c r="QS114" s="176">
        <f t="shared" si="92"/>
        <v>3.9595406932795797E-3</v>
      </c>
      <c r="QT114" s="177" t="str">
        <f t="shared" ca="1" si="93"/>
        <v>Attente…</v>
      </c>
      <c r="QU114" s="197">
        <f t="shared" si="94"/>
        <v>700</v>
      </c>
      <c r="QV114" s="179">
        <f t="shared" si="95"/>
        <v>4.8262548262548262E-3</v>
      </c>
      <c r="QW114" s="180" t="str">
        <f t="shared" ca="1" si="96"/>
        <v>Attente…</v>
      </c>
      <c r="QX114" s="196">
        <f t="shared" si="97"/>
        <v>410</v>
      </c>
      <c r="QY114" s="176">
        <f t="shared" si="98"/>
        <v>2.9919145334072797E-3</v>
      </c>
      <c r="QZ114" s="177" t="str">
        <f t="shared" ca="1" si="99"/>
        <v>Attente…</v>
      </c>
      <c r="RA114" s="197">
        <f t="shared" si="100"/>
        <v>260</v>
      </c>
      <c r="RB114" s="179">
        <f t="shared" si="101"/>
        <v>2.0342696189656522E-3</v>
      </c>
      <c r="RC114" s="180" t="str">
        <f t="shared" ca="1" si="102"/>
        <v>Attente…</v>
      </c>
      <c r="RD114" s="196">
        <f t="shared" si="103"/>
        <v>400</v>
      </c>
      <c r="RE114" s="176">
        <f t="shared" si="104"/>
        <v>3.9856516540454365E-3</v>
      </c>
      <c r="RF114" s="177" t="str">
        <f t="shared" ca="1" si="105"/>
        <v>Attente…</v>
      </c>
      <c r="RG114" s="197">
        <f t="shared" si="106"/>
        <v>450</v>
      </c>
      <c r="RH114" s="179">
        <f t="shared" si="107"/>
        <v>8.2766231377597935E-3</v>
      </c>
      <c r="RI114" s="198" t="str">
        <f t="shared" ca="1" si="108"/>
        <v>Attente…</v>
      </c>
      <c r="RJ114" s="199">
        <f t="shared" si="109"/>
        <v>1070</v>
      </c>
      <c r="RK114" s="200" t="str">
        <f t="shared" ca="1" si="66"/>
        <v>Attente…</v>
      </c>
      <c r="RL114" s="199">
        <f t="shared" si="110"/>
        <v>1800</v>
      </c>
      <c r="RM114" s="200" t="str">
        <f t="shared" ca="1" si="111"/>
        <v>Atttente…</v>
      </c>
      <c r="RN114" s="199">
        <f t="shared" si="112"/>
        <v>1660</v>
      </c>
      <c r="RO114" s="200" t="str">
        <f t="shared" ca="1" si="67"/>
        <v>Attente…</v>
      </c>
      <c r="RP114" s="199">
        <f t="shared" si="113"/>
        <v>1110</v>
      </c>
      <c r="RQ114" s="200" t="str">
        <f t="shared" ca="1" si="68"/>
        <v>Attente…</v>
      </c>
      <c r="RR114" s="201">
        <f t="shared" si="114"/>
        <v>5640</v>
      </c>
      <c r="RS114" s="202" t="str">
        <f t="shared" ca="1" si="69"/>
        <v>Attente…</v>
      </c>
      <c r="RT114" s="103"/>
      <c r="RU114" s="203">
        <f t="shared" si="115"/>
        <v>0.57551020408163267</v>
      </c>
      <c r="RV114" s="204">
        <f t="shared" si="118"/>
        <v>1</v>
      </c>
      <c r="RW114" s="204">
        <f t="shared" si="118"/>
        <v>1</v>
      </c>
      <c r="RX114" s="204">
        <f t="shared" si="116"/>
        <v>49</v>
      </c>
      <c r="RY114" s="205" t="str">
        <f t="shared" si="117"/>
        <v>ELBEUF - 2 rue Jean Jaures (Sous le pont Jean Jaurès)</v>
      </c>
      <c r="RZ114" s="189" t="str">
        <f>IF(OR(RZ113="",RZ113="  &lt;/Document&gt;
&lt;/kml&gt;"),"",
IF(B114="","  &lt;/Document&gt;
&lt;/kml&gt;",
IF(TournéesCAV!Q114=""," ",
"    &lt;Placemark&gt;
      &lt;description&gt;&lt;![CDATA["&amp;B114&amp;"&lt;br&gt;&lt;br&gt;"&amp;RV114&amp;" CAV&lt;br&gt;&lt;br&gt;Présent sur "&amp;RW114&amp;" tournée(s)&lt;br&gt;&lt;br&gt;Taux de remplissage moyen "&amp;TEXT(RU114*1000,"0 %")&amp;"]]&gt;&lt;/description&gt;
      &lt;Style&gt;
        &lt;IconStyle&gt;
          &lt;color&gt;ff"&amp;
          DEC2HEX(0,2)&amp;
          DEC2HEX(
            IF(RU114&lt;=0.5,
               INT(255*(RU114*2)),
               255
            ),2)&amp;
          DEC2HEX(
            IF(RU114&lt;=0.5,
               255,
               INT(255*(1-(RU114-0.5)*2))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&lt;Point&gt;&lt;coordinates&gt;"&amp;R114&amp;","&amp;Q114&amp;",0&lt;/coordinates&gt;&lt;/Point&gt;
    &lt;/Placemark&gt;"
)))</f>
        <v xml:space="preserve">    &lt;Placemark&gt;
      &lt;description&gt;&lt;![CDATA[ELBEUF - 2 rue Jean Jaures (Sous le pont Jean Jaurès)&lt;br&gt;&lt;br&gt;1 CAV&lt;br&gt;&lt;br&gt;Présent sur 1 tournée(s)&lt;br&gt;&lt;br&gt;Taux de remplissage moyen 58%]]&gt;&lt;/description&gt;
      &lt;Style&gt;
        &lt;IconStyle&gt;
          &lt;color&gt;ff00FFD8&lt;/color&gt;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&lt;Point&gt;&lt;coordinates&gt;1.009519,49.2919875,0&lt;/coordinates&gt;&lt;/Point&gt;
    &lt;/Placemark&gt;</v>
      </c>
    </row>
    <row r="115" spans="2:494" ht="15" hidden="1" customHeight="1" x14ac:dyDescent="0.35">
      <c r="B115" s="208" t="str">
        <f t="shared" si="70"/>
        <v>SAINT-PIERRE-DES-FLEURS - Route de Neuboug (Parking Cimetière)</v>
      </c>
      <c r="C115" s="213"/>
      <c r="D115" s="214"/>
      <c r="E115" s="214"/>
      <c r="F115" s="214"/>
      <c r="G115" s="214"/>
      <c r="H115" s="214"/>
      <c r="I115" s="214"/>
      <c r="J115" s="215"/>
      <c r="K115" s="216">
        <f t="shared" si="71"/>
        <v>0</v>
      </c>
      <c r="L115" s="216">
        <f t="shared" si="72"/>
        <v>0</v>
      </c>
      <c r="M115" s="209" t="s">
        <v>666</v>
      </c>
      <c r="N115" s="217" t="s">
        <v>667</v>
      </c>
      <c r="O115" s="159">
        <v>27370</v>
      </c>
      <c r="P115" s="159" t="s">
        <v>668</v>
      </c>
      <c r="Q115" s="159"/>
      <c r="R115" s="159"/>
      <c r="S115" s="159"/>
      <c r="T115" s="159" t="s">
        <v>94</v>
      </c>
      <c r="U115" s="159" t="s">
        <v>669</v>
      </c>
      <c r="V115" s="160" t="s">
        <v>123</v>
      </c>
      <c r="W115" s="161"/>
      <c r="X115" s="162"/>
      <c r="Y115" s="163"/>
      <c r="Z115" s="162"/>
      <c r="AA115" s="163"/>
      <c r="AB115" s="162"/>
      <c r="AC115" s="163"/>
      <c r="AD115" s="162"/>
      <c r="AE115" s="163"/>
      <c r="AF115" s="162"/>
      <c r="AG115" s="163"/>
      <c r="AH115" s="163"/>
      <c r="AI115" s="162"/>
      <c r="AJ115" s="163"/>
      <c r="AK115" s="162"/>
      <c r="AL115" s="163"/>
      <c r="AM115" s="162"/>
      <c r="AN115" s="163"/>
      <c r="AO115" s="162"/>
      <c r="AP115" s="164"/>
      <c r="AQ115" s="164"/>
      <c r="AR115" s="164"/>
      <c r="AS115" s="164"/>
      <c r="AT115" s="164"/>
      <c r="AU115" s="164"/>
      <c r="AV115" s="164"/>
      <c r="AW115" s="164"/>
      <c r="AX115" s="164"/>
      <c r="AY115" s="165"/>
      <c r="AZ115" s="41"/>
      <c r="BA115" s="190"/>
      <c r="BB115" s="191"/>
      <c r="BC115" s="191"/>
      <c r="BD115" s="191"/>
      <c r="BE115" s="191"/>
      <c r="BF115" s="191"/>
      <c r="BG115" s="191">
        <v>400</v>
      </c>
      <c r="BH115" s="191"/>
      <c r="BI115" s="191"/>
      <c r="BJ115" s="191"/>
      <c r="BK115" s="191"/>
      <c r="BL115" s="191"/>
      <c r="BM115" s="191"/>
      <c r="BN115" s="191">
        <v>200</v>
      </c>
      <c r="BO115" s="191"/>
      <c r="BP115" s="191"/>
      <c r="BQ115" s="191"/>
      <c r="BR115" s="191"/>
      <c r="BS115" s="191"/>
      <c r="BT115" s="191"/>
      <c r="BU115" s="191">
        <v>150</v>
      </c>
      <c r="BV115" s="191"/>
      <c r="BW115" s="191"/>
      <c r="BX115" s="191"/>
      <c r="BY115" s="191"/>
      <c r="BZ115" s="191"/>
      <c r="CA115" s="191"/>
      <c r="CB115" s="191">
        <v>200</v>
      </c>
      <c r="CC115" s="191"/>
      <c r="CD115" s="191"/>
      <c r="CE115" s="192"/>
      <c r="CF115" s="190"/>
      <c r="CG115" s="191"/>
      <c r="CH115" s="191"/>
      <c r="CI115" s="191"/>
      <c r="CJ115" s="191"/>
      <c r="CK115" s="191"/>
      <c r="CL115" s="191"/>
      <c r="CM115" s="191"/>
      <c r="CN115" s="191"/>
      <c r="CO115" s="191"/>
      <c r="CP115" s="191"/>
      <c r="CQ115" s="191"/>
      <c r="CR115" s="191"/>
      <c r="CS115" s="191"/>
      <c r="CT115" s="191"/>
      <c r="CU115" s="191"/>
      <c r="CV115" s="191"/>
      <c r="CW115" s="191"/>
      <c r="CX115" s="191"/>
      <c r="CY115" s="191"/>
      <c r="CZ115" s="191"/>
      <c r="DA115" s="191"/>
      <c r="DB115" s="191"/>
      <c r="DC115" s="191"/>
      <c r="DD115" s="191"/>
      <c r="DE115" s="191"/>
      <c r="DF115" s="191"/>
      <c r="DG115" s="191"/>
      <c r="DH115" s="193"/>
      <c r="DI115" s="194"/>
      <c r="DJ115" s="191"/>
      <c r="DK115" s="191"/>
      <c r="DL115" s="191"/>
      <c r="DM115" s="191"/>
      <c r="DN115" s="191"/>
      <c r="DO115" s="191"/>
      <c r="DP115" s="191"/>
      <c r="DQ115" s="191"/>
      <c r="DR115" s="191"/>
      <c r="DS115" s="191"/>
      <c r="DT115" s="191"/>
      <c r="DU115" s="191"/>
      <c r="DV115" s="191"/>
      <c r="DW115" s="191"/>
      <c r="DX115" s="191"/>
      <c r="DY115" s="191"/>
      <c r="DZ115" s="191"/>
      <c r="EA115" s="191"/>
      <c r="EB115" s="191"/>
      <c r="EC115" s="191"/>
      <c r="ED115" s="191"/>
      <c r="EE115" s="191"/>
      <c r="EF115" s="191"/>
      <c r="EG115" s="191"/>
      <c r="EH115" s="191"/>
      <c r="EI115" s="191"/>
      <c r="EJ115" s="191"/>
      <c r="EK115" s="191"/>
      <c r="EL115" s="191"/>
      <c r="EM115" s="192"/>
      <c r="EN115" s="190"/>
      <c r="EO115" s="191"/>
      <c r="EP115" s="191"/>
      <c r="EQ115" s="191"/>
      <c r="ER115" s="191"/>
      <c r="ES115" s="191"/>
      <c r="ET115" s="191"/>
      <c r="EU115" s="191"/>
      <c r="EV115" s="191"/>
      <c r="EW115" s="191"/>
      <c r="EX115" s="191"/>
      <c r="EY115" s="191"/>
      <c r="EZ115" s="191"/>
      <c r="FA115" s="191"/>
      <c r="FB115" s="191"/>
      <c r="FC115" s="191"/>
      <c r="FD115" s="191"/>
      <c r="FE115" s="191"/>
      <c r="FF115" s="191"/>
      <c r="FG115" s="191"/>
      <c r="FH115" s="191"/>
      <c r="FI115" s="191"/>
      <c r="FJ115" s="191"/>
      <c r="FK115" s="191"/>
      <c r="FL115" s="191"/>
      <c r="FM115" s="191"/>
      <c r="FN115" s="191"/>
      <c r="FO115" s="191"/>
      <c r="FP115" s="191"/>
      <c r="FQ115" s="193"/>
      <c r="FR115" s="194"/>
      <c r="FS115" s="191"/>
      <c r="FT115" s="191"/>
      <c r="FU115" s="191"/>
      <c r="FV115" s="191"/>
      <c r="FW115" s="191"/>
      <c r="FX115" s="191"/>
      <c r="FY115" s="191"/>
      <c r="FZ115" s="191"/>
      <c r="GA115" s="191"/>
      <c r="GB115" s="191"/>
      <c r="GC115" s="191"/>
      <c r="GD115" s="191"/>
      <c r="GE115" s="191"/>
      <c r="GF115" s="191"/>
      <c r="GG115" s="191"/>
      <c r="GH115" s="191"/>
      <c r="GI115" s="191"/>
      <c r="GJ115" s="191"/>
      <c r="GK115" s="191"/>
      <c r="GL115" s="191"/>
      <c r="GM115" s="191"/>
      <c r="GN115" s="191"/>
      <c r="GO115" s="191"/>
      <c r="GP115" s="191"/>
      <c r="GQ115" s="191"/>
      <c r="GR115" s="191"/>
      <c r="GS115" s="191"/>
      <c r="GT115" s="191"/>
      <c r="GU115" s="191"/>
      <c r="GV115" s="192"/>
      <c r="GW115" s="190"/>
      <c r="GX115" s="191"/>
      <c r="GY115" s="191"/>
      <c r="GZ115" s="191"/>
      <c r="HA115" s="191"/>
      <c r="HB115" s="191"/>
      <c r="HC115" s="191"/>
      <c r="HD115" s="191"/>
      <c r="HE115" s="191"/>
      <c r="HF115" s="191"/>
      <c r="HG115" s="191"/>
      <c r="HH115" s="191"/>
      <c r="HI115" s="191"/>
      <c r="HJ115" s="191"/>
      <c r="HK115" s="191"/>
      <c r="HL115" s="191"/>
      <c r="HM115" s="191"/>
      <c r="HN115" s="191"/>
      <c r="HO115" s="191"/>
      <c r="HP115" s="191"/>
      <c r="HQ115" s="191"/>
      <c r="HR115" s="191"/>
      <c r="HS115" s="191"/>
      <c r="HT115" s="191"/>
      <c r="HU115" s="191"/>
      <c r="HV115" s="191"/>
      <c r="HW115" s="191"/>
      <c r="HX115" s="191"/>
      <c r="HY115" s="191"/>
      <c r="HZ115" s="193"/>
      <c r="IA115" s="194"/>
      <c r="IB115" s="191"/>
      <c r="IC115" s="191"/>
      <c r="ID115" s="191"/>
      <c r="IE115" s="191"/>
      <c r="IF115" s="191"/>
      <c r="IG115" s="191"/>
      <c r="IH115" s="191"/>
      <c r="II115" s="191"/>
      <c r="IJ115" s="191"/>
      <c r="IK115" s="191"/>
      <c r="IL115" s="191"/>
      <c r="IM115" s="191"/>
      <c r="IN115" s="191"/>
      <c r="IO115" s="191"/>
      <c r="IP115" s="191"/>
      <c r="IQ115" s="191"/>
      <c r="IR115" s="191"/>
      <c r="IS115" s="191"/>
      <c r="IT115" s="191"/>
      <c r="IU115" s="191"/>
      <c r="IV115" s="191"/>
      <c r="IW115" s="191"/>
      <c r="IX115" s="191"/>
      <c r="IY115" s="191"/>
      <c r="IZ115" s="191"/>
      <c r="JA115" s="191"/>
      <c r="JB115" s="191"/>
      <c r="JC115" s="191"/>
      <c r="JD115" s="191"/>
      <c r="JE115" s="192"/>
      <c r="JF115" s="190"/>
      <c r="JG115" s="191"/>
      <c r="JH115" s="191"/>
      <c r="JI115" s="191"/>
      <c r="JJ115" s="191"/>
      <c r="JK115" s="191"/>
      <c r="JL115" s="191"/>
      <c r="JM115" s="191"/>
      <c r="JN115" s="191"/>
      <c r="JO115" s="191"/>
      <c r="JP115" s="191"/>
      <c r="JQ115" s="191"/>
      <c r="JR115" s="191"/>
      <c r="JS115" s="191"/>
      <c r="JT115" s="191"/>
      <c r="JU115" s="191"/>
      <c r="JV115" s="191"/>
      <c r="JW115" s="191"/>
      <c r="JX115" s="191"/>
      <c r="JY115" s="191"/>
      <c r="JZ115" s="191"/>
      <c r="KA115" s="191"/>
      <c r="KB115" s="191"/>
      <c r="KC115" s="191"/>
      <c r="KD115" s="191"/>
      <c r="KE115" s="191"/>
      <c r="KF115" s="191"/>
      <c r="KG115" s="191"/>
      <c r="KH115" s="191"/>
      <c r="KI115" s="191"/>
      <c r="KJ115" s="193"/>
      <c r="KK115" s="194"/>
      <c r="KL115" s="191"/>
      <c r="KM115" s="191"/>
      <c r="KN115" s="191"/>
      <c r="KO115" s="191"/>
      <c r="KP115" s="191"/>
      <c r="KQ115" s="191"/>
      <c r="KR115" s="191"/>
      <c r="KS115" s="191"/>
      <c r="KT115" s="191"/>
      <c r="KU115" s="191"/>
      <c r="KV115" s="191"/>
      <c r="KW115" s="191"/>
      <c r="KX115" s="191"/>
      <c r="KY115" s="191"/>
      <c r="KZ115" s="191"/>
      <c r="LA115" s="191"/>
      <c r="LB115" s="191"/>
      <c r="LC115" s="191"/>
      <c r="LD115" s="191"/>
      <c r="LE115" s="191"/>
      <c r="LF115" s="191"/>
      <c r="LG115" s="191"/>
      <c r="LH115" s="191"/>
      <c r="LI115" s="191"/>
      <c r="LJ115" s="191"/>
      <c r="LK115" s="191"/>
      <c r="LL115" s="191"/>
      <c r="LM115" s="191"/>
      <c r="LN115" s="192"/>
      <c r="LO115" s="190"/>
      <c r="LP115" s="191"/>
      <c r="LQ115" s="191"/>
      <c r="LR115" s="191"/>
      <c r="LS115" s="191"/>
      <c r="LT115" s="191"/>
      <c r="LU115" s="191"/>
      <c r="LV115" s="191"/>
      <c r="LW115" s="191"/>
      <c r="LX115" s="191"/>
      <c r="LY115" s="191"/>
      <c r="LZ115" s="191"/>
      <c r="MA115" s="191"/>
      <c r="MB115" s="191"/>
      <c r="MC115" s="191"/>
      <c r="MD115" s="191"/>
      <c r="ME115" s="191"/>
      <c r="MF115" s="191"/>
      <c r="MG115" s="191"/>
      <c r="MH115" s="191"/>
      <c r="MI115" s="191"/>
      <c r="MJ115" s="191"/>
      <c r="MK115" s="191"/>
      <c r="ML115" s="191"/>
      <c r="MM115" s="191"/>
      <c r="MN115" s="191"/>
      <c r="MO115" s="191"/>
      <c r="MP115" s="191"/>
      <c r="MQ115" s="191"/>
      <c r="MR115" s="191"/>
      <c r="MS115" s="193"/>
      <c r="MT115" s="194"/>
      <c r="MU115" s="191"/>
      <c r="MV115" s="191"/>
      <c r="MW115" s="191"/>
      <c r="MX115" s="191"/>
      <c r="MY115" s="191"/>
      <c r="MZ115" s="191"/>
      <c r="NA115" s="191"/>
      <c r="NB115" s="191"/>
      <c r="NC115" s="191"/>
      <c r="ND115" s="191"/>
      <c r="NE115" s="191"/>
      <c r="NF115" s="191"/>
      <c r="NG115" s="191"/>
      <c r="NH115" s="191"/>
      <c r="NI115" s="191"/>
      <c r="NJ115" s="191"/>
      <c r="NK115" s="191">
        <v>50</v>
      </c>
      <c r="NL115" s="191"/>
      <c r="NM115" s="191"/>
      <c r="NN115" s="191"/>
      <c r="NO115" s="191"/>
      <c r="NP115" s="191"/>
      <c r="NQ115" s="191"/>
      <c r="NR115" s="191">
        <v>50</v>
      </c>
      <c r="NS115" s="191"/>
      <c r="NT115" s="191"/>
      <c r="NU115" s="191"/>
      <c r="NV115" s="191"/>
      <c r="NW115" s="192"/>
      <c r="NX115" s="190"/>
      <c r="NY115" s="191"/>
      <c r="NZ115" s="191"/>
      <c r="OA115" s="191"/>
      <c r="OB115" s="191"/>
      <c r="OC115" s="191"/>
      <c r="OD115" s="191"/>
      <c r="OE115" s="191"/>
      <c r="OF115" s="191"/>
      <c r="OG115" s="191"/>
      <c r="OH115" s="191"/>
      <c r="OI115" s="191"/>
      <c r="OJ115" s="191"/>
      <c r="OK115" s="191"/>
      <c r="OL115" s="191"/>
      <c r="OM115" s="191"/>
      <c r="ON115" s="191"/>
      <c r="OO115" s="191"/>
      <c r="OP115" s="191"/>
      <c r="OQ115" s="191"/>
      <c r="OR115" s="191"/>
      <c r="OS115" s="191"/>
      <c r="OT115" s="191"/>
      <c r="OU115" s="191"/>
      <c r="OV115" s="191"/>
      <c r="OW115" s="191"/>
      <c r="OX115" s="191"/>
      <c r="OY115" s="191"/>
      <c r="OZ115" s="191"/>
      <c r="PA115" s="191"/>
      <c r="PB115" s="193"/>
      <c r="PC115" s="47"/>
      <c r="PD115" s="154" t="s">
        <v>98</v>
      </c>
      <c r="PE115" s="155" t="s">
        <v>98</v>
      </c>
      <c r="PF115" s="155" t="s">
        <v>98</v>
      </c>
      <c r="PG115" s="155" t="s">
        <v>98</v>
      </c>
      <c r="PH115" s="155" t="s">
        <v>97</v>
      </c>
      <c r="PI115" s="155" t="s">
        <v>98</v>
      </c>
      <c r="PJ115" s="155" t="s">
        <v>98</v>
      </c>
      <c r="PK115" s="155" t="s">
        <v>98</v>
      </c>
      <c r="PL115" s="155" t="s">
        <v>98</v>
      </c>
      <c r="PM115" s="155" t="s">
        <v>98</v>
      </c>
      <c r="PN115" s="155" t="s">
        <v>98</v>
      </c>
      <c r="PO115" s="156"/>
      <c r="PP115" s="156"/>
      <c r="PQ115" s="156"/>
      <c r="PR115" s="156"/>
      <c r="PS115" s="156"/>
      <c r="PT115" s="156"/>
      <c r="PU115" s="156"/>
      <c r="PV115" s="156"/>
      <c r="PW115" s="156"/>
      <c r="PX115" s="195"/>
      <c r="PY115" s="1"/>
      <c r="PZ115" s="196">
        <f t="shared" si="73"/>
        <v>950</v>
      </c>
      <c r="QA115" s="176">
        <f t="shared" si="74"/>
        <v>7.9252523567197794E-3</v>
      </c>
      <c r="QB115" s="177" t="str">
        <f t="shared" ca="1" si="75"/>
        <v>Attente…</v>
      </c>
      <c r="QC115" s="197">
        <f t="shared" si="76"/>
        <v>0</v>
      </c>
      <c r="QD115" s="179">
        <f t="shared" si="77"/>
        <v>0</v>
      </c>
      <c r="QE115" s="180" t="str">
        <f t="shared" ca="1" si="78"/>
        <v>Attente…</v>
      </c>
      <c r="QF115" s="196">
        <f t="shared" si="79"/>
        <v>0</v>
      </c>
      <c r="QG115" s="176">
        <f t="shared" si="80"/>
        <v>0</v>
      </c>
      <c r="QH115" s="177" t="str">
        <f t="shared" ca="1" si="81"/>
        <v>Attente…</v>
      </c>
      <c r="QI115" s="197">
        <f t="shared" si="82"/>
        <v>0</v>
      </c>
      <c r="QJ115" s="179">
        <f t="shared" si="83"/>
        <v>0</v>
      </c>
      <c r="QK115" s="180" t="str">
        <f t="shared" ca="1" si="84"/>
        <v>Attente…</v>
      </c>
      <c r="QL115" s="196">
        <f t="shared" si="85"/>
        <v>0</v>
      </c>
      <c r="QM115" s="176">
        <f t="shared" si="86"/>
        <v>0</v>
      </c>
      <c r="QN115" s="177" t="str">
        <f t="shared" ca="1" si="87"/>
        <v>Attente…</v>
      </c>
      <c r="QO115" s="197">
        <f t="shared" si="88"/>
        <v>0</v>
      </c>
      <c r="QP115" s="179">
        <f t="shared" si="89"/>
        <v>0</v>
      </c>
      <c r="QQ115" s="180" t="str">
        <f t="shared" ca="1" si="90"/>
        <v>Attente…</v>
      </c>
      <c r="QR115" s="196">
        <f t="shared" si="91"/>
        <v>0</v>
      </c>
      <c r="QS115" s="176">
        <f t="shared" si="92"/>
        <v>0</v>
      </c>
      <c r="QT115" s="177" t="str">
        <f t="shared" ca="1" si="93"/>
        <v>Attente…</v>
      </c>
      <c r="QU115" s="197">
        <f t="shared" si="94"/>
        <v>0</v>
      </c>
      <c r="QV115" s="179">
        <f t="shared" si="95"/>
        <v>0</v>
      </c>
      <c r="QW115" s="180" t="str">
        <f t="shared" ca="1" si="96"/>
        <v>Attente…</v>
      </c>
      <c r="QX115" s="196">
        <f t="shared" si="97"/>
        <v>0</v>
      </c>
      <c r="QY115" s="176">
        <f t="shared" si="98"/>
        <v>0</v>
      </c>
      <c r="QZ115" s="177" t="str">
        <f t="shared" ca="1" si="99"/>
        <v>Attente…</v>
      </c>
      <c r="RA115" s="197">
        <f t="shared" si="100"/>
        <v>0</v>
      </c>
      <c r="RB115" s="179">
        <f t="shared" si="101"/>
        <v>0</v>
      </c>
      <c r="RC115" s="180" t="str">
        <f t="shared" ca="1" si="102"/>
        <v>Attente…</v>
      </c>
      <c r="RD115" s="196">
        <f t="shared" si="103"/>
        <v>100</v>
      </c>
      <c r="RE115" s="176">
        <f t="shared" si="104"/>
        <v>9.9641291351135913E-4</v>
      </c>
      <c r="RF115" s="177" t="str">
        <f t="shared" ca="1" si="105"/>
        <v>Attente…</v>
      </c>
      <c r="RG115" s="197">
        <f t="shared" si="106"/>
        <v>0</v>
      </c>
      <c r="RH115" s="179">
        <f t="shared" si="107"/>
        <v>0</v>
      </c>
      <c r="RI115" s="198" t="str">
        <f t="shared" ca="1" si="108"/>
        <v>Attente…</v>
      </c>
      <c r="RJ115" s="199">
        <f t="shared" si="109"/>
        <v>950</v>
      </c>
      <c r="RK115" s="200" t="str">
        <f t="shared" ca="1" si="66"/>
        <v>Attente…</v>
      </c>
      <c r="RL115" s="199">
        <f t="shared" si="110"/>
        <v>0</v>
      </c>
      <c r="RM115" s="200" t="str">
        <f t="shared" ca="1" si="111"/>
        <v>Atttente…</v>
      </c>
      <c r="RN115" s="199">
        <f t="shared" si="112"/>
        <v>0</v>
      </c>
      <c r="RO115" s="200" t="str">
        <f t="shared" ca="1" si="67"/>
        <v>Attente…</v>
      </c>
      <c r="RP115" s="199">
        <f t="shared" si="113"/>
        <v>100</v>
      </c>
      <c r="RQ115" s="200" t="str">
        <f t="shared" ca="1" si="68"/>
        <v>Attente…</v>
      </c>
      <c r="RR115" s="201">
        <f t="shared" si="114"/>
        <v>1050</v>
      </c>
      <c r="RS115" s="202" t="str">
        <f t="shared" ca="1" si="69"/>
        <v>Attente…</v>
      </c>
      <c r="RT115" s="103"/>
      <c r="RU115" s="203" t="str">
        <f t="shared" si="115"/>
        <v/>
      </c>
      <c r="RV115" s="204">
        <f t="shared" si="118"/>
        <v>0</v>
      </c>
      <c r="RW115" s="204">
        <f t="shared" si="118"/>
        <v>0</v>
      </c>
      <c r="RX115" s="204">
        <f t="shared" si="116"/>
        <v>6</v>
      </c>
      <c r="RY115" s="205" t="str">
        <f t="shared" si="117"/>
        <v>SAINT-PIERRE-DES-FLEURS - Route de Neuboug (Parking Cimetière)</v>
      </c>
      <c r="RZ115" s="189" t="str">
        <f>IF(OR(RZ114="",RZ114="  &lt;/Document&gt;
&lt;/kml&gt;"),"",
IF(B115="","  &lt;/Document&gt;
&lt;/kml&gt;",
IF(TournéesCAV!Q115=""," ",
"    &lt;Placemark&gt;
      &lt;description&gt;&lt;![CDATA["&amp;B115&amp;"&lt;br&gt;&lt;br&gt;"&amp;RV115&amp;" CAV&lt;br&gt;&lt;br&gt;Présent sur "&amp;RW115&amp;" tournée(s)&lt;br&gt;&lt;br&gt;Taux de remplissage moyen "&amp;TEXT(RU115*1000,"0 %")&amp;"]]&gt;&lt;/description&gt;
      &lt;Style&gt;
        &lt;IconStyle&gt;
          &lt;color&gt;ff"&amp;
          DEC2HEX(0,2)&amp;
          DEC2HEX(
            IF(RU115&lt;=0.5,
               INT(255*(RU115*2)),
               255
            ),2)&amp;
          DEC2HEX(
            IF(RU115&lt;=0.5,
               255,
               INT(255*(1-(RU115-0.5)*2))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&lt;Point&gt;&lt;coordinates&gt;"&amp;R115&amp;","&amp;Q115&amp;",0&lt;/coordinates&gt;&lt;/Point&gt;
    &lt;/Placemark&gt;"
)))</f>
        <v xml:space="preserve"> </v>
      </c>
    </row>
    <row r="116" spans="2:494" ht="15" hidden="1" customHeight="1" x14ac:dyDescent="0.35">
      <c r="B116" s="153" t="str">
        <f t="shared" si="70"/>
        <v>ELBEUF - 13 Rue de Rouen (D 938 sortie ELBEUF)</v>
      </c>
      <c r="C116" s="154" t="s">
        <v>104</v>
      </c>
      <c r="D116" s="155"/>
      <c r="E116" s="155"/>
      <c r="F116" s="155"/>
      <c r="G116" s="155"/>
      <c r="H116" s="155"/>
      <c r="I116" s="155"/>
      <c r="J116" s="156"/>
      <c r="K116" s="157">
        <f t="shared" si="71"/>
        <v>1</v>
      </c>
      <c r="L116" s="157">
        <f t="shared" si="72"/>
        <v>1</v>
      </c>
      <c r="M116" s="158" t="s">
        <v>670</v>
      </c>
      <c r="N116" s="159" t="s">
        <v>671</v>
      </c>
      <c r="O116" s="159">
        <v>76500</v>
      </c>
      <c r="P116" s="159" t="s">
        <v>463</v>
      </c>
      <c r="Q116" s="159" t="s">
        <v>672</v>
      </c>
      <c r="R116" s="159" t="s">
        <v>673</v>
      </c>
      <c r="S116" s="159"/>
      <c r="T116" s="159" t="s">
        <v>620</v>
      </c>
      <c r="U116" s="159" t="s">
        <v>674</v>
      </c>
      <c r="V116" s="160" t="s">
        <v>123</v>
      </c>
      <c r="W116" s="161"/>
      <c r="X116" s="162"/>
      <c r="Y116" s="163"/>
      <c r="Z116" s="162"/>
      <c r="AA116" s="163"/>
      <c r="AB116" s="162"/>
      <c r="AC116" s="163"/>
      <c r="AD116" s="162"/>
      <c r="AE116" s="163"/>
      <c r="AF116" s="162"/>
      <c r="AG116" s="163"/>
      <c r="AH116" s="163"/>
      <c r="AI116" s="162"/>
      <c r="AJ116" s="163"/>
      <c r="AK116" s="162"/>
      <c r="AL116" s="163"/>
      <c r="AM116" s="162"/>
      <c r="AN116" s="163">
        <v>6</v>
      </c>
      <c r="AO116" s="162"/>
      <c r="AP116" s="164"/>
      <c r="AQ116" s="164"/>
      <c r="AR116" s="164"/>
      <c r="AS116" s="164"/>
      <c r="AT116" s="164"/>
      <c r="AU116" s="164"/>
      <c r="AV116" s="164"/>
      <c r="AW116" s="164"/>
      <c r="AX116" s="164"/>
      <c r="AY116" s="165"/>
      <c r="AZ116" s="41"/>
      <c r="BA116" s="190"/>
      <c r="BB116" s="191"/>
      <c r="BC116" s="191"/>
      <c r="BD116" s="191"/>
      <c r="BE116" s="191"/>
      <c r="BF116" s="191"/>
      <c r="BG116" s="191">
        <v>50</v>
      </c>
      <c r="BH116" s="191"/>
      <c r="BI116" s="191"/>
      <c r="BJ116" s="191"/>
      <c r="BK116" s="191"/>
      <c r="BL116" s="191"/>
      <c r="BM116" s="191"/>
      <c r="BN116" s="191">
        <v>200</v>
      </c>
      <c r="BO116" s="191"/>
      <c r="BP116" s="191"/>
      <c r="BQ116" s="191"/>
      <c r="BR116" s="191"/>
      <c r="BS116" s="191"/>
      <c r="BT116" s="191"/>
      <c r="BU116" s="191">
        <v>100</v>
      </c>
      <c r="BV116" s="191"/>
      <c r="BW116" s="191"/>
      <c r="BX116" s="191"/>
      <c r="BY116" s="191"/>
      <c r="BZ116" s="191"/>
      <c r="CA116" s="191"/>
      <c r="CB116" s="191">
        <v>50</v>
      </c>
      <c r="CC116" s="191"/>
      <c r="CD116" s="191"/>
      <c r="CE116" s="192"/>
      <c r="CF116" s="190"/>
      <c r="CG116" s="191"/>
      <c r="CH116" s="191"/>
      <c r="CI116" s="191">
        <v>100</v>
      </c>
      <c r="CJ116" s="191"/>
      <c r="CK116" s="191"/>
      <c r="CL116" s="191"/>
      <c r="CM116" s="191"/>
      <c r="CN116" s="191"/>
      <c r="CO116" s="191"/>
      <c r="CP116" s="191">
        <v>10</v>
      </c>
      <c r="CQ116" s="191"/>
      <c r="CR116" s="191"/>
      <c r="CS116" s="191"/>
      <c r="CT116" s="191"/>
      <c r="CU116" s="191"/>
      <c r="CV116" s="191"/>
      <c r="CW116" s="191">
        <v>150</v>
      </c>
      <c r="CX116" s="191"/>
      <c r="CY116" s="191"/>
      <c r="CZ116" s="191"/>
      <c r="DA116" s="191"/>
      <c r="DB116" s="191"/>
      <c r="DC116" s="191"/>
      <c r="DD116" s="191">
        <v>150</v>
      </c>
      <c r="DE116" s="191"/>
      <c r="DF116" s="191"/>
      <c r="DG116" s="191"/>
      <c r="DH116" s="193"/>
      <c r="DI116" s="194"/>
      <c r="DJ116" s="191"/>
      <c r="DK116" s="191"/>
      <c r="DL116" s="191">
        <v>150</v>
      </c>
      <c r="DM116" s="191"/>
      <c r="DN116" s="191"/>
      <c r="DO116" s="191"/>
      <c r="DP116" s="191"/>
      <c r="DQ116" s="191"/>
      <c r="DR116" s="191"/>
      <c r="DS116" s="191">
        <v>100</v>
      </c>
      <c r="DT116" s="191"/>
      <c r="DU116" s="191"/>
      <c r="DV116" s="191"/>
      <c r="DW116" s="191"/>
      <c r="DX116" s="191"/>
      <c r="DY116" s="191"/>
      <c r="DZ116" s="191"/>
      <c r="EA116" s="191"/>
      <c r="EB116" s="191"/>
      <c r="EC116" s="191"/>
      <c r="ED116" s="191"/>
      <c r="EE116" s="191"/>
      <c r="EF116" s="191"/>
      <c r="EG116" s="191">
        <v>100</v>
      </c>
      <c r="EH116" s="191"/>
      <c r="EI116" s="191"/>
      <c r="EJ116" s="191"/>
      <c r="EK116" s="191"/>
      <c r="EL116" s="191"/>
      <c r="EM116" s="192"/>
      <c r="EN116" s="190">
        <v>100</v>
      </c>
      <c r="EO116" s="191"/>
      <c r="EP116" s="191"/>
      <c r="EQ116" s="191"/>
      <c r="ER116" s="191"/>
      <c r="ES116" s="191"/>
      <c r="ET116" s="191"/>
      <c r="EU116" s="191">
        <v>100</v>
      </c>
      <c r="EV116" s="191"/>
      <c r="EW116" s="191"/>
      <c r="EX116" s="191"/>
      <c r="EY116" s="191"/>
      <c r="EZ116" s="191"/>
      <c r="FA116" s="191"/>
      <c r="FB116" s="191">
        <v>100</v>
      </c>
      <c r="FC116" s="191"/>
      <c r="FD116" s="191"/>
      <c r="FE116" s="191"/>
      <c r="FF116" s="191"/>
      <c r="FG116" s="191"/>
      <c r="FH116" s="191"/>
      <c r="FI116" s="191">
        <v>150</v>
      </c>
      <c r="FJ116" s="191"/>
      <c r="FK116" s="191"/>
      <c r="FL116" s="191"/>
      <c r="FM116" s="191"/>
      <c r="FN116" s="191"/>
      <c r="FO116" s="191"/>
      <c r="FP116" s="191">
        <v>100</v>
      </c>
      <c r="FQ116" s="193"/>
      <c r="FR116" s="194"/>
      <c r="FS116" s="191"/>
      <c r="FT116" s="191"/>
      <c r="FU116" s="191"/>
      <c r="FV116" s="191"/>
      <c r="FW116" s="191">
        <v>50</v>
      </c>
      <c r="FX116" s="191"/>
      <c r="FY116" s="191"/>
      <c r="FZ116" s="191"/>
      <c r="GA116" s="191"/>
      <c r="GB116" s="191"/>
      <c r="GC116" s="191"/>
      <c r="GD116" s="191">
        <v>200</v>
      </c>
      <c r="GE116" s="191"/>
      <c r="GF116" s="191"/>
      <c r="GG116" s="191"/>
      <c r="GH116" s="191"/>
      <c r="GI116" s="191"/>
      <c r="GJ116" s="191"/>
      <c r="GK116" s="191">
        <v>150</v>
      </c>
      <c r="GL116" s="191"/>
      <c r="GM116" s="191"/>
      <c r="GN116" s="191"/>
      <c r="GO116" s="191"/>
      <c r="GP116" s="191"/>
      <c r="GQ116" s="191"/>
      <c r="GR116" s="191">
        <v>150</v>
      </c>
      <c r="GS116" s="191"/>
      <c r="GT116" s="191"/>
      <c r="GU116" s="191"/>
      <c r="GV116" s="192"/>
      <c r="GW116" s="190"/>
      <c r="GX116" s="191"/>
      <c r="GY116" s="191">
        <v>100</v>
      </c>
      <c r="GZ116" s="191"/>
      <c r="HA116" s="191"/>
      <c r="HB116" s="191"/>
      <c r="HC116" s="191"/>
      <c r="HD116" s="191"/>
      <c r="HE116" s="191"/>
      <c r="HF116" s="191">
        <v>100</v>
      </c>
      <c r="HG116" s="191"/>
      <c r="HH116" s="191"/>
      <c r="HI116" s="191"/>
      <c r="HJ116" s="191"/>
      <c r="HK116" s="191"/>
      <c r="HL116" s="191"/>
      <c r="HM116" s="191">
        <v>100</v>
      </c>
      <c r="HN116" s="191"/>
      <c r="HO116" s="191"/>
      <c r="HP116" s="191"/>
      <c r="HQ116" s="191"/>
      <c r="HR116" s="191"/>
      <c r="HS116" s="191"/>
      <c r="HT116" s="191">
        <v>150</v>
      </c>
      <c r="HU116" s="191"/>
      <c r="HV116" s="191"/>
      <c r="HW116" s="191"/>
      <c r="HX116" s="191"/>
      <c r="HY116" s="191"/>
      <c r="HZ116" s="193"/>
      <c r="IA116" s="194">
        <v>200</v>
      </c>
      <c r="IB116" s="191"/>
      <c r="IC116" s="191"/>
      <c r="ID116" s="191"/>
      <c r="IE116" s="191"/>
      <c r="IF116" s="191"/>
      <c r="IG116" s="191"/>
      <c r="IH116" s="191">
        <v>150</v>
      </c>
      <c r="II116" s="191"/>
      <c r="IJ116" s="191"/>
      <c r="IK116" s="191"/>
      <c r="IL116" s="191"/>
      <c r="IM116" s="191"/>
      <c r="IN116" s="191"/>
      <c r="IO116" s="191"/>
      <c r="IP116" s="191">
        <v>100</v>
      </c>
      <c r="IQ116" s="191"/>
      <c r="IR116" s="191"/>
      <c r="IS116" s="191"/>
      <c r="IT116" s="191"/>
      <c r="IU116" s="191"/>
      <c r="IV116" s="191"/>
      <c r="IW116" s="191"/>
      <c r="IX116" s="191"/>
      <c r="IY116" s="191"/>
      <c r="IZ116" s="191"/>
      <c r="JA116" s="191"/>
      <c r="JB116" s="191"/>
      <c r="JC116" s="191">
        <v>200</v>
      </c>
      <c r="JD116" s="191"/>
      <c r="JE116" s="192"/>
      <c r="JF116" s="190"/>
      <c r="JG116" s="191"/>
      <c r="JH116" s="191"/>
      <c r="JI116" s="191"/>
      <c r="JJ116" s="191">
        <v>50</v>
      </c>
      <c r="JK116" s="191"/>
      <c r="JL116" s="191"/>
      <c r="JM116" s="191"/>
      <c r="JN116" s="191"/>
      <c r="JO116" s="191"/>
      <c r="JP116" s="191"/>
      <c r="JQ116" s="191">
        <v>150</v>
      </c>
      <c r="JR116" s="191"/>
      <c r="JS116" s="191"/>
      <c r="JT116" s="191"/>
      <c r="JU116" s="191"/>
      <c r="JV116" s="191"/>
      <c r="JW116" s="191"/>
      <c r="JX116" s="191">
        <v>100</v>
      </c>
      <c r="JY116" s="191"/>
      <c r="JZ116" s="191"/>
      <c r="KA116" s="191"/>
      <c r="KB116" s="191"/>
      <c r="KC116" s="191"/>
      <c r="KD116" s="191"/>
      <c r="KE116" s="191">
        <v>200</v>
      </c>
      <c r="KF116" s="191"/>
      <c r="KG116" s="191"/>
      <c r="KH116" s="191"/>
      <c r="KI116" s="191"/>
      <c r="KJ116" s="193"/>
      <c r="KK116" s="194"/>
      <c r="KL116" s="191">
        <v>200</v>
      </c>
      <c r="KM116" s="191"/>
      <c r="KN116" s="191"/>
      <c r="KO116" s="191"/>
      <c r="KP116" s="191"/>
      <c r="KQ116" s="191"/>
      <c r="KR116" s="191"/>
      <c r="KS116" s="191">
        <v>100</v>
      </c>
      <c r="KT116" s="191"/>
      <c r="KU116" s="191"/>
      <c r="KV116" s="191"/>
      <c r="KW116" s="191"/>
      <c r="KX116" s="191"/>
      <c r="KY116" s="191"/>
      <c r="KZ116" s="191">
        <v>150</v>
      </c>
      <c r="LA116" s="191"/>
      <c r="LB116" s="191"/>
      <c r="LC116" s="191"/>
      <c r="LD116" s="191"/>
      <c r="LE116" s="191"/>
      <c r="LF116" s="191"/>
      <c r="LG116" s="191">
        <v>100</v>
      </c>
      <c r="LH116" s="191"/>
      <c r="LI116" s="191"/>
      <c r="LJ116" s="191"/>
      <c r="LK116" s="191"/>
      <c r="LL116" s="191"/>
      <c r="LM116" s="191"/>
      <c r="LN116" s="192">
        <v>200</v>
      </c>
      <c r="LO116" s="190"/>
      <c r="LP116" s="191"/>
      <c r="LQ116" s="191"/>
      <c r="LR116" s="191"/>
      <c r="LS116" s="191"/>
      <c r="LT116" s="191"/>
      <c r="LU116" s="191">
        <v>100</v>
      </c>
      <c r="LV116" s="191"/>
      <c r="LW116" s="191"/>
      <c r="LX116" s="191"/>
      <c r="LY116" s="191"/>
      <c r="LZ116" s="191"/>
      <c r="MA116" s="191"/>
      <c r="MB116" s="191">
        <v>100</v>
      </c>
      <c r="MC116" s="191"/>
      <c r="MD116" s="191"/>
      <c r="ME116" s="191"/>
      <c r="MF116" s="191"/>
      <c r="MG116" s="191"/>
      <c r="MH116" s="191"/>
      <c r="MI116" s="191">
        <v>100</v>
      </c>
      <c r="MJ116" s="191"/>
      <c r="MK116" s="191"/>
      <c r="ML116" s="191"/>
      <c r="MM116" s="191"/>
      <c r="MN116" s="191"/>
      <c r="MO116" s="191"/>
      <c r="MP116" s="191">
        <v>50</v>
      </c>
      <c r="MQ116" s="191"/>
      <c r="MR116" s="191"/>
      <c r="MS116" s="193"/>
      <c r="MT116" s="194"/>
      <c r="MU116" s="191"/>
      <c r="MV116" s="191"/>
      <c r="MW116" s="191">
        <v>150</v>
      </c>
      <c r="MX116" s="191"/>
      <c r="MY116" s="191"/>
      <c r="MZ116" s="191"/>
      <c r="NA116" s="191"/>
      <c r="NB116" s="191"/>
      <c r="NC116" s="191"/>
      <c r="ND116" s="191"/>
      <c r="NE116" s="191">
        <v>50</v>
      </c>
      <c r="NF116" s="191"/>
      <c r="NG116" s="191"/>
      <c r="NH116" s="191"/>
      <c r="NI116" s="191"/>
      <c r="NJ116" s="191"/>
      <c r="NK116" s="191">
        <v>10</v>
      </c>
      <c r="NL116" s="191"/>
      <c r="NM116" s="191"/>
      <c r="NN116" s="191"/>
      <c r="NO116" s="191"/>
      <c r="NP116" s="191"/>
      <c r="NQ116" s="191"/>
      <c r="NR116" s="191">
        <v>50</v>
      </c>
      <c r="NS116" s="191"/>
      <c r="NT116" s="191"/>
      <c r="NU116" s="191"/>
      <c r="NV116" s="191"/>
      <c r="NW116" s="192"/>
      <c r="NX116" s="190"/>
      <c r="NY116" s="191">
        <v>150</v>
      </c>
      <c r="NZ116" s="191"/>
      <c r="OA116" s="191"/>
      <c r="OB116" s="191"/>
      <c r="OC116" s="191"/>
      <c r="OD116" s="191"/>
      <c r="OE116" s="191"/>
      <c r="OF116" s="191">
        <v>50</v>
      </c>
      <c r="OG116" s="191"/>
      <c r="OH116" s="191"/>
      <c r="OI116" s="191"/>
      <c r="OJ116" s="191"/>
      <c r="OK116" s="191"/>
      <c r="OL116" s="191"/>
      <c r="OM116" s="191">
        <v>50</v>
      </c>
      <c r="ON116" s="191"/>
      <c r="OO116" s="191"/>
      <c r="OP116" s="191"/>
      <c r="OQ116" s="191"/>
      <c r="OR116" s="191"/>
      <c r="OS116" s="191"/>
      <c r="OT116" s="191"/>
      <c r="OU116" s="191"/>
      <c r="OV116" s="191"/>
      <c r="OW116" s="191"/>
      <c r="OX116" s="191"/>
      <c r="OY116" s="191"/>
      <c r="OZ116" s="191"/>
      <c r="PA116" s="191"/>
      <c r="PB116" s="193"/>
      <c r="PC116" s="47"/>
      <c r="PD116" s="154" t="s">
        <v>97</v>
      </c>
      <c r="PE116" s="155" t="s">
        <v>98</v>
      </c>
      <c r="PF116" s="155" t="s">
        <v>98</v>
      </c>
      <c r="PG116" s="155" t="s">
        <v>97</v>
      </c>
      <c r="PH116" s="155" t="s">
        <v>98</v>
      </c>
      <c r="PI116" s="155" t="s">
        <v>98</v>
      </c>
      <c r="PJ116" s="155" t="s">
        <v>98</v>
      </c>
      <c r="PK116" s="155" t="s">
        <v>98</v>
      </c>
      <c r="PL116" s="155" t="s">
        <v>98</v>
      </c>
      <c r="PM116" s="155" t="s">
        <v>98</v>
      </c>
      <c r="PN116" s="155" t="s">
        <v>98</v>
      </c>
      <c r="PO116" s="156"/>
      <c r="PP116" s="156"/>
      <c r="PQ116" s="156"/>
      <c r="PR116" s="156"/>
      <c r="PS116" s="156"/>
      <c r="PT116" s="156"/>
      <c r="PU116" s="156"/>
      <c r="PV116" s="156"/>
      <c r="PW116" s="156"/>
      <c r="PX116" s="195"/>
      <c r="PY116" s="1"/>
      <c r="PZ116" s="196">
        <f t="shared" si="73"/>
        <v>400</v>
      </c>
      <c r="QA116" s="176">
        <f t="shared" si="74"/>
        <v>3.3369483607241178E-3</v>
      </c>
      <c r="QB116" s="177" t="str">
        <f t="shared" ca="1" si="75"/>
        <v>Attente…</v>
      </c>
      <c r="QC116" s="197">
        <f t="shared" si="76"/>
        <v>410</v>
      </c>
      <c r="QD116" s="179">
        <f t="shared" si="77"/>
        <v>3.8389513108614231E-3</v>
      </c>
      <c r="QE116" s="180" t="str">
        <f t="shared" ca="1" si="78"/>
        <v>Attente…</v>
      </c>
      <c r="QF116" s="196">
        <f t="shared" si="79"/>
        <v>350</v>
      </c>
      <c r="QG116" s="176">
        <f t="shared" si="80"/>
        <v>2.787068004459309E-3</v>
      </c>
      <c r="QH116" s="177" t="str">
        <f t="shared" ca="1" si="81"/>
        <v>Attente…</v>
      </c>
      <c r="QI116" s="197">
        <f t="shared" si="82"/>
        <v>550</v>
      </c>
      <c r="QJ116" s="179">
        <f t="shared" si="83"/>
        <v>3.8574835180249685E-3</v>
      </c>
      <c r="QK116" s="180" t="str">
        <f t="shared" ca="1" si="84"/>
        <v>Attente…</v>
      </c>
      <c r="QL116" s="196">
        <f t="shared" si="85"/>
        <v>550</v>
      </c>
      <c r="QM116" s="176">
        <f t="shared" si="86"/>
        <v>4.0239976587649988E-3</v>
      </c>
      <c r="QN116" s="177" t="str">
        <f t="shared" ca="1" si="87"/>
        <v>Attente…</v>
      </c>
      <c r="QO116" s="197">
        <f t="shared" si="88"/>
        <v>450</v>
      </c>
      <c r="QP116" s="179">
        <f t="shared" si="89"/>
        <v>3.5230564471932986E-3</v>
      </c>
      <c r="QQ116" s="180" t="str">
        <f t="shared" ca="1" si="90"/>
        <v>Attente…</v>
      </c>
      <c r="QR116" s="196">
        <f t="shared" si="91"/>
        <v>650</v>
      </c>
      <c r="QS116" s="176">
        <f t="shared" si="92"/>
        <v>4.679457182966776E-3</v>
      </c>
      <c r="QT116" s="177" t="str">
        <f t="shared" ca="1" si="93"/>
        <v>Attente…</v>
      </c>
      <c r="QU116" s="197">
        <f t="shared" si="94"/>
        <v>500</v>
      </c>
      <c r="QV116" s="179">
        <f t="shared" si="95"/>
        <v>3.4473248758963046E-3</v>
      </c>
      <c r="QW116" s="180" t="str">
        <f t="shared" ca="1" si="96"/>
        <v>Attente…</v>
      </c>
      <c r="QX116" s="196">
        <f t="shared" si="97"/>
        <v>750</v>
      </c>
      <c r="QY116" s="176">
        <f t="shared" si="98"/>
        <v>5.4730143903791708E-3</v>
      </c>
      <c r="QZ116" s="177" t="str">
        <f t="shared" ca="1" si="99"/>
        <v>Attente…</v>
      </c>
      <c r="RA116" s="197">
        <f t="shared" si="100"/>
        <v>350</v>
      </c>
      <c r="RB116" s="179">
        <f t="shared" si="101"/>
        <v>2.7384398716845319E-3</v>
      </c>
      <c r="RC116" s="180" t="str">
        <f t="shared" ca="1" si="102"/>
        <v>Attente…</v>
      </c>
      <c r="RD116" s="196">
        <f t="shared" si="103"/>
        <v>260</v>
      </c>
      <c r="RE116" s="176">
        <f t="shared" si="104"/>
        <v>2.5906735751295338E-3</v>
      </c>
      <c r="RF116" s="177" t="str">
        <f t="shared" ca="1" si="105"/>
        <v>Attente…</v>
      </c>
      <c r="RG116" s="197">
        <f t="shared" si="106"/>
        <v>250</v>
      </c>
      <c r="RH116" s="179">
        <f t="shared" si="107"/>
        <v>4.5981239654221077E-3</v>
      </c>
      <c r="RI116" s="198" t="str">
        <f t="shared" ca="1" si="108"/>
        <v>Attente…</v>
      </c>
      <c r="RJ116" s="199">
        <f t="shared" si="109"/>
        <v>1160</v>
      </c>
      <c r="RK116" s="200" t="str">
        <f t="shared" ca="1" si="66"/>
        <v>Attente…</v>
      </c>
      <c r="RL116" s="199">
        <f t="shared" si="110"/>
        <v>1550</v>
      </c>
      <c r="RM116" s="200" t="str">
        <f t="shared" ca="1" si="111"/>
        <v>Atttente…</v>
      </c>
      <c r="RN116" s="199">
        <f t="shared" si="112"/>
        <v>1900</v>
      </c>
      <c r="RO116" s="200" t="str">
        <f t="shared" ca="1" si="67"/>
        <v>Attente…</v>
      </c>
      <c r="RP116" s="199">
        <f t="shared" si="113"/>
        <v>860</v>
      </c>
      <c r="RQ116" s="200" t="str">
        <f t="shared" ca="1" si="68"/>
        <v>Attente…</v>
      </c>
      <c r="RR116" s="201">
        <f t="shared" si="114"/>
        <v>5470</v>
      </c>
      <c r="RS116" s="202" t="str">
        <f t="shared" ca="1" si="69"/>
        <v>Attente…</v>
      </c>
      <c r="RT116" s="103"/>
      <c r="RU116" s="203">
        <f t="shared" si="115"/>
        <v>0.5697916666666667</v>
      </c>
      <c r="RV116" s="204">
        <f t="shared" si="118"/>
        <v>1</v>
      </c>
      <c r="RW116" s="204">
        <f t="shared" si="118"/>
        <v>1</v>
      </c>
      <c r="RX116" s="204">
        <f t="shared" si="116"/>
        <v>48</v>
      </c>
      <c r="RY116" s="205" t="str">
        <f t="shared" si="117"/>
        <v>ELBEUF - 13 Rue de Rouen (D 938 sortie ELBEUF)</v>
      </c>
      <c r="RZ116" s="189" t="str">
        <f>IF(OR(RZ115="",RZ115="  &lt;/Document&gt;
&lt;/kml&gt;"),"",
IF(B116="","  &lt;/Document&gt;
&lt;/kml&gt;",
IF(TournéesCAV!Q116=""," ",
"    &lt;Placemark&gt;
      &lt;description&gt;&lt;![CDATA["&amp;B116&amp;"&lt;br&gt;&lt;br&gt;"&amp;RV116&amp;" CAV&lt;br&gt;&lt;br&gt;Présent sur "&amp;RW116&amp;" tournée(s)&lt;br&gt;&lt;br&gt;Taux de remplissage moyen "&amp;TEXT(RU116*1000,"0 %")&amp;"]]&gt;&lt;/description&gt;
      &lt;Style&gt;
        &lt;IconStyle&gt;
          &lt;color&gt;ff"&amp;
          DEC2HEX(0,2)&amp;
          DEC2HEX(
            IF(RU116&lt;=0.5,
               INT(255*(RU116*2)),
               255
            ),2)&amp;
          DEC2HEX(
            IF(RU116&lt;=0.5,
               255,
               INT(255*(1-(RU116-0.5)*2))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&lt;Point&gt;&lt;coordinates&gt;"&amp;R116&amp;","&amp;Q116&amp;",0&lt;/coordinates&gt;&lt;/Point&gt;
    &lt;/Placemark&gt;"
)))</f>
        <v xml:space="preserve">    &lt;Placemark&gt;
      &lt;description&gt;&lt;![CDATA[ELBEUF - 13 Rue de Rouen (D 938 sortie ELBEUF)&lt;br&gt;&lt;br&gt;1 CAV&lt;br&gt;&lt;br&gt;Présent sur 1 tournée(s)&lt;br&gt;&lt;br&gt;Taux de remplissage moyen 57%]]&gt;&lt;/description&gt;
      &lt;Style&gt;
        &lt;IconStyle&gt;
          &lt;color&gt;ff00FFDB&lt;/color&gt;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&lt;Point&gt;&lt;coordinates&gt;0.9962223,49.2938423,0&lt;/coordinates&gt;&lt;/Point&gt;
    &lt;/Placemark&gt;</v>
      </c>
    </row>
    <row r="117" spans="2:494" ht="15" hidden="1" customHeight="1" x14ac:dyDescent="0.35">
      <c r="B117" s="153" t="str">
        <f t="shared" si="70"/>
        <v>ORIVAL - 26 Rue de Rouen</v>
      </c>
      <c r="C117" s="154">
        <v>19</v>
      </c>
      <c r="D117" s="155"/>
      <c r="E117" s="155"/>
      <c r="F117" s="155"/>
      <c r="G117" s="155"/>
      <c r="H117" s="155"/>
      <c r="I117" s="155"/>
      <c r="J117" s="156"/>
      <c r="K117" s="157">
        <f t="shared" si="71"/>
        <v>1</v>
      </c>
      <c r="L117" s="157">
        <f t="shared" si="72"/>
        <v>1</v>
      </c>
      <c r="M117" s="158" t="s">
        <v>675</v>
      </c>
      <c r="N117" s="159"/>
      <c r="O117" s="159">
        <v>76500</v>
      </c>
      <c r="P117" s="159" t="s">
        <v>676</v>
      </c>
      <c r="Q117" s="159" t="s">
        <v>677</v>
      </c>
      <c r="R117" s="159" t="s">
        <v>678</v>
      </c>
      <c r="S117" s="159" t="s">
        <v>93</v>
      </c>
      <c r="T117" s="159" t="s">
        <v>94</v>
      </c>
      <c r="U117" s="159" t="s">
        <v>679</v>
      </c>
      <c r="V117" s="160" t="s">
        <v>123</v>
      </c>
      <c r="W117" s="161"/>
      <c r="X117" s="162"/>
      <c r="Y117" s="163"/>
      <c r="Z117" s="162"/>
      <c r="AA117" s="163"/>
      <c r="AB117" s="162"/>
      <c r="AC117" s="163"/>
      <c r="AD117" s="162"/>
      <c r="AE117" s="163"/>
      <c r="AF117" s="162"/>
      <c r="AG117" s="163"/>
      <c r="AH117" s="163"/>
      <c r="AI117" s="162"/>
      <c r="AJ117" s="163"/>
      <c r="AK117" s="162"/>
      <c r="AL117" s="163"/>
      <c r="AM117" s="162"/>
      <c r="AN117" s="163">
        <v>7</v>
      </c>
      <c r="AO117" s="162"/>
      <c r="AP117" s="164"/>
      <c r="AQ117" s="164"/>
      <c r="AR117" s="164"/>
      <c r="AS117" s="164"/>
      <c r="AT117" s="164"/>
      <c r="AU117" s="164"/>
      <c r="AV117" s="164"/>
      <c r="AW117" s="164"/>
      <c r="AX117" s="164"/>
      <c r="AY117" s="165"/>
      <c r="AZ117" s="41"/>
      <c r="BA117" s="190"/>
      <c r="BB117" s="191"/>
      <c r="BC117" s="191"/>
      <c r="BD117" s="191"/>
      <c r="BE117" s="191"/>
      <c r="BF117" s="191"/>
      <c r="BG117" s="191">
        <v>50</v>
      </c>
      <c r="BH117" s="191"/>
      <c r="BI117" s="191"/>
      <c r="BJ117" s="191"/>
      <c r="BK117" s="191"/>
      <c r="BL117" s="191"/>
      <c r="BM117" s="191"/>
      <c r="BN117" s="191">
        <v>50</v>
      </c>
      <c r="BO117" s="191"/>
      <c r="BP117" s="191"/>
      <c r="BQ117" s="191"/>
      <c r="BR117" s="191"/>
      <c r="BS117" s="191"/>
      <c r="BT117" s="191"/>
      <c r="BU117" s="191">
        <v>50</v>
      </c>
      <c r="BV117" s="191"/>
      <c r="BW117" s="191"/>
      <c r="BX117" s="191"/>
      <c r="BY117" s="191"/>
      <c r="BZ117" s="191"/>
      <c r="CA117" s="191"/>
      <c r="CB117" s="191">
        <v>100</v>
      </c>
      <c r="CC117" s="191"/>
      <c r="CD117" s="191"/>
      <c r="CE117" s="192"/>
      <c r="CF117" s="190"/>
      <c r="CG117" s="191"/>
      <c r="CH117" s="191"/>
      <c r="CI117" s="191">
        <v>100</v>
      </c>
      <c r="CJ117" s="191"/>
      <c r="CK117" s="191"/>
      <c r="CL117" s="191"/>
      <c r="CM117" s="191"/>
      <c r="CN117" s="191"/>
      <c r="CO117" s="191"/>
      <c r="CP117" s="191">
        <v>50</v>
      </c>
      <c r="CQ117" s="191"/>
      <c r="CR117" s="191"/>
      <c r="CS117" s="191"/>
      <c r="CT117" s="191"/>
      <c r="CU117" s="191"/>
      <c r="CV117" s="191"/>
      <c r="CW117" s="191">
        <v>150</v>
      </c>
      <c r="CX117" s="191"/>
      <c r="CY117" s="191"/>
      <c r="CZ117" s="191"/>
      <c r="DA117" s="191"/>
      <c r="DB117" s="191"/>
      <c r="DC117" s="191"/>
      <c r="DD117" s="191">
        <v>200</v>
      </c>
      <c r="DE117" s="191"/>
      <c r="DF117" s="191"/>
      <c r="DG117" s="191"/>
      <c r="DH117" s="193"/>
      <c r="DI117" s="194"/>
      <c r="DJ117" s="191"/>
      <c r="DK117" s="191"/>
      <c r="DL117" s="191">
        <v>200</v>
      </c>
      <c r="DM117" s="191"/>
      <c r="DN117" s="191"/>
      <c r="DO117" s="191"/>
      <c r="DP117" s="191"/>
      <c r="DQ117" s="191"/>
      <c r="DR117" s="191"/>
      <c r="DS117" s="191">
        <v>150</v>
      </c>
      <c r="DT117" s="191"/>
      <c r="DU117" s="191"/>
      <c r="DV117" s="191"/>
      <c r="DW117" s="191"/>
      <c r="DX117" s="191"/>
      <c r="DY117" s="191"/>
      <c r="DZ117" s="191"/>
      <c r="EA117" s="191">
        <v>350</v>
      </c>
      <c r="EB117" s="191"/>
      <c r="EC117" s="191"/>
      <c r="ED117" s="191"/>
      <c r="EE117" s="191"/>
      <c r="EF117" s="191"/>
      <c r="EG117" s="191">
        <v>50</v>
      </c>
      <c r="EH117" s="191"/>
      <c r="EI117" s="191"/>
      <c r="EJ117" s="191"/>
      <c r="EK117" s="191"/>
      <c r="EL117" s="191"/>
      <c r="EM117" s="192"/>
      <c r="EN117" s="190">
        <v>100</v>
      </c>
      <c r="EO117" s="191"/>
      <c r="EP117" s="191"/>
      <c r="EQ117" s="191"/>
      <c r="ER117" s="191"/>
      <c r="ES117" s="191"/>
      <c r="ET117" s="191"/>
      <c r="EU117" s="191">
        <v>100</v>
      </c>
      <c r="EV117" s="191"/>
      <c r="EW117" s="191"/>
      <c r="EX117" s="191"/>
      <c r="EY117" s="191"/>
      <c r="EZ117" s="191"/>
      <c r="FA117" s="191"/>
      <c r="FB117" s="191">
        <v>200</v>
      </c>
      <c r="FC117" s="191"/>
      <c r="FD117" s="191"/>
      <c r="FE117" s="191"/>
      <c r="FF117" s="191"/>
      <c r="FG117" s="191"/>
      <c r="FH117" s="191"/>
      <c r="FI117" s="191">
        <v>200</v>
      </c>
      <c r="FJ117" s="191"/>
      <c r="FK117" s="191"/>
      <c r="FL117" s="191"/>
      <c r="FM117" s="191"/>
      <c r="FN117" s="191"/>
      <c r="FO117" s="191"/>
      <c r="FP117" s="191">
        <v>150</v>
      </c>
      <c r="FQ117" s="193"/>
      <c r="FR117" s="194"/>
      <c r="FS117" s="191"/>
      <c r="FT117" s="191"/>
      <c r="FU117" s="191"/>
      <c r="FV117" s="191"/>
      <c r="FW117" s="191">
        <v>100</v>
      </c>
      <c r="FX117" s="191"/>
      <c r="FY117" s="191"/>
      <c r="FZ117" s="191"/>
      <c r="GA117" s="191"/>
      <c r="GB117" s="191"/>
      <c r="GC117" s="191"/>
      <c r="GD117" s="191">
        <v>150</v>
      </c>
      <c r="GE117" s="191"/>
      <c r="GF117" s="191"/>
      <c r="GG117" s="191"/>
      <c r="GH117" s="191"/>
      <c r="GI117" s="191"/>
      <c r="GJ117" s="191"/>
      <c r="GK117" s="191">
        <v>150</v>
      </c>
      <c r="GL117" s="191"/>
      <c r="GM117" s="191"/>
      <c r="GN117" s="191"/>
      <c r="GO117" s="191"/>
      <c r="GP117" s="191"/>
      <c r="GQ117" s="191"/>
      <c r="GR117" s="191">
        <v>100</v>
      </c>
      <c r="GS117" s="191"/>
      <c r="GT117" s="191"/>
      <c r="GU117" s="191"/>
      <c r="GV117" s="192"/>
      <c r="GW117" s="190"/>
      <c r="GX117" s="191"/>
      <c r="GY117" s="191">
        <v>100</v>
      </c>
      <c r="GZ117" s="191"/>
      <c r="HA117" s="191"/>
      <c r="HB117" s="191"/>
      <c r="HC117" s="191"/>
      <c r="HD117" s="191"/>
      <c r="HE117" s="191"/>
      <c r="HF117" s="191">
        <v>200</v>
      </c>
      <c r="HG117" s="191"/>
      <c r="HH117" s="191"/>
      <c r="HI117" s="191"/>
      <c r="HJ117" s="191"/>
      <c r="HK117" s="191"/>
      <c r="HL117" s="191"/>
      <c r="HM117" s="191">
        <v>100</v>
      </c>
      <c r="HN117" s="191"/>
      <c r="HO117" s="191"/>
      <c r="HP117" s="191"/>
      <c r="HQ117" s="191"/>
      <c r="HR117" s="191"/>
      <c r="HS117" s="191"/>
      <c r="HT117" s="191">
        <v>150</v>
      </c>
      <c r="HU117" s="191"/>
      <c r="HV117" s="191"/>
      <c r="HW117" s="191"/>
      <c r="HX117" s="191"/>
      <c r="HY117" s="191"/>
      <c r="HZ117" s="193"/>
      <c r="IA117" s="194">
        <v>150</v>
      </c>
      <c r="IB117" s="191"/>
      <c r="IC117" s="191"/>
      <c r="ID117" s="191"/>
      <c r="IE117" s="191"/>
      <c r="IF117" s="191"/>
      <c r="IG117" s="191"/>
      <c r="IH117" s="191">
        <v>200</v>
      </c>
      <c r="II117" s="191"/>
      <c r="IJ117" s="191"/>
      <c r="IK117" s="191"/>
      <c r="IL117" s="191"/>
      <c r="IM117" s="191"/>
      <c r="IN117" s="191"/>
      <c r="IO117" s="191"/>
      <c r="IP117" s="191">
        <v>100</v>
      </c>
      <c r="IQ117" s="191"/>
      <c r="IR117" s="191"/>
      <c r="IS117" s="191"/>
      <c r="IT117" s="191"/>
      <c r="IU117" s="191"/>
      <c r="IV117" s="191">
        <v>200</v>
      </c>
      <c r="IW117" s="191"/>
      <c r="IX117" s="191"/>
      <c r="IY117" s="191"/>
      <c r="IZ117" s="191"/>
      <c r="JA117" s="191"/>
      <c r="JB117" s="191"/>
      <c r="JC117" s="191">
        <v>200</v>
      </c>
      <c r="JD117" s="191"/>
      <c r="JE117" s="192"/>
      <c r="JF117" s="190"/>
      <c r="JG117" s="191"/>
      <c r="JH117" s="191"/>
      <c r="JI117" s="191"/>
      <c r="JJ117" s="191">
        <v>150</v>
      </c>
      <c r="JK117" s="191"/>
      <c r="JL117" s="191"/>
      <c r="JM117" s="191"/>
      <c r="JN117" s="191"/>
      <c r="JO117" s="191"/>
      <c r="JP117" s="191"/>
      <c r="JQ117" s="191">
        <v>150</v>
      </c>
      <c r="JR117" s="191"/>
      <c r="JS117" s="191"/>
      <c r="JT117" s="191"/>
      <c r="JU117" s="191"/>
      <c r="JV117" s="191"/>
      <c r="JW117" s="191"/>
      <c r="JX117" s="191">
        <v>100</v>
      </c>
      <c r="JY117" s="191"/>
      <c r="JZ117" s="191"/>
      <c r="KA117" s="191"/>
      <c r="KB117" s="191"/>
      <c r="KC117" s="191"/>
      <c r="KD117" s="191"/>
      <c r="KE117" s="191">
        <v>200</v>
      </c>
      <c r="KF117" s="191"/>
      <c r="KG117" s="191"/>
      <c r="KH117" s="191"/>
      <c r="KI117" s="191"/>
      <c r="KJ117" s="193"/>
      <c r="KK117" s="194"/>
      <c r="KL117" s="191">
        <v>200</v>
      </c>
      <c r="KM117" s="191"/>
      <c r="KN117" s="191"/>
      <c r="KO117" s="191"/>
      <c r="KP117" s="191"/>
      <c r="KQ117" s="191"/>
      <c r="KR117" s="191"/>
      <c r="KS117" s="191">
        <v>100</v>
      </c>
      <c r="KT117" s="191"/>
      <c r="KU117" s="191"/>
      <c r="KV117" s="191"/>
      <c r="KW117" s="191"/>
      <c r="KX117" s="191"/>
      <c r="KY117" s="191"/>
      <c r="KZ117" s="191">
        <v>150</v>
      </c>
      <c r="LA117" s="191"/>
      <c r="LB117" s="191"/>
      <c r="LC117" s="191"/>
      <c r="LD117" s="191"/>
      <c r="LE117" s="191"/>
      <c r="LF117" s="191"/>
      <c r="LG117" s="191">
        <v>150</v>
      </c>
      <c r="LH117" s="191"/>
      <c r="LI117" s="191"/>
      <c r="LJ117" s="191"/>
      <c r="LK117" s="191"/>
      <c r="LL117" s="191"/>
      <c r="LM117" s="191"/>
      <c r="LN117" s="192">
        <v>150</v>
      </c>
      <c r="LO117" s="190"/>
      <c r="LP117" s="191"/>
      <c r="LQ117" s="191"/>
      <c r="LR117" s="191"/>
      <c r="LS117" s="191"/>
      <c r="LT117" s="191"/>
      <c r="LU117" s="191">
        <v>50</v>
      </c>
      <c r="LV117" s="191"/>
      <c r="LW117" s="191"/>
      <c r="LX117" s="191"/>
      <c r="LY117" s="191"/>
      <c r="LZ117" s="191"/>
      <c r="MA117" s="191"/>
      <c r="MB117" s="191">
        <v>50</v>
      </c>
      <c r="MC117" s="191"/>
      <c r="MD117" s="191"/>
      <c r="ME117" s="191"/>
      <c r="MF117" s="191"/>
      <c r="MG117" s="191"/>
      <c r="MH117" s="191"/>
      <c r="MI117" s="191">
        <v>150</v>
      </c>
      <c r="MJ117" s="191"/>
      <c r="MK117" s="191"/>
      <c r="ML117" s="191"/>
      <c r="MM117" s="191"/>
      <c r="MN117" s="191"/>
      <c r="MO117" s="191"/>
      <c r="MP117" s="191">
        <v>100</v>
      </c>
      <c r="MQ117" s="191"/>
      <c r="MR117" s="191"/>
      <c r="MS117" s="193"/>
      <c r="MT117" s="194"/>
      <c r="MU117" s="191"/>
      <c r="MV117" s="191"/>
      <c r="MW117" s="191">
        <v>200</v>
      </c>
      <c r="MX117" s="191"/>
      <c r="MY117" s="191"/>
      <c r="MZ117" s="191"/>
      <c r="NA117" s="191"/>
      <c r="NB117" s="191"/>
      <c r="NC117" s="191"/>
      <c r="ND117" s="191"/>
      <c r="NE117" s="191">
        <v>150</v>
      </c>
      <c r="NF117" s="191"/>
      <c r="NG117" s="191"/>
      <c r="NH117" s="191"/>
      <c r="NI117" s="191"/>
      <c r="NJ117" s="191"/>
      <c r="NK117" s="191">
        <v>50</v>
      </c>
      <c r="NL117" s="191"/>
      <c r="NM117" s="191"/>
      <c r="NN117" s="191"/>
      <c r="NO117" s="191"/>
      <c r="NP117" s="191"/>
      <c r="NQ117" s="191"/>
      <c r="NR117" s="191">
        <v>50</v>
      </c>
      <c r="NS117" s="191"/>
      <c r="NT117" s="191"/>
      <c r="NU117" s="191"/>
      <c r="NV117" s="191"/>
      <c r="NW117" s="192"/>
      <c r="NX117" s="190"/>
      <c r="NY117" s="191">
        <v>100</v>
      </c>
      <c r="NZ117" s="191"/>
      <c r="OA117" s="191"/>
      <c r="OB117" s="191"/>
      <c r="OC117" s="191"/>
      <c r="OD117" s="191"/>
      <c r="OE117" s="191"/>
      <c r="OF117" s="191">
        <v>100</v>
      </c>
      <c r="OG117" s="191"/>
      <c r="OH117" s="191"/>
      <c r="OI117" s="191"/>
      <c r="OJ117" s="191"/>
      <c r="OK117" s="191"/>
      <c r="OL117" s="191"/>
      <c r="OM117" s="191">
        <v>150</v>
      </c>
      <c r="ON117" s="191"/>
      <c r="OO117" s="191"/>
      <c r="OP117" s="191"/>
      <c r="OQ117" s="191"/>
      <c r="OR117" s="191"/>
      <c r="OS117" s="191"/>
      <c r="OT117" s="191"/>
      <c r="OU117" s="191"/>
      <c r="OV117" s="191"/>
      <c r="OW117" s="191"/>
      <c r="OX117" s="191"/>
      <c r="OY117" s="191"/>
      <c r="OZ117" s="191"/>
      <c r="PA117" s="191"/>
      <c r="PB117" s="193"/>
      <c r="PC117" s="47"/>
      <c r="PD117" s="154" t="s">
        <v>97</v>
      </c>
      <c r="PE117" s="155" t="s">
        <v>98</v>
      </c>
      <c r="PF117" s="155" t="s">
        <v>98</v>
      </c>
      <c r="PG117" s="155" t="s">
        <v>97</v>
      </c>
      <c r="PH117" s="155" t="s">
        <v>98</v>
      </c>
      <c r="PI117" s="155" t="s">
        <v>98</v>
      </c>
      <c r="PJ117" s="155" t="s">
        <v>98</v>
      </c>
      <c r="PK117" s="155" t="s">
        <v>98</v>
      </c>
      <c r="PL117" s="155" t="s">
        <v>98</v>
      </c>
      <c r="PM117" s="155" t="s">
        <v>98</v>
      </c>
      <c r="PN117" s="155" t="s">
        <v>98</v>
      </c>
      <c r="PO117" s="156"/>
      <c r="PP117" s="156"/>
      <c r="PQ117" s="156"/>
      <c r="PR117" s="156"/>
      <c r="PS117" s="156"/>
      <c r="PT117" s="156"/>
      <c r="PU117" s="156"/>
      <c r="PV117" s="156"/>
      <c r="PW117" s="156"/>
      <c r="PX117" s="195"/>
      <c r="PY117" s="1"/>
      <c r="PZ117" s="196">
        <f t="shared" si="73"/>
        <v>250</v>
      </c>
      <c r="QA117" s="176">
        <f t="shared" si="74"/>
        <v>2.0855927254525737E-3</v>
      </c>
      <c r="QB117" s="177" t="str">
        <f t="shared" ca="1" si="75"/>
        <v>Attente…</v>
      </c>
      <c r="QC117" s="197">
        <f t="shared" si="76"/>
        <v>500</v>
      </c>
      <c r="QD117" s="179">
        <f t="shared" si="77"/>
        <v>4.6816479400749065E-3</v>
      </c>
      <c r="QE117" s="180" t="str">
        <f t="shared" ca="1" si="78"/>
        <v>Attente…</v>
      </c>
      <c r="QF117" s="196">
        <f t="shared" si="79"/>
        <v>750</v>
      </c>
      <c r="QG117" s="176">
        <f t="shared" si="80"/>
        <v>5.972288580984233E-3</v>
      </c>
      <c r="QH117" s="177" t="str">
        <f t="shared" ca="1" si="81"/>
        <v>Attente…</v>
      </c>
      <c r="QI117" s="197">
        <f t="shared" si="82"/>
        <v>750</v>
      </c>
      <c r="QJ117" s="179">
        <f t="shared" si="83"/>
        <v>5.2602047973067754E-3</v>
      </c>
      <c r="QK117" s="180" t="str">
        <f t="shared" ca="1" si="84"/>
        <v>Attente…</v>
      </c>
      <c r="QL117" s="196">
        <f t="shared" si="85"/>
        <v>500</v>
      </c>
      <c r="QM117" s="176">
        <f t="shared" si="86"/>
        <v>3.6581796897863623E-3</v>
      </c>
      <c r="QN117" s="177" t="str">
        <f t="shared" ca="1" si="87"/>
        <v>Attente…</v>
      </c>
      <c r="QO117" s="197">
        <f t="shared" si="88"/>
        <v>550</v>
      </c>
      <c r="QP117" s="179">
        <f t="shared" si="89"/>
        <v>4.3059578799029205E-3</v>
      </c>
      <c r="QQ117" s="180" t="str">
        <f t="shared" ca="1" si="90"/>
        <v>Attente…</v>
      </c>
      <c r="QR117" s="196">
        <f t="shared" si="91"/>
        <v>850</v>
      </c>
      <c r="QS117" s="176">
        <f t="shared" si="92"/>
        <v>6.1192901623411686E-3</v>
      </c>
      <c r="QT117" s="177" t="str">
        <f t="shared" ca="1" si="93"/>
        <v>Attente…</v>
      </c>
      <c r="QU117" s="197">
        <f t="shared" si="94"/>
        <v>600</v>
      </c>
      <c r="QV117" s="179">
        <f t="shared" si="95"/>
        <v>4.1367898510755651E-3</v>
      </c>
      <c r="QW117" s="180" t="str">
        <f t="shared" ca="1" si="96"/>
        <v>Attente…</v>
      </c>
      <c r="QX117" s="196">
        <f t="shared" si="97"/>
        <v>750</v>
      </c>
      <c r="QY117" s="176">
        <f t="shared" si="98"/>
        <v>5.4730143903791708E-3</v>
      </c>
      <c r="QZ117" s="177" t="str">
        <f t="shared" ca="1" si="99"/>
        <v>Attente…</v>
      </c>
      <c r="RA117" s="197">
        <f t="shared" si="100"/>
        <v>350</v>
      </c>
      <c r="RB117" s="179">
        <f t="shared" si="101"/>
        <v>2.7384398716845319E-3</v>
      </c>
      <c r="RC117" s="180" t="str">
        <f t="shared" ca="1" si="102"/>
        <v>Attente…</v>
      </c>
      <c r="RD117" s="196">
        <f t="shared" si="103"/>
        <v>450</v>
      </c>
      <c r="RE117" s="176">
        <f t="shared" si="104"/>
        <v>4.483858110801116E-3</v>
      </c>
      <c r="RF117" s="177" t="str">
        <f t="shared" ca="1" si="105"/>
        <v>Attente…</v>
      </c>
      <c r="RG117" s="197">
        <f t="shared" si="106"/>
        <v>350</v>
      </c>
      <c r="RH117" s="179">
        <f t="shared" si="107"/>
        <v>6.4373735515909506E-3</v>
      </c>
      <c r="RI117" s="198" t="str">
        <f t="shared" ca="1" si="108"/>
        <v>Attente…</v>
      </c>
      <c r="RJ117" s="199">
        <f t="shared" si="109"/>
        <v>1500</v>
      </c>
      <c r="RK117" s="200" t="str">
        <f t="shared" ca="1" si="66"/>
        <v>Attente…</v>
      </c>
      <c r="RL117" s="199">
        <f t="shared" si="110"/>
        <v>1800</v>
      </c>
      <c r="RM117" s="200" t="str">
        <f t="shared" ca="1" si="111"/>
        <v>Atttente…</v>
      </c>
      <c r="RN117" s="199">
        <f t="shared" si="112"/>
        <v>2200</v>
      </c>
      <c r="RO117" s="200" t="str">
        <f t="shared" ca="1" si="67"/>
        <v>Attente…</v>
      </c>
      <c r="RP117" s="199">
        <f t="shared" si="113"/>
        <v>1150</v>
      </c>
      <c r="RQ117" s="200" t="str">
        <f t="shared" ca="1" si="68"/>
        <v>Attente…</v>
      </c>
      <c r="RR117" s="201">
        <f t="shared" si="114"/>
        <v>6650</v>
      </c>
      <c r="RS117" s="202" t="str">
        <f t="shared" ca="1" si="69"/>
        <v>Attente…</v>
      </c>
      <c r="RT117" s="103"/>
      <c r="RU117" s="203">
        <f t="shared" si="115"/>
        <v>0.66500000000000004</v>
      </c>
      <c r="RV117" s="204">
        <f t="shared" si="118"/>
        <v>1</v>
      </c>
      <c r="RW117" s="204">
        <f t="shared" si="118"/>
        <v>1</v>
      </c>
      <c r="RX117" s="204">
        <f t="shared" si="116"/>
        <v>50</v>
      </c>
      <c r="RY117" s="205" t="str">
        <f t="shared" si="117"/>
        <v>ORIVAL - 26 Rue de Rouen</v>
      </c>
      <c r="RZ117" s="189" t="str">
        <f>IF(OR(RZ116="",RZ116="  &lt;/Document&gt;
&lt;/kml&gt;"),"",
IF(B117="","  &lt;/Document&gt;
&lt;/kml&gt;",
IF(TournéesCAV!Q117=""," ",
"    &lt;Placemark&gt;
      &lt;description&gt;&lt;![CDATA["&amp;B117&amp;"&lt;br&gt;&lt;br&gt;"&amp;RV117&amp;" CAV&lt;br&gt;&lt;br&gt;Présent sur "&amp;RW117&amp;" tournée(s)&lt;br&gt;&lt;br&gt;Taux de remplissage moyen "&amp;TEXT(RU117*1000,"0 %")&amp;"]]&gt;&lt;/description&gt;
      &lt;Style&gt;
        &lt;IconStyle&gt;
          &lt;color&gt;ff"&amp;
          DEC2HEX(0,2)&amp;
          DEC2HEX(
            IF(RU117&lt;=0.5,
               INT(255*(RU117*2)),
               255
            ),2)&amp;
          DEC2HEX(
            IF(RU117&lt;=0.5,
               255,
               INT(255*(1-(RU117-0.5)*2))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&lt;Point&gt;&lt;coordinates&gt;"&amp;R117&amp;","&amp;Q117&amp;",0&lt;/coordinates&gt;&lt;/Point&gt;
    &lt;/Placemark&gt;"
)))</f>
        <v xml:space="preserve">    &lt;Placemark&gt;
      &lt;description&gt;&lt;![CDATA[ORIVAL - 26 Rue de Rouen&lt;br&gt;&lt;br&gt;1 CAV&lt;br&gt;&lt;br&gt;Présent sur 1 tournée(s)&lt;br&gt;&lt;br&gt;Taux de remplissage moyen 67%]]&gt;&lt;/description&gt;
      &lt;Style&gt;
        &lt;IconStyle&gt;
          &lt;color&gt;ff00FFAA&lt;/color&gt;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&lt;Point&gt;&lt;coordinates&gt;0.9944486,49.2972863,0&lt;/coordinates&gt;&lt;/Point&gt;
    &lt;/Placemark&gt;</v>
      </c>
    </row>
    <row r="118" spans="2:494" ht="15" hidden="1" customHeight="1" x14ac:dyDescent="0.35">
      <c r="B118" s="153" t="str">
        <f t="shared" si="70"/>
        <v>CAUDEBEC-LÈS-ELBEUF - 627 Rue de la Chaussée (Déchetterie)</v>
      </c>
      <c r="C118" s="154">
        <v>55</v>
      </c>
      <c r="D118" s="155">
        <v>9</v>
      </c>
      <c r="E118" s="155"/>
      <c r="F118" s="155"/>
      <c r="G118" s="155"/>
      <c r="H118" s="155"/>
      <c r="I118" s="155"/>
      <c r="J118" s="156"/>
      <c r="K118" s="157">
        <f t="shared" si="71"/>
        <v>2</v>
      </c>
      <c r="L118" s="157">
        <f t="shared" si="72"/>
        <v>1</v>
      </c>
      <c r="M118" s="158" t="s">
        <v>680</v>
      </c>
      <c r="N118" s="159" t="s">
        <v>411</v>
      </c>
      <c r="O118" s="159">
        <v>76320</v>
      </c>
      <c r="P118" s="159" t="s">
        <v>564</v>
      </c>
      <c r="Q118" s="159" t="s">
        <v>681</v>
      </c>
      <c r="R118" s="159" t="s">
        <v>682</v>
      </c>
      <c r="S118" s="159" t="s">
        <v>93</v>
      </c>
      <c r="T118" s="159" t="s">
        <v>159</v>
      </c>
      <c r="U118" s="159" t="s">
        <v>683</v>
      </c>
      <c r="V118" s="160" t="s">
        <v>96</v>
      </c>
      <c r="W118" s="161"/>
      <c r="X118" s="162"/>
      <c r="Y118" s="163"/>
      <c r="Z118" s="162"/>
      <c r="AA118" s="163"/>
      <c r="AB118" s="162"/>
      <c r="AC118" s="163"/>
      <c r="AD118" s="162"/>
      <c r="AE118" s="163"/>
      <c r="AF118" s="162"/>
      <c r="AG118" s="163"/>
      <c r="AH118" s="163"/>
      <c r="AI118" s="162"/>
      <c r="AJ118" s="163"/>
      <c r="AK118" s="162"/>
      <c r="AL118" s="163"/>
      <c r="AM118" s="162">
        <v>10</v>
      </c>
      <c r="AN118" s="163"/>
      <c r="AO118" s="162"/>
      <c r="AP118" s="164"/>
      <c r="AQ118" s="164"/>
      <c r="AR118" s="164"/>
      <c r="AS118" s="164"/>
      <c r="AT118" s="164"/>
      <c r="AU118" s="164"/>
      <c r="AV118" s="164"/>
      <c r="AW118" s="164"/>
      <c r="AX118" s="164"/>
      <c r="AY118" s="165"/>
      <c r="AZ118" s="41"/>
      <c r="BA118" s="190"/>
      <c r="BB118" s="191"/>
      <c r="BC118" s="191"/>
      <c r="BD118" s="191"/>
      <c r="BE118" s="191"/>
      <c r="BF118" s="191"/>
      <c r="BG118" s="191">
        <v>400</v>
      </c>
      <c r="BH118" s="191"/>
      <c r="BI118" s="191"/>
      <c r="BJ118" s="191"/>
      <c r="BK118" s="191"/>
      <c r="BL118" s="191"/>
      <c r="BM118" s="191"/>
      <c r="BN118" s="191">
        <v>200</v>
      </c>
      <c r="BO118" s="191"/>
      <c r="BP118" s="191"/>
      <c r="BQ118" s="191"/>
      <c r="BR118" s="191"/>
      <c r="BS118" s="191"/>
      <c r="BT118" s="191"/>
      <c r="BU118" s="191">
        <v>250</v>
      </c>
      <c r="BV118" s="191"/>
      <c r="BW118" s="191"/>
      <c r="BX118" s="191"/>
      <c r="BY118" s="191"/>
      <c r="BZ118" s="191"/>
      <c r="CA118" s="191"/>
      <c r="CB118" s="191">
        <v>300</v>
      </c>
      <c r="CC118" s="191"/>
      <c r="CD118" s="191"/>
      <c r="CE118" s="192"/>
      <c r="CF118" s="190"/>
      <c r="CG118" s="191"/>
      <c r="CH118" s="191"/>
      <c r="CI118" s="191">
        <v>250</v>
      </c>
      <c r="CJ118" s="191"/>
      <c r="CK118" s="191"/>
      <c r="CL118" s="191"/>
      <c r="CM118" s="191"/>
      <c r="CN118" s="191"/>
      <c r="CO118" s="191"/>
      <c r="CP118" s="191">
        <v>300</v>
      </c>
      <c r="CQ118" s="191"/>
      <c r="CR118" s="191"/>
      <c r="CS118" s="191"/>
      <c r="CT118" s="191"/>
      <c r="CU118" s="191"/>
      <c r="CV118" s="191"/>
      <c r="CW118" s="191">
        <v>400</v>
      </c>
      <c r="CX118" s="191"/>
      <c r="CY118" s="191"/>
      <c r="CZ118" s="191"/>
      <c r="DA118" s="191"/>
      <c r="DB118" s="191"/>
      <c r="DC118" s="191"/>
      <c r="DD118" s="191">
        <v>200</v>
      </c>
      <c r="DE118" s="191"/>
      <c r="DF118" s="191"/>
      <c r="DG118" s="191"/>
      <c r="DH118" s="193"/>
      <c r="DI118" s="194"/>
      <c r="DJ118" s="191"/>
      <c r="DK118" s="191"/>
      <c r="DL118" s="191">
        <v>350</v>
      </c>
      <c r="DM118" s="191"/>
      <c r="DN118" s="191"/>
      <c r="DO118" s="191"/>
      <c r="DP118" s="191"/>
      <c r="DQ118" s="191"/>
      <c r="DR118" s="191"/>
      <c r="DS118" s="191"/>
      <c r="DT118" s="191"/>
      <c r="DU118" s="191"/>
      <c r="DV118" s="191"/>
      <c r="DW118" s="191"/>
      <c r="DX118" s="191"/>
      <c r="DY118" s="191"/>
      <c r="DZ118" s="191">
        <v>400</v>
      </c>
      <c r="EA118" s="191"/>
      <c r="EB118" s="191"/>
      <c r="EC118" s="191"/>
      <c r="ED118" s="191"/>
      <c r="EE118" s="191"/>
      <c r="EF118" s="191"/>
      <c r="EG118" s="191">
        <v>400</v>
      </c>
      <c r="EH118" s="191"/>
      <c r="EI118" s="191"/>
      <c r="EJ118" s="191"/>
      <c r="EK118" s="191"/>
      <c r="EL118" s="191"/>
      <c r="EM118" s="192"/>
      <c r="EN118" s="190">
        <v>200</v>
      </c>
      <c r="EO118" s="191"/>
      <c r="EP118" s="191"/>
      <c r="EQ118" s="191"/>
      <c r="ER118" s="191"/>
      <c r="ES118" s="191"/>
      <c r="ET118" s="191"/>
      <c r="EU118" s="191">
        <v>300</v>
      </c>
      <c r="EV118" s="191"/>
      <c r="EW118" s="191"/>
      <c r="EX118" s="191"/>
      <c r="EY118" s="191"/>
      <c r="EZ118" s="191"/>
      <c r="FA118" s="191"/>
      <c r="FB118" s="191">
        <v>350</v>
      </c>
      <c r="FC118" s="191"/>
      <c r="FD118" s="191"/>
      <c r="FE118" s="191"/>
      <c r="FF118" s="191"/>
      <c r="FG118" s="191"/>
      <c r="FH118" s="191"/>
      <c r="FI118" s="191">
        <v>400</v>
      </c>
      <c r="FJ118" s="191"/>
      <c r="FK118" s="191"/>
      <c r="FL118" s="191"/>
      <c r="FM118" s="191"/>
      <c r="FN118" s="191"/>
      <c r="FO118" s="191"/>
      <c r="FP118" s="191">
        <v>350</v>
      </c>
      <c r="FQ118" s="193"/>
      <c r="FR118" s="194"/>
      <c r="FS118" s="191"/>
      <c r="FT118" s="191"/>
      <c r="FU118" s="191"/>
      <c r="FV118" s="191"/>
      <c r="FW118" s="191">
        <v>400</v>
      </c>
      <c r="FX118" s="191"/>
      <c r="FY118" s="191"/>
      <c r="FZ118" s="191"/>
      <c r="GA118" s="191"/>
      <c r="GB118" s="191"/>
      <c r="GC118" s="191"/>
      <c r="GD118" s="191">
        <v>400</v>
      </c>
      <c r="GE118" s="191"/>
      <c r="GF118" s="191"/>
      <c r="GG118" s="191"/>
      <c r="GH118" s="191"/>
      <c r="GI118" s="191"/>
      <c r="GJ118" s="191"/>
      <c r="GK118" s="191">
        <v>250</v>
      </c>
      <c r="GL118" s="191"/>
      <c r="GM118" s="191"/>
      <c r="GN118" s="191"/>
      <c r="GO118" s="191"/>
      <c r="GP118" s="191"/>
      <c r="GQ118" s="191"/>
      <c r="GR118" s="191">
        <v>350</v>
      </c>
      <c r="GS118" s="191"/>
      <c r="GT118" s="191"/>
      <c r="GU118" s="191"/>
      <c r="GV118" s="192"/>
      <c r="GW118" s="190"/>
      <c r="GX118" s="191"/>
      <c r="GY118" s="191">
        <v>400</v>
      </c>
      <c r="GZ118" s="191"/>
      <c r="HA118" s="191"/>
      <c r="HB118" s="191"/>
      <c r="HC118" s="191"/>
      <c r="HD118" s="191"/>
      <c r="HE118" s="191"/>
      <c r="HF118" s="191"/>
      <c r="HG118" s="191"/>
      <c r="HH118" s="191"/>
      <c r="HI118" s="191"/>
      <c r="HJ118" s="191"/>
      <c r="HK118" s="191"/>
      <c r="HL118" s="191"/>
      <c r="HM118" s="191">
        <v>300</v>
      </c>
      <c r="HN118" s="191"/>
      <c r="HO118" s="191"/>
      <c r="HP118" s="191"/>
      <c r="HQ118" s="191"/>
      <c r="HR118" s="191"/>
      <c r="HS118" s="191"/>
      <c r="HT118" s="191">
        <v>400</v>
      </c>
      <c r="HU118" s="191"/>
      <c r="HV118" s="191"/>
      <c r="HW118" s="191"/>
      <c r="HX118" s="191"/>
      <c r="HY118" s="191"/>
      <c r="HZ118" s="193"/>
      <c r="IA118" s="194">
        <v>400</v>
      </c>
      <c r="IB118" s="191"/>
      <c r="IC118" s="191"/>
      <c r="ID118" s="191"/>
      <c r="IE118" s="191"/>
      <c r="IF118" s="191"/>
      <c r="IG118" s="191"/>
      <c r="IH118" s="191">
        <v>400</v>
      </c>
      <c r="II118" s="191"/>
      <c r="IJ118" s="191"/>
      <c r="IK118" s="191"/>
      <c r="IL118" s="191"/>
      <c r="IM118" s="191"/>
      <c r="IN118" s="191"/>
      <c r="IO118" s="191"/>
      <c r="IP118" s="191">
        <v>300</v>
      </c>
      <c r="IQ118" s="191"/>
      <c r="IR118" s="191"/>
      <c r="IS118" s="191"/>
      <c r="IT118" s="191"/>
      <c r="IU118" s="191"/>
      <c r="IV118" s="191">
        <v>400</v>
      </c>
      <c r="IW118" s="191"/>
      <c r="IX118" s="191"/>
      <c r="IY118" s="191"/>
      <c r="IZ118" s="191"/>
      <c r="JA118" s="191"/>
      <c r="JB118" s="191"/>
      <c r="JC118" s="191">
        <v>400</v>
      </c>
      <c r="JD118" s="191"/>
      <c r="JE118" s="192"/>
      <c r="JF118" s="190"/>
      <c r="JG118" s="191"/>
      <c r="JH118" s="191"/>
      <c r="JI118" s="191"/>
      <c r="JJ118" s="191">
        <v>400</v>
      </c>
      <c r="JK118" s="191"/>
      <c r="JL118" s="191"/>
      <c r="JM118" s="191"/>
      <c r="JN118" s="191"/>
      <c r="JO118" s="191"/>
      <c r="JP118" s="191"/>
      <c r="JQ118" s="191"/>
      <c r="JR118" s="191"/>
      <c r="JS118" s="191"/>
      <c r="JT118" s="191"/>
      <c r="JU118" s="191"/>
      <c r="JV118" s="191"/>
      <c r="JW118" s="191"/>
      <c r="JX118" s="191"/>
      <c r="JY118" s="191"/>
      <c r="JZ118" s="191"/>
      <c r="KA118" s="191"/>
      <c r="KB118" s="191"/>
      <c r="KC118" s="191"/>
      <c r="KD118" s="191"/>
      <c r="KE118" s="191">
        <v>400</v>
      </c>
      <c r="KF118" s="191"/>
      <c r="KG118" s="191"/>
      <c r="KH118" s="191"/>
      <c r="KI118" s="191"/>
      <c r="KJ118" s="193"/>
      <c r="KK118" s="194"/>
      <c r="KL118" s="191">
        <v>400</v>
      </c>
      <c r="KM118" s="191"/>
      <c r="KN118" s="191"/>
      <c r="KO118" s="191"/>
      <c r="KP118" s="191"/>
      <c r="KQ118" s="191"/>
      <c r="KR118" s="191"/>
      <c r="KS118" s="191">
        <v>150</v>
      </c>
      <c r="KT118" s="191"/>
      <c r="KU118" s="191"/>
      <c r="KV118" s="191"/>
      <c r="KW118" s="191"/>
      <c r="KX118" s="191"/>
      <c r="KY118" s="191"/>
      <c r="KZ118" s="191">
        <v>300</v>
      </c>
      <c r="LA118" s="191"/>
      <c r="LB118" s="191"/>
      <c r="LC118" s="191"/>
      <c r="LD118" s="191"/>
      <c r="LE118" s="191"/>
      <c r="LF118" s="191"/>
      <c r="LG118" s="191">
        <v>250</v>
      </c>
      <c r="LH118" s="191"/>
      <c r="LI118" s="191"/>
      <c r="LJ118" s="191"/>
      <c r="LK118" s="191"/>
      <c r="LL118" s="191"/>
      <c r="LM118" s="191"/>
      <c r="LN118" s="192">
        <v>200</v>
      </c>
      <c r="LO118" s="190"/>
      <c r="LP118" s="191"/>
      <c r="LQ118" s="191"/>
      <c r="LR118" s="191"/>
      <c r="LS118" s="191"/>
      <c r="LT118" s="191"/>
      <c r="LU118" s="191">
        <v>250</v>
      </c>
      <c r="LV118" s="191"/>
      <c r="LW118" s="191"/>
      <c r="LX118" s="191"/>
      <c r="LY118" s="191"/>
      <c r="LZ118" s="191"/>
      <c r="MA118" s="191"/>
      <c r="MB118" s="191">
        <v>400</v>
      </c>
      <c r="MC118" s="191"/>
      <c r="MD118" s="191"/>
      <c r="ME118" s="191"/>
      <c r="MF118" s="191"/>
      <c r="MG118" s="191"/>
      <c r="MH118" s="191"/>
      <c r="MI118" s="191">
        <v>350</v>
      </c>
      <c r="MJ118" s="191"/>
      <c r="MK118" s="191"/>
      <c r="ML118" s="191"/>
      <c r="MM118" s="191"/>
      <c r="MN118" s="191"/>
      <c r="MO118" s="191"/>
      <c r="MP118" s="191">
        <v>300</v>
      </c>
      <c r="MQ118" s="191"/>
      <c r="MR118" s="191"/>
      <c r="MS118" s="193"/>
      <c r="MT118" s="194"/>
      <c r="MU118" s="191"/>
      <c r="MV118" s="191"/>
      <c r="MW118" s="191">
        <v>350</v>
      </c>
      <c r="MX118" s="191"/>
      <c r="MY118" s="191"/>
      <c r="MZ118" s="191"/>
      <c r="NA118" s="191"/>
      <c r="NB118" s="191"/>
      <c r="NC118" s="191"/>
      <c r="ND118" s="191"/>
      <c r="NE118" s="191">
        <v>250</v>
      </c>
      <c r="NF118" s="191"/>
      <c r="NG118" s="191"/>
      <c r="NH118" s="191"/>
      <c r="NI118" s="191"/>
      <c r="NJ118" s="191"/>
      <c r="NK118" s="191">
        <v>400</v>
      </c>
      <c r="NL118" s="191"/>
      <c r="NM118" s="191"/>
      <c r="NN118" s="191"/>
      <c r="NO118" s="191"/>
      <c r="NP118" s="191"/>
      <c r="NQ118" s="191"/>
      <c r="NR118" s="191">
        <v>300</v>
      </c>
      <c r="NS118" s="191"/>
      <c r="NT118" s="191"/>
      <c r="NU118" s="191"/>
      <c r="NV118" s="191"/>
      <c r="NW118" s="192"/>
      <c r="NX118" s="190"/>
      <c r="NY118" s="191">
        <v>300</v>
      </c>
      <c r="NZ118" s="191"/>
      <c r="OA118" s="191"/>
      <c r="OB118" s="191"/>
      <c r="OC118" s="191"/>
      <c r="OD118" s="191"/>
      <c r="OE118" s="191"/>
      <c r="OF118" s="191">
        <v>250</v>
      </c>
      <c r="OG118" s="191"/>
      <c r="OH118" s="191"/>
      <c r="OI118" s="191"/>
      <c r="OJ118" s="191"/>
      <c r="OK118" s="191"/>
      <c r="OL118" s="191"/>
      <c r="OM118" s="191">
        <v>200</v>
      </c>
      <c r="ON118" s="191"/>
      <c r="OO118" s="191"/>
      <c r="OP118" s="191"/>
      <c r="OQ118" s="191"/>
      <c r="OR118" s="191"/>
      <c r="OS118" s="191"/>
      <c r="OT118" s="191"/>
      <c r="OU118" s="191"/>
      <c r="OV118" s="191"/>
      <c r="OW118" s="191"/>
      <c r="OX118" s="191"/>
      <c r="OY118" s="191"/>
      <c r="OZ118" s="191"/>
      <c r="PA118" s="191"/>
      <c r="PB118" s="193"/>
      <c r="PC118" s="47"/>
      <c r="PD118" s="154" t="s">
        <v>97</v>
      </c>
      <c r="PE118" s="155" t="s">
        <v>684</v>
      </c>
      <c r="PF118" s="155" t="s">
        <v>98</v>
      </c>
      <c r="PG118" s="155" t="s">
        <v>98</v>
      </c>
      <c r="PH118" s="155" t="s">
        <v>98</v>
      </c>
      <c r="PI118" s="155" t="s">
        <v>98</v>
      </c>
      <c r="PJ118" s="155" t="s">
        <v>98</v>
      </c>
      <c r="PK118" s="155" t="s">
        <v>98</v>
      </c>
      <c r="PL118" s="155" t="s">
        <v>98</v>
      </c>
      <c r="PM118" s="155" t="s">
        <v>98</v>
      </c>
      <c r="PN118" s="155" t="s">
        <v>98</v>
      </c>
      <c r="PO118" s="156"/>
      <c r="PP118" s="156"/>
      <c r="PQ118" s="156"/>
      <c r="PR118" s="156"/>
      <c r="PS118" s="156"/>
      <c r="PT118" s="156"/>
      <c r="PU118" s="156"/>
      <c r="PV118" s="156"/>
      <c r="PW118" s="156"/>
      <c r="PX118" s="195"/>
      <c r="PY118" s="1"/>
      <c r="PZ118" s="196">
        <f t="shared" si="73"/>
        <v>1150</v>
      </c>
      <c r="QA118" s="176">
        <f t="shared" si="74"/>
        <v>9.5937265370818394E-3</v>
      </c>
      <c r="QB118" s="177" t="str">
        <f t="shared" ca="1" si="75"/>
        <v>Attente…</v>
      </c>
      <c r="QC118" s="197">
        <f t="shared" si="76"/>
        <v>1150</v>
      </c>
      <c r="QD118" s="179">
        <f t="shared" si="77"/>
        <v>1.0767790262172285E-2</v>
      </c>
      <c r="QE118" s="180" t="str">
        <f t="shared" ca="1" si="78"/>
        <v>Attente…</v>
      </c>
      <c r="QF118" s="196">
        <f t="shared" si="79"/>
        <v>1150</v>
      </c>
      <c r="QG118" s="176">
        <f t="shared" si="80"/>
        <v>9.1575091575091579E-3</v>
      </c>
      <c r="QH118" s="177" t="str">
        <f t="shared" ca="1" si="81"/>
        <v>Attente…</v>
      </c>
      <c r="QI118" s="197">
        <f t="shared" si="82"/>
        <v>1600</v>
      </c>
      <c r="QJ118" s="179">
        <f t="shared" si="83"/>
        <v>1.1221770234254453E-2</v>
      </c>
      <c r="QK118" s="180" t="str">
        <f t="shared" ca="1" si="84"/>
        <v>Attente…</v>
      </c>
      <c r="QL118" s="196">
        <f t="shared" si="85"/>
        <v>1400</v>
      </c>
      <c r="QM118" s="176">
        <f t="shared" si="86"/>
        <v>1.0242903131401814E-2</v>
      </c>
      <c r="QN118" s="177" t="str">
        <f t="shared" ca="1" si="87"/>
        <v>Attente…</v>
      </c>
      <c r="QO118" s="197">
        <f t="shared" si="88"/>
        <v>1100</v>
      </c>
      <c r="QP118" s="179">
        <f t="shared" si="89"/>
        <v>8.611915759805841E-3</v>
      </c>
      <c r="QQ118" s="180" t="str">
        <f t="shared" ca="1" si="90"/>
        <v>Attente…</v>
      </c>
      <c r="QR118" s="196">
        <f t="shared" si="91"/>
        <v>1900</v>
      </c>
      <c r="QS118" s="176">
        <f t="shared" si="92"/>
        <v>1.367841330405673E-2</v>
      </c>
      <c r="QT118" s="177" t="str">
        <f t="shared" ca="1" si="93"/>
        <v>Attente…</v>
      </c>
      <c r="QU118" s="197">
        <f t="shared" si="94"/>
        <v>800</v>
      </c>
      <c r="QV118" s="179">
        <f t="shared" si="95"/>
        <v>5.5157198014340872E-3</v>
      </c>
      <c r="QW118" s="180" t="str">
        <f t="shared" ca="1" si="96"/>
        <v>Attente…</v>
      </c>
      <c r="QX118" s="196">
        <f t="shared" si="97"/>
        <v>1300</v>
      </c>
      <c r="QY118" s="176">
        <f t="shared" si="98"/>
        <v>9.4865582766572292E-3</v>
      </c>
      <c r="QZ118" s="177" t="str">
        <f t="shared" ca="1" si="99"/>
        <v>Attente…</v>
      </c>
      <c r="RA118" s="197">
        <f t="shared" si="100"/>
        <v>1300</v>
      </c>
      <c r="RB118" s="179">
        <f t="shared" si="101"/>
        <v>1.017134809482826E-2</v>
      </c>
      <c r="RC118" s="180" t="str">
        <f t="shared" ca="1" si="102"/>
        <v>Attente…</v>
      </c>
      <c r="RD118" s="196">
        <f t="shared" si="103"/>
        <v>1300</v>
      </c>
      <c r="RE118" s="176">
        <f t="shared" si="104"/>
        <v>1.2953367875647668E-2</v>
      </c>
      <c r="RF118" s="177" t="str">
        <f t="shared" ca="1" si="105"/>
        <v>Attente…</v>
      </c>
      <c r="RG118" s="197">
        <f t="shared" si="106"/>
        <v>750</v>
      </c>
      <c r="RH118" s="179">
        <f t="shared" si="107"/>
        <v>1.3794371896266323E-2</v>
      </c>
      <c r="RI118" s="198" t="str">
        <f t="shared" ca="1" si="108"/>
        <v>Attente…</v>
      </c>
      <c r="RJ118" s="199">
        <f t="shared" si="109"/>
        <v>3450</v>
      </c>
      <c r="RK118" s="200" t="str">
        <f t="shared" ca="1" si="66"/>
        <v>Attente…</v>
      </c>
      <c r="RL118" s="199">
        <f t="shared" si="110"/>
        <v>4100</v>
      </c>
      <c r="RM118" s="200" t="str">
        <f t="shared" ca="1" si="111"/>
        <v>Atttente…</v>
      </c>
      <c r="RN118" s="199">
        <f t="shared" si="112"/>
        <v>4000</v>
      </c>
      <c r="RO118" s="200" t="str">
        <f t="shared" ca="1" si="67"/>
        <v>Attente…</v>
      </c>
      <c r="RP118" s="199">
        <f t="shared" si="113"/>
        <v>3350</v>
      </c>
      <c r="RQ118" s="200" t="str">
        <f t="shared" ca="1" si="68"/>
        <v>Attente…</v>
      </c>
      <c r="RR118" s="201">
        <f t="shared" si="114"/>
        <v>14900</v>
      </c>
      <c r="RS118" s="202" t="str">
        <f t="shared" ca="1" si="69"/>
        <v>Attente…</v>
      </c>
      <c r="RT118" s="103"/>
      <c r="RU118" s="203">
        <f t="shared" si="115"/>
        <v>0.80978260869565222</v>
      </c>
      <c r="RV118" s="204">
        <f t="shared" si="118"/>
        <v>2</v>
      </c>
      <c r="RW118" s="204">
        <f t="shared" si="118"/>
        <v>1</v>
      </c>
      <c r="RX118" s="204">
        <f t="shared" si="116"/>
        <v>46</v>
      </c>
      <c r="RY118" s="205" t="str">
        <f t="shared" si="117"/>
        <v>CAUDEBEC-LÈS-ELBEUF - 627 Rue de la Chaussée (Déchetterie)</v>
      </c>
      <c r="RZ118" s="189" t="str">
        <f>IF(OR(RZ117="",RZ117="  &lt;/Document&gt;
&lt;/kml&gt;"),"",
IF(B118="","  &lt;/Document&gt;
&lt;/kml&gt;",
IF(TournéesCAV!Q118=""," ",
"    &lt;Placemark&gt;
      &lt;description&gt;&lt;![CDATA["&amp;B118&amp;"&lt;br&gt;&lt;br&gt;"&amp;RV118&amp;" CAV&lt;br&gt;&lt;br&gt;Présent sur "&amp;RW118&amp;" tournée(s)&lt;br&gt;&lt;br&gt;Taux de remplissage moyen "&amp;TEXT(RU118*1000,"0 %")&amp;"]]&gt;&lt;/description&gt;
      &lt;Style&gt;
        &lt;IconStyle&gt;
          &lt;color&gt;ff"&amp;
          DEC2HEX(0,2)&amp;
          DEC2HEX(
            IF(RU118&lt;=0.5,
               INT(255*(RU118*2)),
               255
            ),2)&amp;
          DEC2HEX(
            IF(RU118&lt;=0.5,
               255,
               INT(255*(1-(RU118-0.5)*2))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&lt;Point&gt;&lt;coordinates&gt;"&amp;R118&amp;","&amp;Q118&amp;",0&lt;/coordinates&gt;&lt;/Point&gt;
    &lt;/Placemark&gt;"
)))</f>
        <v xml:space="preserve">    &lt;Placemark&gt;
      &lt;description&gt;&lt;![CDATA[CAUDEBEC-LÈS-ELBEUF - 627 Rue de la Chaussée (Déchetterie)&lt;br&gt;&lt;br&gt;2 CAV&lt;br&gt;&lt;br&gt;Présent sur 1 tournée(s)&lt;br&gt;&lt;br&gt;Taux de remplissage moyen 81%]]&gt;&lt;/description&gt;
      &lt;Style&gt;
        &lt;IconStyle&gt;
          &lt;color&gt;ff00FF61&lt;/color&gt;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&lt;Point&gt;&lt;coordinates&gt;1.0306552,49.2908071,0&lt;/coordinates&gt;&lt;/Point&gt;
    &lt;/Placemark&gt;</v>
      </c>
    </row>
    <row r="119" spans="2:494" ht="15" hidden="1" customHeight="1" x14ac:dyDescent="0.35">
      <c r="B119" s="153" t="str">
        <f t="shared" si="70"/>
        <v>SAINT-PIERRE-LÈS-ELBEUF - Route de Pont de l'Arche (En face L'Auto E.Leclerc)</v>
      </c>
      <c r="C119" s="154" t="s">
        <v>104</v>
      </c>
      <c r="D119" s="155" t="s">
        <v>104</v>
      </c>
      <c r="E119" s="155"/>
      <c r="F119" s="155"/>
      <c r="G119" s="155"/>
      <c r="H119" s="155"/>
      <c r="I119" s="155"/>
      <c r="J119" s="156"/>
      <c r="K119" s="157">
        <f t="shared" si="71"/>
        <v>2</v>
      </c>
      <c r="L119" s="157">
        <f t="shared" si="72"/>
        <v>1</v>
      </c>
      <c r="M119" s="158" t="s">
        <v>685</v>
      </c>
      <c r="N119" s="159" t="s">
        <v>686</v>
      </c>
      <c r="O119" s="159">
        <v>76320</v>
      </c>
      <c r="P119" s="159" t="s">
        <v>611</v>
      </c>
      <c r="Q119" s="159" t="s">
        <v>687</v>
      </c>
      <c r="R119" s="159" t="s">
        <v>688</v>
      </c>
      <c r="S119" s="159" t="s">
        <v>93</v>
      </c>
      <c r="T119" s="159" t="s">
        <v>110</v>
      </c>
      <c r="U119" s="159" t="s">
        <v>689</v>
      </c>
      <c r="V119" s="160" t="s">
        <v>123</v>
      </c>
      <c r="W119" s="161"/>
      <c r="X119" s="162"/>
      <c r="Y119" s="163"/>
      <c r="Z119" s="162"/>
      <c r="AA119" s="163"/>
      <c r="AB119" s="162"/>
      <c r="AC119" s="163"/>
      <c r="AD119" s="162"/>
      <c r="AE119" s="163"/>
      <c r="AF119" s="162"/>
      <c r="AG119" s="163"/>
      <c r="AH119" s="163"/>
      <c r="AI119" s="162"/>
      <c r="AJ119" s="163"/>
      <c r="AK119" s="162"/>
      <c r="AL119" s="163"/>
      <c r="AM119" s="162"/>
      <c r="AN119" s="163">
        <v>8</v>
      </c>
      <c r="AO119" s="162"/>
      <c r="AP119" s="164"/>
      <c r="AQ119" s="164"/>
      <c r="AR119" s="164"/>
      <c r="AS119" s="164"/>
      <c r="AT119" s="164"/>
      <c r="AU119" s="164"/>
      <c r="AV119" s="164"/>
      <c r="AW119" s="164"/>
      <c r="AX119" s="164"/>
      <c r="AY119" s="165"/>
      <c r="AZ119" s="41"/>
      <c r="BA119" s="190"/>
      <c r="BB119" s="191"/>
      <c r="BC119" s="191"/>
      <c r="BD119" s="191"/>
      <c r="BE119" s="191"/>
      <c r="BF119" s="191"/>
      <c r="BG119" s="191">
        <v>100</v>
      </c>
      <c r="BH119" s="191"/>
      <c r="BI119" s="191"/>
      <c r="BJ119" s="191"/>
      <c r="BK119" s="191"/>
      <c r="BL119" s="191"/>
      <c r="BM119" s="191"/>
      <c r="BN119" s="191">
        <v>400</v>
      </c>
      <c r="BO119" s="191"/>
      <c r="BP119" s="191"/>
      <c r="BQ119" s="191"/>
      <c r="BR119" s="191"/>
      <c r="BS119" s="191"/>
      <c r="BT119" s="191"/>
      <c r="BU119" s="191"/>
      <c r="BV119" s="191"/>
      <c r="BW119" s="191"/>
      <c r="BX119" s="191"/>
      <c r="BY119" s="191"/>
      <c r="BZ119" s="191"/>
      <c r="CA119" s="191"/>
      <c r="CB119" s="191">
        <v>400</v>
      </c>
      <c r="CC119" s="191"/>
      <c r="CD119" s="191"/>
      <c r="CE119" s="192"/>
      <c r="CF119" s="190"/>
      <c r="CG119" s="191"/>
      <c r="CH119" s="191"/>
      <c r="CI119" s="191">
        <v>300</v>
      </c>
      <c r="CJ119" s="191"/>
      <c r="CK119" s="191"/>
      <c r="CL119" s="191"/>
      <c r="CM119" s="191"/>
      <c r="CN119" s="191"/>
      <c r="CO119" s="191"/>
      <c r="CP119" s="191">
        <v>400</v>
      </c>
      <c r="CQ119" s="191"/>
      <c r="CR119" s="191"/>
      <c r="CS119" s="191"/>
      <c r="CT119" s="191"/>
      <c r="CU119" s="191"/>
      <c r="CV119" s="191"/>
      <c r="CW119" s="191">
        <v>400</v>
      </c>
      <c r="CX119" s="191"/>
      <c r="CY119" s="191"/>
      <c r="CZ119" s="191"/>
      <c r="DA119" s="191"/>
      <c r="DB119" s="191"/>
      <c r="DC119" s="191"/>
      <c r="DD119" s="191">
        <v>300</v>
      </c>
      <c r="DE119" s="191"/>
      <c r="DF119" s="191"/>
      <c r="DG119" s="191"/>
      <c r="DH119" s="193"/>
      <c r="DI119" s="194"/>
      <c r="DJ119" s="191"/>
      <c r="DK119" s="191"/>
      <c r="DL119" s="191">
        <v>400</v>
      </c>
      <c r="DM119" s="191"/>
      <c r="DN119" s="191"/>
      <c r="DO119" s="191"/>
      <c r="DP119" s="191"/>
      <c r="DQ119" s="191"/>
      <c r="DR119" s="191"/>
      <c r="DS119" s="191">
        <v>300</v>
      </c>
      <c r="DT119" s="191"/>
      <c r="DU119" s="191"/>
      <c r="DV119" s="191"/>
      <c r="DW119" s="191"/>
      <c r="DX119" s="191"/>
      <c r="DY119" s="191"/>
      <c r="DZ119" s="191">
        <v>400</v>
      </c>
      <c r="EA119" s="191"/>
      <c r="EB119" s="191"/>
      <c r="EC119" s="191"/>
      <c r="ED119" s="191"/>
      <c r="EE119" s="191"/>
      <c r="EF119" s="191"/>
      <c r="EG119" s="191">
        <v>400</v>
      </c>
      <c r="EH119" s="191"/>
      <c r="EI119" s="191"/>
      <c r="EJ119" s="191"/>
      <c r="EK119" s="191"/>
      <c r="EL119" s="191"/>
      <c r="EM119" s="192"/>
      <c r="EN119" s="190">
        <v>400</v>
      </c>
      <c r="EO119" s="191"/>
      <c r="EP119" s="191"/>
      <c r="EQ119" s="191"/>
      <c r="ER119" s="191"/>
      <c r="ES119" s="191"/>
      <c r="ET119" s="191"/>
      <c r="EU119" s="191">
        <v>350</v>
      </c>
      <c r="EV119" s="191"/>
      <c r="EW119" s="191"/>
      <c r="EX119" s="191"/>
      <c r="EY119" s="191"/>
      <c r="EZ119" s="191"/>
      <c r="FA119" s="191"/>
      <c r="FB119" s="191">
        <v>400</v>
      </c>
      <c r="FC119" s="191"/>
      <c r="FD119" s="191"/>
      <c r="FE119" s="191"/>
      <c r="FF119" s="191"/>
      <c r="FG119" s="191"/>
      <c r="FH119" s="191"/>
      <c r="FI119" s="191">
        <v>400</v>
      </c>
      <c r="FJ119" s="191"/>
      <c r="FK119" s="191"/>
      <c r="FL119" s="191"/>
      <c r="FM119" s="191"/>
      <c r="FN119" s="191"/>
      <c r="FO119" s="191"/>
      <c r="FP119" s="191">
        <v>400</v>
      </c>
      <c r="FQ119" s="193"/>
      <c r="FR119" s="194"/>
      <c r="FS119" s="191"/>
      <c r="FT119" s="191"/>
      <c r="FU119" s="191"/>
      <c r="FV119" s="191"/>
      <c r="FW119" s="191">
        <v>400</v>
      </c>
      <c r="FX119" s="191"/>
      <c r="FY119" s="191"/>
      <c r="FZ119" s="191"/>
      <c r="GA119" s="191"/>
      <c r="GB119" s="191"/>
      <c r="GC119" s="191"/>
      <c r="GD119" s="191">
        <v>400</v>
      </c>
      <c r="GE119" s="191"/>
      <c r="GF119" s="191"/>
      <c r="GG119" s="191"/>
      <c r="GH119" s="191"/>
      <c r="GI119" s="191"/>
      <c r="GJ119" s="191"/>
      <c r="GK119" s="191">
        <v>400</v>
      </c>
      <c r="GL119" s="191"/>
      <c r="GM119" s="191"/>
      <c r="GN119" s="191"/>
      <c r="GO119" s="191"/>
      <c r="GP119" s="191"/>
      <c r="GQ119" s="191"/>
      <c r="GR119" s="191">
        <v>400</v>
      </c>
      <c r="GS119" s="191"/>
      <c r="GT119" s="191"/>
      <c r="GU119" s="191"/>
      <c r="GV119" s="192"/>
      <c r="GW119" s="190"/>
      <c r="GX119" s="191"/>
      <c r="GY119" s="191">
        <v>350</v>
      </c>
      <c r="GZ119" s="191"/>
      <c r="HA119" s="191"/>
      <c r="HB119" s="191"/>
      <c r="HC119" s="191"/>
      <c r="HD119" s="191"/>
      <c r="HE119" s="191"/>
      <c r="HF119" s="191">
        <v>400</v>
      </c>
      <c r="HG119" s="191"/>
      <c r="HH119" s="191"/>
      <c r="HI119" s="191"/>
      <c r="HJ119" s="191"/>
      <c r="HK119" s="191"/>
      <c r="HL119" s="191"/>
      <c r="HM119" s="191">
        <v>400</v>
      </c>
      <c r="HN119" s="191"/>
      <c r="HO119" s="191"/>
      <c r="HP119" s="191"/>
      <c r="HQ119" s="191"/>
      <c r="HR119" s="191"/>
      <c r="HS119" s="191"/>
      <c r="HT119" s="191">
        <v>400</v>
      </c>
      <c r="HU119" s="191"/>
      <c r="HV119" s="191"/>
      <c r="HW119" s="191"/>
      <c r="HX119" s="191"/>
      <c r="HY119" s="191"/>
      <c r="HZ119" s="193"/>
      <c r="IA119" s="194">
        <v>400</v>
      </c>
      <c r="IB119" s="191"/>
      <c r="IC119" s="191"/>
      <c r="ID119" s="191"/>
      <c r="IE119" s="191"/>
      <c r="IF119" s="191"/>
      <c r="IG119" s="191"/>
      <c r="IH119" s="191">
        <v>400</v>
      </c>
      <c r="II119" s="191"/>
      <c r="IJ119" s="191"/>
      <c r="IK119" s="191"/>
      <c r="IL119" s="191"/>
      <c r="IM119" s="191"/>
      <c r="IN119" s="191"/>
      <c r="IO119" s="191"/>
      <c r="IP119" s="191">
        <v>400</v>
      </c>
      <c r="IQ119" s="191"/>
      <c r="IR119" s="191"/>
      <c r="IS119" s="191"/>
      <c r="IT119" s="191"/>
      <c r="IU119" s="191"/>
      <c r="IV119" s="191"/>
      <c r="IW119" s="191"/>
      <c r="IX119" s="191"/>
      <c r="IY119" s="191"/>
      <c r="IZ119" s="191"/>
      <c r="JA119" s="191"/>
      <c r="JB119" s="191"/>
      <c r="JC119" s="191">
        <v>400</v>
      </c>
      <c r="JD119" s="191"/>
      <c r="JE119" s="192"/>
      <c r="JF119" s="190"/>
      <c r="JG119" s="191"/>
      <c r="JH119" s="191"/>
      <c r="JI119" s="191"/>
      <c r="JJ119" s="191">
        <v>400</v>
      </c>
      <c r="JK119" s="191"/>
      <c r="JL119" s="191"/>
      <c r="JM119" s="191"/>
      <c r="JN119" s="191"/>
      <c r="JO119" s="191"/>
      <c r="JP119" s="191"/>
      <c r="JQ119" s="191">
        <v>400</v>
      </c>
      <c r="JR119" s="191"/>
      <c r="JS119" s="191"/>
      <c r="JT119" s="191"/>
      <c r="JU119" s="191"/>
      <c r="JV119" s="191"/>
      <c r="JW119" s="191"/>
      <c r="JX119" s="191">
        <v>350</v>
      </c>
      <c r="JY119" s="191"/>
      <c r="JZ119" s="191"/>
      <c r="KA119" s="191"/>
      <c r="KB119" s="191"/>
      <c r="KC119" s="191"/>
      <c r="KD119" s="191"/>
      <c r="KE119" s="191">
        <v>400</v>
      </c>
      <c r="KF119" s="191"/>
      <c r="KG119" s="191"/>
      <c r="KH119" s="191"/>
      <c r="KI119" s="191"/>
      <c r="KJ119" s="193"/>
      <c r="KK119" s="194"/>
      <c r="KL119" s="191">
        <v>400</v>
      </c>
      <c r="KM119" s="191"/>
      <c r="KN119" s="191"/>
      <c r="KO119" s="191"/>
      <c r="KP119" s="191"/>
      <c r="KQ119" s="191"/>
      <c r="KR119" s="191"/>
      <c r="KS119" s="191">
        <v>400</v>
      </c>
      <c r="KT119" s="191"/>
      <c r="KU119" s="191"/>
      <c r="KV119" s="191"/>
      <c r="KW119" s="191"/>
      <c r="KX119" s="191"/>
      <c r="KY119" s="191"/>
      <c r="KZ119" s="191">
        <v>300</v>
      </c>
      <c r="LA119" s="191"/>
      <c r="LB119" s="191"/>
      <c r="LC119" s="191"/>
      <c r="LD119" s="191"/>
      <c r="LE119" s="191"/>
      <c r="LF119" s="191"/>
      <c r="LG119" s="191">
        <v>300</v>
      </c>
      <c r="LH119" s="191"/>
      <c r="LI119" s="191"/>
      <c r="LJ119" s="191"/>
      <c r="LK119" s="191"/>
      <c r="LL119" s="191"/>
      <c r="LM119" s="191"/>
      <c r="LN119" s="192">
        <v>300</v>
      </c>
      <c r="LO119" s="190"/>
      <c r="LP119" s="191"/>
      <c r="LQ119" s="191"/>
      <c r="LR119" s="191"/>
      <c r="LS119" s="191"/>
      <c r="LT119" s="191"/>
      <c r="LU119" s="191">
        <v>250</v>
      </c>
      <c r="LV119" s="191"/>
      <c r="LW119" s="191"/>
      <c r="LX119" s="191"/>
      <c r="LY119" s="191"/>
      <c r="LZ119" s="191"/>
      <c r="MA119" s="191"/>
      <c r="MB119" s="191">
        <v>250</v>
      </c>
      <c r="MC119" s="191"/>
      <c r="MD119" s="191"/>
      <c r="ME119" s="191"/>
      <c r="MF119" s="191"/>
      <c r="MG119" s="191"/>
      <c r="MH119" s="191"/>
      <c r="MI119" s="191">
        <v>350</v>
      </c>
      <c r="MJ119" s="191"/>
      <c r="MK119" s="191"/>
      <c r="ML119" s="191"/>
      <c r="MM119" s="191"/>
      <c r="MN119" s="191"/>
      <c r="MO119" s="191"/>
      <c r="MP119" s="191">
        <v>250</v>
      </c>
      <c r="MQ119" s="191"/>
      <c r="MR119" s="191"/>
      <c r="MS119" s="193"/>
      <c r="MT119" s="194"/>
      <c r="MU119" s="191"/>
      <c r="MV119" s="191"/>
      <c r="MW119" s="191">
        <v>300</v>
      </c>
      <c r="MX119" s="191"/>
      <c r="MY119" s="191"/>
      <c r="MZ119" s="191"/>
      <c r="NA119" s="191"/>
      <c r="NB119" s="191"/>
      <c r="NC119" s="191"/>
      <c r="ND119" s="191"/>
      <c r="NE119" s="191">
        <v>400</v>
      </c>
      <c r="NF119" s="191"/>
      <c r="NG119" s="191"/>
      <c r="NH119" s="191"/>
      <c r="NI119" s="191"/>
      <c r="NJ119" s="191"/>
      <c r="NK119" s="191">
        <v>400</v>
      </c>
      <c r="NL119" s="191"/>
      <c r="NM119" s="191"/>
      <c r="NN119" s="191"/>
      <c r="NO119" s="191"/>
      <c r="NP119" s="191"/>
      <c r="NQ119" s="191"/>
      <c r="NR119" s="191">
        <v>350</v>
      </c>
      <c r="NS119" s="191"/>
      <c r="NT119" s="191"/>
      <c r="NU119" s="191"/>
      <c r="NV119" s="191"/>
      <c r="NW119" s="192"/>
      <c r="NX119" s="190"/>
      <c r="NY119" s="191">
        <v>400</v>
      </c>
      <c r="NZ119" s="191"/>
      <c r="OA119" s="191"/>
      <c r="OB119" s="191"/>
      <c r="OC119" s="191"/>
      <c r="OD119" s="191"/>
      <c r="OE119" s="191"/>
      <c r="OF119" s="191">
        <v>400</v>
      </c>
      <c r="OG119" s="191"/>
      <c r="OH119" s="191"/>
      <c r="OI119" s="191"/>
      <c r="OJ119" s="191"/>
      <c r="OK119" s="191"/>
      <c r="OL119" s="191"/>
      <c r="OM119" s="191">
        <v>400</v>
      </c>
      <c r="ON119" s="191"/>
      <c r="OO119" s="191"/>
      <c r="OP119" s="191"/>
      <c r="OQ119" s="191"/>
      <c r="OR119" s="191"/>
      <c r="OS119" s="191"/>
      <c r="OT119" s="191"/>
      <c r="OU119" s="191"/>
      <c r="OV119" s="191"/>
      <c r="OW119" s="191"/>
      <c r="OX119" s="191"/>
      <c r="OY119" s="191"/>
      <c r="OZ119" s="191"/>
      <c r="PA119" s="191"/>
      <c r="PB119" s="193"/>
      <c r="PC119" s="47"/>
      <c r="PD119" s="154" t="s">
        <v>97</v>
      </c>
      <c r="PE119" s="155" t="s">
        <v>98</v>
      </c>
      <c r="PF119" s="155" t="s">
        <v>98</v>
      </c>
      <c r="PG119" s="155" t="s">
        <v>97</v>
      </c>
      <c r="PH119" s="155" t="s">
        <v>98</v>
      </c>
      <c r="PI119" s="155" t="s">
        <v>98</v>
      </c>
      <c r="PJ119" s="155" t="s">
        <v>98</v>
      </c>
      <c r="PK119" s="155" t="s">
        <v>98</v>
      </c>
      <c r="PL119" s="155" t="s">
        <v>98</v>
      </c>
      <c r="PM119" s="155" t="s">
        <v>98</v>
      </c>
      <c r="PN119" s="155" t="s">
        <v>98</v>
      </c>
      <c r="PO119" s="156"/>
      <c r="PP119" s="156"/>
      <c r="PQ119" s="156"/>
      <c r="PR119" s="156"/>
      <c r="PS119" s="156"/>
      <c r="PT119" s="156"/>
      <c r="PU119" s="156"/>
      <c r="PV119" s="156"/>
      <c r="PW119" s="156"/>
      <c r="PX119" s="195"/>
      <c r="PY119" s="1"/>
      <c r="PZ119" s="196">
        <f t="shared" si="73"/>
        <v>900</v>
      </c>
      <c r="QA119" s="176">
        <f t="shared" si="74"/>
        <v>7.5081338116292648E-3</v>
      </c>
      <c r="QB119" s="177" t="str">
        <f t="shared" ca="1" si="75"/>
        <v>Attente…</v>
      </c>
      <c r="QC119" s="197">
        <f t="shared" si="76"/>
        <v>1400</v>
      </c>
      <c r="QD119" s="179">
        <f t="shared" si="77"/>
        <v>1.3108614232209739E-2</v>
      </c>
      <c r="QE119" s="180" t="str">
        <f t="shared" ca="1" si="78"/>
        <v>Attente…</v>
      </c>
      <c r="QF119" s="196">
        <f t="shared" si="79"/>
        <v>1500</v>
      </c>
      <c r="QG119" s="176">
        <f t="shared" si="80"/>
        <v>1.1944577161968466E-2</v>
      </c>
      <c r="QH119" s="177" t="str">
        <f t="shared" ca="1" si="81"/>
        <v>Attente…</v>
      </c>
      <c r="QI119" s="197">
        <f t="shared" si="82"/>
        <v>1950</v>
      </c>
      <c r="QJ119" s="179">
        <f t="shared" si="83"/>
        <v>1.3676532472997615E-2</v>
      </c>
      <c r="QK119" s="180" t="str">
        <f t="shared" ca="1" si="84"/>
        <v>Attente…</v>
      </c>
      <c r="QL119" s="196">
        <f t="shared" si="85"/>
        <v>1600</v>
      </c>
      <c r="QM119" s="176">
        <f t="shared" si="86"/>
        <v>1.1706175007316359E-2</v>
      </c>
      <c r="QN119" s="177" t="str">
        <f t="shared" ca="1" si="87"/>
        <v>Attente…</v>
      </c>
      <c r="QO119" s="197">
        <f t="shared" si="88"/>
        <v>1550</v>
      </c>
      <c r="QP119" s="179">
        <f t="shared" si="89"/>
        <v>1.2134972206999139E-2</v>
      </c>
      <c r="QQ119" s="180" t="str">
        <f t="shared" ca="1" si="90"/>
        <v>Attente…</v>
      </c>
      <c r="QR119" s="196">
        <f t="shared" si="91"/>
        <v>1600</v>
      </c>
      <c r="QS119" s="176">
        <f t="shared" si="92"/>
        <v>1.1518663834995141E-2</v>
      </c>
      <c r="QT119" s="177" t="str">
        <f t="shared" ca="1" si="93"/>
        <v>Attente…</v>
      </c>
      <c r="QU119" s="197">
        <f t="shared" si="94"/>
        <v>1550</v>
      </c>
      <c r="QV119" s="179">
        <f t="shared" si="95"/>
        <v>1.0686707115278544E-2</v>
      </c>
      <c r="QW119" s="180" t="str">
        <f t="shared" ca="1" si="96"/>
        <v>Attente…</v>
      </c>
      <c r="QX119" s="196">
        <f t="shared" si="97"/>
        <v>1700</v>
      </c>
      <c r="QY119" s="176">
        <f t="shared" si="98"/>
        <v>1.2405499284859452E-2</v>
      </c>
      <c r="QZ119" s="177" t="str">
        <f t="shared" ca="1" si="99"/>
        <v>Attente…</v>
      </c>
      <c r="RA119" s="197">
        <f t="shared" si="100"/>
        <v>1100</v>
      </c>
      <c r="RB119" s="179">
        <f t="shared" si="101"/>
        <v>8.6065253110085282E-3</v>
      </c>
      <c r="RC119" s="180" t="str">
        <f t="shared" ca="1" si="102"/>
        <v>Attente…</v>
      </c>
      <c r="RD119" s="196">
        <f t="shared" si="103"/>
        <v>1450</v>
      </c>
      <c r="RE119" s="176">
        <f t="shared" si="104"/>
        <v>1.4447987245914708E-2</v>
      </c>
      <c r="RF119" s="177" t="str">
        <f t="shared" ca="1" si="105"/>
        <v>Attente…</v>
      </c>
      <c r="RG119" s="197">
        <f t="shared" si="106"/>
        <v>1200</v>
      </c>
      <c r="RH119" s="179">
        <f t="shared" si="107"/>
        <v>2.2070995034026118E-2</v>
      </c>
      <c r="RI119" s="198" t="str">
        <f t="shared" ca="1" si="108"/>
        <v>Attente…</v>
      </c>
      <c r="RJ119" s="199">
        <f t="shared" si="109"/>
        <v>3800</v>
      </c>
      <c r="RK119" s="200" t="str">
        <f t="shared" ca="1" si="66"/>
        <v>Attente…</v>
      </c>
      <c r="RL119" s="199">
        <f t="shared" si="110"/>
        <v>5100</v>
      </c>
      <c r="RM119" s="200" t="str">
        <f t="shared" ca="1" si="111"/>
        <v>Atttente…</v>
      </c>
      <c r="RN119" s="199">
        <f t="shared" si="112"/>
        <v>4850</v>
      </c>
      <c r="RO119" s="200" t="str">
        <f t="shared" ca="1" si="67"/>
        <v>Attente…</v>
      </c>
      <c r="RP119" s="199">
        <f t="shared" si="113"/>
        <v>3750</v>
      </c>
      <c r="RQ119" s="200" t="str">
        <f t="shared" ca="1" si="68"/>
        <v>Attente…</v>
      </c>
      <c r="RR119" s="201">
        <f t="shared" si="114"/>
        <v>17500</v>
      </c>
      <c r="RS119" s="202" t="str">
        <f t="shared" ca="1" si="69"/>
        <v>Attente…</v>
      </c>
      <c r="RT119" s="103"/>
      <c r="RU119" s="203">
        <f t="shared" si="115"/>
        <v>0.91145833333333326</v>
      </c>
      <c r="RV119" s="204">
        <f t="shared" si="118"/>
        <v>2</v>
      </c>
      <c r="RW119" s="204">
        <f t="shared" si="118"/>
        <v>1</v>
      </c>
      <c r="RX119" s="204">
        <f t="shared" si="116"/>
        <v>48</v>
      </c>
      <c r="RY119" s="205" t="str">
        <f t="shared" si="117"/>
        <v>SAINT-PIERRE-LÈS-ELBEUF - Route de Pont de l'Arche (En face L'Auto E.Leclerc)</v>
      </c>
      <c r="RZ119" s="189" t="str">
        <f>IF(OR(RZ118="",RZ118="  &lt;/Document&gt;
&lt;/kml&gt;"),"",
IF(B119="","  &lt;/Document&gt;
&lt;/kml&gt;",
IF(TournéesCAV!Q119=""," ",
"    &lt;Placemark&gt;
      &lt;description&gt;&lt;![CDATA["&amp;B119&amp;"&lt;br&gt;&lt;br&gt;"&amp;RV119&amp;" CAV&lt;br&gt;&lt;br&gt;Présent sur "&amp;RW119&amp;" tournée(s)&lt;br&gt;&lt;br&gt;Taux de remplissage moyen "&amp;TEXT(RU119*1000,"0 %")&amp;"]]&gt;&lt;/description&gt;
      &lt;Style&gt;
        &lt;IconStyle&gt;
          &lt;color&gt;ff"&amp;
          DEC2HEX(0,2)&amp;
          DEC2HEX(
            IF(RU119&lt;=0.5,
               INT(255*(RU119*2)),
               255
            ),2)&amp;
          DEC2HEX(
            IF(RU119&lt;=0.5,
               255,
               INT(255*(1-(RU119-0.5)*2))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&lt;Point&gt;&lt;coordinates&gt;"&amp;R119&amp;","&amp;Q119&amp;",0&lt;/coordinates&gt;&lt;/Point&gt;
    &lt;/Placemark&gt;"
)))</f>
        <v xml:space="preserve">    &lt;Placemark&gt;
      &lt;description&gt;&lt;![CDATA[SAINT-PIERRE-LÈS-ELBEUF - Route de Pont de l'Arche (En face L'Auto E.Leclerc)&lt;br&gt;&lt;br&gt;2 CAV&lt;br&gt;&lt;br&gt;Présent sur 1 tournée(s)&lt;br&gt;&lt;br&gt;Taux de remplissage moyen 91%]]&gt;&lt;/description&gt;
      &lt;Style&gt;
        &lt;IconStyle&gt;
          &lt;color&gt;ff00FF2D&lt;/color&gt;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&lt;Point&gt;&lt;coordinates&gt;1.0378892518066296,49.290625826596894,0&lt;/coordinates&gt;&lt;/Point&gt;
    &lt;/Placemark&gt;</v>
      </c>
    </row>
    <row r="120" spans="2:494" ht="15" hidden="1" customHeight="1" x14ac:dyDescent="0.35">
      <c r="B120" s="208" t="str">
        <f t="shared" si="70"/>
        <v>SAINT-AUBIN-LÈS-ELBEUF - CHI  rue du docteur Villers (entrée des urgences)</v>
      </c>
      <c r="C120" s="154"/>
      <c r="D120" s="155"/>
      <c r="E120" s="155"/>
      <c r="F120" s="155"/>
      <c r="G120" s="155"/>
      <c r="H120" s="155"/>
      <c r="I120" s="155"/>
      <c r="J120" s="156"/>
      <c r="K120" s="157">
        <f t="shared" si="71"/>
        <v>0</v>
      </c>
      <c r="L120" s="157">
        <f t="shared" si="72"/>
        <v>0</v>
      </c>
      <c r="M120" s="158" t="s">
        <v>690</v>
      </c>
      <c r="N120" s="159" t="s">
        <v>691</v>
      </c>
      <c r="O120" s="159">
        <v>76410</v>
      </c>
      <c r="P120" s="159" t="s">
        <v>639</v>
      </c>
      <c r="Q120" s="159"/>
      <c r="R120" s="159"/>
      <c r="S120" s="159" t="s">
        <v>93</v>
      </c>
      <c r="T120" s="159" t="s">
        <v>94</v>
      </c>
      <c r="U120" s="159" t="s">
        <v>692</v>
      </c>
      <c r="V120" s="160" t="s">
        <v>123</v>
      </c>
      <c r="W120" s="161"/>
      <c r="X120" s="162"/>
      <c r="Y120" s="163"/>
      <c r="Z120" s="162"/>
      <c r="AA120" s="163"/>
      <c r="AB120" s="162"/>
      <c r="AC120" s="163"/>
      <c r="AD120" s="162"/>
      <c r="AE120" s="163"/>
      <c r="AF120" s="162"/>
      <c r="AG120" s="163"/>
      <c r="AH120" s="163"/>
      <c r="AI120" s="162"/>
      <c r="AJ120" s="163"/>
      <c r="AK120" s="162"/>
      <c r="AL120" s="163"/>
      <c r="AM120" s="162"/>
      <c r="AN120" s="163"/>
      <c r="AO120" s="162"/>
      <c r="AP120" s="164"/>
      <c r="AQ120" s="164"/>
      <c r="AR120" s="164"/>
      <c r="AS120" s="164"/>
      <c r="AT120" s="164"/>
      <c r="AU120" s="164"/>
      <c r="AV120" s="164"/>
      <c r="AW120" s="164"/>
      <c r="AX120" s="164"/>
      <c r="AY120" s="165"/>
      <c r="AZ120" s="41"/>
      <c r="BA120" s="190"/>
      <c r="BB120" s="191">
        <v>50</v>
      </c>
      <c r="BC120" s="191"/>
      <c r="BD120" s="191"/>
      <c r="BE120" s="191"/>
      <c r="BF120" s="191"/>
      <c r="BG120" s="191"/>
      <c r="BH120" s="191">
        <v>10</v>
      </c>
      <c r="BI120" s="191"/>
      <c r="BJ120" s="191"/>
      <c r="BK120" s="191"/>
      <c r="BL120" s="191"/>
      <c r="BM120" s="191"/>
      <c r="BN120" s="191"/>
      <c r="BO120" s="191">
        <v>50</v>
      </c>
      <c r="BP120" s="191"/>
      <c r="BQ120" s="191"/>
      <c r="BR120" s="191"/>
      <c r="BS120" s="191"/>
      <c r="BT120" s="191"/>
      <c r="BU120" s="191"/>
      <c r="BV120" s="191">
        <v>50</v>
      </c>
      <c r="BW120" s="191"/>
      <c r="BX120" s="191"/>
      <c r="BY120" s="191"/>
      <c r="BZ120" s="191"/>
      <c r="CA120" s="191"/>
      <c r="CB120" s="191"/>
      <c r="CC120" s="191">
        <v>10</v>
      </c>
      <c r="CD120" s="191"/>
      <c r="CE120" s="192"/>
      <c r="CF120" s="190"/>
      <c r="CG120" s="191"/>
      <c r="CH120" s="191"/>
      <c r="CI120" s="191"/>
      <c r="CJ120" s="191">
        <v>10</v>
      </c>
      <c r="CK120" s="191"/>
      <c r="CL120" s="191"/>
      <c r="CM120" s="191"/>
      <c r="CN120" s="191"/>
      <c r="CO120" s="191"/>
      <c r="CP120" s="191"/>
      <c r="CQ120" s="191">
        <v>100</v>
      </c>
      <c r="CR120" s="191"/>
      <c r="CS120" s="191"/>
      <c r="CT120" s="191"/>
      <c r="CU120" s="191"/>
      <c r="CV120" s="191"/>
      <c r="CW120" s="191"/>
      <c r="CX120" s="191">
        <v>50</v>
      </c>
      <c r="CY120" s="191"/>
      <c r="CZ120" s="191"/>
      <c r="DA120" s="191"/>
      <c r="DB120" s="191"/>
      <c r="DC120" s="191"/>
      <c r="DD120" s="191"/>
      <c r="DE120" s="191">
        <v>10</v>
      </c>
      <c r="DF120" s="191"/>
      <c r="DG120" s="191"/>
      <c r="DH120" s="193"/>
      <c r="DI120" s="194"/>
      <c r="DJ120" s="191"/>
      <c r="DK120" s="191"/>
      <c r="DL120" s="191"/>
      <c r="DM120" s="191"/>
      <c r="DN120" s="191"/>
      <c r="DO120" s="191"/>
      <c r="DP120" s="191"/>
      <c r="DQ120" s="191"/>
      <c r="DR120" s="191"/>
      <c r="DS120" s="191"/>
      <c r="DT120" s="191">
        <v>100</v>
      </c>
      <c r="DU120" s="191"/>
      <c r="DV120" s="191"/>
      <c r="DW120" s="191"/>
      <c r="DX120" s="191"/>
      <c r="DY120" s="191"/>
      <c r="DZ120" s="191"/>
      <c r="EA120" s="191">
        <v>10</v>
      </c>
      <c r="EB120" s="191"/>
      <c r="EC120" s="191"/>
      <c r="ED120" s="191"/>
      <c r="EE120" s="191"/>
      <c r="EF120" s="191"/>
      <c r="EG120" s="191"/>
      <c r="EH120" s="191">
        <v>10</v>
      </c>
      <c r="EI120" s="191"/>
      <c r="EJ120" s="191"/>
      <c r="EK120" s="191"/>
      <c r="EL120" s="191"/>
      <c r="EM120" s="192"/>
      <c r="EN120" s="190"/>
      <c r="EO120" s="191">
        <v>100</v>
      </c>
      <c r="EP120" s="191"/>
      <c r="EQ120" s="191"/>
      <c r="ER120" s="191"/>
      <c r="ES120" s="191"/>
      <c r="ET120" s="191"/>
      <c r="EU120" s="191"/>
      <c r="EV120" s="191">
        <v>50</v>
      </c>
      <c r="EW120" s="191"/>
      <c r="EX120" s="191"/>
      <c r="EY120" s="191"/>
      <c r="EZ120" s="191"/>
      <c r="FA120" s="191"/>
      <c r="FB120" s="191"/>
      <c r="FC120" s="191">
        <v>10</v>
      </c>
      <c r="FD120" s="191"/>
      <c r="FE120" s="191"/>
      <c r="FF120" s="191"/>
      <c r="FG120" s="191"/>
      <c r="FH120" s="191"/>
      <c r="FI120" s="191"/>
      <c r="FJ120" s="191">
        <v>10</v>
      </c>
      <c r="FK120" s="191"/>
      <c r="FL120" s="191"/>
      <c r="FM120" s="191"/>
      <c r="FN120" s="191"/>
      <c r="FO120" s="191"/>
      <c r="FP120" s="191"/>
      <c r="FQ120" s="193"/>
      <c r="FR120" s="194"/>
      <c r="FS120" s="191"/>
      <c r="FT120" s="191"/>
      <c r="FU120" s="191"/>
      <c r="FV120" s="191"/>
      <c r="FW120" s="191"/>
      <c r="FX120" s="191"/>
      <c r="FY120" s="191"/>
      <c r="FZ120" s="191"/>
      <c r="GA120" s="191"/>
      <c r="GB120" s="191"/>
      <c r="GC120" s="191"/>
      <c r="GD120" s="191"/>
      <c r="GE120" s="191">
        <v>200</v>
      </c>
      <c r="GF120" s="191"/>
      <c r="GG120" s="191"/>
      <c r="GH120" s="191"/>
      <c r="GI120" s="191"/>
      <c r="GJ120" s="191"/>
      <c r="GK120" s="191"/>
      <c r="GL120" s="191">
        <v>100</v>
      </c>
      <c r="GM120" s="191"/>
      <c r="GN120" s="191"/>
      <c r="GO120" s="191"/>
      <c r="GP120" s="191"/>
      <c r="GQ120" s="191"/>
      <c r="GR120" s="191"/>
      <c r="GS120" s="191">
        <v>10</v>
      </c>
      <c r="GT120" s="191"/>
      <c r="GU120" s="191"/>
      <c r="GV120" s="192"/>
      <c r="GW120" s="190"/>
      <c r="GX120" s="191"/>
      <c r="GY120" s="191"/>
      <c r="GZ120" s="191">
        <v>100</v>
      </c>
      <c r="HA120" s="191"/>
      <c r="HB120" s="191"/>
      <c r="HC120" s="191"/>
      <c r="HD120" s="191"/>
      <c r="HE120" s="191"/>
      <c r="HF120" s="191"/>
      <c r="HG120" s="191"/>
      <c r="HH120" s="191"/>
      <c r="HI120" s="191"/>
      <c r="HJ120" s="191"/>
      <c r="HK120" s="191"/>
      <c r="HL120" s="191"/>
      <c r="HM120" s="191"/>
      <c r="HN120" s="191">
        <v>100</v>
      </c>
      <c r="HO120" s="191"/>
      <c r="HP120" s="191"/>
      <c r="HQ120" s="191"/>
      <c r="HR120" s="191"/>
      <c r="HS120" s="191"/>
      <c r="HT120" s="191"/>
      <c r="HU120" s="191">
        <v>50</v>
      </c>
      <c r="HV120" s="191"/>
      <c r="HW120" s="191"/>
      <c r="HX120" s="191"/>
      <c r="HY120" s="191"/>
      <c r="HZ120" s="193"/>
      <c r="IA120" s="194"/>
      <c r="IB120" s="191">
        <v>10</v>
      </c>
      <c r="IC120" s="191"/>
      <c r="ID120" s="191"/>
      <c r="IE120" s="191"/>
      <c r="IF120" s="191"/>
      <c r="IG120" s="191"/>
      <c r="IH120" s="191"/>
      <c r="II120" s="191">
        <v>50</v>
      </c>
      <c r="IJ120" s="191"/>
      <c r="IK120" s="191"/>
      <c r="IL120" s="191"/>
      <c r="IM120" s="191"/>
      <c r="IN120" s="191"/>
      <c r="IO120" s="191"/>
      <c r="IP120" s="191"/>
      <c r="IQ120" s="191">
        <v>10</v>
      </c>
      <c r="IR120" s="191"/>
      <c r="IS120" s="191"/>
      <c r="IT120" s="191"/>
      <c r="IU120" s="191"/>
      <c r="IV120" s="191"/>
      <c r="IW120" s="191"/>
      <c r="IX120" s="191">
        <v>150</v>
      </c>
      <c r="IY120" s="191"/>
      <c r="IZ120" s="191"/>
      <c r="JA120" s="191"/>
      <c r="JB120" s="191"/>
      <c r="JC120" s="191"/>
      <c r="JD120" s="191">
        <v>50</v>
      </c>
      <c r="JE120" s="192"/>
      <c r="JF120" s="190"/>
      <c r="JG120" s="191"/>
      <c r="JH120" s="191"/>
      <c r="JI120" s="191"/>
      <c r="JJ120" s="191"/>
      <c r="JK120" s="191">
        <v>50</v>
      </c>
      <c r="JL120" s="191"/>
      <c r="JM120" s="191"/>
      <c r="JN120" s="191"/>
      <c r="JO120" s="191"/>
      <c r="JP120" s="191"/>
      <c r="JQ120" s="191"/>
      <c r="JR120" s="191"/>
      <c r="JS120" s="191"/>
      <c r="JT120" s="191"/>
      <c r="JU120" s="191"/>
      <c r="JV120" s="191"/>
      <c r="JW120" s="191"/>
      <c r="JX120" s="191"/>
      <c r="JY120" s="191"/>
      <c r="JZ120" s="191"/>
      <c r="KA120" s="191"/>
      <c r="KB120" s="191"/>
      <c r="KC120" s="191"/>
      <c r="KD120" s="191"/>
      <c r="KE120" s="191"/>
      <c r="KF120" s="191"/>
      <c r="KG120" s="191">
        <v>100</v>
      </c>
      <c r="KH120" s="191"/>
      <c r="KI120" s="191"/>
      <c r="KJ120" s="193"/>
      <c r="KK120" s="194"/>
      <c r="KL120" s="191"/>
      <c r="KM120" s="191">
        <v>10</v>
      </c>
      <c r="KN120" s="191"/>
      <c r="KO120" s="191"/>
      <c r="KP120" s="191"/>
      <c r="KQ120" s="191"/>
      <c r="KR120" s="191"/>
      <c r="KS120" s="191"/>
      <c r="KT120" s="191"/>
      <c r="KU120" s="191"/>
      <c r="KV120" s="191"/>
      <c r="KW120" s="191"/>
      <c r="KX120" s="191"/>
      <c r="KY120" s="191"/>
      <c r="KZ120" s="191"/>
      <c r="LA120" s="191">
        <v>50</v>
      </c>
      <c r="LB120" s="191"/>
      <c r="LC120" s="191"/>
      <c r="LD120" s="191"/>
      <c r="LE120" s="191"/>
      <c r="LF120" s="191"/>
      <c r="LG120" s="191"/>
      <c r="LH120" s="191">
        <v>50</v>
      </c>
      <c r="LI120" s="191"/>
      <c r="LJ120" s="191"/>
      <c r="LK120" s="191"/>
      <c r="LL120" s="191"/>
      <c r="LM120" s="191"/>
      <c r="LN120" s="192"/>
      <c r="LO120" s="190">
        <v>10</v>
      </c>
      <c r="LP120" s="191"/>
      <c r="LQ120" s="191"/>
      <c r="LR120" s="191"/>
      <c r="LS120" s="191"/>
      <c r="LT120" s="191"/>
      <c r="LU120" s="191"/>
      <c r="LV120" s="191">
        <v>50</v>
      </c>
      <c r="LW120" s="191"/>
      <c r="LX120" s="191"/>
      <c r="LY120" s="191"/>
      <c r="LZ120" s="191"/>
      <c r="MA120" s="191"/>
      <c r="MB120" s="191"/>
      <c r="MC120" s="191">
        <v>10</v>
      </c>
      <c r="MD120" s="191"/>
      <c r="ME120" s="191"/>
      <c r="MF120" s="191"/>
      <c r="MG120" s="191"/>
      <c r="MH120" s="191"/>
      <c r="MI120" s="191"/>
      <c r="MJ120" s="191">
        <v>10</v>
      </c>
      <c r="MK120" s="191"/>
      <c r="ML120" s="191"/>
      <c r="MM120" s="191"/>
      <c r="MN120" s="191"/>
      <c r="MO120" s="191"/>
      <c r="MP120" s="191"/>
      <c r="MQ120" s="191">
        <v>50</v>
      </c>
      <c r="MR120" s="191"/>
      <c r="MS120" s="193"/>
      <c r="MT120" s="194"/>
      <c r="MU120" s="191"/>
      <c r="MV120" s="191"/>
      <c r="MW120" s="191"/>
      <c r="MX120" s="191"/>
      <c r="MY120" s="191"/>
      <c r="MZ120" s="191"/>
      <c r="NA120" s="191"/>
      <c r="NB120" s="191"/>
      <c r="NC120" s="191"/>
      <c r="ND120" s="191"/>
      <c r="NE120" s="191"/>
      <c r="NF120" s="191"/>
      <c r="NG120" s="191"/>
      <c r="NH120" s="191"/>
      <c r="NI120" s="191"/>
      <c r="NJ120" s="191"/>
      <c r="NK120" s="191"/>
      <c r="NL120" s="191"/>
      <c r="NM120" s="191"/>
      <c r="NN120" s="191"/>
      <c r="NO120" s="191"/>
      <c r="NP120" s="191"/>
      <c r="NQ120" s="191"/>
      <c r="NR120" s="191"/>
      <c r="NS120" s="191"/>
      <c r="NT120" s="191"/>
      <c r="NU120" s="191"/>
      <c r="NV120" s="191"/>
      <c r="NW120" s="192"/>
      <c r="NX120" s="190"/>
      <c r="NY120" s="191"/>
      <c r="NZ120" s="191"/>
      <c r="OA120" s="191"/>
      <c r="OB120" s="191"/>
      <c r="OC120" s="191"/>
      <c r="OD120" s="191"/>
      <c r="OE120" s="191"/>
      <c r="OF120" s="191"/>
      <c r="OG120" s="191"/>
      <c r="OH120" s="191"/>
      <c r="OI120" s="191"/>
      <c r="OJ120" s="191"/>
      <c r="OK120" s="191"/>
      <c r="OL120" s="191"/>
      <c r="OM120" s="191"/>
      <c r="ON120" s="191"/>
      <c r="OO120" s="191"/>
      <c r="OP120" s="191"/>
      <c r="OQ120" s="191"/>
      <c r="OR120" s="191"/>
      <c r="OS120" s="191"/>
      <c r="OT120" s="191"/>
      <c r="OU120" s="191"/>
      <c r="OV120" s="191"/>
      <c r="OW120" s="191"/>
      <c r="OX120" s="191"/>
      <c r="OY120" s="191"/>
      <c r="OZ120" s="191"/>
      <c r="PA120" s="191"/>
      <c r="PB120" s="193"/>
      <c r="PC120" s="47"/>
      <c r="PD120" s="154" t="s">
        <v>97</v>
      </c>
      <c r="PE120" s="155" t="s">
        <v>98</v>
      </c>
      <c r="PF120" s="155" t="s">
        <v>98</v>
      </c>
      <c r="PG120" s="155" t="s">
        <v>97</v>
      </c>
      <c r="PH120" s="155" t="s">
        <v>98</v>
      </c>
      <c r="PI120" s="155" t="s">
        <v>98</v>
      </c>
      <c r="PJ120" s="155" t="s">
        <v>98</v>
      </c>
      <c r="PK120" s="155" t="s">
        <v>98</v>
      </c>
      <c r="PL120" s="155" t="s">
        <v>98</v>
      </c>
      <c r="PM120" s="155" t="s">
        <v>98</v>
      </c>
      <c r="PN120" s="155" t="s">
        <v>98</v>
      </c>
      <c r="PO120" s="156"/>
      <c r="PP120" s="156"/>
      <c r="PQ120" s="156"/>
      <c r="PR120" s="156"/>
      <c r="PS120" s="156"/>
      <c r="PT120" s="156"/>
      <c r="PU120" s="156"/>
      <c r="PV120" s="156"/>
      <c r="PW120" s="156"/>
      <c r="PX120" s="195"/>
      <c r="PY120" s="1"/>
      <c r="PZ120" s="196">
        <f t="shared" si="73"/>
        <v>170</v>
      </c>
      <c r="QA120" s="176">
        <f t="shared" si="74"/>
        <v>1.41820305330775E-3</v>
      </c>
      <c r="QB120" s="177" t="str">
        <f t="shared" ca="1" si="75"/>
        <v>Attente…</v>
      </c>
      <c r="QC120" s="197">
        <f t="shared" si="76"/>
        <v>170</v>
      </c>
      <c r="QD120" s="179">
        <f t="shared" si="77"/>
        <v>1.5917602996254681E-3</v>
      </c>
      <c r="QE120" s="180" t="str">
        <f t="shared" ca="1" si="78"/>
        <v>Attente…</v>
      </c>
      <c r="QF120" s="196">
        <f t="shared" si="79"/>
        <v>120</v>
      </c>
      <c r="QG120" s="176">
        <f t="shared" si="80"/>
        <v>9.5556617295747726E-4</v>
      </c>
      <c r="QH120" s="177" t="str">
        <f t="shared" ca="1" si="81"/>
        <v>Attente…</v>
      </c>
      <c r="QI120" s="197">
        <f t="shared" si="82"/>
        <v>170</v>
      </c>
      <c r="QJ120" s="179">
        <f t="shared" si="83"/>
        <v>1.1923130873895357E-3</v>
      </c>
      <c r="QK120" s="180" t="str">
        <f t="shared" ca="1" si="84"/>
        <v>Attente…</v>
      </c>
      <c r="QL120" s="196">
        <f t="shared" si="85"/>
        <v>310</v>
      </c>
      <c r="QM120" s="176">
        <f t="shared" si="86"/>
        <v>2.2680714076675447E-3</v>
      </c>
      <c r="QN120" s="177" t="str">
        <f t="shared" ca="1" si="87"/>
        <v>Attente…</v>
      </c>
      <c r="QO120" s="197">
        <f t="shared" si="88"/>
        <v>250</v>
      </c>
      <c r="QP120" s="179">
        <f t="shared" si="89"/>
        <v>1.9572535817740547E-3</v>
      </c>
      <c r="QQ120" s="180" t="str">
        <f t="shared" ca="1" si="90"/>
        <v>Attente…</v>
      </c>
      <c r="QR120" s="196">
        <f t="shared" si="91"/>
        <v>270</v>
      </c>
      <c r="QS120" s="176">
        <f t="shared" si="92"/>
        <v>1.9437745221554299E-3</v>
      </c>
      <c r="QT120" s="177" t="str">
        <f t="shared" ca="1" si="93"/>
        <v>Attente…</v>
      </c>
      <c r="QU120" s="197">
        <f t="shared" si="94"/>
        <v>150</v>
      </c>
      <c r="QV120" s="179">
        <f t="shared" si="95"/>
        <v>1.0341974627688913E-3</v>
      </c>
      <c r="QW120" s="180" t="str">
        <f t="shared" ca="1" si="96"/>
        <v>Attente…</v>
      </c>
      <c r="QX120" s="196">
        <f t="shared" si="97"/>
        <v>110</v>
      </c>
      <c r="QY120" s="176">
        <f t="shared" si="98"/>
        <v>8.0270877725561161E-4</v>
      </c>
      <c r="QZ120" s="177" t="str">
        <f t="shared" ca="1" si="99"/>
        <v>Attente…</v>
      </c>
      <c r="RA120" s="197">
        <f t="shared" si="100"/>
        <v>130</v>
      </c>
      <c r="RB120" s="179">
        <f t="shared" si="101"/>
        <v>1.0171348094828261E-3</v>
      </c>
      <c r="RC120" s="180" t="str">
        <f t="shared" ca="1" si="102"/>
        <v>Attente…</v>
      </c>
      <c r="RD120" s="196">
        <f t="shared" si="103"/>
        <v>0</v>
      </c>
      <c r="RE120" s="176">
        <f t="shared" si="104"/>
        <v>0</v>
      </c>
      <c r="RF120" s="177" t="str">
        <f t="shared" ca="1" si="105"/>
        <v>Attente…</v>
      </c>
      <c r="RG120" s="197">
        <f t="shared" si="106"/>
        <v>0</v>
      </c>
      <c r="RH120" s="179">
        <f t="shared" si="107"/>
        <v>0</v>
      </c>
      <c r="RI120" s="198" t="str">
        <f t="shared" ca="1" si="108"/>
        <v>Attente…</v>
      </c>
      <c r="RJ120" s="199">
        <f t="shared" si="109"/>
        <v>460</v>
      </c>
      <c r="RK120" s="200" t="str">
        <f t="shared" ca="1" si="66"/>
        <v>Attente…</v>
      </c>
      <c r="RL120" s="199">
        <f t="shared" si="110"/>
        <v>730</v>
      </c>
      <c r="RM120" s="200" t="str">
        <f t="shared" ca="1" si="111"/>
        <v>Atttente…</v>
      </c>
      <c r="RN120" s="199">
        <f t="shared" si="112"/>
        <v>530</v>
      </c>
      <c r="RO120" s="200" t="str">
        <f t="shared" ca="1" si="67"/>
        <v>Attente…</v>
      </c>
      <c r="RP120" s="199">
        <f t="shared" si="113"/>
        <v>130</v>
      </c>
      <c r="RQ120" s="200" t="str">
        <f t="shared" ca="1" si="68"/>
        <v>Attente…</v>
      </c>
      <c r="RR120" s="201">
        <f t="shared" si="114"/>
        <v>1850</v>
      </c>
      <c r="RS120" s="202" t="str">
        <f t="shared" ca="1" si="69"/>
        <v>Attente…</v>
      </c>
      <c r="RT120" s="103"/>
      <c r="RU120" s="203" t="str">
        <f t="shared" si="115"/>
        <v/>
      </c>
      <c r="RV120" s="204">
        <f t="shared" si="118"/>
        <v>0</v>
      </c>
      <c r="RW120" s="204">
        <f t="shared" si="118"/>
        <v>0</v>
      </c>
      <c r="RX120" s="204">
        <f t="shared" si="116"/>
        <v>37</v>
      </c>
      <c r="RY120" s="205" t="str">
        <f t="shared" si="117"/>
        <v>SAINT-AUBIN-LÈS-ELBEUF - CHI  rue du docteur Villers (entrée des urgences)</v>
      </c>
      <c r="RZ120" s="189" t="str">
        <f>IF(OR(RZ119="",RZ119="  &lt;/Document&gt;
&lt;/kml&gt;"),"",
IF(B120="","  &lt;/Document&gt;
&lt;/kml&gt;",
IF(TournéesCAV!Q120=""," ",
"    &lt;Placemark&gt;
      &lt;description&gt;&lt;![CDATA["&amp;B120&amp;"&lt;br&gt;&lt;br&gt;"&amp;RV120&amp;" CAV&lt;br&gt;&lt;br&gt;Présent sur "&amp;RW120&amp;" tournée(s)&lt;br&gt;&lt;br&gt;Taux de remplissage moyen "&amp;TEXT(RU120*1000,"0 %")&amp;"]]&gt;&lt;/description&gt;
      &lt;Style&gt;
        &lt;IconStyle&gt;
          &lt;color&gt;ff"&amp;
          DEC2HEX(0,2)&amp;
          DEC2HEX(
            IF(RU120&lt;=0.5,
               INT(255*(RU120*2)),
               255
            ),2)&amp;
          DEC2HEX(
            IF(RU120&lt;=0.5,
               255,
               INT(255*(1-(RU120-0.5)*2))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&lt;Point&gt;&lt;coordinates&gt;"&amp;R120&amp;","&amp;Q120&amp;",0&lt;/coordinates&gt;&lt;/Point&gt;
    &lt;/Placemark&gt;"
)))</f>
        <v xml:space="preserve"> </v>
      </c>
    </row>
    <row r="121" spans="2:494" ht="15" customHeight="1" x14ac:dyDescent="0.35">
      <c r="B121" s="153" t="str">
        <f t="shared" si="70"/>
        <v>ROUEN - 15 rue du Général Giraud</v>
      </c>
      <c r="C121" s="154">
        <v>184</v>
      </c>
      <c r="D121" s="155"/>
      <c r="E121" s="155"/>
      <c r="F121" s="155"/>
      <c r="G121" s="155"/>
      <c r="H121" s="155"/>
      <c r="I121" s="155"/>
      <c r="J121" s="156"/>
      <c r="K121" s="157">
        <f t="shared" si="71"/>
        <v>1</v>
      </c>
      <c r="L121" s="157">
        <f t="shared" si="72"/>
        <v>2</v>
      </c>
      <c r="M121" s="158" t="s">
        <v>693</v>
      </c>
      <c r="N121" s="159"/>
      <c r="O121" s="159">
        <v>76000</v>
      </c>
      <c r="P121" s="159" t="s">
        <v>90</v>
      </c>
      <c r="Q121" s="159" t="s">
        <v>694</v>
      </c>
      <c r="R121" s="159" t="s">
        <v>695</v>
      </c>
      <c r="S121" s="159" t="s">
        <v>93</v>
      </c>
      <c r="T121" s="159" t="s">
        <v>94</v>
      </c>
      <c r="U121" s="159" t="s">
        <v>696</v>
      </c>
      <c r="V121" s="160" t="s">
        <v>96</v>
      </c>
      <c r="W121" s="210">
        <v>1</v>
      </c>
      <c r="X121" s="162">
        <v>1</v>
      </c>
      <c r="Y121" s="162"/>
      <c r="Z121" s="162"/>
      <c r="AA121" s="162"/>
      <c r="AB121" s="162"/>
      <c r="AC121" s="162"/>
      <c r="AD121" s="162"/>
      <c r="AE121" s="162"/>
      <c r="AF121" s="162"/>
      <c r="AG121" s="162"/>
      <c r="AH121" s="162"/>
      <c r="AI121" s="162"/>
      <c r="AJ121" s="162"/>
      <c r="AK121" s="162"/>
      <c r="AL121" s="162"/>
      <c r="AM121" s="162"/>
      <c r="AN121" s="162"/>
      <c r="AO121" s="162"/>
      <c r="AP121" s="164"/>
      <c r="AQ121" s="164"/>
      <c r="AR121" s="164"/>
      <c r="AS121" s="164"/>
      <c r="AT121" s="164"/>
      <c r="AU121" s="164"/>
      <c r="AV121" s="164"/>
      <c r="AW121" s="164"/>
      <c r="AX121" s="164"/>
      <c r="AY121" s="165"/>
      <c r="AZ121" s="41"/>
      <c r="BA121" s="190"/>
      <c r="BB121" s="191"/>
      <c r="BC121" s="191">
        <v>150</v>
      </c>
      <c r="BD121" s="191"/>
      <c r="BE121" s="191"/>
      <c r="BF121" s="191"/>
      <c r="BG121" s="191"/>
      <c r="BH121" s="191"/>
      <c r="BI121" s="191"/>
      <c r="BJ121" s="191">
        <v>200</v>
      </c>
      <c r="BK121" s="191"/>
      <c r="BL121" s="191"/>
      <c r="BM121" s="191">
        <v>50</v>
      </c>
      <c r="BN121" s="191"/>
      <c r="BO121" s="191"/>
      <c r="BP121" s="191"/>
      <c r="BQ121" s="191">
        <v>10</v>
      </c>
      <c r="BR121" s="191"/>
      <c r="BS121" s="191"/>
      <c r="BT121" s="191"/>
      <c r="BU121" s="191"/>
      <c r="BV121" s="191"/>
      <c r="BW121" s="191"/>
      <c r="BX121" s="191">
        <v>200</v>
      </c>
      <c r="BY121" s="191"/>
      <c r="BZ121" s="191"/>
      <c r="CA121" s="191"/>
      <c r="CB121" s="191"/>
      <c r="CC121" s="191"/>
      <c r="CD121" s="191"/>
      <c r="CE121" s="192">
        <v>100</v>
      </c>
      <c r="CF121" s="190"/>
      <c r="CG121" s="191"/>
      <c r="CH121" s="191"/>
      <c r="CI121" s="191"/>
      <c r="CJ121" s="191"/>
      <c r="CK121" s="191"/>
      <c r="CL121" s="191">
        <v>200</v>
      </c>
      <c r="CM121" s="191"/>
      <c r="CN121" s="191"/>
      <c r="CO121" s="191">
        <v>150</v>
      </c>
      <c r="CP121" s="191"/>
      <c r="CQ121" s="191"/>
      <c r="CR121" s="191"/>
      <c r="CS121" s="191">
        <v>50</v>
      </c>
      <c r="CT121" s="191"/>
      <c r="CU121" s="191"/>
      <c r="CV121" s="191">
        <v>100</v>
      </c>
      <c r="CW121" s="191"/>
      <c r="CX121" s="191"/>
      <c r="CY121" s="191"/>
      <c r="CZ121" s="191">
        <v>50</v>
      </c>
      <c r="DA121" s="191"/>
      <c r="DB121" s="191"/>
      <c r="DC121" s="191">
        <v>100</v>
      </c>
      <c r="DD121" s="191"/>
      <c r="DE121" s="191"/>
      <c r="DF121" s="191"/>
      <c r="DG121" s="191">
        <v>50</v>
      </c>
      <c r="DH121" s="193"/>
      <c r="DI121" s="194"/>
      <c r="DJ121" s="191"/>
      <c r="DK121" s="191">
        <v>50</v>
      </c>
      <c r="DL121" s="191"/>
      <c r="DM121" s="191"/>
      <c r="DN121" s="191"/>
      <c r="DO121" s="191">
        <v>50</v>
      </c>
      <c r="DP121" s="191"/>
      <c r="DQ121" s="191"/>
      <c r="DR121" s="191"/>
      <c r="DS121" s="191"/>
      <c r="DT121" s="191"/>
      <c r="DU121" s="191"/>
      <c r="DV121" s="191">
        <v>150</v>
      </c>
      <c r="DW121" s="191"/>
      <c r="DX121" s="191"/>
      <c r="DY121" s="191"/>
      <c r="DZ121" s="191"/>
      <c r="EA121" s="191"/>
      <c r="EB121" s="191"/>
      <c r="EC121" s="191">
        <v>100</v>
      </c>
      <c r="ED121" s="191"/>
      <c r="EE121" s="191"/>
      <c r="EF121" s="191">
        <v>100</v>
      </c>
      <c r="EG121" s="191"/>
      <c r="EH121" s="191"/>
      <c r="EI121" s="191"/>
      <c r="EJ121" s="191">
        <v>50</v>
      </c>
      <c r="EK121" s="191"/>
      <c r="EL121" s="191"/>
      <c r="EM121" s="192">
        <v>50</v>
      </c>
      <c r="EN121" s="190"/>
      <c r="EO121" s="191"/>
      <c r="EP121" s="191"/>
      <c r="EQ121" s="191">
        <v>100</v>
      </c>
      <c r="ER121" s="191"/>
      <c r="ES121" s="191"/>
      <c r="ET121" s="191">
        <v>50</v>
      </c>
      <c r="EU121" s="191"/>
      <c r="EV121" s="191"/>
      <c r="EW121" s="191"/>
      <c r="EX121" s="191">
        <v>100</v>
      </c>
      <c r="EY121" s="191"/>
      <c r="EZ121" s="191"/>
      <c r="FA121" s="191">
        <v>50</v>
      </c>
      <c r="FB121" s="191"/>
      <c r="FC121" s="191"/>
      <c r="FD121" s="191"/>
      <c r="FE121" s="191">
        <v>100</v>
      </c>
      <c r="FF121" s="191"/>
      <c r="FG121" s="191"/>
      <c r="FH121" s="191"/>
      <c r="FI121" s="191"/>
      <c r="FJ121" s="191"/>
      <c r="FK121" s="191">
        <v>150</v>
      </c>
      <c r="FL121" s="191"/>
      <c r="FM121" s="191"/>
      <c r="FN121" s="191"/>
      <c r="FO121" s="191">
        <v>150</v>
      </c>
      <c r="FP121" s="191"/>
      <c r="FQ121" s="193"/>
      <c r="FR121" s="194"/>
      <c r="FS121" s="191"/>
      <c r="FT121" s="191"/>
      <c r="FU121" s="191"/>
      <c r="FV121" s="191">
        <v>200</v>
      </c>
      <c r="FW121" s="191"/>
      <c r="FX121" s="191"/>
      <c r="FY121" s="191"/>
      <c r="FZ121" s="191">
        <v>100</v>
      </c>
      <c r="GA121" s="191"/>
      <c r="GB121" s="191"/>
      <c r="GC121" s="191">
        <v>50</v>
      </c>
      <c r="GD121" s="191"/>
      <c r="GE121" s="191"/>
      <c r="GF121" s="191"/>
      <c r="GG121" s="191">
        <v>100</v>
      </c>
      <c r="GH121" s="191"/>
      <c r="GI121" s="191"/>
      <c r="GJ121" s="191">
        <v>100</v>
      </c>
      <c r="GK121" s="191"/>
      <c r="GL121" s="191"/>
      <c r="GM121" s="191"/>
      <c r="GN121" s="191">
        <v>100</v>
      </c>
      <c r="GO121" s="191"/>
      <c r="GP121" s="191"/>
      <c r="GQ121" s="191">
        <v>100</v>
      </c>
      <c r="GR121" s="191"/>
      <c r="GS121" s="191"/>
      <c r="GT121" s="191"/>
      <c r="GU121" s="191">
        <v>100</v>
      </c>
      <c r="GV121" s="192"/>
      <c r="GW121" s="190"/>
      <c r="GX121" s="191">
        <v>100</v>
      </c>
      <c r="GY121" s="191"/>
      <c r="GZ121" s="191"/>
      <c r="HA121" s="191"/>
      <c r="HB121" s="191">
        <v>50</v>
      </c>
      <c r="HC121" s="191"/>
      <c r="HD121" s="191"/>
      <c r="HE121" s="191"/>
      <c r="HF121" s="191"/>
      <c r="HG121" s="191"/>
      <c r="HH121" s="191"/>
      <c r="HI121" s="191">
        <v>100</v>
      </c>
      <c r="HJ121" s="191"/>
      <c r="HK121" s="191"/>
      <c r="HL121" s="191"/>
      <c r="HM121" s="191"/>
      <c r="HN121" s="191"/>
      <c r="HO121" s="191">
        <v>150</v>
      </c>
      <c r="HP121" s="191"/>
      <c r="HQ121" s="191"/>
      <c r="HR121" s="191"/>
      <c r="HS121" s="191">
        <v>150</v>
      </c>
      <c r="HT121" s="191"/>
      <c r="HU121" s="191"/>
      <c r="HV121" s="191"/>
      <c r="HW121" s="191">
        <v>100</v>
      </c>
      <c r="HX121" s="191"/>
      <c r="HY121" s="191"/>
      <c r="HZ121" s="193">
        <v>100</v>
      </c>
      <c r="IA121" s="194"/>
      <c r="IB121" s="191"/>
      <c r="IC121" s="191"/>
      <c r="ID121" s="191">
        <v>150</v>
      </c>
      <c r="IE121" s="191"/>
      <c r="IF121" s="191"/>
      <c r="IG121" s="191"/>
      <c r="IH121" s="191"/>
      <c r="II121" s="191"/>
      <c r="IJ121" s="191">
        <v>200</v>
      </c>
      <c r="IK121" s="191"/>
      <c r="IL121" s="191"/>
      <c r="IM121" s="191"/>
      <c r="IN121" s="191">
        <v>100</v>
      </c>
      <c r="IO121" s="191"/>
      <c r="IP121" s="191"/>
      <c r="IQ121" s="191"/>
      <c r="IR121" s="191"/>
      <c r="IS121" s="191"/>
      <c r="IT121" s="191"/>
      <c r="IU121" s="191">
        <v>15</v>
      </c>
      <c r="IV121" s="191"/>
      <c r="IW121" s="191"/>
      <c r="IX121" s="191"/>
      <c r="IY121" s="191"/>
      <c r="IZ121" s="191"/>
      <c r="JA121" s="191"/>
      <c r="JB121" s="191"/>
      <c r="JC121" s="191">
        <v>200</v>
      </c>
      <c r="JD121" s="191"/>
      <c r="JE121" s="192"/>
      <c r="JF121" s="190">
        <v>100</v>
      </c>
      <c r="JG121" s="191"/>
      <c r="JH121" s="191"/>
      <c r="JI121" s="191">
        <v>50</v>
      </c>
      <c r="JJ121" s="191"/>
      <c r="JK121" s="191"/>
      <c r="JL121" s="191"/>
      <c r="JM121" s="191">
        <v>50</v>
      </c>
      <c r="JN121" s="191"/>
      <c r="JO121" s="191"/>
      <c r="JP121" s="191">
        <v>50</v>
      </c>
      <c r="JQ121" s="191"/>
      <c r="JR121" s="191"/>
      <c r="JS121" s="191"/>
      <c r="JT121" s="191"/>
      <c r="JU121" s="191"/>
      <c r="JV121" s="191"/>
      <c r="JW121" s="191">
        <v>100</v>
      </c>
      <c r="JX121" s="191"/>
      <c r="JY121" s="191"/>
      <c r="JZ121" s="191"/>
      <c r="KA121" s="191">
        <v>150</v>
      </c>
      <c r="KB121" s="191"/>
      <c r="KC121" s="191"/>
      <c r="KD121" s="191">
        <v>100</v>
      </c>
      <c r="KE121" s="191"/>
      <c r="KF121" s="191"/>
      <c r="KG121" s="191"/>
      <c r="KH121" s="191">
        <v>150</v>
      </c>
      <c r="KI121" s="191"/>
      <c r="KJ121" s="193"/>
      <c r="KK121" s="194">
        <v>50</v>
      </c>
      <c r="KL121" s="191"/>
      <c r="KM121" s="191"/>
      <c r="KN121" s="191"/>
      <c r="KO121" s="191"/>
      <c r="KP121" s="191"/>
      <c r="KQ121" s="191"/>
      <c r="KR121" s="191">
        <v>200</v>
      </c>
      <c r="KS121" s="191"/>
      <c r="KT121" s="191"/>
      <c r="KU121" s="191"/>
      <c r="KV121" s="191">
        <v>50</v>
      </c>
      <c r="KW121" s="191"/>
      <c r="KX121" s="191"/>
      <c r="KY121" s="191">
        <v>100</v>
      </c>
      <c r="KZ121" s="191"/>
      <c r="LA121" s="191"/>
      <c r="LB121" s="191"/>
      <c r="LC121" s="191">
        <v>150</v>
      </c>
      <c r="LD121" s="191"/>
      <c r="LE121" s="191"/>
      <c r="LF121" s="191">
        <v>50</v>
      </c>
      <c r="LG121" s="191"/>
      <c r="LH121" s="191"/>
      <c r="LI121" s="191"/>
      <c r="LJ121" s="191">
        <v>50</v>
      </c>
      <c r="LK121" s="191"/>
      <c r="LL121" s="191"/>
      <c r="LM121" s="191">
        <v>50</v>
      </c>
      <c r="LN121" s="192"/>
      <c r="LO121" s="190"/>
      <c r="LP121" s="191"/>
      <c r="LQ121" s="191"/>
      <c r="LR121" s="191"/>
      <c r="LS121" s="191"/>
      <c r="LT121" s="191">
        <v>150</v>
      </c>
      <c r="LU121" s="191"/>
      <c r="LV121" s="191"/>
      <c r="LW121" s="191"/>
      <c r="LX121" s="191">
        <v>50</v>
      </c>
      <c r="LY121" s="191"/>
      <c r="LZ121" s="191"/>
      <c r="MA121" s="191">
        <v>50</v>
      </c>
      <c r="MB121" s="191"/>
      <c r="MC121" s="191"/>
      <c r="MD121" s="191"/>
      <c r="ME121" s="191">
        <v>10</v>
      </c>
      <c r="MF121" s="191"/>
      <c r="MG121" s="191"/>
      <c r="MH121" s="191">
        <v>50</v>
      </c>
      <c r="MI121" s="191"/>
      <c r="MJ121" s="191"/>
      <c r="MK121" s="191"/>
      <c r="ML121" s="191">
        <v>100</v>
      </c>
      <c r="MM121" s="191"/>
      <c r="MN121" s="191"/>
      <c r="MO121" s="191">
        <v>50</v>
      </c>
      <c r="MP121" s="191"/>
      <c r="MQ121" s="191"/>
      <c r="MR121" s="191"/>
      <c r="MS121" s="193">
        <v>100</v>
      </c>
      <c r="MT121" s="194"/>
      <c r="MU121" s="191"/>
      <c r="MV121" s="191">
        <v>50</v>
      </c>
      <c r="MW121" s="191"/>
      <c r="MX121" s="191"/>
      <c r="MY121" s="191"/>
      <c r="MZ121" s="191">
        <v>50</v>
      </c>
      <c r="NA121" s="191"/>
      <c r="NB121" s="191"/>
      <c r="NC121" s="191">
        <v>100</v>
      </c>
      <c r="ND121" s="191"/>
      <c r="NE121" s="191"/>
      <c r="NF121" s="191"/>
      <c r="NG121" s="191">
        <v>100</v>
      </c>
      <c r="NH121" s="191"/>
      <c r="NI121" s="191"/>
      <c r="NJ121" s="191">
        <v>50</v>
      </c>
      <c r="NK121" s="191"/>
      <c r="NL121" s="191"/>
      <c r="NM121" s="191"/>
      <c r="NN121" s="191">
        <v>50</v>
      </c>
      <c r="NO121" s="191"/>
      <c r="NP121" s="191"/>
      <c r="NQ121" s="191">
        <v>100</v>
      </c>
      <c r="NR121" s="191"/>
      <c r="NS121" s="191"/>
      <c r="NT121" s="191"/>
      <c r="NU121" s="191">
        <v>150</v>
      </c>
      <c r="NV121" s="191"/>
      <c r="NW121" s="192"/>
      <c r="NX121" s="190">
        <v>50</v>
      </c>
      <c r="NY121" s="191"/>
      <c r="NZ121" s="191"/>
      <c r="OA121" s="191"/>
      <c r="OB121" s="191">
        <v>100</v>
      </c>
      <c r="OC121" s="191"/>
      <c r="OD121" s="191"/>
      <c r="OE121" s="191">
        <v>50</v>
      </c>
      <c r="OF121" s="191"/>
      <c r="OG121" s="191"/>
      <c r="OH121" s="191"/>
      <c r="OI121" s="191"/>
      <c r="OJ121" s="191"/>
      <c r="OK121" s="191"/>
      <c r="OL121" s="191"/>
      <c r="OM121" s="191"/>
      <c r="ON121" s="191"/>
      <c r="OO121" s="191"/>
      <c r="OP121" s="191"/>
      <c r="OQ121" s="191"/>
      <c r="OR121" s="191"/>
      <c r="OS121" s="191"/>
      <c r="OT121" s="191"/>
      <c r="OU121" s="191"/>
      <c r="OV121" s="191"/>
      <c r="OW121" s="191"/>
      <c r="OX121" s="191"/>
      <c r="OY121" s="191"/>
      <c r="OZ121" s="191"/>
      <c r="PA121" s="191"/>
      <c r="PB121" s="193"/>
      <c r="PC121" s="47"/>
      <c r="PD121" s="154" t="s">
        <v>97</v>
      </c>
      <c r="PE121" s="155" t="s">
        <v>98</v>
      </c>
      <c r="PF121" s="155" t="s">
        <v>98</v>
      </c>
      <c r="PG121" s="155" t="s">
        <v>98</v>
      </c>
      <c r="PH121" s="155" t="s">
        <v>98</v>
      </c>
      <c r="PI121" s="155" t="s">
        <v>98</v>
      </c>
      <c r="PJ121" s="155" t="s">
        <v>98</v>
      </c>
      <c r="PK121" s="155" t="s">
        <v>98</v>
      </c>
      <c r="PL121" s="155" t="s">
        <v>98</v>
      </c>
      <c r="PM121" s="155" t="s">
        <v>98</v>
      </c>
      <c r="PN121" s="155" t="s">
        <v>98</v>
      </c>
      <c r="PO121" s="156"/>
      <c r="PP121" s="156"/>
      <c r="PQ121" s="156"/>
      <c r="PR121" s="156"/>
      <c r="PS121" s="156"/>
      <c r="PT121" s="156"/>
      <c r="PU121" s="156"/>
      <c r="PV121" s="156"/>
      <c r="PW121" s="156"/>
      <c r="PX121" s="195"/>
      <c r="PY121" s="1"/>
      <c r="PZ121" s="196">
        <f t="shared" si="73"/>
        <v>710</v>
      </c>
      <c r="QA121" s="176">
        <f t="shared" si="74"/>
        <v>5.9230833402853095E-3</v>
      </c>
      <c r="QB121" s="177" t="str">
        <f t="shared" ca="1" si="75"/>
        <v>Attente…</v>
      </c>
      <c r="QC121" s="197">
        <f t="shared" si="76"/>
        <v>700</v>
      </c>
      <c r="QD121" s="179">
        <f t="shared" si="77"/>
        <v>6.5543071161048693E-3</v>
      </c>
      <c r="QE121" s="180" t="str">
        <f t="shared" ca="1" si="78"/>
        <v>Attente…</v>
      </c>
      <c r="QF121" s="196">
        <f t="shared" si="79"/>
        <v>550</v>
      </c>
      <c r="QG121" s="176">
        <f t="shared" si="80"/>
        <v>4.379678292721771E-3</v>
      </c>
      <c r="QH121" s="177" t="str">
        <f t="shared" ca="1" si="81"/>
        <v>Attente…</v>
      </c>
      <c r="QI121" s="197">
        <f t="shared" si="82"/>
        <v>700</v>
      </c>
      <c r="QJ121" s="179">
        <f t="shared" si="83"/>
        <v>4.9095244774863232E-3</v>
      </c>
      <c r="QK121" s="180" t="str">
        <f t="shared" ca="1" si="84"/>
        <v>Attente…</v>
      </c>
      <c r="QL121" s="196">
        <f t="shared" si="85"/>
        <v>850</v>
      </c>
      <c r="QM121" s="176">
        <f t="shared" si="86"/>
        <v>6.2189054726368162E-3</v>
      </c>
      <c r="QN121" s="177" t="str">
        <f t="shared" ca="1" si="87"/>
        <v>Attente…</v>
      </c>
      <c r="QO121" s="197">
        <f t="shared" si="88"/>
        <v>750</v>
      </c>
      <c r="QP121" s="179">
        <f t="shared" si="89"/>
        <v>5.8717607453221635E-3</v>
      </c>
      <c r="QQ121" s="180" t="str">
        <f t="shared" ca="1" si="90"/>
        <v>Attente…</v>
      </c>
      <c r="QR121" s="196">
        <f t="shared" si="91"/>
        <v>665</v>
      </c>
      <c r="QS121" s="176">
        <f t="shared" si="92"/>
        <v>4.7874446564198552E-3</v>
      </c>
      <c r="QT121" s="177" t="str">
        <f t="shared" ca="1" si="93"/>
        <v>Attente…</v>
      </c>
      <c r="QU121" s="197">
        <f t="shared" si="94"/>
        <v>750</v>
      </c>
      <c r="QV121" s="179">
        <f t="shared" si="95"/>
        <v>5.1709873138444567E-3</v>
      </c>
      <c r="QW121" s="180" t="str">
        <f t="shared" ca="1" si="96"/>
        <v>Attente…</v>
      </c>
      <c r="QX121" s="196">
        <f t="shared" si="97"/>
        <v>700</v>
      </c>
      <c r="QY121" s="176">
        <f t="shared" si="98"/>
        <v>5.1081467643538927E-3</v>
      </c>
      <c r="QZ121" s="177" t="str">
        <f t="shared" ca="1" si="99"/>
        <v>Attente…</v>
      </c>
      <c r="RA121" s="197">
        <f t="shared" si="100"/>
        <v>560</v>
      </c>
      <c r="RB121" s="179">
        <f t="shared" si="101"/>
        <v>4.3815037946952507E-3</v>
      </c>
      <c r="RC121" s="180" t="str">
        <f t="shared" ca="1" si="102"/>
        <v>Attente…</v>
      </c>
      <c r="RD121" s="196">
        <f t="shared" si="103"/>
        <v>650</v>
      </c>
      <c r="RE121" s="176">
        <f t="shared" si="104"/>
        <v>6.4766839378238338E-3</v>
      </c>
      <c r="RF121" s="177" t="str">
        <f t="shared" ca="1" si="105"/>
        <v>Attente…</v>
      </c>
      <c r="RG121" s="197">
        <f t="shared" si="106"/>
        <v>200</v>
      </c>
      <c r="RH121" s="179">
        <f t="shared" si="107"/>
        <v>3.6784991723376862E-3</v>
      </c>
      <c r="RI121" s="198" t="str">
        <f t="shared" ca="1" si="108"/>
        <v>Attente…</v>
      </c>
      <c r="RJ121" s="199">
        <f t="shared" si="109"/>
        <v>1960</v>
      </c>
      <c r="RK121" s="200" t="str">
        <f t="shared" ca="1" si="66"/>
        <v>Attente…</v>
      </c>
      <c r="RL121" s="199">
        <f t="shared" si="110"/>
        <v>2300</v>
      </c>
      <c r="RM121" s="200" t="str">
        <f t="shared" ca="1" si="111"/>
        <v>Atttente…</v>
      </c>
      <c r="RN121" s="199">
        <f t="shared" si="112"/>
        <v>2115</v>
      </c>
      <c r="RO121" s="200" t="str">
        <f t="shared" ca="1" si="67"/>
        <v>Attente…</v>
      </c>
      <c r="RP121" s="199">
        <f t="shared" si="113"/>
        <v>1410</v>
      </c>
      <c r="RQ121" s="200" t="str">
        <f t="shared" ca="1" si="68"/>
        <v>Attente…</v>
      </c>
      <c r="RR121" s="201">
        <f t="shared" si="114"/>
        <v>7785</v>
      </c>
      <c r="RS121" s="202" t="str">
        <f t="shared" ca="1" si="69"/>
        <v>Attente…</v>
      </c>
      <c r="RT121" s="103"/>
      <c r="RU121" s="203">
        <f t="shared" si="115"/>
        <v>0.47469512195121949</v>
      </c>
      <c r="RV121" s="204">
        <f t="shared" si="118"/>
        <v>1</v>
      </c>
      <c r="RW121" s="204">
        <f t="shared" si="118"/>
        <v>2</v>
      </c>
      <c r="RX121" s="204">
        <f t="shared" si="116"/>
        <v>82</v>
      </c>
      <c r="RY121" s="205" t="str">
        <f t="shared" si="117"/>
        <v>ROUEN - 15 rue du Général Giraud</v>
      </c>
      <c r="RZ121" s="189" t="str">
        <f>IF(OR(RZ120="",RZ120="  &lt;/Document&gt;
&lt;/kml&gt;"),"",
IF(B121="","  &lt;/Document&gt;
&lt;/kml&gt;",
IF(TournéesCAV!Q121=""," ",
"    &lt;Placemark&gt;
      &lt;description&gt;&lt;![CDATA["&amp;B121&amp;"&lt;br&gt;&lt;br&gt;"&amp;RV121&amp;" CAV&lt;br&gt;&lt;br&gt;Présent sur "&amp;RW121&amp;" tournée(s)&lt;br&gt;&lt;br&gt;Taux de remplissage moyen "&amp;TEXT(RU121*1000,"0 %")&amp;"]]&gt;&lt;/description&gt;
      &lt;Style&gt;
        &lt;IconStyle&gt;
          &lt;color&gt;ff"&amp;
          DEC2HEX(0,2)&amp;
          DEC2HEX(
            IF(RU121&lt;=0.5,
               INT(255*(RU121*2)),
               255
            ),2)&amp;
          DEC2HEX(
            IF(RU121&lt;=0.5,
               255,
               INT(255*(1-(RU121-0.5)*2))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&lt;Point&gt;&lt;coordinates&gt;"&amp;R121&amp;","&amp;Q121&amp;",0&lt;/coordinates&gt;&lt;/Point&gt;
    &lt;/Placemark&gt;"
)))</f>
        <v xml:space="preserve">    &lt;Placemark&gt;
      &lt;description&gt;&lt;![CDATA[ROUEN - 15 rue du Général Giraud&lt;br&gt;&lt;br&gt;1 CAV&lt;br&gt;&lt;br&gt;Présent sur 2 tournée(s)&lt;br&gt;&lt;br&gt;Taux de remplissage moyen 47%]]&gt;&lt;/description&gt;
      &lt;Style&gt;
        &lt;IconStyle&gt;
          &lt;color&gt;ff00F2FF&lt;/color&gt;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&lt;Point&gt;&lt;coordinates&gt;1.0867878,49.4412597,0&lt;/coordinates&gt;&lt;/Point&gt;
    &lt;/Placemark&gt;</v>
      </c>
    </row>
    <row r="122" spans="2:494" ht="15" hidden="1" customHeight="1" x14ac:dyDescent="0.35">
      <c r="B122" s="153" t="str">
        <f t="shared" si="70"/>
        <v>SAINT-AUBIN-LÈS-ELBEUF - 26 Rue de Freneuse (Croisement ruelle Arthus)</v>
      </c>
      <c r="C122" s="154">
        <v>97</v>
      </c>
      <c r="D122" s="155"/>
      <c r="E122" s="155"/>
      <c r="F122" s="155"/>
      <c r="G122" s="155"/>
      <c r="H122" s="155"/>
      <c r="I122" s="155"/>
      <c r="J122" s="156"/>
      <c r="K122" s="157">
        <f t="shared" si="71"/>
        <v>1</v>
      </c>
      <c r="L122" s="157">
        <f t="shared" si="72"/>
        <v>1</v>
      </c>
      <c r="M122" s="158" t="s">
        <v>697</v>
      </c>
      <c r="N122" s="159" t="s">
        <v>698</v>
      </c>
      <c r="O122" s="159">
        <v>76410</v>
      </c>
      <c r="P122" s="159" t="s">
        <v>639</v>
      </c>
      <c r="Q122" s="159" t="s">
        <v>699</v>
      </c>
      <c r="R122" s="159" t="s">
        <v>700</v>
      </c>
      <c r="S122" s="159" t="s">
        <v>93</v>
      </c>
      <c r="T122" s="159" t="s">
        <v>94</v>
      </c>
      <c r="U122" s="159" t="s">
        <v>701</v>
      </c>
      <c r="V122" s="160" t="s">
        <v>96</v>
      </c>
      <c r="W122" s="161"/>
      <c r="X122" s="162"/>
      <c r="Y122" s="163"/>
      <c r="Z122" s="162"/>
      <c r="AA122" s="163"/>
      <c r="AB122" s="162"/>
      <c r="AC122" s="163"/>
      <c r="AD122" s="162"/>
      <c r="AE122" s="163"/>
      <c r="AF122" s="162"/>
      <c r="AG122" s="163"/>
      <c r="AH122" s="163"/>
      <c r="AI122" s="162"/>
      <c r="AJ122" s="163"/>
      <c r="AK122" s="162"/>
      <c r="AL122" s="163"/>
      <c r="AM122" s="162"/>
      <c r="AN122" s="163"/>
      <c r="AO122" s="162">
        <v>12</v>
      </c>
      <c r="AP122" s="164"/>
      <c r="AQ122" s="164"/>
      <c r="AR122" s="164"/>
      <c r="AS122" s="164"/>
      <c r="AT122" s="164"/>
      <c r="AU122" s="164"/>
      <c r="AV122" s="164"/>
      <c r="AW122" s="164"/>
      <c r="AX122" s="164"/>
      <c r="AY122" s="165"/>
      <c r="AZ122" s="41"/>
      <c r="BA122" s="190"/>
      <c r="BB122" s="191">
        <v>10</v>
      </c>
      <c r="BC122" s="191"/>
      <c r="BD122" s="191"/>
      <c r="BE122" s="191"/>
      <c r="BF122" s="191"/>
      <c r="BG122" s="191"/>
      <c r="BH122" s="191">
        <v>50</v>
      </c>
      <c r="BI122" s="191"/>
      <c r="BJ122" s="191"/>
      <c r="BK122" s="191"/>
      <c r="BL122" s="191"/>
      <c r="BM122" s="191"/>
      <c r="BN122" s="191"/>
      <c r="BO122" s="191">
        <v>10</v>
      </c>
      <c r="BP122" s="191"/>
      <c r="BQ122" s="191"/>
      <c r="BR122" s="191"/>
      <c r="BS122" s="191"/>
      <c r="BT122" s="191"/>
      <c r="BU122" s="191"/>
      <c r="BV122" s="191">
        <v>50</v>
      </c>
      <c r="BW122" s="191"/>
      <c r="BX122" s="191"/>
      <c r="BY122" s="191"/>
      <c r="BZ122" s="191"/>
      <c r="CA122" s="191"/>
      <c r="CB122" s="191"/>
      <c r="CC122" s="191">
        <v>100</v>
      </c>
      <c r="CD122" s="191"/>
      <c r="CE122" s="192"/>
      <c r="CF122" s="190"/>
      <c r="CG122" s="191"/>
      <c r="CH122" s="191"/>
      <c r="CI122" s="191"/>
      <c r="CJ122" s="191">
        <v>50</v>
      </c>
      <c r="CK122" s="191"/>
      <c r="CL122" s="191"/>
      <c r="CM122" s="191"/>
      <c r="CN122" s="191"/>
      <c r="CO122" s="191"/>
      <c r="CP122" s="191"/>
      <c r="CQ122" s="191"/>
      <c r="CR122" s="191"/>
      <c r="CS122" s="191"/>
      <c r="CT122" s="191"/>
      <c r="CU122" s="191"/>
      <c r="CV122" s="191"/>
      <c r="CW122" s="191"/>
      <c r="CX122" s="191">
        <v>150</v>
      </c>
      <c r="CY122" s="191"/>
      <c r="CZ122" s="191"/>
      <c r="DA122" s="191"/>
      <c r="DB122" s="191"/>
      <c r="DC122" s="191"/>
      <c r="DD122" s="191"/>
      <c r="DE122" s="191">
        <v>10</v>
      </c>
      <c r="DF122" s="191"/>
      <c r="DG122" s="191"/>
      <c r="DH122" s="193"/>
      <c r="DI122" s="194"/>
      <c r="DJ122" s="191"/>
      <c r="DK122" s="191"/>
      <c r="DL122" s="191"/>
      <c r="DM122" s="191"/>
      <c r="DN122" s="191"/>
      <c r="DO122" s="191"/>
      <c r="DP122" s="191"/>
      <c r="DQ122" s="191"/>
      <c r="DR122" s="191"/>
      <c r="DS122" s="191"/>
      <c r="DT122" s="191">
        <v>150</v>
      </c>
      <c r="DU122" s="191"/>
      <c r="DV122" s="191"/>
      <c r="DW122" s="191"/>
      <c r="DX122" s="191"/>
      <c r="DY122" s="191"/>
      <c r="DZ122" s="191"/>
      <c r="EA122" s="191">
        <v>150</v>
      </c>
      <c r="EB122" s="191"/>
      <c r="EC122" s="191"/>
      <c r="ED122" s="191"/>
      <c r="EE122" s="191"/>
      <c r="EF122" s="191"/>
      <c r="EG122" s="191"/>
      <c r="EH122" s="191">
        <v>10</v>
      </c>
      <c r="EI122" s="191"/>
      <c r="EJ122" s="191"/>
      <c r="EK122" s="191"/>
      <c r="EL122" s="191"/>
      <c r="EM122" s="192"/>
      <c r="EN122" s="190"/>
      <c r="EO122" s="191">
        <v>10</v>
      </c>
      <c r="EP122" s="191"/>
      <c r="EQ122" s="191"/>
      <c r="ER122" s="191"/>
      <c r="ES122" s="191"/>
      <c r="ET122" s="191"/>
      <c r="EU122" s="191"/>
      <c r="EV122" s="191">
        <v>10</v>
      </c>
      <c r="EW122" s="191"/>
      <c r="EX122" s="191"/>
      <c r="EY122" s="191"/>
      <c r="EZ122" s="191"/>
      <c r="FA122" s="191"/>
      <c r="FB122" s="191"/>
      <c r="FC122" s="191">
        <v>50</v>
      </c>
      <c r="FD122" s="191"/>
      <c r="FE122" s="191"/>
      <c r="FF122" s="191"/>
      <c r="FG122" s="191"/>
      <c r="FH122" s="191"/>
      <c r="FI122" s="191"/>
      <c r="FJ122" s="191">
        <v>100</v>
      </c>
      <c r="FK122" s="191"/>
      <c r="FL122" s="191"/>
      <c r="FM122" s="191"/>
      <c r="FN122" s="191"/>
      <c r="FO122" s="191"/>
      <c r="FP122" s="191"/>
      <c r="FQ122" s="193">
        <v>100</v>
      </c>
      <c r="FR122" s="194"/>
      <c r="FS122" s="191"/>
      <c r="FT122" s="191"/>
      <c r="FU122" s="191"/>
      <c r="FV122" s="191"/>
      <c r="FW122" s="191"/>
      <c r="FX122" s="191">
        <v>100</v>
      </c>
      <c r="FY122" s="191"/>
      <c r="FZ122" s="191"/>
      <c r="GA122" s="191"/>
      <c r="GB122" s="191"/>
      <c r="GC122" s="191"/>
      <c r="GD122" s="191"/>
      <c r="GE122" s="191">
        <v>200</v>
      </c>
      <c r="GF122" s="191"/>
      <c r="GG122" s="191"/>
      <c r="GH122" s="191"/>
      <c r="GI122" s="191"/>
      <c r="GJ122" s="191"/>
      <c r="GK122" s="191"/>
      <c r="GL122" s="191">
        <v>100</v>
      </c>
      <c r="GM122" s="191"/>
      <c r="GN122" s="191"/>
      <c r="GO122" s="191"/>
      <c r="GP122" s="191"/>
      <c r="GQ122" s="191"/>
      <c r="GR122" s="191"/>
      <c r="GS122" s="191">
        <v>10</v>
      </c>
      <c r="GT122" s="191"/>
      <c r="GU122" s="191"/>
      <c r="GV122" s="192"/>
      <c r="GW122" s="190"/>
      <c r="GX122" s="191"/>
      <c r="GY122" s="191"/>
      <c r="GZ122" s="191">
        <v>50</v>
      </c>
      <c r="HA122" s="191"/>
      <c r="HB122" s="191"/>
      <c r="HC122" s="191"/>
      <c r="HD122" s="191"/>
      <c r="HE122" s="191"/>
      <c r="HF122" s="191"/>
      <c r="HG122" s="191"/>
      <c r="HH122" s="191"/>
      <c r="HI122" s="191"/>
      <c r="HJ122" s="191"/>
      <c r="HK122" s="191"/>
      <c r="HL122" s="191"/>
      <c r="HM122" s="191"/>
      <c r="HN122" s="191">
        <v>100</v>
      </c>
      <c r="HO122" s="191"/>
      <c r="HP122" s="191"/>
      <c r="HQ122" s="191"/>
      <c r="HR122" s="191"/>
      <c r="HS122" s="191"/>
      <c r="HT122" s="191"/>
      <c r="HU122" s="191">
        <v>50</v>
      </c>
      <c r="HV122" s="191"/>
      <c r="HW122" s="191"/>
      <c r="HX122" s="191"/>
      <c r="HY122" s="191"/>
      <c r="HZ122" s="193"/>
      <c r="IA122" s="194"/>
      <c r="IB122" s="191">
        <v>100</v>
      </c>
      <c r="IC122" s="191"/>
      <c r="ID122" s="191"/>
      <c r="IE122" s="191"/>
      <c r="IF122" s="191"/>
      <c r="IG122" s="191"/>
      <c r="IH122" s="191"/>
      <c r="II122" s="191">
        <v>100</v>
      </c>
      <c r="IJ122" s="191"/>
      <c r="IK122" s="191"/>
      <c r="IL122" s="191"/>
      <c r="IM122" s="191"/>
      <c r="IN122" s="191"/>
      <c r="IO122" s="191"/>
      <c r="IP122" s="191"/>
      <c r="IQ122" s="191">
        <v>50</v>
      </c>
      <c r="IR122" s="191"/>
      <c r="IS122" s="191"/>
      <c r="IT122" s="191"/>
      <c r="IU122" s="191"/>
      <c r="IV122" s="191"/>
      <c r="IW122" s="191"/>
      <c r="IX122" s="191">
        <v>100</v>
      </c>
      <c r="IY122" s="191"/>
      <c r="IZ122" s="191"/>
      <c r="JA122" s="191"/>
      <c r="JB122" s="191"/>
      <c r="JC122" s="191"/>
      <c r="JD122" s="191">
        <v>10</v>
      </c>
      <c r="JE122" s="192"/>
      <c r="JF122" s="190"/>
      <c r="JG122" s="191"/>
      <c r="JH122" s="191"/>
      <c r="JI122" s="191"/>
      <c r="JJ122" s="191"/>
      <c r="JK122" s="191">
        <v>50</v>
      </c>
      <c r="JL122" s="191"/>
      <c r="JM122" s="191"/>
      <c r="JN122" s="191"/>
      <c r="JO122" s="191"/>
      <c r="JP122" s="191"/>
      <c r="JQ122" s="191"/>
      <c r="JR122" s="191"/>
      <c r="JS122" s="191">
        <v>10</v>
      </c>
      <c r="JT122" s="191"/>
      <c r="JU122" s="191"/>
      <c r="JV122" s="191"/>
      <c r="JW122" s="191"/>
      <c r="JX122" s="191"/>
      <c r="JY122" s="191">
        <v>150</v>
      </c>
      <c r="JZ122" s="191"/>
      <c r="KA122" s="191"/>
      <c r="KB122" s="191"/>
      <c r="KC122" s="191"/>
      <c r="KD122" s="191"/>
      <c r="KE122" s="191"/>
      <c r="KF122" s="191"/>
      <c r="KG122" s="191"/>
      <c r="KH122" s="191"/>
      <c r="KI122" s="191"/>
      <c r="KJ122" s="193"/>
      <c r="KK122" s="194"/>
      <c r="KL122" s="191"/>
      <c r="KM122" s="191">
        <v>100</v>
      </c>
      <c r="KN122" s="191"/>
      <c r="KO122" s="191"/>
      <c r="KP122" s="191"/>
      <c r="KQ122" s="191"/>
      <c r="KR122" s="191"/>
      <c r="KS122" s="191"/>
      <c r="KT122" s="191"/>
      <c r="KU122" s="191">
        <v>10</v>
      </c>
      <c r="KV122" s="191"/>
      <c r="KW122" s="191"/>
      <c r="KX122" s="191"/>
      <c r="KY122" s="191"/>
      <c r="KZ122" s="191"/>
      <c r="LA122" s="191">
        <v>10</v>
      </c>
      <c r="LB122" s="191"/>
      <c r="LC122" s="191"/>
      <c r="LD122" s="191"/>
      <c r="LE122" s="191"/>
      <c r="LF122" s="191"/>
      <c r="LG122" s="191"/>
      <c r="LH122" s="191">
        <v>100</v>
      </c>
      <c r="LI122" s="191"/>
      <c r="LJ122" s="191"/>
      <c r="LK122" s="191"/>
      <c r="LL122" s="191"/>
      <c r="LM122" s="191"/>
      <c r="LN122" s="192"/>
      <c r="LO122" s="190">
        <v>10</v>
      </c>
      <c r="LP122" s="191"/>
      <c r="LQ122" s="191"/>
      <c r="LR122" s="191"/>
      <c r="LS122" s="191"/>
      <c r="LT122" s="191"/>
      <c r="LU122" s="191"/>
      <c r="LV122" s="191">
        <v>50</v>
      </c>
      <c r="LW122" s="191"/>
      <c r="LX122" s="191"/>
      <c r="LY122" s="191"/>
      <c r="LZ122" s="191"/>
      <c r="MA122" s="191"/>
      <c r="MB122" s="191"/>
      <c r="MC122" s="191">
        <v>150</v>
      </c>
      <c r="MD122" s="191"/>
      <c r="ME122" s="191"/>
      <c r="MF122" s="191"/>
      <c r="MG122" s="191"/>
      <c r="MH122" s="191"/>
      <c r="MI122" s="191"/>
      <c r="MJ122" s="191">
        <v>10</v>
      </c>
      <c r="MK122" s="191"/>
      <c r="ML122" s="191"/>
      <c r="MM122" s="191"/>
      <c r="MN122" s="191"/>
      <c r="MO122" s="191"/>
      <c r="MP122" s="191"/>
      <c r="MQ122" s="191">
        <v>100</v>
      </c>
      <c r="MR122" s="191"/>
      <c r="MS122" s="193"/>
      <c r="MT122" s="194"/>
      <c r="MU122" s="191"/>
      <c r="MV122" s="191"/>
      <c r="MW122" s="191"/>
      <c r="MX122" s="191">
        <v>10</v>
      </c>
      <c r="MY122" s="191"/>
      <c r="MZ122" s="191"/>
      <c r="NA122" s="191"/>
      <c r="NB122" s="191"/>
      <c r="NC122" s="191"/>
      <c r="ND122" s="191"/>
      <c r="NE122" s="191"/>
      <c r="NF122" s="191"/>
      <c r="NG122" s="191"/>
      <c r="NH122" s="191"/>
      <c r="NI122" s="191"/>
      <c r="NJ122" s="191"/>
      <c r="NK122" s="191"/>
      <c r="NL122" s="191"/>
      <c r="NM122" s="191">
        <v>50</v>
      </c>
      <c r="NN122" s="191"/>
      <c r="NO122" s="191"/>
      <c r="NP122" s="191"/>
      <c r="NQ122" s="191"/>
      <c r="NR122" s="191"/>
      <c r="NS122" s="191">
        <v>50</v>
      </c>
      <c r="NT122" s="191"/>
      <c r="NU122" s="191"/>
      <c r="NV122" s="191"/>
      <c r="NW122" s="192"/>
      <c r="NX122" s="190"/>
      <c r="NY122" s="191"/>
      <c r="NZ122" s="191">
        <v>50</v>
      </c>
      <c r="OA122" s="191"/>
      <c r="OB122" s="191"/>
      <c r="OC122" s="191"/>
      <c r="OD122" s="191"/>
      <c r="OE122" s="191"/>
      <c r="OF122" s="191"/>
      <c r="OG122" s="191">
        <v>50</v>
      </c>
      <c r="OH122" s="191"/>
      <c r="OI122" s="191"/>
      <c r="OJ122" s="191"/>
      <c r="OK122" s="191"/>
      <c r="OL122" s="191"/>
      <c r="OM122" s="191"/>
      <c r="ON122" s="191">
        <v>10</v>
      </c>
      <c r="OO122" s="191"/>
      <c r="OP122" s="191"/>
      <c r="OQ122" s="191"/>
      <c r="OR122" s="191"/>
      <c r="OS122" s="191"/>
      <c r="OT122" s="191"/>
      <c r="OU122" s="191"/>
      <c r="OV122" s="191"/>
      <c r="OW122" s="191"/>
      <c r="OX122" s="191"/>
      <c r="OY122" s="191"/>
      <c r="OZ122" s="191"/>
      <c r="PA122" s="191"/>
      <c r="PB122" s="193"/>
      <c r="PC122" s="47"/>
      <c r="PD122" s="154" t="s">
        <v>97</v>
      </c>
      <c r="PE122" s="155" t="s">
        <v>98</v>
      </c>
      <c r="PF122" s="155" t="s">
        <v>98</v>
      </c>
      <c r="PG122" s="155" t="s">
        <v>98</v>
      </c>
      <c r="PH122" s="155" t="s">
        <v>98</v>
      </c>
      <c r="PI122" s="155" t="s">
        <v>98</v>
      </c>
      <c r="PJ122" s="155" t="s">
        <v>98</v>
      </c>
      <c r="PK122" s="155" t="s">
        <v>98</v>
      </c>
      <c r="PL122" s="155" t="s">
        <v>98</v>
      </c>
      <c r="PM122" s="155" t="s">
        <v>98</v>
      </c>
      <c r="PN122" s="155" t="s">
        <v>98</v>
      </c>
      <c r="PO122" s="156"/>
      <c r="PP122" s="156"/>
      <c r="PQ122" s="156"/>
      <c r="PR122" s="156"/>
      <c r="PS122" s="156"/>
      <c r="PT122" s="156"/>
      <c r="PU122" s="156"/>
      <c r="PV122" s="156"/>
      <c r="PW122" s="156"/>
      <c r="PX122" s="195"/>
      <c r="PY122" s="1"/>
      <c r="PZ122" s="196">
        <f t="shared" si="73"/>
        <v>220</v>
      </c>
      <c r="QA122" s="176">
        <f t="shared" si="74"/>
        <v>1.8353215983982648E-3</v>
      </c>
      <c r="QB122" s="177" t="str">
        <f t="shared" ca="1" si="75"/>
        <v>Attente…</v>
      </c>
      <c r="QC122" s="197">
        <f t="shared" si="76"/>
        <v>210</v>
      </c>
      <c r="QD122" s="179">
        <f t="shared" si="77"/>
        <v>1.9662921348314608E-3</v>
      </c>
      <c r="QE122" s="180" t="str">
        <f t="shared" ca="1" si="78"/>
        <v>Attente…</v>
      </c>
      <c r="QF122" s="196">
        <f t="shared" si="79"/>
        <v>310</v>
      </c>
      <c r="QG122" s="176">
        <f t="shared" si="80"/>
        <v>2.4685459468068165E-3</v>
      </c>
      <c r="QH122" s="177" t="str">
        <f t="shared" ca="1" si="81"/>
        <v>Attente…</v>
      </c>
      <c r="QI122" s="197">
        <f t="shared" si="82"/>
        <v>270</v>
      </c>
      <c r="QJ122" s="179">
        <f t="shared" si="83"/>
        <v>1.8936737270304391E-3</v>
      </c>
      <c r="QK122" s="180" t="str">
        <f t="shared" ca="1" si="84"/>
        <v>Attente…</v>
      </c>
      <c r="QL122" s="196">
        <f t="shared" si="85"/>
        <v>410</v>
      </c>
      <c r="QM122" s="176">
        <f t="shared" si="86"/>
        <v>2.9997073456248173E-3</v>
      </c>
      <c r="QN122" s="177" t="str">
        <f t="shared" ca="1" si="87"/>
        <v>Attente…</v>
      </c>
      <c r="QO122" s="197">
        <f t="shared" si="88"/>
        <v>200</v>
      </c>
      <c r="QP122" s="179">
        <f t="shared" si="89"/>
        <v>1.5658028654192437E-3</v>
      </c>
      <c r="QQ122" s="180" t="str">
        <f t="shared" ca="1" si="90"/>
        <v>Attente…</v>
      </c>
      <c r="QR122" s="196">
        <f t="shared" si="91"/>
        <v>360</v>
      </c>
      <c r="QS122" s="176">
        <f t="shared" si="92"/>
        <v>2.5916993628739065E-3</v>
      </c>
      <c r="QT122" s="177" t="str">
        <f t="shared" ca="1" si="93"/>
        <v>Attente…</v>
      </c>
      <c r="QU122" s="197">
        <f t="shared" si="94"/>
        <v>210</v>
      </c>
      <c r="QV122" s="179">
        <f t="shared" si="95"/>
        <v>1.4478764478764478E-3</v>
      </c>
      <c r="QW122" s="180" t="str">
        <f t="shared" ca="1" si="96"/>
        <v>Attente…</v>
      </c>
      <c r="QX122" s="196">
        <f t="shared" si="97"/>
        <v>220</v>
      </c>
      <c r="QY122" s="176">
        <f t="shared" si="98"/>
        <v>1.6054175545112232E-3</v>
      </c>
      <c r="QZ122" s="177" t="str">
        <f t="shared" ca="1" si="99"/>
        <v>Attente…</v>
      </c>
      <c r="RA122" s="197">
        <f t="shared" si="100"/>
        <v>320</v>
      </c>
      <c r="RB122" s="179">
        <f t="shared" si="101"/>
        <v>2.5037164541115717E-3</v>
      </c>
      <c r="RC122" s="180" t="str">
        <f t="shared" ca="1" si="102"/>
        <v>Attente…</v>
      </c>
      <c r="RD122" s="196">
        <f t="shared" si="103"/>
        <v>110</v>
      </c>
      <c r="RE122" s="176">
        <f t="shared" si="104"/>
        <v>1.096054204862495E-3</v>
      </c>
      <c r="RF122" s="177" t="str">
        <f t="shared" ca="1" si="105"/>
        <v>Attente…</v>
      </c>
      <c r="RG122" s="197">
        <f t="shared" si="106"/>
        <v>110</v>
      </c>
      <c r="RH122" s="179">
        <f t="shared" si="107"/>
        <v>2.0231745447857274E-3</v>
      </c>
      <c r="RI122" s="198" t="str">
        <f t="shared" ca="1" si="108"/>
        <v>Attente…</v>
      </c>
      <c r="RJ122" s="199">
        <f t="shared" si="109"/>
        <v>740</v>
      </c>
      <c r="RK122" s="200" t="str">
        <f t="shared" ca="1" si="66"/>
        <v>Attente…</v>
      </c>
      <c r="RL122" s="199">
        <f t="shared" si="110"/>
        <v>880</v>
      </c>
      <c r="RM122" s="200" t="str">
        <f t="shared" ca="1" si="111"/>
        <v>Atttente…</v>
      </c>
      <c r="RN122" s="199">
        <f t="shared" si="112"/>
        <v>790</v>
      </c>
      <c r="RO122" s="200" t="str">
        <f t="shared" ca="1" si="67"/>
        <v>Attente…</v>
      </c>
      <c r="RP122" s="199">
        <f t="shared" si="113"/>
        <v>540</v>
      </c>
      <c r="RQ122" s="200" t="str">
        <f t="shared" ca="1" si="68"/>
        <v>Attente…</v>
      </c>
      <c r="RR122" s="201">
        <f t="shared" si="114"/>
        <v>2950</v>
      </c>
      <c r="RS122" s="202" t="str">
        <f t="shared" ca="1" si="69"/>
        <v>Attente…</v>
      </c>
      <c r="RT122" s="103"/>
      <c r="RU122" s="203">
        <f t="shared" si="115"/>
        <v>0.32065217391304351</v>
      </c>
      <c r="RV122" s="204">
        <f t="shared" si="118"/>
        <v>1</v>
      </c>
      <c r="RW122" s="204">
        <f t="shared" si="118"/>
        <v>1</v>
      </c>
      <c r="RX122" s="204">
        <f t="shared" si="116"/>
        <v>46</v>
      </c>
      <c r="RY122" s="205" t="str">
        <f t="shared" si="117"/>
        <v>SAINT-AUBIN-LÈS-ELBEUF - 26 Rue de Freneuse (Croisement ruelle Arthus)</v>
      </c>
      <c r="RZ122" s="189" t="str">
        <f>IF(OR(RZ121="",RZ121="  &lt;/Document&gt;
&lt;/kml&gt;"),"",
IF(B122="","  &lt;/Document&gt;
&lt;/kml&gt;",
IF(TournéesCAV!Q122=""," ",
"    &lt;Placemark&gt;
      &lt;description&gt;&lt;![CDATA["&amp;B122&amp;"&lt;br&gt;&lt;br&gt;"&amp;RV122&amp;" CAV&lt;br&gt;&lt;br&gt;Présent sur "&amp;RW122&amp;" tournée(s)&lt;br&gt;&lt;br&gt;Taux de remplissage moyen "&amp;TEXT(RU122*1000,"0 %")&amp;"]]&gt;&lt;/description&gt;
      &lt;Style&gt;
        &lt;IconStyle&gt;
          &lt;color&gt;ff"&amp;
          DEC2HEX(0,2)&amp;
          DEC2HEX(
            IF(RU122&lt;=0.5,
               INT(255*(RU122*2)),
               255
            ),2)&amp;
          DEC2HEX(
            IF(RU122&lt;=0.5,
               255,
               INT(255*(1-(RU122-0.5)*2))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&lt;Point&gt;&lt;coordinates&gt;"&amp;R122&amp;","&amp;Q122&amp;",0&lt;/coordinates&gt;&lt;/Point&gt;
    &lt;/Placemark&gt;"
)))</f>
        <v xml:space="preserve">    &lt;Placemark&gt;
      &lt;description&gt;&lt;![CDATA[SAINT-AUBIN-LÈS-ELBEUF - 26 Rue de Freneuse (Croisement ruelle Arthus)&lt;br&gt;&lt;br&gt;1 CAV&lt;br&gt;&lt;br&gt;Présent sur 1 tournée(s)&lt;br&gt;&lt;br&gt;Taux de remplissage moyen 32%]]&gt;&lt;/description&gt;
      &lt;Style&gt;
        &lt;IconStyle&gt;
          &lt;color&gt;ff00A3FF&lt;/color&gt;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&lt;Point&gt;&lt;coordinates&gt;1.0403029,49.2994624,0&lt;/coordinates&gt;&lt;/Point&gt;
    &lt;/Placemark&gt;</v>
      </c>
    </row>
    <row r="123" spans="2:494" ht="15" hidden="1" customHeight="1" x14ac:dyDescent="0.35">
      <c r="B123" s="153" t="str">
        <f t="shared" si="70"/>
        <v>ROUEN - 2 Rue Roger Bésus (Centre Charlotte Delbo)</v>
      </c>
      <c r="C123" s="154">
        <v>117</v>
      </c>
      <c r="D123" s="155"/>
      <c r="E123" s="155"/>
      <c r="F123" s="155"/>
      <c r="G123" s="155"/>
      <c r="H123" s="155"/>
      <c r="I123" s="155"/>
      <c r="J123" s="156"/>
      <c r="K123" s="157">
        <f t="shared" si="71"/>
        <v>1</v>
      </c>
      <c r="L123" s="157">
        <f t="shared" si="72"/>
        <v>2</v>
      </c>
      <c r="M123" s="158" t="s">
        <v>702</v>
      </c>
      <c r="N123" s="159" t="s">
        <v>703</v>
      </c>
      <c r="O123" s="159">
        <v>76000</v>
      </c>
      <c r="P123" s="159" t="s">
        <v>90</v>
      </c>
      <c r="Q123" s="159" t="s">
        <v>704</v>
      </c>
      <c r="R123" s="159" t="s">
        <v>705</v>
      </c>
      <c r="S123" s="159" t="s">
        <v>93</v>
      </c>
      <c r="T123" s="159" t="s">
        <v>94</v>
      </c>
      <c r="U123" s="159" t="s">
        <v>706</v>
      </c>
      <c r="V123" s="160" t="s">
        <v>96</v>
      </c>
      <c r="W123" s="161"/>
      <c r="X123" s="162"/>
      <c r="Y123" s="163">
        <v>8</v>
      </c>
      <c r="Z123" s="162">
        <v>9</v>
      </c>
      <c r="AA123" s="163"/>
      <c r="AB123" s="162"/>
      <c r="AC123" s="163"/>
      <c r="AD123" s="162"/>
      <c r="AE123" s="163"/>
      <c r="AF123" s="162"/>
      <c r="AG123" s="163"/>
      <c r="AH123" s="163"/>
      <c r="AI123" s="162"/>
      <c r="AJ123" s="163"/>
      <c r="AK123" s="162"/>
      <c r="AL123" s="163"/>
      <c r="AM123" s="162"/>
      <c r="AN123" s="163"/>
      <c r="AO123" s="162"/>
      <c r="AP123" s="164"/>
      <c r="AQ123" s="164"/>
      <c r="AR123" s="164"/>
      <c r="AS123" s="164"/>
      <c r="AT123" s="164"/>
      <c r="AU123" s="164"/>
      <c r="AV123" s="164"/>
      <c r="AW123" s="164"/>
      <c r="AX123" s="164"/>
      <c r="AY123" s="165"/>
      <c r="AZ123" s="41"/>
      <c r="BA123" s="190"/>
      <c r="BB123" s="191">
        <v>150</v>
      </c>
      <c r="BC123" s="191"/>
      <c r="BD123" s="191"/>
      <c r="BE123" s="191"/>
      <c r="BF123" s="191">
        <v>100</v>
      </c>
      <c r="BG123" s="191"/>
      <c r="BH123" s="191"/>
      <c r="BI123" s="191">
        <v>10</v>
      </c>
      <c r="BJ123" s="191"/>
      <c r="BK123" s="191"/>
      <c r="BL123" s="191"/>
      <c r="BM123" s="191"/>
      <c r="BN123" s="191"/>
      <c r="BO123" s="191"/>
      <c r="BP123" s="191">
        <v>150</v>
      </c>
      <c r="BQ123" s="191"/>
      <c r="BR123" s="191"/>
      <c r="BS123" s="191"/>
      <c r="BT123" s="191">
        <v>50</v>
      </c>
      <c r="BU123" s="191"/>
      <c r="BV123" s="191"/>
      <c r="BW123" s="191">
        <v>50</v>
      </c>
      <c r="BX123" s="191"/>
      <c r="BY123" s="191"/>
      <c r="BZ123" s="191"/>
      <c r="CA123" s="191"/>
      <c r="CB123" s="191"/>
      <c r="CC123" s="191"/>
      <c r="CD123" s="191">
        <v>200</v>
      </c>
      <c r="CE123" s="192"/>
      <c r="CF123" s="190"/>
      <c r="CG123" s="191"/>
      <c r="CH123" s="191">
        <v>100</v>
      </c>
      <c r="CI123" s="191"/>
      <c r="CJ123" s="191"/>
      <c r="CK123" s="191">
        <v>50</v>
      </c>
      <c r="CL123" s="191"/>
      <c r="CM123" s="191"/>
      <c r="CN123" s="191"/>
      <c r="CO123" s="191">
        <v>50</v>
      </c>
      <c r="CP123" s="191"/>
      <c r="CQ123" s="191"/>
      <c r="CR123" s="191">
        <v>100</v>
      </c>
      <c r="CS123" s="191"/>
      <c r="CT123" s="191"/>
      <c r="CU123" s="191"/>
      <c r="CV123" s="191">
        <v>50</v>
      </c>
      <c r="CW123" s="191"/>
      <c r="CX123" s="191"/>
      <c r="CY123" s="191">
        <v>50</v>
      </c>
      <c r="CZ123" s="191"/>
      <c r="DA123" s="191"/>
      <c r="DB123" s="191"/>
      <c r="DC123" s="191">
        <v>50</v>
      </c>
      <c r="DD123" s="191"/>
      <c r="DE123" s="191"/>
      <c r="DF123" s="191">
        <v>50</v>
      </c>
      <c r="DG123" s="191"/>
      <c r="DH123" s="193"/>
      <c r="DI123" s="194"/>
      <c r="DJ123" s="191"/>
      <c r="DK123" s="191"/>
      <c r="DL123" s="191"/>
      <c r="DM123" s="191"/>
      <c r="DN123" s="191">
        <v>150</v>
      </c>
      <c r="DO123" s="191"/>
      <c r="DP123" s="191"/>
      <c r="DQ123" s="191"/>
      <c r="DR123" s="191">
        <v>50</v>
      </c>
      <c r="DS123" s="191"/>
      <c r="DT123" s="191"/>
      <c r="DU123" s="191">
        <v>50</v>
      </c>
      <c r="DV123" s="191"/>
      <c r="DW123" s="191"/>
      <c r="DX123" s="191"/>
      <c r="DY123" s="191">
        <v>100</v>
      </c>
      <c r="DZ123" s="191"/>
      <c r="EA123" s="191"/>
      <c r="EB123" s="191">
        <v>50</v>
      </c>
      <c r="EC123" s="191"/>
      <c r="ED123" s="191"/>
      <c r="EE123" s="191"/>
      <c r="EF123" s="191">
        <v>10</v>
      </c>
      <c r="EG123" s="191"/>
      <c r="EH123" s="191"/>
      <c r="EI123" s="191">
        <v>50</v>
      </c>
      <c r="EJ123" s="191"/>
      <c r="EK123" s="191"/>
      <c r="EL123" s="191"/>
      <c r="EM123" s="192">
        <v>150</v>
      </c>
      <c r="EN123" s="190"/>
      <c r="EO123" s="191"/>
      <c r="EP123" s="191">
        <v>50</v>
      </c>
      <c r="EQ123" s="191"/>
      <c r="ER123" s="191"/>
      <c r="ES123" s="191"/>
      <c r="ET123" s="191">
        <v>50</v>
      </c>
      <c r="EU123" s="191"/>
      <c r="EV123" s="191"/>
      <c r="EW123" s="191">
        <v>50</v>
      </c>
      <c r="EX123" s="191"/>
      <c r="EY123" s="191"/>
      <c r="EZ123" s="191"/>
      <c r="FA123" s="191">
        <v>100</v>
      </c>
      <c r="FB123" s="191"/>
      <c r="FC123" s="191"/>
      <c r="FD123" s="191">
        <v>50</v>
      </c>
      <c r="FE123" s="191"/>
      <c r="FF123" s="191"/>
      <c r="FG123" s="191"/>
      <c r="FH123" s="191"/>
      <c r="FI123" s="191">
        <v>150</v>
      </c>
      <c r="FJ123" s="191"/>
      <c r="FK123" s="191"/>
      <c r="FL123" s="191"/>
      <c r="FM123" s="191"/>
      <c r="FN123" s="191"/>
      <c r="FO123" s="191">
        <v>100</v>
      </c>
      <c r="FP123" s="191"/>
      <c r="FQ123" s="193"/>
      <c r="FR123" s="194"/>
      <c r="FS123" s="191"/>
      <c r="FT123" s="191"/>
      <c r="FU123" s="191"/>
      <c r="FV123" s="191"/>
      <c r="FW123" s="191"/>
      <c r="FX123" s="191"/>
      <c r="FY123" s="191"/>
      <c r="FZ123" s="191"/>
      <c r="GA123" s="191"/>
      <c r="GB123" s="191"/>
      <c r="GC123" s="191">
        <v>100</v>
      </c>
      <c r="GD123" s="191"/>
      <c r="GE123" s="191"/>
      <c r="GF123" s="191">
        <v>10</v>
      </c>
      <c r="GG123" s="191"/>
      <c r="GH123" s="191"/>
      <c r="GI123" s="191"/>
      <c r="GJ123" s="191">
        <v>100</v>
      </c>
      <c r="GK123" s="191"/>
      <c r="GL123" s="191"/>
      <c r="GM123" s="191">
        <v>50</v>
      </c>
      <c r="GN123" s="191"/>
      <c r="GO123" s="191"/>
      <c r="GP123" s="191"/>
      <c r="GQ123" s="191"/>
      <c r="GR123" s="191">
        <v>150</v>
      </c>
      <c r="GS123" s="191"/>
      <c r="GT123" s="191"/>
      <c r="GU123" s="191"/>
      <c r="GV123" s="192"/>
      <c r="GW123" s="190"/>
      <c r="GX123" s="191">
        <v>50</v>
      </c>
      <c r="GY123" s="191"/>
      <c r="GZ123" s="191"/>
      <c r="HA123" s="191">
        <v>10</v>
      </c>
      <c r="HB123" s="191"/>
      <c r="HC123" s="191"/>
      <c r="HD123" s="191"/>
      <c r="HE123" s="191"/>
      <c r="HF123" s="191"/>
      <c r="HG123" s="191">
        <v>150</v>
      </c>
      <c r="HH123" s="191"/>
      <c r="HI123" s="191"/>
      <c r="HJ123" s="191"/>
      <c r="HK123" s="191"/>
      <c r="HL123" s="191">
        <v>100</v>
      </c>
      <c r="HM123" s="191"/>
      <c r="HN123" s="191"/>
      <c r="HO123" s="191"/>
      <c r="HP123" s="191"/>
      <c r="HQ123" s="191"/>
      <c r="HR123" s="191"/>
      <c r="HS123" s="191"/>
      <c r="HT123" s="191"/>
      <c r="HU123" s="191"/>
      <c r="HV123" s="191">
        <v>150</v>
      </c>
      <c r="HW123" s="191"/>
      <c r="HX123" s="191"/>
      <c r="HY123" s="191"/>
      <c r="HZ123" s="193">
        <v>50</v>
      </c>
      <c r="IA123" s="194"/>
      <c r="IB123" s="191"/>
      <c r="IC123" s="191">
        <v>50</v>
      </c>
      <c r="ID123" s="191"/>
      <c r="IE123" s="191"/>
      <c r="IF123" s="191"/>
      <c r="IG123" s="191">
        <v>50</v>
      </c>
      <c r="IH123" s="191"/>
      <c r="II123" s="191"/>
      <c r="IJ123" s="191">
        <v>50</v>
      </c>
      <c r="IK123" s="191"/>
      <c r="IL123" s="191"/>
      <c r="IM123" s="191"/>
      <c r="IN123" s="191">
        <v>150</v>
      </c>
      <c r="IO123" s="191"/>
      <c r="IP123" s="191"/>
      <c r="IQ123" s="191"/>
      <c r="IR123" s="191"/>
      <c r="IS123" s="191"/>
      <c r="IT123" s="191"/>
      <c r="IU123" s="191">
        <v>50</v>
      </c>
      <c r="IV123" s="191"/>
      <c r="IW123" s="191"/>
      <c r="IX123" s="191">
        <v>100</v>
      </c>
      <c r="IY123" s="191"/>
      <c r="IZ123" s="191"/>
      <c r="JA123" s="191"/>
      <c r="JB123" s="191"/>
      <c r="JC123" s="191"/>
      <c r="JD123" s="191"/>
      <c r="JE123" s="192">
        <v>100</v>
      </c>
      <c r="JF123" s="190"/>
      <c r="JG123" s="191"/>
      <c r="JH123" s="191"/>
      <c r="JI123" s="191">
        <v>100</v>
      </c>
      <c r="JJ123" s="191"/>
      <c r="JK123" s="191"/>
      <c r="JL123" s="191">
        <v>50</v>
      </c>
      <c r="JM123" s="191"/>
      <c r="JN123" s="191"/>
      <c r="JO123" s="191"/>
      <c r="JP123" s="191"/>
      <c r="JQ123" s="191"/>
      <c r="JR123" s="191">
        <v>100</v>
      </c>
      <c r="JS123" s="191"/>
      <c r="JT123" s="191"/>
      <c r="JU123" s="191"/>
      <c r="JV123" s="191"/>
      <c r="JW123" s="191">
        <v>200</v>
      </c>
      <c r="JX123" s="191"/>
      <c r="JY123" s="191"/>
      <c r="JZ123" s="191">
        <v>10</v>
      </c>
      <c r="KA123" s="191"/>
      <c r="KB123" s="191"/>
      <c r="KC123" s="191"/>
      <c r="KD123" s="191"/>
      <c r="KE123" s="191"/>
      <c r="KF123" s="191">
        <v>200</v>
      </c>
      <c r="KG123" s="191">
        <v>10</v>
      </c>
      <c r="KH123" s="191"/>
      <c r="KI123" s="191"/>
      <c r="KJ123" s="193"/>
      <c r="KK123" s="194"/>
      <c r="KL123" s="191"/>
      <c r="KM123" s="191"/>
      <c r="KN123" s="191">
        <v>150</v>
      </c>
      <c r="KO123" s="191"/>
      <c r="KP123" s="191"/>
      <c r="KQ123" s="191"/>
      <c r="KR123" s="191"/>
      <c r="KS123" s="191"/>
      <c r="KT123" s="191"/>
      <c r="KU123" s="191"/>
      <c r="KV123" s="191"/>
      <c r="KW123" s="191"/>
      <c r="KX123" s="191"/>
      <c r="KY123" s="191"/>
      <c r="KZ123" s="191"/>
      <c r="LA123" s="191"/>
      <c r="LB123" s="191">
        <v>200</v>
      </c>
      <c r="LC123" s="191"/>
      <c r="LD123" s="191"/>
      <c r="LE123" s="191"/>
      <c r="LF123" s="191">
        <v>10</v>
      </c>
      <c r="LG123" s="191"/>
      <c r="LH123" s="191"/>
      <c r="LI123" s="191"/>
      <c r="LJ123" s="191"/>
      <c r="LK123" s="191"/>
      <c r="LL123" s="191"/>
      <c r="LM123" s="191"/>
      <c r="LN123" s="192"/>
      <c r="LO123" s="190"/>
      <c r="LP123" s="191">
        <v>200</v>
      </c>
      <c r="LQ123" s="191"/>
      <c r="LR123" s="191"/>
      <c r="LS123" s="191"/>
      <c r="LT123" s="191">
        <v>10</v>
      </c>
      <c r="LU123" s="191"/>
      <c r="LV123" s="191"/>
      <c r="LW123" s="191">
        <v>10</v>
      </c>
      <c r="LX123" s="191"/>
      <c r="LY123" s="191"/>
      <c r="LZ123" s="191"/>
      <c r="MA123" s="191">
        <v>100</v>
      </c>
      <c r="MB123" s="191"/>
      <c r="MC123" s="191"/>
      <c r="MD123" s="191">
        <v>50</v>
      </c>
      <c r="ME123" s="191"/>
      <c r="MF123" s="191"/>
      <c r="MG123" s="191"/>
      <c r="MH123" s="191">
        <v>10</v>
      </c>
      <c r="MI123" s="191"/>
      <c r="MJ123" s="191"/>
      <c r="MK123" s="191">
        <v>50</v>
      </c>
      <c r="ML123" s="191"/>
      <c r="MM123" s="191"/>
      <c r="MN123" s="191"/>
      <c r="MO123" s="191">
        <v>10</v>
      </c>
      <c r="MP123" s="191"/>
      <c r="MQ123" s="191"/>
      <c r="MR123" s="191">
        <v>50</v>
      </c>
      <c r="MS123" s="193"/>
      <c r="MT123" s="194"/>
      <c r="MU123" s="191"/>
      <c r="MV123" s="191">
        <v>50</v>
      </c>
      <c r="MW123" s="191"/>
      <c r="MX123" s="191"/>
      <c r="MY123" s="191">
        <v>10</v>
      </c>
      <c r="MZ123" s="191"/>
      <c r="NA123" s="191"/>
      <c r="NB123" s="191"/>
      <c r="NC123" s="191">
        <v>100</v>
      </c>
      <c r="ND123" s="191"/>
      <c r="NE123" s="191"/>
      <c r="NF123" s="191"/>
      <c r="NG123" s="191"/>
      <c r="NH123" s="191"/>
      <c r="NI123" s="191"/>
      <c r="NJ123" s="191">
        <v>50</v>
      </c>
      <c r="NK123" s="191"/>
      <c r="NL123" s="191"/>
      <c r="NM123" s="191"/>
      <c r="NN123" s="191"/>
      <c r="NO123" s="191"/>
      <c r="NP123" s="191"/>
      <c r="NQ123" s="191">
        <v>50</v>
      </c>
      <c r="NR123" s="191"/>
      <c r="NS123" s="191"/>
      <c r="NT123" s="191">
        <v>10</v>
      </c>
      <c r="NU123" s="191"/>
      <c r="NV123" s="191"/>
      <c r="NW123" s="192"/>
      <c r="NX123" s="190">
        <v>50</v>
      </c>
      <c r="NY123" s="191"/>
      <c r="NZ123" s="191"/>
      <c r="OA123" s="191">
        <v>50</v>
      </c>
      <c r="OB123" s="191"/>
      <c r="OC123" s="191"/>
      <c r="OD123" s="191"/>
      <c r="OE123" s="191">
        <v>10</v>
      </c>
      <c r="OF123" s="191"/>
      <c r="OG123" s="191"/>
      <c r="OH123" s="191">
        <v>50</v>
      </c>
      <c r="OI123" s="191"/>
      <c r="OJ123" s="191"/>
      <c r="OK123" s="191"/>
      <c r="OL123" s="191">
        <v>100</v>
      </c>
      <c r="OM123" s="191"/>
      <c r="ON123" s="191"/>
      <c r="OO123" s="191">
        <v>50</v>
      </c>
      <c r="OP123" s="191"/>
      <c r="OQ123" s="191"/>
      <c r="OR123" s="191"/>
      <c r="OS123" s="191"/>
      <c r="OT123" s="191"/>
      <c r="OU123" s="191"/>
      <c r="OV123" s="191"/>
      <c r="OW123" s="191"/>
      <c r="OX123" s="191"/>
      <c r="OY123" s="191"/>
      <c r="OZ123" s="191"/>
      <c r="PA123" s="191"/>
      <c r="PB123" s="193"/>
      <c r="PC123" s="47"/>
      <c r="PD123" s="154" t="s">
        <v>97</v>
      </c>
      <c r="PE123" s="155" t="s">
        <v>98</v>
      </c>
      <c r="PF123" s="155" t="s">
        <v>98</v>
      </c>
      <c r="PG123" s="155" t="s">
        <v>98</v>
      </c>
      <c r="PH123" s="155" t="s">
        <v>98</v>
      </c>
      <c r="PI123" s="155" t="s">
        <v>98</v>
      </c>
      <c r="PJ123" s="155" t="s">
        <v>98</v>
      </c>
      <c r="PK123" s="155" t="s">
        <v>98</v>
      </c>
      <c r="PL123" s="155" t="s">
        <v>98</v>
      </c>
      <c r="PM123" s="155" t="s">
        <v>98</v>
      </c>
      <c r="PN123" s="155" t="s">
        <v>98</v>
      </c>
      <c r="PO123" s="156"/>
      <c r="PP123" s="156"/>
      <c r="PQ123" s="156"/>
      <c r="PR123" s="156"/>
      <c r="PS123" s="156"/>
      <c r="PT123" s="156"/>
      <c r="PU123" s="156"/>
      <c r="PV123" s="156"/>
      <c r="PW123" s="156"/>
      <c r="PX123" s="195"/>
      <c r="PY123" s="1"/>
      <c r="PZ123" s="196">
        <f t="shared" si="73"/>
        <v>710</v>
      </c>
      <c r="QA123" s="176">
        <f t="shared" si="74"/>
        <v>5.9230833402853095E-3</v>
      </c>
      <c r="QB123" s="177" t="str">
        <f t="shared" ca="1" si="75"/>
        <v>Attente…</v>
      </c>
      <c r="QC123" s="197">
        <f t="shared" si="76"/>
        <v>500</v>
      </c>
      <c r="QD123" s="179">
        <f t="shared" si="77"/>
        <v>4.6816479400749065E-3</v>
      </c>
      <c r="QE123" s="180" t="str">
        <f t="shared" ca="1" si="78"/>
        <v>Attente…</v>
      </c>
      <c r="QF123" s="196">
        <f t="shared" si="79"/>
        <v>610</v>
      </c>
      <c r="QG123" s="176">
        <f t="shared" si="80"/>
        <v>4.85746137920051E-3</v>
      </c>
      <c r="QH123" s="177" t="str">
        <f t="shared" ca="1" si="81"/>
        <v>Attente…</v>
      </c>
      <c r="QI123" s="197">
        <f t="shared" si="82"/>
        <v>550</v>
      </c>
      <c r="QJ123" s="179">
        <f t="shared" si="83"/>
        <v>3.8574835180249685E-3</v>
      </c>
      <c r="QK123" s="180" t="str">
        <f t="shared" ca="1" si="84"/>
        <v>Attente…</v>
      </c>
      <c r="QL123" s="196">
        <f t="shared" si="85"/>
        <v>410</v>
      </c>
      <c r="QM123" s="176">
        <f t="shared" si="86"/>
        <v>2.9997073456248173E-3</v>
      </c>
      <c r="QN123" s="177" t="str">
        <f t="shared" ca="1" si="87"/>
        <v>Attente…</v>
      </c>
      <c r="QO123" s="197">
        <f t="shared" si="88"/>
        <v>510</v>
      </c>
      <c r="QP123" s="179">
        <f t="shared" si="89"/>
        <v>3.9927973068190712E-3</v>
      </c>
      <c r="QQ123" s="180" t="str">
        <f t="shared" ca="1" si="90"/>
        <v>Attente…</v>
      </c>
      <c r="QR123" s="196">
        <f t="shared" si="91"/>
        <v>550</v>
      </c>
      <c r="QS123" s="176">
        <f t="shared" si="92"/>
        <v>3.9595406932795797E-3</v>
      </c>
      <c r="QT123" s="177" t="str">
        <f t="shared" ca="1" si="93"/>
        <v>Attente…</v>
      </c>
      <c r="QU123" s="197">
        <f t="shared" si="94"/>
        <v>670</v>
      </c>
      <c r="QV123" s="179">
        <f t="shared" si="95"/>
        <v>4.6194153337010477E-3</v>
      </c>
      <c r="QW123" s="180" t="str">
        <f t="shared" ca="1" si="96"/>
        <v>Attente…</v>
      </c>
      <c r="QX123" s="196">
        <f t="shared" si="97"/>
        <v>360</v>
      </c>
      <c r="QY123" s="176">
        <f t="shared" si="98"/>
        <v>2.6270469073820016E-3</v>
      </c>
      <c r="QZ123" s="177" t="str">
        <f t="shared" ca="1" si="99"/>
        <v>Attente…</v>
      </c>
      <c r="RA123" s="197">
        <f t="shared" si="100"/>
        <v>490</v>
      </c>
      <c r="RB123" s="179">
        <f t="shared" si="101"/>
        <v>3.8338158203583446E-3</v>
      </c>
      <c r="RC123" s="180" t="str">
        <f t="shared" ca="1" si="102"/>
        <v>Attente…</v>
      </c>
      <c r="RD123" s="196">
        <f t="shared" si="103"/>
        <v>270</v>
      </c>
      <c r="RE123" s="176">
        <f t="shared" si="104"/>
        <v>2.6903148664806694E-3</v>
      </c>
      <c r="RF123" s="177" t="str">
        <f t="shared" ca="1" si="105"/>
        <v>Attente…</v>
      </c>
      <c r="RG123" s="197">
        <f t="shared" si="106"/>
        <v>310</v>
      </c>
      <c r="RH123" s="179">
        <f t="shared" si="107"/>
        <v>5.7016737171234136E-3</v>
      </c>
      <c r="RI123" s="198" t="str">
        <f t="shared" ca="1" si="108"/>
        <v>Attente…</v>
      </c>
      <c r="RJ123" s="199">
        <f t="shared" si="109"/>
        <v>1820</v>
      </c>
      <c r="RK123" s="200" t="str">
        <f t="shared" ca="1" si="66"/>
        <v>Attente…</v>
      </c>
      <c r="RL123" s="199">
        <f t="shared" si="110"/>
        <v>1470</v>
      </c>
      <c r="RM123" s="200" t="str">
        <f t="shared" ca="1" si="111"/>
        <v>Atttente…</v>
      </c>
      <c r="RN123" s="199">
        <f t="shared" si="112"/>
        <v>1580</v>
      </c>
      <c r="RO123" s="200" t="str">
        <f t="shared" ca="1" si="67"/>
        <v>Attente…</v>
      </c>
      <c r="RP123" s="199">
        <f t="shared" si="113"/>
        <v>1070</v>
      </c>
      <c r="RQ123" s="200" t="str">
        <f t="shared" ca="1" si="68"/>
        <v>Attente…</v>
      </c>
      <c r="RR123" s="201">
        <f t="shared" si="114"/>
        <v>5940</v>
      </c>
      <c r="RS123" s="202" t="str">
        <f t="shared" ca="1" si="69"/>
        <v>Attente…</v>
      </c>
      <c r="RT123" s="103"/>
      <c r="RU123" s="203">
        <f t="shared" si="115"/>
        <v>0.3759493670886076</v>
      </c>
      <c r="RV123" s="204">
        <f t="shared" si="118"/>
        <v>1</v>
      </c>
      <c r="RW123" s="204">
        <f t="shared" si="118"/>
        <v>2</v>
      </c>
      <c r="RX123" s="204">
        <f t="shared" si="116"/>
        <v>79</v>
      </c>
      <c r="RY123" s="205" t="str">
        <f t="shared" si="117"/>
        <v>ROUEN - 2 Rue Roger Bésus (Centre Charlotte Delbo)</v>
      </c>
      <c r="RZ123" s="189" t="str">
        <f>IF(OR(RZ122="",RZ122="  &lt;/Document&gt;
&lt;/kml&gt;"),"",
IF(B123="","  &lt;/Document&gt;
&lt;/kml&gt;",
IF(TournéesCAV!Q123=""," ",
"    &lt;Placemark&gt;
      &lt;description&gt;&lt;![CDATA["&amp;B123&amp;"&lt;br&gt;&lt;br&gt;"&amp;RV123&amp;" CAV&lt;br&gt;&lt;br&gt;Présent sur "&amp;RW123&amp;" tournée(s)&lt;br&gt;&lt;br&gt;Taux de remplissage moyen "&amp;TEXT(RU123*1000,"0 %")&amp;"]]&gt;&lt;/description&gt;
      &lt;Style&gt;
        &lt;IconStyle&gt;
          &lt;color&gt;ff"&amp;
          DEC2HEX(0,2)&amp;
          DEC2HEX(
            IF(RU123&lt;=0.5,
               INT(255*(RU123*2)),
               255
            ),2)&amp;
          DEC2HEX(
            IF(RU123&lt;=0.5,
               255,
               INT(255*(1-(RU123-0.5)*2))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&lt;Point&gt;&lt;coordinates&gt;"&amp;R123&amp;","&amp;Q123&amp;",0&lt;/coordinates&gt;&lt;/Point&gt;
    &lt;/Placemark&gt;"
)))</f>
        <v xml:space="preserve">    &lt;Placemark&gt;
      &lt;description&gt;&lt;![CDATA[ROUEN - 2 Rue Roger Bésus (Centre Charlotte Delbo)&lt;br&gt;&lt;br&gt;1 CAV&lt;br&gt;&lt;br&gt;Présent sur 2 tournée(s)&lt;br&gt;&lt;br&gt;Taux de remplissage moyen 38%]]&gt;&lt;/description&gt;
      &lt;Style&gt;
        &lt;IconStyle&gt;
          &lt;color&gt;ff00BFFF&lt;/color&gt;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&lt;Point&gt;&lt;coordinates&gt;1.0706877,49.4233886,0&lt;/coordinates&gt;&lt;/Point&gt;
    &lt;/Placemark&gt;</v>
      </c>
    </row>
    <row r="124" spans="2:494" ht="15" hidden="1" customHeight="1" x14ac:dyDescent="0.35">
      <c r="B124" s="153" t="str">
        <f t="shared" si="70"/>
        <v>LE GRAND-QUEVILLY - 132 Rue de la République (Centre Marx Dormoy)</v>
      </c>
      <c r="C124" s="154">
        <v>91</v>
      </c>
      <c r="D124" s="155"/>
      <c r="E124" s="155"/>
      <c r="F124" s="155"/>
      <c r="G124" s="155"/>
      <c r="H124" s="155"/>
      <c r="I124" s="155"/>
      <c r="J124" s="156"/>
      <c r="K124" s="157">
        <f t="shared" si="71"/>
        <v>1</v>
      </c>
      <c r="L124" s="157">
        <f t="shared" si="72"/>
        <v>2</v>
      </c>
      <c r="M124" s="158" t="s">
        <v>707</v>
      </c>
      <c r="N124" s="159" t="s">
        <v>708</v>
      </c>
      <c r="O124" s="159">
        <v>76120</v>
      </c>
      <c r="P124" s="159" t="s">
        <v>709</v>
      </c>
      <c r="Q124" s="159" t="s">
        <v>710</v>
      </c>
      <c r="R124" s="159" t="s">
        <v>711</v>
      </c>
      <c r="S124" s="159" t="s">
        <v>93</v>
      </c>
      <c r="T124" s="159" t="s">
        <v>94</v>
      </c>
      <c r="U124" s="159" t="s">
        <v>712</v>
      </c>
      <c r="V124" s="160" t="s">
        <v>96</v>
      </c>
      <c r="W124" s="161"/>
      <c r="X124" s="162"/>
      <c r="Y124" s="163">
        <v>10</v>
      </c>
      <c r="Z124" s="162">
        <v>10</v>
      </c>
      <c r="AA124" s="163"/>
      <c r="AB124" s="162"/>
      <c r="AC124" s="163"/>
      <c r="AD124" s="162"/>
      <c r="AE124" s="163"/>
      <c r="AF124" s="162"/>
      <c r="AG124" s="163"/>
      <c r="AH124" s="163"/>
      <c r="AI124" s="162"/>
      <c r="AJ124" s="163"/>
      <c r="AK124" s="162"/>
      <c r="AL124" s="163"/>
      <c r="AM124" s="162"/>
      <c r="AN124" s="163"/>
      <c r="AO124" s="162"/>
      <c r="AP124" s="164"/>
      <c r="AQ124" s="164"/>
      <c r="AR124" s="164"/>
      <c r="AS124" s="164"/>
      <c r="AT124" s="164"/>
      <c r="AU124" s="164"/>
      <c r="AV124" s="164"/>
      <c r="AW124" s="164"/>
      <c r="AX124" s="164"/>
      <c r="AY124" s="165"/>
      <c r="AZ124" s="41"/>
      <c r="BA124" s="190"/>
      <c r="BB124" s="191">
        <v>200</v>
      </c>
      <c r="BC124" s="191"/>
      <c r="BD124" s="191"/>
      <c r="BE124" s="191"/>
      <c r="BF124" s="191"/>
      <c r="BG124" s="191"/>
      <c r="BH124" s="191"/>
      <c r="BI124" s="191">
        <v>150</v>
      </c>
      <c r="BJ124" s="191"/>
      <c r="BK124" s="191"/>
      <c r="BL124" s="191"/>
      <c r="BM124" s="191"/>
      <c r="BN124" s="191"/>
      <c r="BO124" s="191"/>
      <c r="BP124" s="191">
        <v>10</v>
      </c>
      <c r="BQ124" s="191"/>
      <c r="BR124" s="191"/>
      <c r="BS124" s="191"/>
      <c r="BT124" s="191">
        <v>100</v>
      </c>
      <c r="BU124" s="191"/>
      <c r="BV124" s="191"/>
      <c r="BW124" s="191">
        <v>100</v>
      </c>
      <c r="BX124" s="191"/>
      <c r="BY124" s="191"/>
      <c r="BZ124" s="191"/>
      <c r="CA124" s="191"/>
      <c r="CB124" s="191"/>
      <c r="CC124" s="191"/>
      <c r="CD124" s="191">
        <v>200</v>
      </c>
      <c r="CE124" s="192"/>
      <c r="CF124" s="190"/>
      <c r="CG124" s="191"/>
      <c r="CH124" s="191">
        <v>100</v>
      </c>
      <c r="CI124" s="191"/>
      <c r="CJ124" s="191"/>
      <c r="CK124" s="191">
        <v>50</v>
      </c>
      <c r="CL124" s="191"/>
      <c r="CM124" s="191"/>
      <c r="CN124" s="191"/>
      <c r="CO124" s="191">
        <v>50</v>
      </c>
      <c r="CP124" s="191"/>
      <c r="CQ124" s="191"/>
      <c r="CR124" s="191">
        <v>100</v>
      </c>
      <c r="CS124" s="191"/>
      <c r="CT124" s="191"/>
      <c r="CU124" s="191"/>
      <c r="CV124" s="191">
        <v>50</v>
      </c>
      <c r="CW124" s="191"/>
      <c r="CX124" s="191"/>
      <c r="CY124" s="191">
        <v>50</v>
      </c>
      <c r="CZ124" s="191"/>
      <c r="DA124" s="191"/>
      <c r="DB124" s="191"/>
      <c r="DC124" s="191">
        <v>150</v>
      </c>
      <c r="DD124" s="191"/>
      <c r="DE124" s="191"/>
      <c r="DF124" s="191">
        <v>50</v>
      </c>
      <c r="DG124" s="191"/>
      <c r="DH124" s="193"/>
      <c r="DI124" s="194"/>
      <c r="DJ124" s="191"/>
      <c r="DK124" s="191">
        <v>100</v>
      </c>
      <c r="DL124" s="191"/>
      <c r="DM124" s="191"/>
      <c r="DN124" s="191">
        <v>50</v>
      </c>
      <c r="DO124" s="191"/>
      <c r="DP124" s="191"/>
      <c r="DQ124" s="191"/>
      <c r="DR124" s="191">
        <v>100</v>
      </c>
      <c r="DS124" s="191"/>
      <c r="DT124" s="191"/>
      <c r="DU124" s="191">
        <v>50</v>
      </c>
      <c r="DV124" s="191"/>
      <c r="DW124" s="191"/>
      <c r="DX124" s="191"/>
      <c r="DY124" s="191">
        <v>150</v>
      </c>
      <c r="DZ124" s="191"/>
      <c r="EA124" s="191"/>
      <c r="EB124" s="191">
        <v>100</v>
      </c>
      <c r="EC124" s="191"/>
      <c r="ED124" s="191"/>
      <c r="EE124" s="191"/>
      <c r="EF124" s="191">
        <v>50</v>
      </c>
      <c r="EG124" s="191"/>
      <c r="EH124" s="191"/>
      <c r="EI124" s="191">
        <v>50</v>
      </c>
      <c r="EJ124" s="191"/>
      <c r="EK124" s="191"/>
      <c r="EL124" s="191"/>
      <c r="EM124" s="192">
        <v>150</v>
      </c>
      <c r="EN124" s="190"/>
      <c r="EO124" s="191"/>
      <c r="EP124" s="191">
        <v>200</v>
      </c>
      <c r="EQ124" s="191"/>
      <c r="ER124" s="191"/>
      <c r="ES124" s="191"/>
      <c r="ET124" s="191">
        <v>150</v>
      </c>
      <c r="EU124" s="191"/>
      <c r="EV124" s="191"/>
      <c r="EW124" s="191">
        <v>50</v>
      </c>
      <c r="EX124" s="191"/>
      <c r="EY124" s="191"/>
      <c r="EZ124" s="191"/>
      <c r="FA124" s="191">
        <v>50</v>
      </c>
      <c r="FB124" s="191"/>
      <c r="FC124" s="191"/>
      <c r="FD124" s="191">
        <v>200</v>
      </c>
      <c r="FE124" s="191"/>
      <c r="FF124" s="191"/>
      <c r="FG124" s="191"/>
      <c r="FH124" s="191"/>
      <c r="FI124" s="191">
        <v>100</v>
      </c>
      <c r="FJ124" s="191"/>
      <c r="FK124" s="191"/>
      <c r="FL124" s="191"/>
      <c r="FM124" s="191"/>
      <c r="FN124" s="191"/>
      <c r="FO124" s="191"/>
      <c r="FP124" s="191"/>
      <c r="FQ124" s="193"/>
      <c r="FR124" s="194"/>
      <c r="FS124" s="191"/>
      <c r="FT124" s="191"/>
      <c r="FU124" s="191"/>
      <c r="FV124" s="191">
        <v>200</v>
      </c>
      <c r="FW124" s="191"/>
      <c r="FX124" s="191"/>
      <c r="FY124" s="191"/>
      <c r="FZ124" s="191"/>
      <c r="GA124" s="191"/>
      <c r="GB124" s="191"/>
      <c r="GC124" s="191">
        <v>200</v>
      </c>
      <c r="GD124" s="191"/>
      <c r="GE124" s="191"/>
      <c r="GF124" s="191">
        <v>100</v>
      </c>
      <c r="GG124" s="191"/>
      <c r="GH124" s="191"/>
      <c r="GI124" s="191"/>
      <c r="GJ124" s="191">
        <v>50</v>
      </c>
      <c r="GK124" s="191"/>
      <c r="GL124" s="191"/>
      <c r="GM124" s="191">
        <v>100</v>
      </c>
      <c r="GN124" s="191"/>
      <c r="GO124" s="191"/>
      <c r="GP124" s="191"/>
      <c r="GQ124" s="191">
        <v>100</v>
      </c>
      <c r="GR124" s="191"/>
      <c r="GS124" s="191"/>
      <c r="GT124" s="191"/>
      <c r="GU124" s="191"/>
      <c r="GV124" s="192"/>
      <c r="GW124" s="190"/>
      <c r="GX124" s="191">
        <v>100</v>
      </c>
      <c r="GY124" s="191"/>
      <c r="GZ124" s="191"/>
      <c r="HA124" s="191">
        <v>150</v>
      </c>
      <c r="HB124" s="191"/>
      <c r="HC124" s="191"/>
      <c r="HD124" s="191"/>
      <c r="HE124" s="191"/>
      <c r="HF124" s="191"/>
      <c r="HG124" s="191"/>
      <c r="HH124" s="191"/>
      <c r="HI124" s="191"/>
      <c r="HJ124" s="191"/>
      <c r="HK124" s="191"/>
      <c r="HL124" s="191">
        <v>200</v>
      </c>
      <c r="HM124" s="191"/>
      <c r="HN124" s="191"/>
      <c r="HO124" s="191"/>
      <c r="HP124" s="191"/>
      <c r="HQ124" s="191"/>
      <c r="HR124" s="191"/>
      <c r="HS124" s="191"/>
      <c r="HT124" s="191"/>
      <c r="HU124" s="191"/>
      <c r="HV124" s="191">
        <v>150</v>
      </c>
      <c r="HW124" s="191"/>
      <c r="HX124" s="191"/>
      <c r="HY124" s="191"/>
      <c r="HZ124" s="193">
        <v>50</v>
      </c>
      <c r="IA124" s="194"/>
      <c r="IB124" s="191"/>
      <c r="IC124" s="191">
        <v>150</v>
      </c>
      <c r="ID124" s="191"/>
      <c r="IE124" s="191"/>
      <c r="IF124" s="191"/>
      <c r="IG124" s="191">
        <v>200</v>
      </c>
      <c r="IH124" s="191"/>
      <c r="II124" s="191"/>
      <c r="IJ124" s="191">
        <v>100</v>
      </c>
      <c r="IK124" s="191"/>
      <c r="IL124" s="191"/>
      <c r="IM124" s="191"/>
      <c r="IN124" s="191">
        <v>100</v>
      </c>
      <c r="IO124" s="191"/>
      <c r="IP124" s="191"/>
      <c r="IQ124" s="191"/>
      <c r="IR124" s="191"/>
      <c r="IS124" s="191"/>
      <c r="IT124" s="191"/>
      <c r="IU124" s="191">
        <v>200</v>
      </c>
      <c r="IV124" s="191"/>
      <c r="IW124" s="191"/>
      <c r="IX124" s="191">
        <v>100</v>
      </c>
      <c r="IY124" s="191"/>
      <c r="IZ124" s="191"/>
      <c r="JA124" s="191"/>
      <c r="JB124" s="191">
        <v>200</v>
      </c>
      <c r="JC124" s="191"/>
      <c r="JD124" s="191"/>
      <c r="JE124" s="192">
        <v>50</v>
      </c>
      <c r="JF124" s="190"/>
      <c r="JG124" s="191"/>
      <c r="JH124" s="191"/>
      <c r="JI124" s="191">
        <v>200</v>
      </c>
      <c r="JJ124" s="191"/>
      <c r="JK124" s="191"/>
      <c r="JL124" s="191">
        <v>100</v>
      </c>
      <c r="JM124" s="191"/>
      <c r="JN124" s="191"/>
      <c r="JO124" s="191"/>
      <c r="JP124" s="191"/>
      <c r="JQ124" s="191"/>
      <c r="JR124" s="191">
        <v>200</v>
      </c>
      <c r="JS124" s="191"/>
      <c r="JT124" s="191"/>
      <c r="JU124" s="191"/>
      <c r="JV124" s="191"/>
      <c r="JW124" s="191">
        <v>50</v>
      </c>
      <c r="JX124" s="191"/>
      <c r="JY124" s="191"/>
      <c r="JZ124" s="191">
        <v>100</v>
      </c>
      <c r="KA124" s="191"/>
      <c r="KB124" s="191"/>
      <c r="KC124" s="191"/>
      <c r="KD124" s="191"/>
      <c r="KE124" s="191"/>
      <c r="KF124" s="191">
        <v>150</v>
      </c>
      <c r="KG124" s="191">
        <v>50</v>
      </c>
      <c r="KH124" s="191"/>
      <c r="KI124" s="191"/>
      <c r="KJ124" s="193"/>
      <c r="KK124" s="194"/>
      <c r="KL124" s="191"/>
      <c r="KM124" s="191"/>
      <c r="KN124" s="191">
        <v>200</v>
      </c>
      <c r="KO124" s="191"/>
      <c r="KP124" s="191"/>
      <c r="KQ124" s="191"/>
      <c r="KR124" s="191"/>
      <c r="KS124" s="191"/>
      <c r="KT124" s="191"/>
      <c r="KU124" s="191"/>
      <c r="KV124" s="191"/>
      <c r="KW124" s="191"/>
      <c r="KX124" s="191"/>
      <c r="KY124" s="191">
        <v>200</v>
      </c>
      <c r="KZ124" s="191"/>
      <c r="LA124" s="191"/>
      <c r="LB124" s="191">
        <v>200</v>
      </c>
      <c r="LC124" s="191"/>
      <c r="LD124" s="191"/>
      <c r="LE124" s="191"/>
      <c r="LF124" s="191">
        <v>50</v>
      </c>
      <c r="LG124" s="191"/>
      <c r="LH124" s="191"/>
      <c r="LI124" s="191">
        <v>50</v>
      </c>
      <c r="LJ124" s="191"/>
      <c r="LK124" s="191"/>
      <c r="LL124" s="191"/>
      <c r="LM124" s="191">
        <v>100</v>
      </c>
      <c r="LN124" s="192"/>
      <c r="LO124" s="190"/>
      <c r="LP124" s="191">
        <v>100</v>
      </c>
      <c r="LQ124" s="191"/>
      <c r="LR124" s="191"/>
      <c r="LS124" s="191"/>
      <c r="LT124" s="191">
        <v>100</v>
      </c>
      <c r="LU124" s="191"/>
      <c r="LV124" s="191"/>
      <c r="LW124" s="191">
        <v>100</v>
      </c>
      <c r="LX124" s="191"/>
      <c r="LY124" s="191"/>
      <c r="LZ124" s="191"/>
      <c r="MA124" s="191"/>
      <c r="MB124" s="191">
        <v>100</v>
      </c>
      <c r="MC124" s="191"/>
      <c r="MD124" s="191">
        <v>10</v>
      </c>
      <c r="ME124" s="191"/>
      <c r="MF124" s="191"/>
      <c r="MG124" s="191"/>
      <c r="MH124" s="191">
        <v>50</v>
      </c>
      <c r="MI124" s="191"/>
      <c r="MJ124" s="191"/>
      <c r="MK124" s="191">
        <v>100</v>
      </c>
      <c r="ML124" s="191"/>
      <c r="MM124" s="191"/>
      <c r="MN124" s="191"/>
      <c r="MO124" s="191">
        <v>100</v>
      </c>
      <c r="MP124" s="191"/>
      <c r="MQ124" s="191"/>
      <c r="MR124" s="191">
        <v>100</v>
      </c>
      <c r="MS124" s="193"/>
      <c r="MT124" s="194"/>
      <c r="MU124" s="191"/>
      <c r="MV124" s="191">
        <v>50</v>
      </c>
      <c r="MW124" s="191"/>
      <c r="MX124" s="191"/>
      <c r="MY124" s="191">
        <v>100</v>
      </c>
      <c r="MZ124" s="191"/>
      <c r="NA124" s="191"/>
      <c r="NB124" s="191"/>
      <c r="NC124" s="191">
        <v>100</v>
      </c>
      <c r="ND124" s="191"/>
      <c r="NE124" s="191"/>
      <c r="NF124" s="191"/>
      <c r="NG124" s="191"/>
      <c r="NH124" s="191"/>
      <c r="NI124" s="191"/>
      <c r="NJ124" s="191">
        <v>150</v>
      </c>
      <c r="NK124" s="191"/>
      <c r="NL124" s="191"/>
      <c r="NM124" s="191"/>
      <c r="NN124" s="191"/>
      <c r="NO124" s="191"/>
      <c r="NP124" s="191"/>
      <c r="NQ124" s="191">
        <v>100</v>
      </c>
      <c r="NR124" s="191"/>
      <c r="NS124" s="191"/>
      <c r="NT124" s="191">
        <v>50</v>
      </c>
      <c r="NU124" s="191"/>
      <c r="NV124" s="191"/>
      <c r="NW124" s="192"/>
      <c r="NX124" s="190">
        <v>50</v>
      </c>
      <c r="NY124" s="191"/>
      <c r="NZ124" s="191"/>
      <c r="OA124" s="191">
        <v>50</v>
      </c>
      <c r="OB124" s="191"/>
      <c r="OC124" s="191"/>
      <c r="OD124" s="191"/>
      <c r="OE124" s="191">
        <v>50</v>
      </c>
      <c r="OF124" s="191"/>
      <c r="OG124" s="191"/>
      <c r="OH124" s="191">
        <v>50</v>
      </c>
      <c r="OI124" s="191"/>
      <c r="OJ124" s="191"/>
      <c r="OK124" s="191"/>
      <c r="OL124" s="191">
        <v>50</v>
      </c>
      <c r="OM124" s="191"/>
      <c r="ON124" s="191"/>
      <c r="OO124" s="191">
        <v>100</v>
      </c>
      <c r="OP124" s="191"/>
      <c r="OQ124" s="191"/>
      <c r="OR124" s="191"/>
      <c r="OS124" s="191"/>
      <c r="OT124" s="191"/>
      <c r="OU124" s="191"/>
      <c r="OV124" s="191"/>
      <c r="OW124" s="191"/>
      <c r="OX124" s="191"/>
      <c r="OY124" s="191"/>
      <c r="OZ124" s="191"/>
      <c r="PA124" s="191"/>
      <c r="PB124" s="193"/>
      <c r="PC124" s="47"/>
      <c r="PD124" s="154" t="s">
        <v>97</v>
      </c>
      <c r="PE124" s="155" t="s">
        <v>98</v>
      </c>
      <c r="PF124" s="155" t="s">
        <v>98</v>
      </c>
      <c r="PG124" s="155" t="s">
        <v>98</v>
      </c>
      <c r="PH124" s="155" t="s">
        <v>98</v>
      </c>
      <c r="PI124" s="155" t="s">
        <v>98</v>
      </c>
      <c r="PJ124" s="155" t="s">
        <v>98</v>
      </c>
      <c r="PK124" s="155" t="s">
        <v>98</v>
      </c>
      <c r="PL124" s="155" t="s">
        <v>98</v>
      </c>
      <c r="PM124" s="155" t="s">
        <v>98</v>
      </c>
      <c r="PN124" s="155" t="s">
        <v>98</v>
      </c>
      <c r="PO124" s="156"/>
      <c r="PP124" s="156"/>
      <c r="PQ124" s="156"/>
      <c r="PR124" s="156"/>
      <c r="PS124" s="156"/>
      <c r="PT124" s="156"/>
      <c r="PU124" s="156"/>
      <c r="PV124" s="156"/>
      <c r="PW124" s="156"/>
      <c r="PX124" s="195"/>
      <c r="PY124" s="1"/>
      <c r="PZ124" s="196">
        <f t="shared" si="73"/>
        <v>760</v>
      </c>
      <c r="QA124" s="176">
        <f t="shared" si="74"/>
        <v>6.340201885375824E-3</v>
      </c>
      <c r="QB124" s="177" t="str">
        <f t="shared" ca="1" si="75"/>
        <v>Attente…</v>
      </c>
      <c r="QC124" s="197">
        <f t="shared" si="76"/>
        <v>600</v>
      </c>
      <c r="QD124" s="179">
        <f t="shared" si="77"/>
        <v>5.6179775280898875E-3</v>
      </c>
      <c r="QE124" s="180" t="str">
        <f t="shared" ca="1" si="78"/>
        <v>Attente…</v>
      </c>
      <c r="QF124" s="196">
        <f t="shared" si="79"/>
        <v>800</v>
      </c>
      <c r="QG124" s="176">
        <f t="shared" si="80"/>
        <v>6.370441153049849E-3</v>
      </c>
      <c r="QH124" s="177" t="str">
        <f t="shared" ca="1" si="81"/>
        <v>Attente…</v>
      </c>
      <c r="QI124" s="197">
        <f t="shared" si="82"/>
        <v>750</v>
      </c>
      <c r="QJ124" s="179">
        <f t="shared" si="83"/>
        <v>5.2602047973067754E-3</v>
      </c>
      <c r="QK124" s="180" t="str">
        <f t="shared" ca="1" si="84"/>
        <v>Attente…</v>
      </c>
      <c r="QL124" s="196">
        <f t="shared" si="85"/>
        <v>750</v>
      </c>
      <c r="QM124" s="176">
        <f t="shared" si="86"/>
        <v>5.4872695346795432E-3</v>
      </c>
      <c r="QN124" s="177" t="str">
        <f t="shared" ca="1" si="87"/>
        <v>Attente…</v>
      </c>
      <c r="QO124" s="197">
        <f t="shared" si="88"/>
        <v>650</v>
      </c>
      <c r="QP124" s="179">
        <f t="shared" si="89"/>
        <v>5.088859312612542E-3</v>
      </c>
      <c r="QQ124" s="180" t="str">
        <f t="shared" ca="1" si="90"/>
        <v>Attente…</v>
      </c>
      <c r="QR124" s="196">
        <f t="shared" si="91"/>
        <v>1100</v>
      </c>
      <c r="QS124" s="176">
        <f t="shared" si="92"/>
        <v>7.9190813865591594E-3</v>
      </c>
      <c r="QT124" s="177" t="str">
        <f t="shared" ca="1" si="93"/>
        <v>Attente…</v>
      </c>
      <c r="QU124" s="197">
        <f t="shared" si="94"/>
        <v>850</v>
      </c>
      <c r="QV124" s="179">
        <f t="shared" si="95"/>
        <v>5.8604522890237177E-3</v>
      </c>
      <c r="QW124" s="180" t="str">
        <f t="shared" ca="1" si="96"/>
        <v>Attente…</v>
      </c>
      <c r="QX124" s="196">
        <f t="shared" si="97"/>
        <v>800</v>
      </c>
      <c r="QY124" s="176">
        <f t="shared" si="98"/>
        <v>5.8378820164044481E-3</v>
      </c>
      <c r="QZ124" s="177" t="str">
        <f t="shared" ca="1" si="99"/>
        <v>Attente…</v>
      </c>
      <c r="RA124" s="197">
        <f t="shared" si="100"/>
        <v>760</v>
      </c>
      <c r="RB124" s="179">
        <f t="shared" si="101"/>
        <v>5.9463265785149834E-3</v>
      </c>
      <c r="RC124" s="180" t="str">
        <f t="shared" ca="1" si="102"/>
        <v>Attente…</v>
      </c>
      <c r="RD124" s="196">
        <f t="shared" si="103"/>
        <v>550</v>
      </c>
      <c r="RE124" s="176">
        <f t="shared" si="104"/>
        <v>5.4802710243124749E-3</v>
      </c>
      <c r="RF124" s="177" t="str">
        <f t="shared" ca="1" si="105"/>
        <v>Attente…</v>
      </c>
      <c r="RG124" s="197">
        <f t="shared" si="106"/>
        <v>350</v>
      </c>
      <c r="RH124" s="179">
        <f t="shared" si="107"/>
        <v>6.4373735515909506E-3</v>
      </c>
      <c r="RI124" s="198" t="str">
        <f t="shared" ca="1" si="108"/>
        <v>Attente…</v>
      </c>
      <c r="RJ124" s="199">
        <f t="shared" si="109"/>
        <v>2160</v>
      </c>
      <c r="RK124" s="200" t="str">
        <f t="shared" ca="1" si="66"/>
        <v>Attente…</v>
      </c>
      <c r="RL124" s="199">
        <f t="shared" si="110"/>
        <v>2150</v>
      </c>
      <c r="RM124" s="200" t="str">
        <f t="shared" ca="1" si="111"/>
        <v>Atttente…</v>
      </c>
      <c r="RN124" s="199">
        <f t="shared" si="112"/>
        <v>2750</v>
      </c>
      <c r="RO124" s="200" t="str">
        <f t="shared" ca="1" si="67"/>
        <v>Attente…</v>
      </c>
      <c r="RP124" s="199">
        <f t="shared" si="113"/>
        <v>1660</v>
      </c>
      <c r="RQ124" s="200" t="str">
        <f t="shared" ca="1" si="68"/>
        <v>Attente…</v>
      </c>
      <c r="RR124" s="201">
        <f t="shared" si="114"/>
        <v>8720</v>
      </c>
      <c r="RS124" s="202" t="str">
        <f t="shared" ca="1" si="69"/>
        <v>Attente…</v>
      </c>
      <c r="RT124" s="103"/>
      <c r="RU124" s="203">
        <f t="shared" si="115"/>
        <v>0.53170731707317076</v>
      </c>
      <c r="RV124" s="204">
        <f t="shared" si="118"/>
        <v>1</v>
      </c>
      <c r="RW124" s="204">
        <f t="shared" si="118"/>
        <v>2</v>
      </c>
      <c r="RX124" s="204">
        <f t="shared" si="116"/>
        <v>82</v>
      </c>
      <c r="RY124" s="205" t="str">
        <f t="shared" si="117"/>
        <v>LE GRAND-QUEVILLY - 132 Rue de la République (Centre Marx Dormoy)</v>
      </c>
      <c r="RZ124" s="189" t="str">
        <f>IF(OR(RZ123="",RZ123="  &lt;/Document&gt;
&lt;/kml&gt;"),"",
IF(B124="","  &lt;/Document&gt;
&lt;/kml&gt;",
IF(TournéesCAV!Q124=""," ",
"    &lt;Placemark&gt;
      &lt;description&gt;&lt;![CDATA["&amp;B124&amp;"&lt;br&gt;&lt;br&gt;"&amp;RV124&amp;" CAV&lt;br&gt;&lt;br&gt;Présent sur "&amp;RW124&amp;" tournée(s)&lt;br&gt;&lt;br&gt;Taux de remplissage moyen "&amp;TEXT(RU124*1000,"0 %")&amp;"]]&gt;&lt;/description&gt;
      &lt;Style&gt;
        &lt;IconStyle&gt;
          &lt;color&gt;ff"&amp;
          DEC2HEX(0,2)&amp;
          DEC2HEX(
            IF(RU124&lt;=0.5,
               INT(255*(RU124*2)),
               255
            ),2)&amp;
          DEC2HEX(
            IF(RU124&lt;=0.5,
               255,
               INT(255*(1-(RU124-0.5)*2))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&lt;Point&gt;&lt;coordinates&gt;"&amp;R124&amp;","&amp;Q124&amp;",0&lt;/coordinates&gt;&lt;/Point&gt;
    &lt;/Placemark&gt;"
)))</f>
        <v xml:space="preserve">    &lt;Placemark&gt;
      &lt;description&gt;&lt;![CDATA[LE GRAND-QUEVILLY - 132 Rue de la République (Centre Marx Dormoy)&lt;br&gt;&lt;br&gt;1 CAV&lt;br&gt;&lt;br&gt;Présent sur 2 tournée(s)&lt;br&gt;&lt;br&gt;Taux de remplissage moyen 53%]]&gt;&lt;/description&gt;
      &lt;Style&gt;
        &lt;IconStyle&gt;
          &lt;color&gt;ff00FFEE&lt;/color&gt;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&lt;Point&gt;&lt;coordinates&gt;1.0342013,49.4136846,0&lt;/coordinates&gt;&lt;/Point&gt;
    &lt;/Placemark&gt;</v>
      </c>
    </row>
    <row r="125" spans="2:494" ht="15" hidden="1" customHeight="1" x14ac:dyDescent="0.35">
      <c r="B125" s="153" t="str">
        <f t="shared" si="70"/>
        <v>SOTTEVILLE-LÈS-ROUEN - 19 rue Marius Vallée (Face au gymnase)</v>
      </c>
      <c r="C125" s="154">
        <v>17</v>
      </c>
      <c r="D125" s="155"/>
      <c r="E125" s="155"/>
      <c r="F125" s="155"/>
      <c r="G125" s="155"/>
      <c r="H125" s="155"/>
      <c r="I125" s="155"/>
      <c r="J125" s="156"/>
      <c r="K125" s="157">
        <f t="shared" si="71"/>
        <v>1</v>
      </c>
      <c r="L125" s="157">
        <f t="shared" si="72"/>
        <v>1</v>
      </c>
      <c r="M125" s="158" t="s">
        <v>713</v>
      </c>
      <c r="N125" s="159" t="s">
        <v>714</v>
      </c>
      <c r="O125" s="159">
        <v>76300</v>
      </c>
      <c r="P125" s="159" t="s">
        <v>275</v>
      </c>
      <c r="Q125" s="159" t="s">
        <v>715</v>
      </c>
      <c r="R125" s="159" t="s">
        <v>716</v>
      </c>
      <c r="S125" s="159" t="s">
        <v>93</v>
      </c>
      <c r="T125" s="159" t="s">
        <v>278</v>
      </c>
      <c r="U125" s="159" t="s">
        <v>717</v>
      </c>
      <c r="V125" s="160" t="s">
        <v>96</v>
      </c>
      <c r="W125" s="161"/>
      <c r="X125" s="162"/>
      <c r="Y125" s="163"/>
      <c r="Z125" s="162"/>
      <c r="AA125" s="163"/>
      <c r="AB125" s="162">
        <v>8</v>
      </c>
      <c r="AC125" s="163"/>
      <c r="AD125" s="162"/>
      <c r="AE125" s="163"/>
      <c r="AF125" s="162"/>
      <c r="AG125" s="163"/>
      <c r="AH125" s="163"/>
      <c r="AI125" s="162"/>
      <c r="AJ125" s="163"/>
      <c r="AK125" s="162"/>
      <c r="AL125" s="163"/>
      <c r="AM125" s="162"/>
      <c r="AN125" s="163"/>
      <c r="AO125" s="162"/>
      <c r="AP125" s="164"/>
      <c r="AQ125" s="164"/>
      <c r="AR125" s="164"/>
      <c r="AS125" s="164"/>
      <c r="AT125" s="164"/>
      <c r="AU125" s="164"/>
      <c r="AV125" s="164"/>
      <c r="AW125" s="164"/>
      <c r="AX125" s="164"/>
      <c r="AY125" s="165"/>
      <c r="AZ125" s="41"/>
      <c r="BA125" s="190"/>
      <c r="BB125" s="191"/>
      <c r="BC125" s="191">
        <v>200</v>
      </c>
      <c r="BD125" s="191"/>
      <c r="BE125" s="191"/>
      <c r="BF125" s="191"/>
      <c r="BG125" s="191">
        <v>100</v>
      </c>
      <c r="BH125" s="191"/>
      <c r="BI125" s="191"/>
      <c r="BJ125" s="191">
        <v>50</v>
      </c>
      <c r="BK125" s="191"/>
      <c r="BL125" s="191"/>
      <c r="BM125" s="191"/>
      <c r="BN125" s="191">
        <v>100</v>
      </c>
      <c r="BO125" s="191"/>
      <c r="BP125" s="191"/>
      <c r="BQ125" s="191">
        <v>50</v>
      </c>
      <c r="BR125" s="191"/>
      <c r="BS125" s="191"/>
      <c r="BT125" s="191"/>
      <c r="BU125" s="191">
        <v>100</v>
      </c>
      <c r="BV125" s="191"/>
      <c r="BW125" s="191"/>
      <c r="BX125" s="191">
        <v>10</v>
      </c>
      <c r="BY125" s="191"/>
      <c r="BZ125" s="191"/>
      <c r="CA125" s="191"/>
      <c r="CB125" s="191">
        <v>100</v>
      </c>
      <c r="CC125" s="191"/>
      <c r="CD125" s="191"/>
      <c r="CE125" s="192">
        <v>50</v>
      </c>
      <c r="CF125" s="190"/>
      <c r="CG125" s="191"/>
      <c r="CH125" s="191"/>
      <c r="CI125" s="191">
        <v>50</v>
      </c>
      <c r="CJ125" s="191"/>
      <c r="CK125" s="191"/>
      <c r="CL125" s="191">
        <v>10</v>
      </c>
      <c r="CM125" s="191"/>
      <c r="CN125" s="191"/>
      <c r="CO125" s="191"/>
      <c r="CP125" s="191">
        <v>150</v>
      </c>
      <c r="CQ125" s="191"/>
      <c r="CR125" s="191"/>
      <c r="CS125" s="191">
        <v>100</v>
      </c>
      <c r="CT125" s="191"/>
      <c r="CU125" s="191"/>
      <c r="CV125" s="191"/>
      <c r="CW125" s="191">
        <v>50</v>
      </c>
      <c r="CX125" s="191"/>
      <c r="CY125" s="191"/>
      <c r="CZ125" s="191">
        <v>150</v>
      </c>
      <c r="DA125" s="191"/>
      <c r="DB125" s="191"/>
      <c r="DC125" s="191"/>
      <c r="DD125" s="191">
        <v>150</v>
      </c>
      <c r="DE125" s="191"/>
      <c r="DF125" s="191"/>
      <c r="DG125" s="191">
        <v>50</v>
      </c>
      <c r="DH125" s="193"/>
      <c r="DI125" s="194"/>
      <c r="DJ125" s="191"/>
      <c r="DK125" s="191"/>
      <c r="DL125" s="191">
        <v>100</v>
      </c>
      <c r="DM125" s="191"/>
      <c r="DN125" s="191"/>
      <c r="DO125" s="191">
        <v>100</v>
      </c>
      <c r="DP125" s="191"/>
      <c r="DQ125" s="191"/>
      <c r="DR125" s="191"/>
      <c r="DS125" s="191">
        <v>100</v>
      </c>
      <c r="DT125" s="191"/>
      <c r="DU125" s="191"/>
      <c r="DV125" s="191">
        <v>100</v>
      </c>
      <c r="DW125" s="191"/>
      <c r="DX125" s="191"/>
      <c r="DY125" s="191"/>
      <c r="DZ125" s="191">
        <v>50</v>
      </c>
      <c r="EA125" s="191"/>
      <c r="EB125" s="191"/>
      <c r="EC125" s="191">
        <v>100</v>
      </c>
      <c r="ED125" s="191"/>
      <c r="EE125" s="191"/>
      <c r="EF125" s="191"/>
      <c r="EG125" s="191">
        <v>150</v>
      </c>
      <c r="EH125" s="191"/>
      <c r="EI125" s="191"/>
      <c r="EJ125" s="191">
        <v>50</v>
      </c>
      <c r="EK125" s="191"/>
      <c r="EL125" s="191"/>
      <c r="EM125" s="192"/>
      <c r="EN125" s="190">
        <v>150</v>
      </c>
      <c r="EO125" s="191"/>
      <c r="EP125" s="191"/>
      <c r="EQ125" s="191">
        <v>200</v>
      </c>
      <c r="ER125" s="191"/>
      <c r="ES125" s="191"/>
      <c r="ET125" s="191"/>
      <c r="EU125" s="191"/>
      <c r="EV125" s="191"/>
      <c r="EW125" s="191"/>
      <c r="EX125" s="191">
        <v>200</v>
      </c>
      <c r="EY125" s="191"/>
      <c r="EZ125" s="191"/>
      <c r="FA125" s="191"/>
      <c r="FB125" s="191">
        <v>200</v>
      </c>
      <c r="FC125" s="191"/>
      <c r="FD125" s="191"/>
      <c r="FE125" s="191">
        <v>200</v>
      </c>
      <c r="FF125" s="191"/>
      <c r="FG125" s="191"/>
      <c r="FH125" s="191"/>
      <c r="FI125" s="191">
        <v>200</v>
      </c>
      <c r="FJ125" s="191"/>
      <c r="FK125" s="191"/>
      <c r="FL125" s="191"/>
      <c r="FM125" s="191"/>
      <c r="FN125" s="191"/>
      <c r="FO125" s="191"/>
      <c r="FP125" s="191">
        <v>100</v>
      </c>
      <c r="FQ125" s="193"/>
      <c r="FR125" s="194"/>
      <c r="FS125" s="191">
        <v>200</v>
      </c>
      <c r="FT125" s="191"/>
      <c r="FU125" s="191"/>
      <c r="FV125" s="191"/>
      <c r="FW125" s="191">
        <v>200</v>
      </c>
      <c r="FX125" s="191"/>
      <c r="FY125" s="191"/>
      <c r="FZ125" s="191">
        <v>100</v>
      </c>
      <c r="GA125" s="191"/>
      <c r="GB125" s="191"/>
      <c r="GC125" s="191"/>
      <c r="GD125" s="191">
        <v>100</v>
      </c>
      <c r="GE125" s="191"/>
      <c r="GF125" s="191"/>
      <c r="GG125" s="191">
        <v>100</v>
      </c>
      <c r="GH125" s="191"/>
      <c r="GI125" s="191"/>
      <c r="GJ125" s="191"/>
      <c r="GK125" s="191">
        <v>150</v>
      </c>
      <c r="GL125" s="191"/>
      <c r="GM125" s="191"/>
      <c r="GN125" s="191"/>
      <c r="GO125" s="191"/>
      <c r="GP125" s="191"/>
      <c r="GQ125" s="191"/>
      <c r="GR125" s="191">
        <v>200</v>
      </c>
      <c r="GS125" s="191"/>
      <c r="GT125" s="191"/>
      <c r="GU125" s="191">
        <v>100</v>
      </c>
      <c r="GV125" s="192"/>
      <c r="GW125" s="190"/>
      <c r="GX125" s="191"/>
      <c r="GY125" s="191">
        <v>150</v>
      </c>
      <c r="GZ125" s="191"/>
      <c r="HA125" s="191"/>
      <c r="HB125" s="191">
        <v>50</v>
      </c>
      <c r="HC125" s="191"/>
      <c r="HD125" s="191"/>
      <c r="HE125" s="191"/>
      <c r="HF125" s="191">
        <v>200</v>
      </c>
      <c r="HG125" s="191"/>
      <c r="HH125" s="191"/>
      <c r="HI125" s="191">
        <v>100</v>
      </c>
      <c r="HJ125" s="191"/>
      <c r="HK125" s="191"/>
      <c r="HL125" s="191"/>
      <c r="HM125" s="191">
        <v>50</v>
      </c>
      <c r="HN125" s="191"/>
      <c r="HO125" s="191"/>
      <c r="HP125" s="191">
        <v>50</v>
      </c>
      <c r="HQ125" s="191"/>
      <c r="HR125" s="191"/>
      <c r="HS125" s="191"/>
      <c r="HT125" s="191">
        <v>150</v>
      </c>
      <c r="HU125" s="191"/>
      <c r="HV125" s="191"/>
      <c r="HW125" s="191">
        <v>50</v>
      </c>
      <c r="HX125" s="191"/>
      <c r="HY125" s="191"/>
      <c r="HZ125" s="193"/>
      <c r="IA125" s="194">
        <v>100</v>
      </c>
      <c r="IB125" s="191"/>
      <c r="IC125" s="191"/>
      <c r="ID125" s="191">
        <v>100</v>
      </c>
      <c r="IE125" s="191"/>
      <c r="IF125" s="191"/>
      <c r="IG125" s="191"/>
      <c r="IH125" s="191"/>
      <c r="II125" s="191"/>
      <c r="IJ125" s="191"/>
      <c r="IK125" s="191">
        <v>150</v>
      </c>
      <c r="IL125" s="191"/>
      <c r="IM125" s="191"/>
      <c r="IN125" s="191"/>
      <c r="IO125" s="191"/>
      <c r="IP125" s="191">
        <v>100</v>
      </c>
      <c r="IQ125" s="191"/>
      <c r="IR125" s="191"/>
      <c r="IS125" s="191"/>
      <c r="IT125" s="191"/>
      <c r="IU125" s="191"/>
      <c r="IV125" s="191">
        <v>150</v>
      </c>
      <c r="IW125" s="191"/>
      <c r="IX125" s="191"/>
      <c r="IY125" s="191"/>
      <c r="IZ125" s="191"/>
      <c r="JA125" s="191"/>
      <c r="JB125" s="191"/>
      <c r="JC125" s="191">
        <v>200</v>
      </c>
      <c r="JD125" s="191"/>
      <c r="JE125" s="192"/>
      <c r="JF125" s="190">
        <v>50</v>
      </c>
      <c r="JG125" s="191"/>
      <c r="JH125" s="191"/>
      <c r="JI125" s="191"/>
      <c r="JJ125" s="191">
        <v>100</v>
      </c>
      <c r="JK125" s="191"/>
      <c r="JL125" s="191"/>
      <c r="JM125" s="191">
        <v>50</v>
      </c>
      <c r="JN125" s="191"/>
      <c r="JO125" s="191"/>
      <c r="JP125" s="191"/>
      <c r="JQ125" s="191">
        <v>100</v>
      </c>
      <c r="JR125" s="191"/>
      <c r="JS125" s="191"/>
      <c r="JT125" s="191"/>
      <c r="JU125" s="191"/>
      <c r="JV125" s="191"/>
      <c r="JW125" s="191"/>
      <c r="JX125" s="191"/>
      <c r="JY125" s="191"/>
      <c r="JZ125" s="191"/>
      <c r="KA125" s="191"/>
      <c r="KB125" s="191"/>
      <c r="KC125" s="191"/>
      <c r="KD125" s="191"/>
      <c r="KE125" s="191">
        <v>200</v>
      </c>
      <c r="KF125" s="191"/>
      <c r="KG125" s="191"/>
      <c r="KH125" s="191">
        <v>150</v>
      </c>
      <c r="KI125" s="191"/>
      <c r="KJ125" s="193"/>
      <c r="KK125" s="194"/>
      <c r="KL125" s="191">
        <v>200</v>
      </c>
      <c r="KM125" s="191"/>
      <c r="KN125" s="191"/>
      <c r="KO125" s="191">
        <v>100</v>
      </c>
      <c r="KP125" s="191"/>
      <c r="KQ125" s="191"/>
      <c r="KR125" s="191"/>
      <c r="KS125" s="191">
        <v>100</v>
      </c>
      <c r="KT125" s="191"/>
      <c r="KU125" s="191"/>
      <c r="KV125" s="191">
        <v>150</v>
      </c>
      <c r="KW125" s="191"/>
      <c r="KX125" s="191"/>
      <c r="KY125" s="191"/>
      <c r="KZ125" s="191">
        <v>100</v>
      </c>
      <c r="LA125" s="191"/>
      <c r="LB125" s="191"/>
      <c r="LC125" s="191"/>
      <c r="LD125" s="191"/>
      <c r="LE125" s="191"/>
      <c r="LF125" s="191"/>
      <c r="LG125" s="191">
        <v>200</v>
      </c>
      <c r="LH125" s="191"/>
      <c r="LI125" s="191"/>
      <c r="LJ125" s="191">
        <v>50</v>
      </c>
      <c r="LK125" s="191"/>
      <c r="LL125" s="191"/>
      <c r="LM125" s="191"/>
      <c r="LN125" s="192"/>
      <c r="LO125" s="190"/>
      <c r="LP125" s="191"/>
      <c r="LQ125" s="191"/>
      <c r="LR125" s="191"/>
      <c r="LS125" s="191"/>
      <c r="LT125" s="191"/>
      <c r="LU125" s="191">
        <v>150</v>
      </c>
      <c r="LV125" s="191"/>
      <c r="LW125" s="191"/>
      <c r="LX125" s="191">
        <v>150</v>
      </c>
      <c r="LY125" s="191"/>
      <c r="LZ125" s="191"/>
      <c r="MA125" s="191"/>
      <c r="MB125" s="191">
        <v>150</v>
      </c>
      <c r="MC125" s="191"/>
      <c r="MD125" s="191"/>
      <c r="ME125" s="191">
        <v>50</v>
      </c>
      <c r="MF125" s="191"/>
      <c r="MG125" s="191"/>
      <c r="MH125" s="191"/>
      <c r="MI125" s="191">
        <v>100</v>
      </c>
      <c r="MJ125" s="191"/>
      <c r="MK125" s="191"/>
      <c r="ML125" s="191">
        <v>50</v>
      </c>
      <c r="MM125" s="191"/>
      <c r="MN125" s="191"/>
      <c r="MO125" s="191"/>
      <c r="MP125" s="191"/>
      <c r="MQ125" s="191"/>
      <c r="MR125" s="191"/>
      <c r="MS125" s="193"/>
      <c r="MT125" s="194"/>
      <c r="MU125" s="191"/>
      <c r="MV125" s="191"/>
      <c r="MW125" s="191"/>
      <c r="MX125" s="191"/>
      <c r="MY125" s="191"/>
      <c r="MZ125" s="191"/>
      <c r="NA125" s="191"/>
      <c r="NB125" s="191"/>
      <c r="NC125" s="191"/>
      <c r="ND125" s="191"/>
      <c r="NE125" s="191"/>
      <c r="NF125" s="191"/>
      <c r="NG125" s="191"/>
      <c r="NH125" s="191"/>
      <c r="NI125" s="191"/>
      <c r="NJ125" s="191"/>
      <c r="NK125" s="191"/>
      <c r="NL125" s="191"/>
      <c r="NM125" s="191"/>
      <c r="NN125" s="191"/>
      <c r="NO125" s="191"/>
      <c r="NP125" s="191"/>
      <c r="NQ125" s="191"/>
      <c r="NR125" s="191"/>
      <c r="NS125" s="191"/>
      <c r="NT125" s="191"/>
      <c r="NU125" s="191"/>
      <c r="NV125" s="191"/>
      <c r="NW125" s="192"/>
      <c r="NX125" s="190"/>
      <c r="NY125" s="191"/>
      <c r="NZ125" s="191"/>
      <c r="OA125" s="191"/>
      <c r="OB125" s="191"/>
      <c r="OC125" s="191"/>
      <c r="OD125" s="191"/>
      <c r="OE125" s="191"/>
      <c r="OF125" s="191"/>
      <c r="OG125" s="191"/>
      <c r="OH125" s="191"/>
      <c r="OI125" s="191"/>
      <c r="OJ125" s="191"/>
      <c r="OK125" s="191"/>
      <c r="OL125" s="191"/>
      <c r="OM125" s="191"/>
      <c r="ON125" s="191"/>
      <c r="OO125" s="191"/>
      <c r="OP125" s="191"/>
      <c r="OQ125" s="191"/>
      <c r="OR125" s="191"/>
      <c r="OS125" s="191"/>
      <c r="OT125" s="191"/>
      <c r="OU125" s="191"/>
      <c r="OV125" s="191"/>
      <c r="OW125" s="191"/>
      <c r="OX125" s="191"/>
      <c r="OY125" s="191"/>
      <c r="OZ125" s="191"/>
      <c r="PA125" s="191"/>
      <c r="PB125" s="193"/>
      <c r="PC125" s="47"/>
      <c r="PD125" s="154" t="s">
        <v>97</v>
      </c>
      <c r="PE125" s="155" t="s">
        <v>98</v>
      </c>
      <c r="PF125" s="155" t="s">
        <v>97</v>
      </c>
      <c r="PG125" s="155" t="s">
        <v>98</v>
      </c>
      <c r="PH125" s="155" t="s">
        <v>98</v>
      </c>
      <c r="PI125" s="155" t="s">
        <v>98</v>
      </c>
      <c r="PJ125" s="155" t="s">
        <v>98</v>
      </c>
      <c r="PK125" s="155" t="s">
        <v>98</v>
      </c>
      <c r="PL125" s="155" t="s">
        <v>98</v>
      </c>
      <c r="PM125" s="155" t="s">
        <v>98</v>
      </c>
      <c r="PN125" s="155" t="s">
        <v>98</v>
      </c>
      <c r="PO125" s="156"/>
      <c r="PP125" s="156"/>
      <c r="PQ125" s="156"/>
      <c r="PR125" s="156"/>
      <c r="PS125" s="156"/>
      <c r="PT125" s="156"/>
      <c r="PU125" s="156"/>
      <c r="PV125" s="156"/>
      <c r="PW125" s="156"/>
      <c r="PX125" s="195"/>
      <c r="PY125" s="1"/>
      <c r="PZ125" s="196">
        <f t="shared" si="73"/>
        <v>760</v>
      </c>
      <c r="QA125" s="176">
        <f t="shared" si="74"/>
        <v>6.340201885375824E-3</v>
      </c>
      <c r="QB125" s="177" t="str">
        <f t="shared" ca="1" si="75"/>
        <v>Attente…</v>
      </c>
      <c r="QC125" s="197">
        <f t="shared" si="76"/>
        <v>710</v>
      </c>
      <c r="QD125" s="179">
        <f t="shared" si="77"/>
        <v>6.6479400749063673E-3</v>
      </c>
      <c r="QE125" s="180" t="str">
        <f t="shared" ca="1" si="78"/>
        <v>Attente…</v>
      </c>
      <c r="QF125" s="196">
        <f t="shared" si="79"/>
        <v>750</v>
      </c>
      <c r="QG125" s="176">
        <f t="shared" si="80"/>
        <v>5.972288580984233E-3</v>
      </c>
      <c r="QH125" s="177" t="str">
        <f t="shared" ca="1" si="81"/>
        <v>Attente…</v>
      </c>
      <c r="QI125" s="197">
        <f t="shared" si="82"/>
        <v>1250</v>
      </c>
      <c r="QJ125" s="179">
        <f t="shared" si="83"/>
        <v>8.7670079955112917E-3</v>
      </c>
      <c r="QK125" s="180" t="str">
        <f t="shared" ca="1" si="84"/>
        <v>Attente…</v>
      </c>
      <c r="QL125" s="196">
        <f t="shared" si="85"/>
        <v>1150</v>
      </c>
      <c r="QM125" s="176">
        <f t="shared" si="86"/>
        <v>8.4138132865086337E-3</v>
      </c>
      <c r="QN125" s="177" t="str">
        <f t="shared" ca="1" si="87"/>
        <v>Attente…</v>
      </c>
      <c r="QO125" s="197">
        <f t="shared" si="88"/>
        <v>800</v>
      </c>
      <c r="QP125" s="179">
        <f t="shared" si="89"/>
        <v>6.2632114616769747E-3</v>
      </c>
      <c r="QQ125" s="180" t="str">
        <f t="shared" ca="1" si="90"/>
        <v>Attente…</v>
      </c>
      <c r="QR125" s="196">
        <f t="shared" si="91"/>
        <v>800</v>
      </c>
      <c r="QS125" s="176">
        <f t="shared" si="92"/>
        <v>5.7593319174975705E-3</v>
      </c>
      <c r="QT125" s="177" t="str">
        <f t="shared" ca="1" si="93"/>
        <v>Attente…</v>
      </c>
      <c r="QU125" s="197">
        <f t="shared" si="94"/>
        <v>650</v>
      </c>
      <c r="QV125" s="179">
        <f t="shared" si="95"/>
        <v>4.4815223386651956E-3</v>
      </c>
      <c r="QW125" s="180" t="str">
        <f t="shared" ca="1" si="96"/>
        <v>Attente…</v>
      </c>
      <c r="QX125" s="196">
        <f t="shared" si="97"/>
        <v>900</v>
      </c>
      <c r="QY125" s="176">
        <f t="shared" si="98"/>
        <v>6.5676172684550043E-3</v>
      </c>
      <c r="QZ125" s="177" t="str">
        <f t="shared" ca="1" si="99"/>
        <v>Attente…</v>
      </c>
      <c r="RA125" s="197">
        <f t="shared" si="100"/>
        <v>650</v>
      </c>
      <c r="RB125" s="179">
        <f t="shared" si="101"/>
        <v>5.08567404741413E-3</v>
      </c>
      <c r="RC125" s="180" t="str">
        <f t="shared" ca="1" si="102"/>
        <v>Attente…</v>
      </c>
      <c r="RD125" s="196">
        <f t="shared" si="103"/>
        <v>0</v>
      </c>
      <c r="RE125" s="176">
        <f t="shared" si="104"/>
        <v>0</v>
      </c>
      <c r="RF125" s="177" t="str">
        <f t="shared" ca="1" si="105"/>
        <v>Attente…</v>
      </c>
      <c r="RG125" s="197">
        <f t="shared" si="106"/>
        <v>0</v>
      </c>
      <c r="RH125" s="179">
        <f t="shared" si="107"/>
        <v>0</v>
      </c>
      <c r="RI125" s="198" t="str">
        <f t="shared" ca="1" si="108"/>
        <v>Attente…</v>
      </c>
      <c r="RJ125" s="199">
        <f t="shared" si="109"/>
        <v>2220</v>
      </c>
      <c r="RK125" s="200" t="str">
        <f t="shared" ca="1" si="66"/>
        <v>Attente…</v>
      </c>
      <c r="RL125" s="199">
        <f t="shared" si="110"/>
        <v>3200</v>
      </c>
      <c r="RM125" s="200" t="str">
        <f t="shared" ca="1" si="111"/>
        <v>Atttente…</v>
      </c>
      <c r="RN125" s="199">
        <f t="shared" si="112"/>
        <v>2350</v>
      </c>
      <c r="RO125" s="200" t="str">
        <f t="shared" ca="1" si="67"/>
        <v>Attente…</v>
      </c>
      <c r="RP125" s="199">
        <f t="shared" si="113"/>
        <v>650</v>
      </c>
      <c r="RQ125" s="200" t="str">
        <f t="shared" ca="1" si="68"/>
        <v>Attente…</v>
      </c>
      <c r="RR125" s="201">
        <f t="shared" si="114"/>
        <v>8420</v>
      </c>
      <c r="RS125" s="202" t="str">
        <f t="shared" ca="1" si="69"/>
        <v>Attente…</v>
      </c>
      <c r="RT125" s="103"/>
      <c r="RU125" s="203">
        <f t="shared" si="115"/>
        <v>0.57671232876712331</v>
      </c>
      <c r="RV125" s="204">
        <f t="shared" si="118"/>
        <v>1</v>
      </c>
      <c r="RW125" s="204">
        <f t="shared" si="118"/>
        <v>1</v>
      </c>
      <c r="RX125" s="204">
        <f t="shared" si="116"/>
        <v>73</v>
      </c>
      <c r="RY125" s="205" t="str">
        <f t="shared" si="117"/>
        <v>SOTTEVILLE-LÈS-ROUEN - 19 rue Marius Vallée (Face au gymnase)</v>
      </c>
      <c r="RZ125" s="189" t="str">
        <f>IF(OR(RZ124="",RZ124="  &lt;/Document&gt;
&lt;/kml&gt;"),"",
IF(B125="","  &lt;/Document&gt;
&lt;/kml&gt;",
IF(TournéesCAV!Q136=""," ",
"    &lt;Placemark&gt;
      &lt;description&gt;&lt;![CDATA["&amp;B125&amp;"&lt;br&gt;&lt;br&gt;"&amp;RV125&amp;" CAV&lt;br&gt;&lt;br&gt;Présent sur "&amp;RW125&amp;" tournée(s)&lt;br&gt;&lt;br&gt;Taux de remplissage moyen "&amp;TEXT(RU125*1000,"0 %")&amp;"]]&gt;&lt;/description&gt;
      &lt;Style&gt;
        &lt;IconStyle&gt;
          &lt;color&gt;ff"&amp;
          DEC2HEX(0,2)&amp;
          DEC2HEX(
            IF(RU125&lt;=0.5,
               INT(255*(RU125*2)),
               255
            ),2)&amp;
          DEC2HEX(
            IF(RU125&lt;=0.5,
               255,
               INT(255*(1-(RU125-0.5)*2))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&lt;Point&gt;&lt;coordinates&gt;"&amp;R125&amp;","&amp;Q125&amp;",0&lt;/coordinates&gt;&lt;/Point&gt;
    &lt;/Placemark&gt;"
)))</f>
        <v xml:space="preserve">    &lt;Placemark&gt;
      &lt;description&gt;&lt;![CDATA[SOTTEVILLE-LÈS-ROUEN - 19 rue Marius Vallée (Face au gymnase)&lt;br&gt;&lt;br&gt;1 CAV&lt;br&gt;&lt;br&gt;Présent sur 1 tournée(s)&lt;br&gt;&lt;br&gt;Taux de remplissage moyen 58%]]&gt;&lt;/description&gt;
      &lt;Style&gt;
        &lt;IconStyle&gt;
          &lt;color&gt;ff00FFD7&lt;/color&gt;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&lt;Point&gt;&lt;coordinates&gt;1.08425,49.3999258,0&lt;/coordinates&gt;&lt;/Point&gt;
    &lt;/Placemark&gt;</v>
      </c>
    </row>
    <row r="126" spans="2:494" ht="15" hidden="1" customHeight="1" x14ac:dyDescent="0.35">
      <c r="B126" s="153" t="str">
        <f t="shared" si="70"/>
        <v>QUÉVREVILLE-LA-POTERIE - Chemin du Vaudin (Parking Salle des fêtes)</v>
      </c>
      <c r="C126" s="154">
        <v>5</v>
      </c>
      <c r="D126" s="155"/>
      <c r="E126" s="155"/>
      <c r="F126" s="155"/>
      <c r="G126" s="155"/>
      <c r="H126" s="155"/>
      <c r="I126" s="155"/>
      <c r="J126" s="156"/>
      <c r="K126" s="157">
        <f t="shared" si="71"/>
        <v>1</v>
      </c>
      <c r="L126" s="157">
        <f t="shared" si="72"/>
        <v>1</v>
      </c>
      <c r="M126" s="158" t="s">
        <v>718</v>
      </c>
      <c r="N126" s="159" t="s">
        <v>190</v>
      </c>
      <c r="O126" s="159">
        <v>76520</v>
      </c>
      <c r="P126" s="159" t="s">
        <v>719</v>
      </c>
      <c r="Q126" s="159" t="s">
        <v>720</v>
      </c>
      <c r="R126" s="159" t="s">
        <v>721</v>
      </c>
      <c r="S126" s="159" t="s">
        <v>93</v>
      </c>
      <c r="T126" s="159" t="s">
        <v>94</v>
      </c>
      <c r="U126" s="159" t="s">
        <v>722</v>
      </c>
      <c r="V126" s="160" t="s">
        <v>96</v>
      </c>
      <c r="W126" s="161"/>
      <c r="X126" s="162"/>
      <c r="Y126" s="163"/>
      <c r="Z126" s="162"/>
      <c r="AA126" s="163"/>
      <c r="AB126" s="162"/>
      <c r="AC126" s="163"/>
      <c r="AD126" s="162"/>
      <c r="AE126" s="163"/>
      <c r="AF126" s="162"/>
      <c r="AG126" s="163"/>
      <c r="AH126" s="163"/>
      <c r="AI126" s="162"/>
      <c r="AJ126" s="163"/>
      <c r="AK126" s="162"/>
      <c r="AL126" s="163">
        <v>8</v>
      </c>
      <c r="AM126" s="162"/>
      <c r="AN126" s="163"/>
      <c r="AO126" s="162"/>
      <c r="AP126" s="164"/>
      <c r="AQ126" s="164"/>
      <c r="AR126" s="164"/>
      <c r="AS126" s="164"/>
      <c r="AT126" s="164"/>
      <c r="AU126" s="164"/>
      <c r="AV126" s="164"/>
      <c r="AW126" s="164"/>
      <c r="AX126" s="164"/>
      <c r="AY126" s="165"/>
      <c r="AZ126" s="41"/>
      <c r="BA126" s="190"/>
      <c r="BB126" s="191"/>
      <c r="BC126" s="191"/>
      <c r="BD126" s="191"/>
      <c r="BE126" s="191"/>
      <c r="BF126" s="191"/>
      <c r="BG126" s="191"/>
      <c r="BH126" s="191">
        <v>200</v>
      </c>
      <c r="BI126" s="191"/>
      <c r="BJ126" s="191"/>
      <c r="BK126" s="191"/>
      <c r="BL126" s="191"/>
      <c r="BM126" s="191"/>
      <c r="BN126" s="191"/>
      <c r="BO126" s="191">
        <v>150</v>
      </c>
      <c r="BP126" s="191"/>
      <c r="BQ126" s="191"/>
      <c r="BR126" s="191"/>
      <c r="BS126" s="191"/>
      <c r="BT126" s="191"/>
      <c r="BU126" s="191"/>
      <c r="BV126" s="191">
        <v>100</v>
      </c>
      <c r="BW126" s="191"/>
      <c r="BX126" s="191"/>
      <c r="BY126" s="191"/>
      <c r="BZ126" s="191"/>
      <c r="CA126" s="191"/>
      <c r="CB126" s="191"/>
      <c r="CC126" s="191">
        <v>100</v>
      </c>
      <c r="CD126" s="191"/>
      <c r="CE126" s="192"/>
      <c r="CF126" s="190"/>
      <c r="CG126" s="191"/>
      <c r="CH126" s="191"/>
      <c r="CI126" s="191"/>
      <c r="CJ126" s="191">
        <v>50</v>
      </c>
      <c r="CK126" s="191"/>
      <c r="CL126" s="191"/>
      <c r="CM126" s="191"/>
      <c r="CN126" s="191"/>
      <c r="CO126" s="191"/>
      <c r="CP126" s="191"/>
      <c r="CQ126" s="191">
        <v>50</v>
      </c>
      <c r="CR126" s="191"/>
      <c r="CS126" s="191"/>
      <c r="CT126" s="191"/>
      <c r="CU126" s="191"/>
      <c r="CV126" s="191"/>
      <c r="CW126" s="191"/>
      <c r="CX126" s="191">
        <v>50</v>
      </c>
      <c r="CY126" s="191"/>
      <c r="CZ126" s="191"/>
      <c r="DA126" s="191"/>
      <c r="DB126" s="191"/>
      <c r="DC126" s="191"/>
      <c r="DD126" s="191"/>
      <c r="DE126" s="191">
        <v>100</v>
      </c>
      <c r="DF126" s="191"/>
      <c r="DG126" s="191"/>
      <c r="DH126" s="193"/>
      <c r="DI126" s="194"/>
      <c r="DJ126" s="191"/>
      <c r="DK126" s="191"/>
      <c r="DL126" s="191"/>
      <c r="DM126" s="191">
        <v>50</v>
      </c>
      <c r="DN126" s="191"/>
      <c r="DO126" s="191"/>
      <c r="DP126" s="191"/>
      <c r="DQ126" s="191"/>
      <c r="DR126" s="191"/>
      <c r="DS126" s="191"/>
      <c r="DT126" s="191">
        <v>50</v>
      </c>
      <c r="DU126" s="191"/>
      <c r="DV126" s="191"/>
      <c r="DW126" s="191"/>
      <c r="DX126" s="191"/>
      <c r="DY126" s="191"/>
      <c r="DZ126" s="191"/>
      <c r="EA126" s="191"/>
      <c r="EB126" s="191"/>
      <c r="EC126" s="191"/>
      <c r="ED126" s="191"/>
      <c r="EE126" s="191"/>
      <c r="EF126" s="191"/>
      <c r="EG126" s="191"/>
      <c r="EH126" s="191"/>
      <c r="EI126" s="191"/>
      <c r="EJ126" s="191"/>
      <c r="EK126" s="191"/>
      <c r="EL126" s="191"/>
      <c r="EM126" s="192"/>
      <c r="EN126" s="190"/>
      <c r="EO126" s="191"/>
      <c r="EP126" s="191"/>
      <c r="EQ126" s="191"/>
      <c r="ER126" s="191"/>
      <c r="ES126" s="191"/>
      <c r="ET126" s="191"/>
      <c r="EU126" s="191"/>
      <c r="EV126" s="191"/>
      <c r="EW126" s="191"/>
      <c r="EX126" s="191"/>
      <c r="EY126" s="191"/>
      <c r="EZ126" s="191"/>
      <c r="FA126" s="191"/>
      <c r="FB126" s="191"/>
      <c r="FC126" s="191">
        <v>200</v>
      </c>
      <c r="FD126" s="191"/>
      <c r="FE126" s="191"/>
      <c r="FF126" s="191"/>
      <c r="FG126" s="191"/>
      <c r="FH126" s="191"/>
      <c r="FI126" s="191"/>
      <c r="FJ126" s="191"/>
      <c r="FK126" s="191"/>
      <c r="FL126" s="191">
        <v>150</v>
      </c>
      <c r="FM126" s="191"/>
      <c r="FN126" s="191"/>
      <c r="FO126" s="191"/>
      <c r="FP126" s="191"/>
      <c r="FQ126" s="193"/>
      <c r="FR126" s="194"/>
      <c r="FS126" s="191"/>
      <c r="FT126" s="191"/>
      <c r="FU126" s="191"/>
      <c r="FV126" s="191"/>
      <c r="FW126" s="191"/>
      <c r="FX126" s="191">
        <v>200</v>
      </c>
      <c r="FY126" s="191"/>
      <c r="FZ126" s="191"/>
      <c r="GA126" s="191"/>
      <c r="GB126" s="191"/>
      <c r="GC126" s="191"/>
      <c r="GD126" s="191"/>
      <c r="GE126" s="191"/>
      <c r="GF126" s="191"/>
      <c r="GG126" s="191"/>
      <c r="GH126" s="191"/>
      <c r="GI126" s="191"/>
      <c r="GJ126" s="191"/>
      <c r="GK126" s="191"/>
      <c r="GL126" s="191">
        <v>150</v>
      </c>
      <c r="GM126" s="191"/>
      <c r="GN126" s="191"/>
      <c r="GO126" s="191"/>
      <c r="GP126" s="191"/>
      <c r="GQ126" s="191"/>
      <c r="GR126" s="191"/>
      <c r="GS126" s="191"/>
      <c r="GT126" s="191"/>
      <c r="GU126" s="191"/>
      <c r="GV126" s="192"/>
      <c r="GW126" s="190"/>
      <c r="GX126" s="191"/>
      <c r="GY126" s="191"/>
      <c r="GZ126" s="191">
        <v>50</v>
      </c>
      <c r="HA126" s="191"/>
      <c r="HB126" s="191"/>
      <c r="HC126" s="191"/>
      <c r="HD126" s="191"/>
      <c r="HE126" s="191"/>
      <c r="HF126" s="191"/>
      <c r="HG126" s="191"/>
      <c r="HH126" s="191"/>
      <c r="HI126" s="191"/>
      <c r="HJ126" s="191"/>
      <c r="HK126" s="191"/>
      <c r="HL126" s="191"/>
      <c r="HM126" s="191"/>
      <c r="HN126" s="191"/>
      <c r="HO126" s="191"/>
      <c r="HP126" s="191"/>
      <c r="HQ126" s="191"/>
      <c r="HR126" s="191"/>
      <c r="HS126" s="191"/>
      <c r="HT126" s="191"/>
      <c r="HU126" s="191">
        <v>100</v>
      </c>
      <c r="HV126" s="191"/>
      <c r="HW126" s="191"/>
      <c r="HX126" s="191"/>
      <c r="HY126" s="191"/>
      <c r="HZ126" s="193"/>
      <c r="IA126" s="194"/>
      <c r="IB126" s="191">
        <v>50</v>
      </c>
      <c r="IC126" s="191"/>
      <c r="ID126" s="191"/>
      <c r="IE126" s="191"/>
      <c r="IF126" s="191"/>
      <c r="IG126" s="191"/>
      <c r="IH126" s="191"/>
      <c r="II126" s="191">
        <v>150</v>
      </c>
      <c r="IJ126" s="191"/>
      <c r="IK126" s="191"/>
      <c r="IL126" s="191"/>
      <c r="IM126" s="191"/>
      <c r="IN126" s="191"/>
      <c r="IO126" s="191"/>
      <c r="IP126" s="191"/>
      <c r="IQ126" s="191"/>
      <c r="IR126" s="191"/>
      <c r="IS126" s="191"/>
      <c r="IT126" s="191"/>
      <c r="IU126" s="191"/>
      <c r="IV126" s="191"/>
      <c r="IW126" s="191">
        <v>200</v>
      </c>
      <c r="IX126" s="191"/>
      <c r="IY126" s="191"/>
      <c r="IZ126" s="191"/>
      <c r="JA126" s="191"/>
      <c r="JB126" s="191"/>
      <c r="JC126" s="191"/>
      <c r="JD126" s="191"/>
      <c r="JE126" s="192"/>
      <c r="JF126" s="190"/>
      <c r="JG126" s="191"/>
      <c r="JH126" s="191"/>
      <c r="JI126" s="191"/>
      <c r="JJ126" s="191"/>
      <c r="JK126" s="191">
        <v>100</v>
      </c>
      <c r="JL126" s="191"/>
      <c r="JM126" s="191"/>
      <c r="JN126" s="191"/>
      <c r="JO126" s="191"/>
      <c r="JP126" s="191"/>
      <c r="JQ126" s="191"/>
      <c r="JR126" s="191">
        <v>200</v>
      </c>
      <c r="JS126" s="191"/>
      <c r="JT126" s="191"/>
      <c r="JU126" s="191"/>
      <c r="JV126" s="191"/>
      <c r="JW126" s="191"/>
      <c r="JX126" s="191"/>
      <c r="JY126" s="191">
        <v>100</v>
      </c>
      <c r="JZ126" s="191"/>
      <c r="KA126" s="191"/>
      <c r="KB126" s="191"/>
      <c r="KC126" s="191"/>
      <c r="KD126" s="191"/>
      <c r="KE126" s="191"/>
      <c r="KF126" s="191">
        <v>10</v>
      </c>
      <c r="KG126" s="191"/>
      <c r="KH126" s="191"/>
      <c r="KI126" s="191"/>
      <c r="KJ126" s="193"/>
      <c r="KK126" s="194"/>
      <c r="KL126" s="191"/>
      <c r="KM126" s="191">
        <v>100</v>
      </c>
      <c r="KN126" s="191"/>
      <c r="KO126" s="191"/>
      <c r="KP126" s="191"/>
      <c r="KQ126" s="191"/>
      <c r="KR126" s="191"/>
      <c r="KS126" s="191"/>
      <c r="KT126" s="191"/>
      <c r="KU126" s="191">
        <v>50</v>
      </c>
      <c r="KV126" s="191"/>
      <c r="KW126" s="191"/>
      <c r="KX126" s="191"/>
      <c r="KY126" s="191"/>
      <c r="KZ126" s="191"/>
      <c r="LA126" s="191"/>
      <c r="LB126" s="191"/>
      <c r="LC126" s="191"/>
      <c r="LD126" s="191"/>
      <c r="LE126" s="191"/>
      <c r="LF126" s="191"/>
      <c r="LG126" s="191"/>
      <c r="LH126" s="191">
        <v>100</v>
      </c>
      <c r="LI126" s="191"/>
      <c r="LJ126" s="191"/>
      <c r="LK126" s="191"/>
      <c r="LL126" s="191"/>
      <c r="LM126" s="191"/>
      <c r="LN126" s="192"/>
      <c r="LO126" s="190"/>
      <c r="LP126" s="191">
        <v>100</v>
      </c>
      <c r="LQ126" s="191"/>
      <c r="LR126" s="191"/>
      <c r="LS126" s="191"/>
      <c r="LT126" s="191"/>
      <c r="LU126" s="191"/>
      <c r="LV126" s="191">
        <v>100</v>
      </c>
      <c r="LW126" s="191"/>
      <c r="LX126" s="191"/>
      <c r="LY126" s="191"/>
      <c r="LZ126" s="191"/>
      <c r="MA126" s="191"/>
      <c r="MB126" s="191"/>
      <c r="MC126" s="191">
        <v>100</v>
      </c>
      <c r="MD126" s="191"/>
      <c r="ME126" s="191"/>
      <c r="MF126" s="191"/>
      <c r="MG126" s="191"/>
      <c r="MH126" s="191"/>
      <c r="MI126" s="191"/>
      <c r="MJ126" s="191">
        <v>100</v>
      </c>
      <c r="MK126" s="191"/>
      <c r="ML126" s="191"/>
      <c r="MM126" s="191"/>
      <c r="MN126" s="191"/>
      <c r="MO126" s="191"/>
      <c r="MP126" s="191"/>
      <c r="MQ126" s="191">
        <v>100</v>
      </c>
      <c r="MR126" s="191"/>
      <c r="MS126" s="193"/>
      <c r="MT126" s="194"/>
      <c r="MU126" s="191"/>
      <c r="MV126" s="191"/>
      <c r="MW126" s="191"/>
      <c r="MX126" s="191">
        <v>50</v>
      </c>
      <c r="MY126" s="191"/>
      <c r="MZ126" s="191"/>
      <c r="NA126" s="191"/>
      <c r="NB126" s="191"/>
      <c r="NC126" s="191"/>
      <c r="ND126" s="191"/>
      <c r="NE126" s="191"/>
      <c r="NF126" s="191"/>
      <c r="NG126" s="191"/>
      <c r="NH126" s="191"/>
      <c r="NI126" s="191"/>
      <c r="NJ126" s="191"/>
      <c r="NK126" s="191"/>
      <c r="NL126" s="191">
        <v>200</v>
      </c>
      <c r="NM126" s="191"/>
      <c r="NN126" s="191"/>
      <c r="NO126" s="191"/>
      <c r="NP126" s="191"/>
      <c r="NQ126" s="191"/>
      <c r="NR126" s="191"/>
      <c r="NS126" s="191">
        <v>50</v>
      </c>
      <c r="NT126" s="191"/>
      <c r="NU126" s="191"/>
      <c r="NV126" s="191"/>
      <c r="NW126" s="192"/>
      <c r="NX126" s="190"/>
      <c r="NY126" s="191"/>
      <c r="NZ126" s="191">
        <v>100</v>
      </c>
      <c r="OA126" s="191"/>
      <c r="OB126" s="191"/>
      <c r="OC126" s="191"/>
      <c r="OD126" s="191"/>
      <c r="OE126" s="191"/>
      <c r="OF126" s="191"/>
      <c r="OG126" s="191">
        <v>10</v>
      </c>
      <c r="OH126" s="191"/>
      <c r="OI126" s="191"/>
      <c r="OJ126" s="191"/>
      <c r="OK126" s="191"/>
      <c r="OL126" s="191"/>
      <c r="OM126" s="191"/>
      <c r="ON126" s="191">
        <v>100</v>
      </c>
      <c r="OO126" s="191"/>
      <c r="OP126" s="191"/>
      <c r="OQ126" s="191"/>
      <c r="OR126" s="191"/>
      <c r="OS126" s="191"/>
      <c r="OT126" s="191"/>
      <c r="OU126" s="191"/>
      <c r="OV126" s="191"/>
      <c r="OW126" s="191"/>
      <c r="OX126" s="191"/>
      <c r="OY126" s="191"/>
      <c r="OZ126" s="191"/>
      <c r="PA126" s="191"/>
      <c r="PB126" s="193"/>
      <c r="PC126" s="47"/>
      <c r="PD126" s="154" t="s">
        <v>97</v>
      </c>
      <c r="PE126" s="155" t="s">
        <v>98</v>
      </c>
      <c r="PF126" s="155" t="s">
        <v>98</v>
      </c>
      <c r="PG126" s="155" t="s">
        <v>98</v>
      </c>
      <c r="PH126" s="155" t="s">
        <v>98</v>
      </c>
      <c r="PI126" s="155" t="s">
        <v>98</v>
      </c>
      <c r="PJ126" s="155" t="s">
        <v>98</v>
      </c>
      <c r="PK126" s="155" t="s">
        <v>98</v>
      </c>
      <c r="PL126" s="155" t="s">
        <v>98</v>
      </c>
      <c r="PM126" s="155" t="s">
        <v>98</v>
      </c>
      <c r="PN126" s="155" t="s">
        <v>98</v>
      </c>
      <c r="PO126" s="156"/>
      <c r="PP126" s="156"/>
      <c r="PQ126" s="156"/>
      <c r="PR126" s="156"/>
      <c r="PS126" s="156"/>
      <c r="PT126" s="156"/>
      <c r="PU126" s="156"/>
      <c r="PV126" s="156"/>
      <c r="PW126" s="156"/>
      <c r="PX126" s="195"/>
      <c r="PY126" s="1"/>
      <c r="PZ126" s="196">
        <f t="shared" si="73"/>
        <v>550</v>
      </c>
      <c r="QA126" s="176">
        <f t="shared" si="74"/>
        <v>4.588303995995662E-3</v>
      </c>
      <c r="QB126" s="177" t="str">
        <f t="shared" ca="1" si="75"/>
        <v>Attente…</v>
      </c>
      <c r="QC126" s="197">
        <f t="shared" si="76"/>
        <v>250</v>
      </c>
      <c r="QD126" s="179">
        <f t="shared" si="77"/>
        <v>2.3408239700374533E-3</v>
      </c>
      <c r="QE126" s="180" t="str">
        <f t="shared" ca="1" si="78"/>
        <v>Attente…</v>
      </c>
      <c r="QF126" s="196">
        <f t="shared" si="79"/>
        <v>100</v>
      </c>
      <c r="QG126" s="176">
        <f t="shared" si="80"/>
        <v>7.9630514413123112E-4</v>
      </c>
      <c r="QH126" s="177" t="str">
        <f t="shared" ca="1" si="81"/>
        <v>Attente…</v>
      </c>
      <c r="QI126" s="197">
        <f t="shared" si="82"/>
        <v>350</v>
      </c>
      <c r="QJ126" s="179">
        <f t="shared" si="83"/>
        <v>2.4547622387431616E-3</v>
      </c>
      <c r="QK126" s="180" t="str">
        <f t="shared" ca="1" si="84"/>
        <v>Attente…</v>
      </c>
      <c r="QL126" s="196">
        <f t="shared" si="85"/>
        <v>350</v>
      </c>
      <c r="QM126" s="176">
        <f t="shared" si="86"/>
        <v>2.5607257828504535E-3</v>
      </c>
      <c r="QN126" s="177" t="str">
        <f t="shared" ca="1" si="87"/>
        <v>Attente…</v>
      </c>
      <c r="QO126" s="197">
        <f t="shared" si="88"/>
        <v>150</v>
      </c>
      <c r="QP126" s="179">
        <f t="shared" si="89"/>
        <v>1.1743521490644327E-3</v>
      </c>
      <c r="QQ126" s="180" t="str">
        <f t="shared" ca="1" si="90"/>
        <v>Attente…</v>
      </c>
      <c r="QR126" s="196">
        <f t="shared" si="91"/>
        <v>400</v>
      </c>
      <c r="QS126" s="176">
        <f t="shared" si="92"/>
        <v>2.8796659587487852E-3</v>
      </c>
      <c r="QT126" s="177" t="str">
        <f t="shared" ca="1" si="93"/>
        <v>Attente…</v>
      </c>
      <c r="QU126" s="197">
        <f t="shared" si="94"/>
        <v>410</v>
      </c>
      <c r="QV126" s="179">
        <f t="shared" si="95"/>
        <v>2.8268063982349696E-3</v>
      </c>
      <c r="QW126" s="180" t="str">
        <f t="shared" ca="1" si="96"/>
        <v>Attente…</v>
      </c>
      <c r="QX126" s="196">
        <f t="shared" si="97"/>
        <v>250</v>
      </c>
      <c r="QY126" s="176">
        <f t="shared" si="98"/>
        <v>1.8243381301263901E-3</v>
      </c>
      <c r="QZ126" s="177" t="str">
        <f t="shared" ca="1" si="99"/>
        <v>Attente…</v>
      </c>
      <c r="RA126" s="197">
        <f t="shared" si="100"/>
        <v>500</v>
      </c>
      <c r="RB126" s="179">
        <f t="shared" si="101"/>
        <v>3.9120569595493312E-3</v>
      </c>
      <c r="RC126" s="180" t="str">
        <f t="shared" ca="1" si="102"/>
        <v>Attente…</v>
      </c>
      <c r="RD126" s="196">
        <f t="shared" si="103"/>
        <v>300</v>
      </c>
      <c r="RE126" s="176">
        <f t="shared" si="104"/>
        <v>2.9892387405340772E-3</v>
      </c>
      <c r="RF126" s="177" t="str">
        <f t="shared" ca="1" si="105"/>
        <v>Attente…</v>
      </c>
      <c r="RG126" s="197">
        <f t="shared" si="106"/>
        <v>210</v>
      </c>
      <c r="RH126" s="179">
        <f t="shared" si="107"/>
        <v>3.8624241309545707E-3</v>
      </c>
      <c r="RI126" s="198" t="str">
        <f t="shared" ca="1" si="108"/>
        <v>Attente…</v>
      </c>
      <c r="RJ126" s="199">
        <f t="shared" si="109"/>
        <v>900</v>
      </c>
      <c r="RK126" s="200" t="str">
        <f t="shared" ca="1" si="66"/>
        <v>Attente…</v>
      </c>
      <c r="RL126" s="199">
        <f t="shared" si="110"/>
        <v>850</v>
      </c>
      <c r="RM126" s="200" t="str">
        <f t="shared" ca="1" si="111"/>
        <v>Atttente…</v>
      </c>
      <c r="RN126" s="199">
        <f t="shared" si="112"/>
        <v>1060</v>
      </c>
      <c r="RO126" s="200" t="str">
        <f t="shared" ca="1" si="67"/>
        <v>Attente…</v>
      </c>
      <c r="RP126" s="199">
        <f t="shared" si="113"/>
        <v>1010</v>
      </c>
      <c r="RQ126" s="200" t="str">
        <f t="shared" ca="1" si="68"/>
        <v>Attente…</v>
      </c>
      <c r="RR126" s="201">
        <f t="shared" si="114"/>
        <v>3820</v>
      </c>
      <c r="RS126" s="202" t="str">
        <f t="shared" ca="1" si="69"/>
        <v>Attente…</v>
      </c>
      <c r="RT126" s="103"/>
      <c r="RU126" s="203">
        <f t="shared" si="115"/>
        <v>0.51621621621621616</v>
      </c>
      <c r="RV126" s="204">
        <f t="shared" si="118"/>
        <v>1</v>
      </c>
      <c r="RW126" s="204">
        <f t="shared" si="118"/>
        <v>1</v>
      </c>
      <c r="RX126" s="204">
        <f t="shared" si="116"/>
        <v>37</v>
      </c>
      <c r="RY126" s="205" t="str">
        <f t="shared" si="117"/>
        <v>QUÉVREVILLE-LA-POTERIE - Chemin du Vaudin (Parking Salle des fêtes)</v>
      </c>
      <c r="RZ126" s="189" t="str">
        <f>IF(OR(RZ125="",RZ125="  &lt;/Document&gt;
&lt;/kml&gt;"),"",
IF(B126="","  &lt;/Document&gt;
&lt;/kml&gt;",
IF(TournéesCAV!Q126=""," ",
"    &lt;Placemark&gt;
      &lt;description&gt;&lt;![CDATA["&amp;B126&amp;"&lt;br&gt;&lt;br&gt;"&amp;RV126&amp;" CAV&lt;br&gt;&lt;br&gt;Présent sur "&amp;RW126&amp;" tournée(s)&lt;br&gt;&lt;br&gt;Taux de remplissage moyen "&amp;TEXT(RU126*1000,"0 %")&amp;"]]&gt;&lt;/description&gt;
      &lt;Style&gt;
        &lt;IconStyle&gt;
          &lt;color&gt;ff"&amp;
          DEC2HEX(0,2)&amp;
          DEC2HEX(
            IF(RU126&lt;=0.5,
               INT(255*(RU126*2)),
               255
            ),2)&amp;
          DEC2HEX(
            IF(RU126&lt;=0.5,
               255,
               INT(255*(1-(RU126-0.5)*2))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&lt;Point&gt;&lt;coordinates&gt;"&amp;R126&amp;","&amp;Q126&amp;",0&lt;/coordinates&gt;&lt;/Point&gt;
    &lt;/Placemark&gt;"
)))</f>
        <v xml:space="preserve">    &lt;Placemark&gt;
      &lt;description&gt;&lt;![CDATA[QUÉVREVILLE-LA-POTERIE - Chemin du Vaudin (Parking Salle des fêtes)&lt;br&gt;&lt;br&gt;1 CAV&lt;br&gt;&lt;br&gt;Présent sur 1 tournée(s)&lt;br&gt;&lt;br&gt;Taux de remplissage moyen 52%]]&gt;&lt;/description&gt;
      &lt;Style&gt;
        &lt;IconStyle&gt;
          &lt;color&gt;ff00FFF6&lt;/color&gt;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&lt;Point&gt;&lt;coordinates&gt;1.1879760402282624,49.35613833102769,0&lt;/coordinates&gt;&lt;/Point&gt;
    &lt;/Placemark&gt;</v>
      </c>
    </row>
    <row r="127" spans="2:494" ht="15" hidden="1" customHeight="1" x14ac:dyDescent="0.35">
      <c r="B127" s="153" t="str">
        <f t="shared" si="70"/>
        <v>YMARE - Mairie (Pôle Déchets)</v>
      </c>
      <c r="C127" s="154">
        <v>60</v>
      </c>
      <c r="D127" s="155"/>
      <c r="E127" s="155"/>
      <c r="F127" s="155"/>
      <c r="G127" s="155"/>
      <c r="H127" s="155"/>
      <c r="I127" s="155"/>
      <c r="J127" s="156"/>
      <c r="K127" s="157">
        <f t="shared" si="71"/>
        <v>1</v>
      </c>
      <c r="L127" s="157">
        <f t="shared" si="72"/>
        <v>1</v>
      </c>
      <c r="M127" s="158" t="s">
        <v>723</v>
      </c>
      <c r="N127" s="159" t="s">
        <v>724</v>
      </c>
      <c r="O127" s="159">
        <v>76520</v>
      </c>
      <c r="P127" s="159" t="s">
        <v>725</v>
      </c>
      <c r="Q127" s="159" t="s">
        <v>726</v>
      </c>
      <c r="R127" s="159" t="s">
        <v>727</v>
      </c>
      <c r="S127" s="159" t="s">
        <v>93</v>
      </c>
      <c r="T127" s="159" t="s">
        <v>94</v>
      </c>
      <c r="U127" s="159" t="s">
        <v>728</v>
      </c>
      <c r="V127" s="160" t="s">
        <v>96</v>
      </c>
      <c r="W127" s="161"/>
      <c r="X127" s="162"/>
      <c r="Y127" s="163"/>
      <c r="Z127" s="162"/>
      <c r="AA127" s="163"/>
      <c r="AB127" s="162"/>
      <c r="AC127" s="163"/>
      <c r="AD127" s="162"/>
      <c r="AE127" s="163"/>
      <c r="AF127" s="162"/>
      <c r="AG127" s="163"/>
      <c r="AH127" s="163"/>
      <c r="AI127" s="162"/>
      <c r="AJ127" s="163"/>
      <c r="AK127" s="162"/>
      <c r="AL127" s="163">
        <v>9</v>
      </c>
      <c r="AM127" s="162"/>
      <c r="AN127" s="163"/>
      <c r="AO127" s="162"/>
      <c r="AP127" s="164"/>
      <c r="AQ127" s="164"/>
      <c r="AR127" s="164"/>
      <c r="AS127" s="164"/>
      <c r="AT127" s="164"/>
      <c r="AU127" s="164"/>
      <c r="AV127" s="164"/>
      <c r="AW127" s="164"/>
      <c r="AX127" s="164"/>
      <c r="AY127" s="165"/>
      <c r="AZ127" s="41"/>
      <c r="BA127" s="190"/>
      <c r="BB127" s="191"/>
      <c r="BC127" s="191"/>
      <c r="BD127" s="191"/>
      <c r="BE127" s="191"/>
      <c r="BF127" s="191"/>
      <c r="BG127" s="191"/>
      <c r="BH127" s="191">
        <v>150</v>
      </c>
      <c r="BI127" s="191"/>
      <c r="BJ127" s="191"/>
      <c r="BK127" s="191"/>
      <c r="BL127" s="191"/>
      <c r="BM127" s="191"/>
      <c r="BN127" s="191"/>
      <c r="BO127" s="191">
        <v>200</v>
      </c>
      <c r="BP127" s="191"/>
      <c r="BQ127" s="191"/>
      <c r="BR127" s="191"/>
      <c r="BS127" s="191"/>
      <c r="BT127" s="191"/>
      <c r="BU127" s="191"/>
      <c r="BV127" s="191">
        <v>100</v>
      </c>
      <c r="BW127" s="191"/>
      <c r="BX127" s="191"/>
      <c r="BY127" s="191"/>
      <c r="BZ127" s="191"/>
      <c r="CA127" s="191"/>
      <c r="CB127" s="191"/>
      <c r="CC127" s="191">
        <v>50</v>
      </c>
      <c r="CD127" s="191"/>
      <c r="CE127" s="192"/>
      <c r="CF127" s="190"/>
      <c r="CG127" s="191"/>
      <c r="CH127" s="191"/>
      <c r="CI127" s="191"/>
      <c r="CJ127" s="191">
        <v>50</v>
      </c>
      <c r="CK127" s="191"/>
      <c r="CL127" s="191"/>
      <c r="CM127" s="191"/>
      <c r="CN127" s="191"/>
      <c r="CO127" s="191"/>
      <c r="CP127" s="191"/>
      <c r="CQ127" s="191">
        <v>10</v>
      </c>
      <c r="CR127" s="191"/>
      <c r="CS127" s="191"/>
      <c r="CT127" s="191"/>
      <c r="CU127" s="191"/>
      <c r="CV127" s="191"/>
      <c r="CW127" s="191"/>
      <c r="CX127" s="191">
        <v>100</v>
      </c>
      <c r="CY127" s="191"/>
      <c r="CZ127" s="191"/>
      <c r="DA127" s="191"/>
      <c r="DB127" s="191"/>
      <c r="DC127" s="191"/>
      <c r="DD127" s="191"/>
      <c r="DE127" s="191">
        <v>50</v>
      </c>
      <c r="DF127" s="191"/>
      <c r="DG127" s="191"/>
      <c r="DH127" s="193"/>
      <c r="DI127" s="194"/>
      <c r="DJ127" s="191"/>
      <c r="DK127" s="191"/>
      <c r="DL127" s="191"/>
      <c r="DM127" s="191">
        <v>50</v>
      </c>
      <c r="DN127" s="191"/>
      <c r="DO127" s="191"/>
      <c r="DP127" s="191"/>
      <c r="DQ127" s="191"/>
      <c r="DR127" s="191"/>
      <c r="DS127" s="191"/>
      <c r="DT127" s="191">
        <v>100</v>
      </c>
      <c r="DU127" s="191"/>
      <c r="DV127" s="191"/>
      <c r="DW127" s="191"/>
      <c r="DX127" s="191"/>
      <c r="DY127" s="191"/>
      <c r="DZ127" s="191"/>
      <c r="EA127" s="191"/>
      <c r="EB127" s="191"/>
      <c r="EC127" s="191"/>
      <c r="ED127" s="191"/>
      <c r="EE127" s="191"/>
      <c r="EF127" s="191"/>
      <c r="EG127" s="191"/>
      <c r="EH127" s="191">
        <v>200</v>
      </c>
      <c r="EI127" s="191"/>
      <c r="EJ127" s="191"/>
      <c r="EK127" s="191"/>
      <c r="EL127" s="191"/>
      <c r="EM127" s="192"/>
      <c r="EN127" s="190"/>
      <c r="EO127" s="191">
        <v>200</v>
      </c>
      <c r="EP127" s="191"/>
      <c r="EQ127" s="191"/>
      <c r="ER127" s="191"/>
      <c r="ES127" s="191"/>
      <c r="ET127" s="191"/>
      <c r="EU127" s="191"/>
      <c r="EV127" s="191"/>
      <c r="EW127" s="191"/>
      <c r="EX127" s="191"/>
      <c r="EY127" s="191"/>
      <c r="EZ127" s="191"/>
      <c r="FA127" s="191"/>
      <c r="FB127" s="191"/>
      <c r="FC127" s="191">
        <v>200</v>
      </c>
      <c r="FD127" s="191"/>
      <c r="FE127" s="191"/>
      <c r="FF127" s="191"/>
      <c r="FG127" s="191"/>
      <c r="FH127" s="191"/>
      <c r="FI127" s="191"/>
      <c r="FJ127" s="191"/>
      <c r="FK127" s="191"/>
      <c r="FL127" s="191"/>
      <c r="FM127" s="191"/>
      <c r="FN127" s="191"/>
      <c r="FO127" s="191"/>
      <c r="FP127" s="191"/>
      <c r="FQ127" s="193"/>
      <c r="FR127" s="194"/>
      <c r="FS127" s="191"/>
      <c r="FT127" s="191"/>
      <c r="FU127" s="191"/>
      <c r="FV127" s="191"/>
      <c r="FW127" s="191"/>
      <c r="FX127" s="191">
        <v>200</v>
      </c>
      <c r="FY127" s="191"/>
      <c r="FZ127" s="191"/>
      <c r="GA127" s="191"/>
      <c r="GB127" s="191"/>
      <c r="GC127" s="191"/>
      <c r="GD127" s="191"/>
      <c r="GE127" s="191"/>
      <c r="GF127" s="191"/>
      <c r="GG127" s="191"/>
      <c r="GH127" s="191"/>
      <c r="GI127" s="191"/>
      <c r="GJ127" s="191"/>
      <c r="GK127" s="191"/>
      <c r="GL127" s="191">
        <v>150</v>
      </c>
      <c r="GM127" s="191"/>
      <c r="GN127" s="191"/>
      <c r="GO127" s="191"/>
      <c r="GP127" s="191"/>
      <c r="GQ127" s="191"/>
      <c r="GR127" s="191"/>
      <c r="GS127" s="191"/>
      <c r="GT127" s="191"/>
      <c r="GU127" s="191"/>
      <c r="GV127" s="192"/>
      <c r="GW127" s="190"/>
      <c r="GX127" s="191"/>
      <c r="GY127" s="191"/>
      <c r="GZ127" s="191">
        <v>100</v>
      </c>
      <c r="HA127" s="191"/>
      <c r="HB127" s="191"/>
      <c r="HC127" s="191"/>
      <c r="HD127" s="191"/>
      <c r="HE127" s="191"/>
      <c r="HF127" s="191"/>
      <c r="HG127" s="191"/>
      <c r="HH127" s="191"/>
      <c r="HI127" s="191"/>
      <c r="HJ127" s="191"/>
      <c r="HK127" s="191"/>
      <c r="HL127" s="191"/>
      <c r="HM127" s="191"/>
      <c r="HN127" s="191"/>
      <c r="HO127" s="191"/>
      <c r="HP127" s="191"/>
      <c r="HQ127" s="191"/>
      <c r="HR127" s="191"/>
      <c r="HS127" s="191"/>
      <c r="HT127" s="191"/>
      <c r="HU127" s="191">
        <v>100</v>
      </c>
      <c r="HV127" s="191"/>
      <c r="HW127" s="191"/>
      <c r="HX127" s="191"/>
      <c r="HY127" s="191"/>
      <c r="HZ127" s="193"/>
      <c r="IA127" s="194"/>
      <c r="IB127" s="191">
        <v>100</v>
      </c>
      <c r="IC127" s="191"/>
      <c r="ID127" s="191"/>
      <c r="IE127" s="191"/>
      <c r="IF127" s="191"/>
      <c r="IG127" s="191"/>
      <c r="IH127" s="191"/>
      <c r="II127" s="191">
        <v>10</v>
      </c>
      <c r="IJ127" s="191"/>
      <c r="IK127" s="191"/>
      <c r="IL127" s="191"/>
      <c r="IM127" s="191"/>
      <c r="IN127" s="191"/>
      <c r="IO127" s="191"/>
      <c r="IP127" s="191"/>
      <c r="IQ127" s="191">
        <v>200</v>
      </c>
      <c r="IR127" s="191"/>
      <c r="IS127" s="191"/>
      <c r="IT127" s="191"/>
      <c r="IU127" s="191"/>
      <c r="IV127" s="191"/>
      <c r="IW127" s="191">
        <v>100</v>
      </c>
      <c r="IX127" s="191"/>
      <c r="IY127" s="191"/>
      <c r="IZ127" s="191"/>
      <c r="JA127" s="191"/>
      <c r="JB127" s="191"/>
      <c r="JC127" s="191"/>
      <c r="JD127" s="191"/>
      <c r="JE127" s="192"/>
      <c r="JF127" s="190"/>
      <c r="JG127" s="191"/>
      <c r="JH127" s="191"/>
      <c r="JI127" s="191"/>
      <c r="JJ127" s="191"/>
      <c r="JK127" s="191">
        <v>150</v>
      </c>
      <c r="JL127" s="191"/>
      <c r="JM127" s="191"/>
      <c r="JN127" s="191"/>
      <c r="JO127" s="191"/>
      <c r="JP127" s="191"/>
      <c r="JQ127" s="191"/>
      <c r="JR127" s="191">
        <v>150</v>
      </c>
      <c r="JS127" s="191"/>
      <c r="JT127" s="191"/>
      <c r="JU127" s="191"/>
      <c r="JV127" s="191"/>
      <c r="JW127" s="191"/>
      <c r="JX127" s="191"/>
      <c r="JY127" s="191">
        <v>150</v>
      </c>
      <c r="JZ127" s="191"/>
      <c r="KA127" s="191"/>
      <c r="KB127" s="191"/>
      <c r="KC127" s="191"/>
      <c r="KD127" s="191"/>
      <c r="KE127" s="191"/>
      <c r="KF127" s="191">
        <v>100</v>
      </c>
      <c r="KG127" s="191"/>
      <c r="KH127" s="191"/>
      <c r="KI127" s="191"/>
      <c r="KJ127" s="193"/>
      <c r="KK127" s="194"/>
      <c r="KL127" s="191"/>
      <c r="KM127" s="191">
        <v>150</v>
      </c>
      <c r="KN127" s="191"/>
      <c r="KO127" s="191"/>
      <c r="KP127" s="191"/>
      <c r="KQ127" s="191"/>
      <c r="KR127" s="191"/>
      <c r="KS127" s="191"/>
      <c r="KT127" s="191"/>
      <c r="KU127" s="191">
        <v>100</v>
      </c>
      <c r="KV127" s="191"/>
      <c r="KW127" s="191"/>
      <c r="KX127" s="191"/>
      <c r="KY127" s="191"/>
      <c r="KZ127" s="191"/>
      <c r="LA127" s="191"/>
      <c r="LB127" s="191"/>
      <c r="LC127" s="191"/>
      <c r="LD127" s="191"/>
      <c r="LE127" s="191"/>
      <c r="LF127" s="191"/>
      <c r="LG127" s="191"/>
      <c r="LH127" s="191">
        <v>100</v>
      </c>
      <c r="LI127" s="191"/>
      <c r="LJ127" s="191"/>
      <c r="LK127" s="191"/>
      <c r="LL127" s="191"/>
      <c r="LM127" s="191"/>
      <c r="LN127" s="192"/>
      <c r="LO127" s="190"/>
      <c r="LP127" s="191">
        <v>50</v>
      </c>
      <c r="LQ127" s="191"/>
      <c r="LR127" s="191"/>
      <c r="LS127" s="191"/>
      <c r="LT127" s="191"/>
      <c r="LU127" s="191"/>
      <c r="LV127" s="191">
        <v>50</v>
      </c>
      <c r="LW127" s="191"/>
      <c r="LX127" s="191"/>
      <c r="LY127" s="191"/>
      <c r="LZ127" s="191"/>
      <c r="MA127" s="191"/>
      <c r="MB127" s="191"/>
      <c r="MC127" s="191">
        <v>100</v>
      </c>
      <c r="MD127" s="191"/>
      <c r="ME127" s="191"/>
      <c r="MF127" s="191"/>
      <c r="MG127" s="191"/>
      <c r="MH127" s="191"/>
      <c r="MI127" s="191"/>
      <c r="MJ127" s="191">
        <v>50</v>
      </c>
      <c r="MK127" s="191"/>
      <c r="ML127" s="191"/>
      <c r="MM127" s="191"/>
      <c r="MN127" s="191"/>
      <c r="MO127" s="191"/>
      <c r="MP127" s="191"/>
      <c r="MQ127" s="191">
        <v>50</v>
      </c>
      <c r="MR127" s="191"/>
      <c r="MS127" s="193"/>
      <c r="MT127" s="194"/>
      <c r="MU127" s="191"/>
      <c r="MV127" s="191"/>
      <c r="MW127" s="191"/>
      <c r="MX127" s="191">
        <v>50</v>
      </c>
      <c r="MY127" s="191"/>
      <c r="MZ127" s="191"/>
      <c r="NA127" s="191"/>
      <c r="NB127" s="191"/>
      <c r="NC127" s="191"/>
      <c r="ND127" s="191"/>
      <c r="NE127" s="191"/>
      <c r="NF127" s="191"/>
      <c r="NG127" s="191"/>
      <c r="NH127" s="191"/>
      <c r="NI127" s="191"/>
      <c r="NJ127" s="191"/>
      <c r="NK127" s="191"/>
      <c r="NL127" s="191">
        <v>200</v>
      </c>
      <c r="NM127" s="191"/>
      <c r="NN127" s="191"/>
      <c r="NO127" s="191"/>
      <c r="NP127" s="191"/>
      <c r="NQ127" s="191"/>
      <c r="NR127" s="191"/>
      <c r="NS127" s="191">
        <v>50</v>
      </c>
      <c r="NT127" s="191"/>
      <c r="NU127" s="191"/>
      <c r="NV127" s="191"/>
      <c r="NW127" s="192"/>
      <c r="NX127" s="190"/>
      <c r="NY127" s="191"/>
      <c r="NZ127" s="191">
        <v>150</v>
      </c>
      <c r="OA127" s="191"/>
      <c r="OB127" s="191"/>
      <c r="OC127" s="191"/>
      <c r="OD127" s="191"/>
      <c r="OE127" s="191"/>
      <c r="OF127" s="191"/>
      <c r="OG127" s="191">
        <v>50</v>
      </c>
      <c r="OH127" s="191"/>
      <c r="OI127" s="191"/>
      <c r="OJ127" s="191"/>
      <c r="OK127" s="191"/>
      <c r="OL127" s="191"/>
      <c r="OM127" s="191"/>
      <c r="ON127" s="191">
        <v>50</v>
      </c>
      <c r="OO127" s="191"/>
      <c r="OP127" s="191"/>
      <c r="OQ127" s="191"/>
      <c r="OR127" s="191"/>
      <c r="OS127" s="191"/>
      <c r="OT127" s="191"/>
      <c r="OU127" s="191"/>
      <c r="OV127" s="191"/>
      <c r="OW127" s="191"/>
      <c r="OX127" s="191"/>
      <c r="OY127" s="191"/>
      <c r="OZ127" s="191"/>
      <c r="PA127" s="191"/>
      <c r="PB127" s="193"/>
      <c r="PC127" s="47"/>
      <c r="PD127" s="154" t="s">
        <v>97</v>
      </c>
      <c r="PE127" s="155" t="s">
        <v>98</v>
      </c>
      <c r="PF127" s="155" t="s">
        <v>98</v>
      </c>
      <c r="PG127" s="155" t="s">
        <v>98</v>
      </c>
      <c r="PH127" s="155" t="s">
        <v>98</v>
      </c>
      <c r="PI127" s="155" t="s">
        <v>98</v>
      </c>
      <c r="PJ127" s="155" t="s">
        <v>98</v>
      </c>
      <c r="PK127" s="155" t="s">
        <v>98</v>
      </c>
      <c r="PL127" s="155" t="s">
        <v>98</v>
      </c>
      <c r="PM127" s="155" t="s">
        <v>98</v>
      </c>
      <c r="PN127" s="155" t="s">
        <v>98</v>
      </c>
      <c r="PO127" s="156"/>
      <c r="PP127" s="156"/>
      <c r="PQ127" s="156"/>
      <c r="PR127" s="156"/>
      <c r="PS127" s="156"/>
      <c r="PT127" s="156"/>
      <c r="PU127" s="156"/>
      <c r="PV127" s="156"/>
      <c r="PW127" s="156"/>
      <c r="PX127" s="195"/>
      <c r="PY127" s="1"/>
      <c r="PZ127" s="196">
        <f t="shared" si="73"/>
        <v>500</v>
      </c>
      <c r="QA127" s="176">
        <f t="shared" si="74"/>
        <v>4.1711854509051474E-3</v>
      </c>
      <c r="QB127" s="177" t="str">
        <f t="shared" ca="1" si="75"/>
        <v>Attente…</v>
      </c>
      <c r="QC127" s="197">
        <f t="shared" si="76"/>
        <v>210</v>
      </c>
      <c r="QD127" s="179">
        <f t="shared" si="77"/>
        <v>1.9662921348314608E-3</v>
      </c>
      <c r="QE127" s="180" t="str">
        <f t="shared" ca="1" si="78"/>
        <v>Attente…</v>
      </c>
      <c r="QF127" s="196">
        <f t="shared" si="79"/>
        <v>350</v>
      </c>
      <c r="QG127" s="176">
        <f t="shared" si="80"/>
        <v>2.787068004459309E-3</v>
      </c>
      <c r="QH127" s="177" t="str">
        <f t="shared" ca="1" si="81"/>
        <v>Attente…</v>
      </c>
      <c r="QI127" s="197">
        <f t="shared" si="82"/>
        <v>400</v>
      </c>
      <c r="QJ127" s="179">
        <f t="shared" si="83"/>
        <v>2.8054425585636133E-3</v>
      </c>
      <c r="QK127" s="180" t="str">
        <f t="shared" ca="1" si="84"/>
        <v>Attente…</v>
      </c>
      <c r="QL127" s="196">
        <f t="shared" si="85"/>
        <v>350</v>
      </c>
      <c r="QM127" s="176">
        <f t="shared" si="86"/>
        <v>2.5607257828504535E-3</v>
      </c>
      <c r="QN127" s="177" t="str">
        <f t="shared" ca="1" si="87"/>
        <v>Attente…</v>
      </c>
      <c r="QO127" s="197">
        <f t="shared" si="88"/>
        <v>200</v>
      </c>
      <c r="QP127" s="179">
        <f t="shared" si="89"/>
        <v>1.5658028654192437E-3</v>
      </c>
      <c r="QQ127" s="180" t="str">
        <f t="shared" ca="1" si="90"/>
        <v>Attente…</v>
      </c>
      <c r="QR127" s="196">
        <f t="shared" si="91"/>
        <v>410</v>
      </c>
      <c r="QS127" s="176">
        <f t="shared" si="92"/>
        <v>2.9516576077175047E-3</v>
      </c>
      <c r="QT127" s="177" t="str">
        <f t="shared" ca="1" si="93"/>
        <v>Attente…</v>
      </c>
      <c r="QU127" s="197">
        <f t="shared" si="94"/>
        <v>550</v>
      </c>
      <c r="QV127" s="179">
        <f t="shared" si="95"/>
        <v>3.7920573634859351E-3</v>
      </c>
      <c r="QW127" s="180" t="str">
        <f t="shared" ca="1" si="96"/>
        <v>Attente…</v>
      </c>
      <c r="QX127" s="196">
        <f t="shared" si="97"/>
        <v>350</v>
      </c>
      <c r="QY127" s="176">
        <f t="shared" si="98"/>
        <v>2.5540733821769464E-3</v>
      </c>
      <c r="QZ127" s="177" t="str">
        <f t="shared" ca="1" si="99"/>
        <v>Attente…</v>
      </c>
      <c r="RA127" s="197">
        <f t="shared" si="100"/>
        <v>300</v>
      </c>
      <c r="RB127" s="179">
        <f t="shared" si="101"/>
        <v>2.3472341757295985E-3</v>
      </c>
      <c r="RC127" s="180" t="str">
        <f t="shared" ca="1" si="102"/>
        <v>Attente…</v>
      </c>
      <c r="RD127" s="196">
        <f t="shared" si="103"/>
        <v>300</v>
      </c>
      <c r="RE127" s="176">
        <f t="shared" si="104"/>
        <v>2.9892387405340772E-3</v>
      </c>
      <c r="RF127" s="177" t="str">
        <f t="shared" ca="1" si="105"/>
        <v>Attente…</v>
      </c>
      <c r="RG127" s="197">
        <f t="shared" si="106"/>
        <v>250</v>
      </c>
      <c r="RH127" s="179">
        <f t="shared" si="107"/>
        <v>4.5981239654221077E-3</v>
      </c>
      <c r="RI127" s="198" t="str">
        <f t="shared" ca="1" si="108"/>
        <v>Attente…</v>
      </c>
      <c r="RJ127" s="199">
        <f t="shared" si="109"/>
        <v>1060</v>
      </c>
      <c r="RK127" s="200" t="str">
        <f t="shared" ca="1" si="66"/>
        <v>Attente…</v>
      </c>
      <c r="RL127" s="199">
        <f t="shared" si="110"/>
        <v>950</v>
      </c>
      <c r="RM127" s="200" t="str">
        <f t="shared" ca="1" si="111"/>
        <v>Atttente…</v>
      </c>
      <c r="RN127" s="199">
        <f t="shared" si="112"/>
        <v>1310</v>
      </c>
      <c r="RO127" s="200" t="str">
        <f t="shared" ca="1" si="67"/>
        <v>Attente…</v>
      </c>
      <c r="RP127" s="199">
        <f t="shared" si="113"/>
        <v>850</v>
      </c>
      <c r="RQ127" s="200" t="str">
        <f t="shared" ca="1" si="68"/>
        <v>Attente…</v>
      </c>
      <c r="RR127" s="201">
        <f t="shared" si="114"/>
        <v>4170</v>
      </c>
      <c r="RS127" s="202" t="str">
        <f t="shared" ca="1" si="69"/>
        <v>Attente…</v>
      </c>
      <c r="RT127" s="103"/>
      <c r="RU127" s="203">
        <f t="shared" si="115"/>
        <v>0.5346153846153846</v>
      </c>
      <c r="RV127" s="204">
        <f t="shared" si="118"/>
        <v>1</v>
      </c>
      <c r="RW127" s="204">
        <f t="shared" si="118"/>
        <v>1</v>
      </c>
      <c r="RX127" s="204">
        <f t="shared" si="116"/>
        <v>39</v>
      </c>
      <c r="RY127" s="205" t="str">
        <f t="shared" si="117"/>
        <v>YMARE - Mairie (Pôle Déchets)</v>
      </c>
      <c r="RZ127" s="189" t="str">
        <f>IF(OR(RZ126="",RZ126="  &lt;/Document&gt;
&lt;/kml&gt;"),"",
IF(B127="","  &lt;/Document&gt;
&lt;/kml&gt;",
IF(TournéesCAV!Q127=""," ",
"    &lt;Placemark&gt;
      &lt;description&gt;&lt;![CDATA["&amp;B127&amp;"&lt;br&gt;&lt;br&gt;"&amp;RV127&amp;" CAV&lt;br&gt;&lt;br&gt;Présent sur "&amp;RW127&amp;" tournée(s)&lt;br&gt;&lt;br&gt;Taux de remplissage moyen "&amp;TEXT(RU127*1000,"0 %")&amp;"]]&gt;&lt;/description&gt;
      &lt;Style&gt;
        &lt;IconStyle&gt;
          &lt;color&gt;ff"&amp;
          DEC2HEX(0,2)&amp;
          DEC2HEX(
            IF(RU127&lt;=0.5,
               INT(255*(RU127*2)),
               255
            ),2)&amp;
          DEC2HEX(
            IF(RU127&lt;=0.5,
               255,
               INT(255*(1-(RU127-0.5)*2))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&lt;Point&gt;&lt;coordinates&gt;"&amp;R127&amp;","&amp;Q127&amp;",0&lt;/coordinates&gt;&lt;/Point&gt;
    &lt;/Placemark&gt;"
)))</f>
        <v xml:space="preserve">    &lt;Placemark&gt;
      &lt;description&gt;&lt;![CDATA[YMARE - Mairie (Pôle Déchets)&lt;br&gt;&lt;br&gt;1 CAV&lt;br&gt;&lt;br&gt;Présent sur 1 tournée(s)&lt;br&gt;&lt;br&gt;Taux de remplissage moyen 53%]]&gt;&lt;/description&gt;
      &lt;Style&gt;
        &lt;IconStyle&gt;
          &lt;color&gt;ff00FFED&lt;/color&gt;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&lt;Point&gt;&lt;coordinates&gt;1.1778794,49.3503139,0&lt;/coordinates&gt;&lt;/Point&gt;
    &lt;/Placemark&gt;</v>
      </c>
    </row>
    <row r="128" spans="2:494" ht="15" hidden="1" customHeight="1" x14ac:dyDescent="0.35">
      <c r="B128" s="153" t="str">
        <f t="shared" si="70"/>
        <v>LES AUTHIEUX-SUR-LE-PORT-SAINT-OUEN - 260 rue du Docteur Gallouen (Parking de la salle des fêtes)</v>
      </c>
      <c r="C128" s="154">
        <v>81</v>
      </c>
      <c r="D128" s="155"/>
      <c r="E128" s="155"/>
      <c r="F128" s="155"/>
      <c r="G128" s="155"/>
      <c r="H128" s="155"/>
      <c r="I128" s="155"/>
      <c r="J128" s="156"/>
      <c r="K128" s="157">
        <f t="shared" si="71"/>
        <v>1</v>
      </c>
      <c r="L128" s="157">
        <f t="shared" si="72"/>
        <v>1</v>
      </c>
      <c r="M128" s="158" t="s">
        <v>729</v>
      </c>
      <c r="N128" s="159" t="s">
        <v>730</v>
      </c>
      <c r="O128" s="159">
        <v>76520</v>
      </c>
      <c r="P128" s="159" t="s">
        <v>731</v>
      </c>
      <c r="Q128" s="159" t="s">
        <v>732</v>
      </c>
      <c r="R128" s="159" t="s">
        <v>733</v>
      </c>
      <c r="S128" s="159" t="s">
        <v>93</v>
      </c>
      <c r="T128" s="159" t="s">
        <v>94</v>
      </c>
      <c r="U128" s="159" t="s">
        <v>734</v>
      </c>
      <c r="V128" s="160" t="s">
        <v>96</v>
      </c>
      <c r="W128" s="161"/>
      <c r="X128" s="162"/>
      <c r="Y128" s="163"/>
      <c r="Z128" s="162"/>
      <c r="AA128" s="163"/>
      <c r="AB128" s="162"/>
      <c r="AC128" s="163"/>
      <c r="AD128" s="162"/>
      <c r="AE128" s="163"/>
      <c r="AF128" s="162"/>
      <c r="AG128" s="163"/>
      <c r="AH128" s="163"/>
      <c r="AI128" s="162"/>
      <c r="AJ128" s="163"/>
      <c r="AK128" s="162"/>
      <c r="AL128" s="163">
        <v>10</v>
      </c>
      <c r="AM128" s="162"/>
      <c r="AN128" s="163"/>
      <c r="AO128" s="162"/>
      <c r="AP128" s="164"/>
      <c r="AQ128" s="164"/>
      <c r="AR128" s="164"/>
      <c r="AS128" s="164"/>
      <c r="AT128" s="164"/>
      <c r="AU128" s="164"/>
      <c r="AV128" s="164"/>
      <c r="AW128" s="164"/>
      <c r="AX128" s="164"/>
      <c r="AY128" s="165"/>
      <c r="AZ128" s="41"/>
      <c r="BA128" s="190"/>
      <c r="BB128" s="191"/>
      <c r="BC128" s="191"/>
      <c r="BD128" s="191"/>
      <c r="BE128" s="191"/>
      <c r="BF128" s="191"/>
      <c r="BG128" s="191"/>
      <c r="BH128" s="191"/>
      <c r="BI128" s="191"/>
      <c r="BJ128" s="191"/>
      <c r="BK128" s="191"/>
      <c r="BL128" s="191"/>
      <c r="BM128" s="191"/>
      <c r="BN128" s="191"/>
      <c r="BO128" s="191">
        <v>200</v>
      </c>
      <c r="BP128" s="191"/>
      <c r="BQ128" s="191"/>
      <c r="BR128" s="191"/>
      <c r="BS128" s="191"/>
      <c r="BT128" s="191"/>
      <c r="BU128" s="191"/>
      <c r="BV128" s="191">
        <v>100</v>
      </c>
      <c r="BW128" s="191"/>
      <c r="BX128" s="191"/>
      <c r="BY128" s="191"/>
      <c r="BZ128" s="191"/>
      <c r="CA128" s="191"/>
      <c r="CB128" s="191"/>
      <c r="CC128" s="191">
        <v>50</v>
      </c>
      <c r="CD128" s="191"/>
      <c r="CE128" s="192"/>
      <c r="CF128" s="190"/>
      <c r="CG128" s="191"/>
      <c r="CH128" s="191"/>
      <c r="CI128" s="191"/>
      <c r="CJ128" s="191">
        <v>50</v>
      </c>
      <c r="CK128" s="191"/>
      <c r="CL128" s="191"/>
      <c r="CM128" s="191"/>
      <c r="CN128" s="191"/>
      <c r="CO128" s="191"/>
      <c r="CP128" s="191"/>
      <c r="CQ128" s="191">
        <v>50</v>
      </c>
      <c r="CR128" s="191"/>
      <c r="CS128" s="191"/>
      <c r="CT128" s="191"/>
      <c r="CU128" s="191"/>
      <c r="CV128" s="191"/>
      <c r="CW128" s="191"/>
      <c r="CX128" s="191">
        <v>10</v>
      </c>
      <c r="CY128" s="191"/>
      <c r="CZ128" s="191"/>
      <c r="DA128" s="191"/>
      <c r="DB128" s="191"/>
      <c r="DC128" s="191"/>
      <c r="DD128" s="191"/>
      <c r="DE128" s="191">
        <v>50</v>
      </c>
      <c r="DF128" s="191"/>
      <c r="DG128" s="191"/>
      <c r="DH128" s="193"/>
      <c r="DI128" s="194"/>
      <c r="DJ128" s="191"/>
      <c r="DK128" s="191"/>
      <c r="DL128" s="191"/>
      <c r="DM128" s="191">
        <v>50</v>
      </c>
      <c r="DN128" s="191"/>
      <c r="DO128" s="191"/>
      <c r="DP128" s="191"/>
      <c r="DQ128" s="191"/>
      <c r="DR128" s="191"/>
      <c r="DS128" s="191"/>
      <c r="DT128" s="191">
        <v>50</v>
      </c>
      <c r="DU128" s="191"/>
      <c r="DV128" s="191"/>
      <c r="DW128" s="191"/>
      <c r="DX128" s="191"/>
      <c r="DY128" s="191"/>
      <c r="DZ128" s="191"/>
      <c r="EA128" s="191"/>
      <c r="EB128" s="191"/>
      <c r="EC128" s="191"/>
      <c r="ED128" s="191"/>
      <c r="EE128" s="191"/>
      <c r="EF128" s="191"/>
      <c r="EG128" s="191"/>
      <c r="EH128" s="191">
        <v>100</v>
      </c>
      <c r="EI128" s="191"/>
      <c r="EJ128" s="191"/>
      <c r="EK128" s="191"/>
      <c r="EL128" s="191"/>
      <c r="EM128" s="192"/>
      <c r="EN128" s="190"/>
      <c r="EO128" s="191">
        <v>50</v>
      </c>
      <c r="EP128" s="191"/>
      <c r="EQ128" s="191"/>
      <c r="ER128" s="191"/>
      <c r="ES128" s="191"/>
      <c r="ET128" s="191"/>
      <c r="EU128" s="191"/>
      <c r="EV128" s="191"/>
      <c r="EW128" s="191"/>
      <c r="EX128" s="191"/>
      <c r="EY128" s="191"/>
      <c r="EZ128" s="191"/>
      <c r="FA128" s="191"/>
      <c r="FB128" s="191"/>
      <c r="FC128" s="191">
        <v>150</v>
      </c>
      <c r="FD128" s="191"/>
      <c r="FE128" s="191"/>
      <c r="FF128" s="191"/>
      <c r="FG128" s="191"/>
      <c r="FH128" s="191"/>
      <c r="FI128" s="191"/>
      <c r="FJ128" s="191"/>
      <c r="FK128" s="191"/>
      <c r="FL128" s="191">
        <v>50</v>
      </c>
      <c r="FM128" s="191"/>
      <c r="FN128" s="191"/>
      <c r="FO128" s="191"/>
      <c r="FP128" s="191"/>
      <c r="FQ128" s="193"/>
      <c r="FR128" s="194"/>
      <c r="FS128" s="191"/>
      <c r="FT128" s="191"/>
      <c r="FU128" s="191"/>
      <c r="FV128" s="191"/>
      <c r="FW128" s="191"/>
      <c r="FX128" s="191">
        <v>150</v>
      </c>
      <c r="FY128" s="191"/>
      <c r="FZ128" s="191"/>
      <c r="GA128" s="191"/>
      <c r="GB128" s="191"/>
      <c r="GC128" s="191"/>
      <c r="GD128" s="191"/>
      <c r="GE128" s="191"/>
      <c r="GF128" s="191"/>
      <c r="GG128" s="191"/>
      <c r="GH128" s="191"/>
      <c r="GI128" s="191"/>
      <c r="GJ128" s="191"/>
      <c r="GK128" s="191"/>
      <c r="GL128" s="191">
        <v>100</v>
      </c>
      <c r="GM128" s="191"/>
      <c r="GN128" s="191"/>
      <c r="GO128" s="191"/>
      <c r="GP128" s="191"/>
      <c r="GQ128" s="191"/>
      <c r="GR128" s="191"/>
      <c r="GS128" s="191"/>
      <c r="GT128" s="191"/>
      <c r="GU128" s="191"/>
      <c r="GV128" s="192"/>
      <c r="GW128" s="190"/>
      <c r="GX128" s="191"/>
      <c r="GY128" s="191"/>
      <c r="GZ128" s="191">
        <v>100</v>
      </c>
      <c r="HA128" s="191"/>
      <c r="HB128" s="191"/>
      <c r="HC128" s="191"/>
      <c r="HD128" s="191"/>
      <c r="HE128" s="191"/>
      <c r="HF128" s="191"/>
      <c r="HG128" s="191"/>
      <c r="HH128" s="191"/>
      <c r="HI128" s="191"/>
      <c r="HJ128" s="191"/>
      <c r="HK128" s="191"/>
      <c r="HL128" s="191"/>
      <c r="HM128" s="191"/>
      <c r="HN128" s="191"/>
      <c r="HO128" s="191"/>
      <c r="HP128" s="191"/>
      <c r="HQ128" s="191"/>
      <c r="HR128" s="191"/>
      <c r="HS128" s="191"/>
      <c r="HT128" s="191"/>
      <c r="HU128" s="191">
        <v>50</v>
      </c>
      <c r="HV128" s="191"/>
      <c r="HW128" s="191"/>
      <c r="HX128" s="191"/>
      <c r="HY128" s="191"/>
      <c r="HZ128" s="193"/>
      <c r="IA128" s="194"/>
      <c r="IB128" s="191">
        <v>50</v>
      </c>
      <c r="IC128" s="191"/>
      <c r="ID128" s="191"/>
      <c r="IE128" s="191"/>
      <c r="IF128" s="191"/>
      <c r="IG128" s="191"/>
      <c r="IH128" s="191"/>
      <c r="II128" s="191">
        <v>100</v>
      </c>
      <c r="IJ128" s="191"/>
      <c r="IK128" s="191"/>
      <c r="IL128" s="191"/>
      <c r="IM128" s="191"/>
      <c r="IN128" s="191"/>
      <c r="IO128" s="191"/>
      <c r="IP128" s="191"/>
      <c r="IQ128" s="191">
        <v>150</v>
      </c>
      <c r="IR128" s="191"/>
      <c r="IS128" s="191"/>
      <c r="IT128" s="191"/>
      <c r="IU128" s="191"/>
      <c r="IV128" s="191"/>
      <c r="IW128" s="191">
        <v>100</v>
      </c>
      <c r="IX128" s="191"/>
      <c r="IY128" s="191"/>
      <c r="IZ128" s="191"/>
      <c r="JA128" s="191"/>
      <c r="JB128" s="191"/>
      <c r="JC128" s="191"/>
      <c r="JD128" s="191"/>
      <c r="JE128" s="192"/>
      <c r="JF128" s="190"/>
      <c r="JG128" s="191"/>
      <c r="JH128" s="191"/>
      <c r="JI128" s="191"/>
      <c r="JJ128" s="191"/>
      <c r="JK128" s="191">
        <v>100</v>
      </c>
      <c r="JL128" s="191"/>
      <c r="JM128" s="191"/>
      <c r="JN128" s="191"/>
      <c r="JO128" s="191"/>
      <c r="JP128" s="191"/>
      <c r="JQ128" s="191"/>
      <c r="JR128" s="191">
        <v>50</v>
      </c>
      <c r="JS128" s="191"/>
      <c r="JT128" s="191"/>
      <c r="JU128" s="191"/>
      <c r="JV128" s="191"/>
      <c r="JW128" s="191"/>
      <c r="JX128" s="191"/>
      <c r="JY128" s="191">
        <v>100</v>
      </c>
      <c r="JZ128" s="191"/>
      <c r="KA128" s="191"/>
      <c r="KB128" s="191"/>
      <c r="KC128" s="191"/>
      <c r="KD128" s="191"/>
      <c r="KE128" s="191"/>
      <c r="KF128" s="191">
        <v>100</v>
      </c>
      <c r="KG128" s="191"/>
      <c r="KH128" s="191"/>
      <c r="KI128" s="191"/>
      <c r="KJ128" s="193"/>
      <c r="KK128" s="194"/>
      <c r="KL128" s="191"/>
      <c r="KM128" s="191">
        <v>100</v>
      </c>
      <c r="KN128" s="191"/>
      <c r="KO128" s="191"/>
      <c r="KP128" s="191"/>
      <c r="KQ128" s="191"/>
      <c r="KR128" s="191"/>
      <c r="KS128" s="191"/>
      <c r="KT128" s="191"/>
      <c r="KU128" s="191">
        <v>50</v>
      </c>
      <c r="KV128" s="191"/>
      <c r="KW128" s="191"/>
      <c r="KX128" s="191"/>
      <c r="KY128" s="191"/>
      <c r="KZ128" s="191"/>
      <c r="LA128" s="191"/>
      <c r="LB128" s="191"/>
      <c r="LC128" s="191"/>
      <c r="LD128" s="191"/>
      <c r="LE128" s="191"/>
      <c r="LF128" s="191"/>
      <c r="LG128" s="191"/>
      <c r="LH128" s="191">
        <v>100</v>
      </c>
      <c r="LI128" s="191"/>
      <c r="LJ128" s="191"/>
      <c r="LK128" s="191"/>
      <c r="LL128" s="191"/>
      <c r="LM128" s="191"/>
      <c r="LN128" s="192"/>
      <c r="LO128" s="190"/>
      <c r="LP128" s="191">
        <v>50</v>
      </c>
      <c r="LQ128" s="191"/>
      <c r="LR128" s="191"/>
      <c r="LS128" s="191"/>
      <c r="LT128" s="191"/>
      <c r="LU128" s="191"/>
      <c r="LV128" s="191">
        <v>50</v>
      </c>
      <c r="LW128" s="191"/>
      <c r="LX128" s="191"/>
      <c r="LY128" s="191"/>
      <c r="LZ128" s="191"/>
      <c r="MA128" s="191"/>
      <c r="MB128" s="191"/>
      <c r="MC128" s="191">
        <v>100</v>
      </c>
      <c r="MD128" s="191"/>
      <c r="ME128" s="191"/>
      <c r="MF128" s="191"/>
      <c r="MG128" s="191"/>
      <c r="MH128" s="191"/>
      <c r="MI128" s="191"/>
      <c r="MJ128" s="191">
        <v>150</v>
      </c>
      <c r="MK128" s="191"/>
      <c r="ML128" s="191"/>
      <c r="MM128" s="191"/>
      <c r="MN128" s="191"/>
      <c r="MO128" s="191"/>
      <c r="MP128" s="191"/>
      <c r="MQ128" s="191">
        <v>50</v>
      </c>
      <c r="MR128" s="191"/>
      <c r="MS128" s="193"/>
      <c r="MT128" s="194"/>
      <c r="MU128" s="191"/>
      <c r="MV128" s="191"/>
      <c r="MW128" s="191"/>
      <c r="MX128" s="191">
        <v>100</v>
      </c>
      <c r="MY128" s="191"/>
      <c r="MZ128" s="191"/>
      <c r="NA128" s="191"/>
      <c r="NB128" s="191"/>
      <c r="NC128" s="191"/>
      <c r="ND128" s="191"/>
      <c r="NE128" s="191"/>
      <c r="NF128" s="191"/>
      <c r="NG128" s="191"/>
      <c r="NH128" s="191"/>
      <c r="NI128" s="191"/>
      <c r="NJ128" s="191"/>
      <c r="NK128" s="191"/>
      <c r="NL128" s="191">
        <v>200</v>
      </c>
      <c r="NM128" s="191"/>
      <c r="NN128" s="191"/>
      <c r="NO128" s="191"/>
      <c r="NP128" s="191"/>
      <c r="NQ128" s="191"/>
      <c r="NR128" s="191"/>
      <c r="NS128" s="191">
        <v>50</v>
      </c>
      <c r="NT128" s="191"/>
      <c r="NU128" s="191"/>
      <c r="NV128" s="191"/>
      <c r="NW128" s="192"/>
      <c r="NX128" s="190"/>
      <c r="NY128" s="191"/>
      <c r="NZ128" s="191">
        <v>100</v>
      </c>
      <c r="OA128" s="191"/>
      <c r="OB128" s="191"/>
      <c r="OC128" s="191"/>
      <c r="OD128" s="191"/>
      <c r="OE128" s="191"/>
      <c r="OF128" s="191"/>
      <c r="OG128" s="191">
        <v>50</v>
      </c>
      <c r="OH128" s="191"/>
      <c r="OI128" s="191"/>
      <c r="OJ128" s="191"/>
      <c r="OK128" s="191"/>
      <c r="OL128" s="191"/>
      <c r="OM128" s="191"/>
      <c r="ON128" s="191">
        <v>50</v>
      </c>
      <c r="OO128" s="191"/>
      <c r="OP128" s="191"/>
      <c r="OQ128" s="191"/>
      <c r="OR128" s="191"/>
      <c r="OS128" s="191"/>
      <c r="OT128" s="191"/>
      <c r="OU128" s="191"/>
      <c r="OV128" s="191"/>
      <c r="OW128" s="191"/>
      <c r="OX128" s="191"/>
      <c r="OY128" s="191"/>
      <c r="OZ128" s="191"/>
      <c r="PA128" s="191"/>
      <c r="PB128" s="193"/>
      <c r="PC128" s="47"/>
      <c r="PD128" s="154" t="s">
        <v>97</v>
      </c>
      <c r="PE128" s="155" t="s">
        <v>98</v>
      </c>
      <c r="PF128" s="155" t="s">
        <v>98</v>
      </c>
      <c r="PG128" s="155" t="s">
        <v>98</v>
      </c>
      <c r="PH128" s="155" t="s">
        <v>98</v>
      </c>
      <c r="PI128" s="155" t="s">
        <v>98</v>
      </c>
      <c r="PJ128" s="155" t="s">
        <v>98</v>
      </c>
      <c r="PK128" s="155" t="s">
        <v>98</v>
      </c>
      <c r="PL128" s="155" t="s">
        <v>98</v>
      </c>
      <c r="PM128" s="155" t="s">
        <v>98</v>
      </c>
      <c r="PN128" s="155" t="s">
        <v>98</v>
      </c>
      <c r="PO128" s="156"/>
      <c r="PP128" s="156"/>
      <c r="PQ128" s="156"/>
      <c r="PR128" s="156"/>
      <c r="PS128" s="156"/>
      <c r="PT128" s="156"/>
      <c r="PU128" s="156"/>
      <c r="PV128" s="156"/>
      <c r="PW128" s="156"/>
      <c r="PX128" s="195"/>
      <c r="PY128" s="1"/>
      <c r="PZ128" s="196">
        <f t="shared" si="73"/>
        <v>350</v>
      </c>
      <c r="QA128" s="176">
        <f t="shared" si="74"/>
        <v>2.9198298156336033E-3</v>
      </c>
      <c r="QB128" s="177" t="str">
        <f t="shared" ca="1" si="75"/>
        <v>Attente…</v>
      </c>
      <c r="QC128" s="197">
        <f t="shared" si="76"/>
        <v>160</v>
      </c>
      <c r="QD128" s="179">
        <f t="shared" si="77"/>
        <v>1.4981273408239701E-3</v>
      </c>
      <c r="QE128" s="180" t="str">
        <f t="shared" ca="1" si="78"/>
        <v>Attente…</v>
      </c>
      <c r="QF128" s="196">
        <f t="shared" si="79"/>
        <v>200</v>
      </c>
      <c r="QG128" s="176">
        <f t="shared" si="80"/>
        <v>1.5926102882624622E-3</v>
      </c>
      <c r="QH128" s="177" t="str">
        <f t="shared" ca="1" si="81"/>
        <v>Attente…</v>
      </c>
      <c r="QI128" s="197">
        <f t="shared" si="82"/>
        <v>250</v>
      </c>
      <c r="QJ128" s="179">
        <f t="shared" si="83"/>
        <v>1.7534015991022584E-3</v>
      </c>
      <c r="QK128" s="180" t="str">
        <f t="shared" ca="1" si="84"/>
        <v>Attente…</v>
      </c>
      <c r="QL128" s="196">
        <f t="shared" si="85"/>
        <v>250</v>
      </c>
      <c r="QM128" s="176">
        <f t="shared" si="86"/>
        <v>1.8290898448931811E-3</v>
      </c>
      <c r="QN128" s="177" t="str">
        <f t="shared" ca="1" si="87"/>
        <v>Attente…</v>
      </c>
      <c r="QO128" s="197">
        <f t="shared" si="88"/>
        <v>150</v>
      </c>
      <c r="QP128" s="179">
        <f t="shared" si="89"/>
        <v>1.1743521490644327E-3</v>
      </c>
      <c r="QQ128" s="180" t="str">
        <f t="shared" ca="1" si="90"/>
        <v>Attente…</v>
      </c>
      <c r="QR128" s="196">
        <f t="shared" si="91"/>
        <v>400</v>
      </c>
      <c r="QS128" s="176">
        <f t="shared" si="92"/>
        <v>2.8796659587487852E-3</v>
      </c>
      <c r="QT128" s="177" t="str">
        <f t="shared" ca="1" si="93"/>
        <v>Attente…</v>
      </c>
      <c r="QU128" s="197">
        <f t="shared" si="94"/>
        <v>350</v>
      </c>
      <c r="QV128" s="179">
        <f t="shared" si="95"/>
        <v>2.4131274131274131E-3</v>
      </c>
      <c r="QW128" s="180" t="str">
        <f t="shared" ca="1" si="96"/>
        <v>Attente…</v>
      </c>
      <c r="QX128" s="196">
        <f t="shared" si="97"/>
        <v>250</v>
      </c>
      <c r="QY128" s="176">
        <f t="shared" si="98"/>
        <v>1.8243381301263901E-3</v>
      </c>
      <c r="QZ128" s="177" t="str">
        <f t="shared" ca="1" si="99"/>
        <v>Attente…</v>
      </c>
      <c r="RA128" s="197">
        <f t="shared" si="100"/>
        <v>400</v>
      </c>
      <c r="RB128" s="179">
        <f t="shared" si="101"/>
        <v>3.1296455676394649E-3</v>
      </c>
      <c r="RC128" s="180" t="str">
        <f t="shared" ca="1" si="102"/>
        <v>Attente…</v>
      </c>
      <c r="RD128" s="196">
        <f t="shared" si="103"/>
        <v>350</v>
      </c>
      <c r="RE128" s="176">
        <f t="shared" si="104"/>
        <v>3.4874451972897571E-3</v>
      </c>
      <c r="RF128" s="177" t="str">
        <f t="shared" ca="1" si="105"/>
        <v>Attente…</v>
      </c>
      <c r="RG128" s="197">
        <f t="shared" si="106"/>
        <v>200</v>
      </c>
      <c r="RH128" s="179">
        <f t="shared" si="107"/>
        <v>3.6784991723376862E-3</v>
      </c>
      <c r="RI128" s="198" t="str">
        <f t="shared" ca="1" si="108"/>
        <v>Attente…</v>
      </c>
      <c r="RJ128" s="199">
        <f t="shared" si="109"/>
        <v>710</v>
      </c>
      <c r="RK128" s="200" t="str">
        <f t="shared" ca="1" si="66"/>
        <v>Attente…</v>
      </c>
      <c r="RL128" s="199">
        <f t="shared" si="110"/>
        <v>650</v>
      </c>
      <c r="RM128" s="200" t="str">
        <f t="shared" ca="1" si="111"/>
        <v>Atttente…</v>
      </c>
      <c r="RN128" s="199">
        <f t="shared" si="112"/>
        <v>1000</v>
      </c>
      <c r="RO128" s="200" t="str">
        <f t="shared" ca="1" si="67"/>
        <v>Attente…</v>
      </c>
      <c r="RP128" s="199">
        <f t="shared" si="113"/>
        <v>950</v>
      </c>
      <c r="RQ128" s="200" t="str">
        <f t="shared" ca="1" si="68"/>
        <v>Attente…</v>
      </c>
      <c r="RR128" s="201">
        <f t="shared" si="114"/>
        <v>3310</v>
      </c>
      <c r="RS128" s="202" t="str">
        <f t="shared" ca="1" si="69"/>
        <v>Attente…</v>
      </c>
      <c r="RT128" s="103"/>
      <c r="RU128" s="203">
        <f t="shared" si="115"/>
        <v>0.42435897435897441</v>
      </c>
      <c r="RV128" s="204">
        <f t="shared" si="118"/>
        <v>1</v>
      </c>
      <c r="RW128" s="204">
        <f t="shared" si="118"/>
        <v>1</v>
      </c>
      <c r="RX128" s="204">
        <f t="shared" si="116"/>
        <v>39</v>
      </c>
      <c r="RY128" s="205" t="str">
        <f t="shared" si="117"/>
        <v>LES AUTHIEUX-SUR-LE-PORT-SAINT-OUEN - 260 rue du Docteur Gallouen (Parking de la salle des fêtes)</v>
      </c>
      <c r="RZ128" s="189" t="str">
        <f>IF(OR(RZ127="",RZ127="  &lt;/Document&gt;
&lt;/kml&gt;"),"",
IF(B128="","  &lt;/Document&gt;
&lt;/kml&gt;",
IF(TournéesCAV!Q128=""," ",
"    &lt;Placemark&gt;
      &lt;description&gt;&lt;![CDATA["&amp;B128&amp;"&lt;br&gt;&lt;br&gt;"&amp;RV128&amp;" CAV&lt;br&gt;&lt;br&gt;Présent sur "&amp;RW128&amp;" tournée(s)&lt;br&gt;&lt;br&gt;Taux de remplissage moyen "&amp;TEXT(RU128*1000,"0 %")&amp;"]]&gt;&lt;/description&gt;
      &lt;Style&gt;
        &lt;IconStyle&gt;
          &lt;color&gt;ff"&amp;
          DEC2HEX(0,2)&amp;
          DEC2HEX(
            IF(RU128&lt;=0.5,
               INT(255*(RU128*2)),
               255
            ),2)&amp;
          DEC2HEX(
            IF(RU128&lt;=0.5,
               255,
               INT(255*(1-(RU128-0.5)*2))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&lt;Point&gt;&lt;coordinates&gt;"&amp;R128&amp;","&amp;Q128&amp;",0&lt;/coordinates&gt;&lt;/Point&gt;
    &lt;/Placemark&gt;"
)))</f>
        <v xml:space="preserve">    &lt;Placemark&gt;
      &lt;description&gt;&lt;![CDATA[LES AUTHIEUX-SUR-LE-PORT-SAINT-OUEN - 260 rue du Docteur Gallouen (Parking de la salle des fêtes)&lt;br&gt;&lt;br&gt;1 CAV&lt;br&gt;&lt;br&gt;Présent sur 1 tournée(s)&lt;br&gt;&lt;br&gt;Taux de remplissage moyen 42%]]&gt;&lt;/description&gt;
      &lt;Style&gt;
        &lt;IconStyle&gt;
          &lt;color&gt;ff00D8FF&lt;/color&gt;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&lt;Point&gt;&lt;coordinates&gt;1.1328675,49.3408846,0&lt;/coordinates&gt;&lt;/Point&gt;
    &lt;/Placemark&gt;</v>
      </c>
    </row>
    <row r="129" spans="2:494" ht="15" hidden="1" customHeight="1" x14ac:dyDescent="0.35">
      <c r="B129" s="153" t="str">
        <f t="shared" si="70"/>
        <v>GOUY - 28 rue du Poste (Suivre "Résidence Perelles" - Sur le parking)</v>
      </c>
      <c r="C129" s="154">
        <v>73</v>
      </c>
      <c r="D129" s="155"/>
      <c r="E129" s="155"/>
      <c r="F129" s="155"/>
      <c r="G129" s="155"/>
      <c r="H129" s="155"/>
      <c r="I129" s="155"/>
      <c r="J129" s="156"/>
      <c r="K129" s="157">
        <f t="shared" si="71"/>
        <v>1</v>
      </c>
      <c r="L129" s="157">
        <f t="shared" si="72"/>
        <v>1</v>
      </c>
      <c r="M129" s="158" t="s">
        <v>735</v>
      </c>
      <c r="N129" s="159" t="s">
        <v>736</v>
      </c>
      <c r="O129" s="159">
        <v>76520</v>
      </c>
      <c r="P129" s="159" t="s">
        <v>737</v>
      </c>
      <c r="Q129" s="159" t="s">
        <v>738</v>
      </c>
      <c r="R129" s="159" t="s">
        <v>739</v>
      </c>
      <c r="S129" s="159" t="s">
        <v>93</v>
      </c>
      <c r="T129" s="159" t="s">
        <v>94</v>
      </c>
      <c r="U129" s="159" t="s">
        <v>740</v>
      </c>
      <c r="V129" s="160" t="s">
        <v>96</v>
      </c>
      <c r="W129" s="161"/>
      <c r="X129" s="162"/>
      <c r="Y129" s="163"/>
      <c r="Z129" s="162"/>
      <c r="AA129" s="163"/>
      <c r="AB129" s="162"/>
      <c r="AC129" s="163"/>
      <c r="AD129" s="162"/>
      <c r="AE129" s="163"/>
      <c r="AF129" s="162"/>
      <c r="AG129" s="163"/>
      <c r="AH129" s="163"/>
      <c r="AI129" s="162"/>
      <c r="AJ129" s="163"/>
      <c r="AK129" s="162"/>
      <c r="AL129" s="163">
        <v>11</v>
      </c>
      <c r="AM129" s="162"/>
      <c r="AN129" s="163"/>
      <c r="AO129" s="162"/>
      <c r="AP129" s="164"/>
      <c r="AQ129" s="164"/>
      <c r="AR129" s="164"/>
      <c r="AS129" s="164"/>
      <c r="AT129" s="164"/>
      <c r="AU129" s="164"/>
      <c r="AV129" s="164"/>
      <c r="AW129" s="164"/>
      <c r="AX129" s="164"/>
      <c r="AY129" s="165"/>
      <c r="AZ129" s="41"/>
      <c r="BA129" s="190"/>
      <c r="BB129" s="191"/>
      <c r="BC129" s="191"/>
      <c r="BD129" s="191"/>
      <c r="BE129" s="191"/>
      <c r="BF129" s="191"/>
      <c r="BG129" s="191"/>
      <c r="BH129" s="191">
        <v>100</v>
      </c>
      <c r="BI129" s="191"/>
      <c r="BJ129" s="191"/>
      <c r="BK129" s="191"/>
      <c r="BL129" s="191"/>
      <c r="BM129" s="191"/>
      <c r="BN129" s="191"/>
      <c r="BO129" s="191"/>
      <c r="BP129" s="191"/>
      <c r="BQ129" s="191"/>
      <c r="BR129" s="191"/>
      <c r="BS129" s="191"/>
      <c r="BT129" s="191"/>
      <c r="BU129" s="191"/>
      <c r="BV129" s="191">
        <v>100</v>
      </c>
      <c r="BW129" s="191"/>
      <c r="BX129" s="191"/>
      <c r="BY129" s="191"/>
      <c r="BZ129" s="191"/>
      <c r="CA129" s="191"/>
      <c r="CB129" s="191"/>
      <c r="CC129" s="191">
        <v>50</v>
      </c>
      <c r="CD129" s="191"/>
      <c r="CE129" s="192"/>
      <c r="CF129" s="190"/>
      <c r="CG129" s="191"/>
      <c r="CH129" s="191"/>
      <c r="CI129" s="191"/>
      <c r="CJ129" s="191">
        <v>50</v>
      </c>
      <c r="CK129" s="191"/>
      <c r="CL129" s="191"/>
      <c r="CM129" s="191"/>
      <c r="CN129" s="191"/>
      <c r="CO129" s="191"/>
      <c r="CP129" s="191"/>
      <c r="CQ129" s="191">
        <v>10</v>
      </c>
      <c r="CR129" s="191"/>
      <c r="CS129" s="191"/>
      <c r="CT129" s="191"/>
      <c r="CU129" s="191"/>
      <c r="CV129" s="191"/>
      <c r="CW129" s="191"/>
      <c r="CX129" s="191">
        <v>10</v>
      </c>
      <c r="CY129" s="191"/>
      <c r="CZ129" s="191"/>
      <c r="DA129" s="191"/>
      <c r="DB129" s="191"/>
      <c r="DC129" s="191"/>
      <c r="DD129" s="191"/>
      <c r="DE129" s="191">
        <v>10</v>
      </c>
      <c r="DF129" s="191"/>
      <c r="DG129" s="191"/>
      <c r="DH129" s="193"/>
      <c r="DI129" s="194"/>
      <c r="DJ129" s="191"/>
      <c r="DK129" s="191"/>
      <c r="DL129" s="191"/>
      <c r="DM129" s="191">
        <v>50</v>
      </c>
      <c r="DN129" s="191"/>
      <c r="DO129" s="191"/>
      <c r="DP129" s="191"/>
      <c r="DQ129" s="191"/>
      <c r="DR129" s="191"/>
      <c r="DS129" s="191"/>
      <c r="DT129" s="191">
        <v>50</v>
      </c>
      <c r="DU129" s="191"/>
      <c r="DV129" s="191"/>
      <c r="DW129" s="191"/>
      <c r="DX129" s="191"/>
      <c r="DY129" s="191"/>
      <c r="DZ129" s="191"/>
      <c r="EA129" s="191"/>
      <c r="EB129" s="191"/>
      <c r="EC129" s="191"/>
      <c r="ED129" s="191"/>
      <c r="EE129" s="191"/>
      <c r="EF129" s="191"/>
      <c r="EG129" s="191"/>
      <c r="EH129" s="191">
        <v>50</v>
      </c>
      <c r="EI129" s="191"/>
      <c r="EJ129" s="191"/>
      <c r="EK129" s="191"/>
      <c r="EL129" s="191"/>
      <c r="EM129" s="192"/>
      <c r="EN129" s="190"/>
      <c r="EO129" s="191">
        <v>50</v>
      </c>
      <c r="EP129" s="191"/>
      <c r="EQ129" s="191"/>
      <c r="ER129" s="191"/>
      <c r="ES129" s="191"/>
      <c r="ET129" s="191"/>
      <c r="EU129" s="191"/>
      <c r="EV129" s="191"/>
      <c r="EW129" s="191"/>
      <c r="EX129" s="191"/>
      <c r="EY129" s="191"/>
      <c r="EZ129" s="191"/>
      <c r="FA129" s="191"/>
      <c r="FB129" s="191"/>
      <c r="FC129" s="191">
        <v>150</v>
      </c>
      <c r="FD129" s="191"/>
      <c r="FE129" s="191"/>
      <c r="FF129" s="191"/>
      <c r="FG129" s="191"/>
      <c r="FH129" s="191"/>
      <c r="FI129" s="191"/>
      <c r="FJ129" s="191"/>
      <c r="FK129" s="191"/>
      <c r="FL129" s="191">
        <v>10</v>
      </c>
      <c r="FM129" s="191"/>
      <c r="FN129" s="191"/>
      <c r="FO129" s="191"/>
      <c r="FP129" s="191"/>
      <c r="FQ129" s="193"/>
      <c r="FR129" s="194"/>
      <c r="FS129" s="191"/>
      <c r="FT129" s="191"/>
      <c r="FU129" s="191"/>
      <c r="FV129" s="191"/>
      <c r="FW129" s="191"/>
      <c r="FX129" s="191">
        <v>100</v>
      </c>
      <c r="FY129" s="191"/>
      <c r="FZ129" s="191"/>
      <c r="GA129" s="191"/>
      <c r="GB129" s="191"/>
      <c r="GC129" s="191"/>
      <c r="GD129" s="191"/>
      <c r="GE129" s="191"/>
      <c r="GF129" s="191"/>
      <c r="GG129" s="191"/>
      <c r="GH129" s="191"/>
      <c r="GI129" s="191"/>
      <c r="GJ129" s="191"/>
      <c r="GK129" s="191"/>
      <c r="GL129" s="191">
        <v>100</v>
      </c>
      <c r="GM129" s="191"/>
      <c r="GN129" s="191"/>
      <c r="GO129" s="191"/>
      <c r="GP129" s="191"/>
      <c r="GQ129" s="191"/>
      <c r="GR129" s="191"/>
      <c r="GS129" s="191"/>
      <c r="GT129" s="191"/>
      <c r="GU129" s="191"/>
      <c r="GV129" s="192"/>
      <c r="GW129" s="190"/>
      <c r="GX129" s="191"/>
      <c r="GY129" s="191"/>
      <c r="GZ129" s="191">
        <v>100</v>
      </c>
      <c r="HA129" s="191"/>
      <c r="HB129" s="191"/>
      <c r="HC129" s="191"/>
      <c r="HD129" s="191"/>
      <c r="HE129" s="191"/>
      <c r="HF129" s="191"/>
      <c r="HG129" s="191"/>
      <c r="HH129" s="191"/>
      <c r="HI129" s="191"/>
      <c r="HJ129" s="191"/>
      <c r="HK129" s="191"/>
      <c r="HL129" s="191"/>
      <c r="HM129" s="191"/>
      <c r="HN129" s="191"/>
      <c r="HO129" s="191"/>
      <c r="HP129" s="191"/>
      <c r="HQ129" s="191"/>
      <c r="HR129" s="191"/>
      <c r="HS129" s="191"/>
      <c r="HT129" s="191"/>
      <c r="HU129" s="191">
        <v>100</v>
      </c>
      <c r="HV129" s="191"/>
      <c r="HW129" s="191"/>
      <c r="HX129" s="191"/>
      <c r="HY129" s="191"/>
      <c r="HZ129" s="193"/>
      <c r="IA129" s="194"/>
      <c r="IB129" s="191">
        <v>100</v>
      </c>
      <c r="IC129" s="191"/>
      <c r="ID129" s="191"/>
      <c r="IE129" s="191"/>
      <c r="IF129" s="191"/>
      <c r="IG129" s="191"/>
      <c r="IH129" s="191"/>
      <c r="II129" s="191">
        <v>100</v>
      </c>
      <c r="IJ129" s="191"/>
      <c r="IK129" s="191"/>
      <c r="IL129" s="191"/>
      <c r="IM129" s="191"/>
      <c r="IN129" s="191"/>
      <c r="IO129" s="191"/>
      <c r="IP129" s="191"/>
      <c r="IQ129" s="191">
        <v>200</v>
      </c>
      <c r="IR129" s="191"/>
      <c r="IS129" s="191"/>
      <c r="IT129" s="191"/>
      <c r="IU129" s="191"/>
      <c r="IV129" s="191"/>
      <c r="IW129" s="191">
        <v>10</v>
      </c>
      <c r="IX129" s="191"/>
      <c r="IY129" s="191"/>
      <c r="IZ129" s="191"/>
      <c r="JA129" s="191"/>
      <c r="JB129" s="191"/>
      <c r="JC129" s="191"/>
      <c r="JD129" s="191"/>
      <c r="JE129" s="192"/>
      <c r="JF129" s="190"/>
      <c r="JG129" s="191"/>
      <c r="JH129" s="191"/>
      <c r="JI129" s="191"/>
      <c r="JJ129" s="191"/>
      <c r="JK129" s="191">
        <v>50</v>
      </c>
      <c r="JL129" s="191"/>
      <c r="JM129" s="191"/>
      <c r="JN129" s="191"/>
      <c r="JO129" s="191"/>
      <c r="JP129" s="191"/>
      <c r="JQ129" s="191"/>
      <c r="JR129" s="191">
        <v>50</v>
      </c>
      <c r="JS129" s="191"/>
      <c r="JT129" s="191"/>
      <c r="JU129" s="191"/>
      <c r="JV129" s="191"/>
      <c r="JW129" s="191"/>
      <c r="JX129" s="191"/>
      <c r="JY129" s="191">
        <v>150</v>
      </c>
      <c r="JZ129" s="191"/>
      <c r="KA129" s="191"/>
      <c r="KB129" s="191"/>
      <c r="KC129" s="191"/>
      <c r="KD129" s="191"/>
      <c r="KE129" s="191"/>
      <c r="KF129" s="191">
        <v>10</v>
      </c>
      <c r="KG129" s="191"/>
      <c r="KH129" s="191"/>
      <c r="KI129" s="191"/>
      <c r="KJ129" s="193"/>
      <c r="KK129" s="194"/>
      <c r="KL129" s="191"/>
      <c r="KM129" s="191">
        <v>10</v>
      </c>
      <c r="KN129" s="191"/>
      <c r="KO129" s="191"/>
      <c r="KP129" s="191"/>
      <c r="KQ129" s="191"/>
      <c r="KR129" s="191"/>
      <c r="KS129" s="191"/>
      <c r="KT129" s="191"/>
      <c r="KU129" s="191">
        <v>50</v>
      </c>
      <c r="KV129" s="191"/>
      <c r="KW129" s="191"/>
      <c r="KX129" s="191"/>
      <c r="KY129" s="191"/>
      <c r="KZ129" s="191"/>
      <c r="LA129" s="191"/>
      <c r="LB129" s="191"/>
      <c r="LC129" s="191"/>
      <c r="LD129" s="191"/>
      <c r="LE129" s="191"/>
      <c r="LF129" s="191"/>
      <c r="LG129" s="191"/>
      <c r="LH129" s="191">
        <v>100</v>
      </c>
      <c r="LI129" s="191"/>
      <c r="LJ129" s="191"/>
      <c r="LK129" s="191"/>
      <c r="LL129" s="191"/>
      <c r="LM129" s="191"/>
      <c r="LN129" s="192"/>
      <c r="LO129" s="190"/>
      <c r="LP129" s="191">
        <v>100</v>
      </c>
      <c r="LQ129" s="191"/>
      <c r="LR129" s="191"/>
      <c r="LS129" s="191"/>
      <c r="LT129" s="191"/>
      <c r="LU129" s="191"/>
      <c r="LV129" s="191">
        <v>50</v>
      </c>
      <c r="LW129" s="191"/>
      <c r="LX129" s="191"/>
      <c r="LY129" s="191"/>
      <c r="LZ129" s="191"/>
      <c r="MA129" s="191"/>
      <c r="MB129" s="191"/>
      <c r="MC129" s="191">
        <v>100</v>
      </c>
      <c r="MD129" s="191"/>
      <c r="ME129" s="191"/>
      <c r="MF129" s="191"/>
      <c r="MG129" s="191"/>
      <c r="MH129" s="191"/>
      <c r="MI129" s="191"/>
      <c r="MJ129" s="191">
        <v>10</v>
      </c>
      <c r="MK129" s="191"/>
      <c r="ML129" s="191"/>
      <c r="MM129" s="191"/>
      <c r="MN129" s="191"/>
      <c r="MO129" s="191"/>
      <c r="MP129" s="191"/>
      <c r="MQ129" s="191">
        <v>10</v>
      </c>
      <c r="MR129" s="191"/>
      <c r="MS129" s="193"/>
      <c r="MT129" s="194"/>
      <c r="MU129" s="191"/>
      <c r="MV129" s="191"/>
      <c r="MW129" s="191"/>
      <c r="MX129" s="191">
        <v>100</v>
      </c>
      <c r="MY129" s="191"/>
      <c r="MZ129" s="191"/>
      <c r="NA129" s="191"/>
      <c r="NB129" s="191"/>
      <c r="NC129" s="191"/>
      <c r="ND129" s="191"/>
      <c r="NE129" s="191"/>
      <c r="NF129" s="191"/>
      <c r="NG129" s="191"/>
      <c r="NH129" s="191"/>
      <c r="NI129" s="191"/>
      <c r="NJ129" s="191"/>
      <c r="NK129" s="191"/>
      <c r="NL129" s="191">
        <v>150</v>
      </c>
      <c r="NM129" s="191"/>
      <c r="NN129" s="191"/>
      <c r="NO129" s="191"/>
      <c r="NP129" s="191"/>
      <c r="NQ129" s="191"/>
      <c r="NR129" s="191"/>
      <c r="NS129" s="191">
        <v>100</v>
      </c>
      <c r="NT129" s="191"/>
      <c r="NU129" s="191"/>
      <c r="NV129" s="191"/>
      <c r="NW129" s="192"/>
      <c r="NX129" s="190"/>
      <c r="NY129" s="191"/>
      <c r="NZ129" s="191">
        <v>10</v>
      </c>
      <c r="OA129" s="191"/>
      <c r="OB129" s="191"/>
      <c r="OC129" s="191"/>
      <c r="OD129" s="191"/>
      <c r="OE129" s="191"/>
      <c r="OF129" s="191"/>
      <c r="OG129" s="191">
        <v>10</v>
      </c>
      <c r="OH129" s="191"/>
      <c r="OI129" s="191"/>
      <c r="OJ129" s="191"/>
      <c r="OK129" s="191"/>
      <c r="OL129" s="191"/>
      <c r="OM129" s="191"/>
      <c r="ON129" s="191">
        <v>10</v>
      </c>
      <c r="OO129" s="191"/>
      <c r="OP129" s="191"/>
      <c r="OQ129" s="191"/>
      <c r="OR129" s="191"/>
      <c r="OS129" s="191"/>
      <c r="OT129" s="191"/>
      <c r="OU129" s="191"/>
      <c r="OV129" s="191"/>
      <c r="OW129" s="191"/>
      <c r="OX129" s="191"/>
      <c r="OY129" s="191"/>
      <c r="OZ129" s="191"/>
      <c r="PA129" s="191"/>
      <c r="PB129" s="193"/>
      <c r="PC129" s="47"/>
      <c r="PD129" s="154" t="s">
        <v>97</v>
      </c>
      <c r="PE129" s="155" t="s">
        <v>98</v>
      </c>
      <c r="PF129" s="155" t="s">
        <v>98</v>
      </c>
      <c r="PG129" s="155" t="s">
        <v>98</v>
      </c>
      <c r="PH129" s="155" t="s">
        <v>98</v>
      </c>
      <c r="PI129" s="155" t="s">
        <v>98</v>
      </c>
      <c r="PJ129" s="155" t="s">
        <v>98</v>
      </c>
      <c r="PK129" s="155" t="s">
        <v>98</v>
      </c>
      <c r="PL129" s="155" t="s">
        <v>98</v>
      </c>
      <c r="PM129" s="155" t="s">
        <v>98</v>
      </c>
      <c r="PN129" s="155" t="s">
        <v>98</v>
      </c>
      <c r="PO129" s="156"/>
      <c r="PP129" s="156"/>
      <c r="PQ129" s="156"/>
      <c r="PR129" s="156"/>
      <c r="PS129" s="156"/>
      <c r="PT129" s="156"/>
      <c r="PU129" s="156"/>
      <c r="PV129" s="156"/>
      <c r="PW129" s="156"/>
      <c r="PX129" s="195"/>
      <c r="PY129" s="1"/>
      <c r="PZ129" s="196">
        <f t="shared" si="73"/>
        <v>250</v>
      </c>
      <c r="QA129" s="176">
        <f t="shared" si="74"/>
        <v>2.0855927254525737E-3</v>
      </c>
      <c r="QB129" s="177" t="str">
        <f t="shared" ca="1" si="75"/>
        <v>Attente…</v>
      </c>
      <c r="QC129" s="197">
        <f t="shared" si="76"/>
        <v>80</v>
      </c>
      <c r="QD129" s="179">
        <f t="shared" si="77"/>
        <v>7.4906367041198505E-4</v>
      </c>
      <c r="QE129" s="180" t="str">
        <f t="shared" ca="1" si="78"/>
        <v>Attente…</v>
      </c>
      <c r="QF129" s="196">
        <f t="shared" si="79"/>
        <v>150</v>
      </c>
      <c r="QG129" s="176">
        <f t="shared" si="80"/>
        <v>1.1944577161968467E-3</v>
      </c>
      <c r="QH129" s="177" t="str">
        <f t="shared" ca="1" si="81"/>
        <v>Attente…</v>
      </c>
      <c r="QI129" s="197">
        <f t="shared" si="82"/>
        <v>210</v>
      </c>
      <c r="QJ129" s="179">
        <f t="shared" si="83"/>
        <v>1.4728573432458971E-3</v>
      </c>
      <c r="QK129" s="180" t="str">
        <f t="shared" ca="1" si="84"/>
        <v>Attente…</v>
      </c>
      <c r="QL129" s="196">
        <f t="shared" si="85"/>
        <v>200</v>
      </c>
      <c r="QM129" s="176">
        <f t="shared" si="86"/>
        <v>1.4632718759145448E-3</v>
      </c>
      <c r="QN129" s="177" t="str">
        <f t="shared" ca="1" si="87"/>
        <v>Attente…</v>
      </c>
      <c r="QO129" s="197">
        <f t="shared" si="88"/>
        <v>200</v>
      </c>
      <c r="QP129" s="179">
        <f t="shared" si="89"/>
        <v>1.5658028654192437E-3</v>
      </c>
      <c r="QQ129" s="180" t="str">
        <f t="shared" ca="1" si="90"/>
        <v>Attente…</v>
      </c>
      <c r="QR129" s="196">
        <f t="shared" si="91"/>
        <v>410</v>
      </c>
      <c r="QS129" s="176">
        <f t="shared" si="92"/>
        <v>2.9516576077175047E-3</v>
      </c>
      <c r="QT129" s="177" t="str">
        <f t="shared" ca="1" si="93"/>
        <v>Attente…</v>
      </c>
      <c r="QU129" s="197">
        <f t="shared" si="94"/>
        <v>260</v>
      </c>
      <c r="QV129" s="179">
        <f t="shared" si="95"/>
        <v>1.7926089354660783E-3</v>
      </c>
      <c r="QW129" s="180" t="str">
        <f t="shared" ca="1" si="96"/>
        <v>Attente…</v>
      </c>
      <c r="QX129" s="196">
        <f t="shared" si="97"/>
        <v>160</v>
      </c>
      <c r="QY129" s="176">
        <f t="shared" si="98"/>
        <v>1.1675764032808896E-3</v>
      </c>
      <c r="QZ129" s="177" t="str">
        <f t="shared" ca="1" si="99"/>
        <v>Attente…</v>
      </c>
      <c r="RA129" s="197">
        <f t="shared" si="100"/>
        <v>270</v>
      </c>
      <c r="RB129" s="179">
        <f t="shared" si="101"/>
        <v>2.1125107581566388E-3</v>
      </c>
      <c r="RC129" s="180" t="str">
        <f t="shared" ca="1" si="102"/>
        <v>Attente…</v>
      </c>
      <c r="RD129" s="196">
        <f t="shared" si="103"/>
        <v>350</v>
      </c>
      <c r="RE129" s="176">
        <f t="shared" si="104"/>
        <v>3.4874451972897571E-3</v>
      </c>
      <c r="RF129" s="177" t="str">
        <f t="shared" ca="1" si="105"/>
        <v>Attente…</v>
      </c>
      <c r="RG129" s="197">
        <f t="shared" si="106"/>
        <v>30</v>
      </c>
      <c r="RH129" s="179">
        <f t="shared" si="107"/>
        <v>5.5177487585065296E-4</v>
      </c>
      <c r="RI129" s="198" t="str">
        <f t="shared" ca="1" si="108"/>
        <v>Attente…</v>
      </c>
      <c r="RJ129" s="199">
        <f t="shared" si="109"/>
        <v>480</v>
      </c>
      <c r="RK129" s="200" t="str">
        <f t="shared" ca="1" si="66"/>
        <v>Attente…</v>
      </c>
      <c r="RL129" s="199">
        <f t="shared" si="110"/>
        <v>610</v>
      </c>
      <c r="RM129" s="200" t="str">
        <f t="shared" ca="1" si="111"/>
        <v>Atttente…</v>
      </c>
      <c r="RN129" s="199">
        <f t="shared" si="112"/>
        <v>830</v>
      </c>
      <c r="RO129" s="200" t="str">
        <f t="shared" ca="1" si="67"/>
        <v>Attente…</v>
      </c>
      <c r="RP129" s="199">
        <f t="shared" si="113"/>
        <v>650</v>
      </c>
      <c r="RQ129" s="200" t="str">
        <f t="shared" ca="1" si="68"/>
        <v>Attente…</v>
      </c>
      <c r="RR129" s="201">
        <f t="shared" si="114"/>
        <v>2570</v>
      </c>
      <c r="RS129" s="202" t="str">
        <f t="shared" ca="1" si="69"/>
        <v>Attente…</v>
      </c>
      <c r="RT129" s="103"/>
      <c r="RU129" s="203">
        <f t="shared" si="115"/>
        <v>0.32948717948717948</v>
      </c>
      <c r="RV129" s="204">
        <f t="shared" si="118"/>
        <v>1</v>
      </c>
      <c r="RW129" s="204">
        <f t="shared" si="118"/>
        <v>1</v>
      </c>
      <c r="RX129" s="204">
        <f t="shared" si="116"/>
        <v>39</v>
      </c>
      <c r="RY129" s="205" t="str">
        <f t="shared" si="117"/>
        <v>GOUY - 28 rue du Poste (Suivre "Résidence Perelles" - Sur le parking)</v>
      </c>
      <c r="RZ129" s="189" t="str">
        <f>IF(OR(RZ128="",RZ128="  &lt;/Document&gt;
&lt;/kml&gt;"),"",
IF(B129="","  &lt;/Document&gt;
&lt;/kml&gt;",
IF(TournéesCAV!Q129=""," ",
"    &lt;Placemark&gt;
      &lt;description&gt;&lt;![CDATA["&amp;B129&amp;"&lt;br&gt;&lt;br&gt;"&amp;RV129&amp;" CAV&lt;br&gt;&lt;br&gt;Présent sur "&amp;RW129&amp;" tournée(s)&lt;br&gt;&lt;br&gt;Taux de remplissage moyen "&amp;TEXT(RU129*1000,"0 %")&amp;"]]&gt;&lt;/description&gt;
      &lt;Style&gt;
        &lt;IconStyle&gt;
          &lt;color&gt;ff"&amp;
          DEC2HEX(0,2)&amp;
          DEC2HEX(
            IF(RU129&lt;=0.5,
               INT(255*(RU129*2)),
               255
            ),2)&amp;
          DEC2HEX(
            IF(RU129&lt;=0.5,
               255,
               INT(255*(1-(RU129-0.5)*2))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&lt;Point&gt;&lt;coordinates&gt;"&amp;R129&amp;","&amp;Q129&amp;",0&lt;/coordinates&gt;&lt;/Point&gt;
    &lt;/Placemark&gt;"
)))</f>
        <v xml:space="preserve">    &lt;Placemark&gt;
      &lt;description&gt;&lt;![CDATA[GOUY - 28 rue du Poste (Suivre "Résidence Perelles" - Sur le parking)&lt;br&gt;&lt;br&gt;1 CAV&lt;br&gt;&lt;br&gt;Présent sur 1 tournée(s)&lt;br&gt;&lt;br&gt;Taux de remplissage moyen 33%]]&gt;&lt;/description&gt;
      &lt;Style&gt;
        &lt;IconStyle&gt;
          &lt;color&gt;ff00A8FF&lt;/color&gt;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&lt;Point&gt;&lt;coordinates&gt;1.1474265,49.3534984,0&lt;/coordinates&gt;&lt;/Point&gt;
    &lt;/Placemark&gt;</v>
      </c>
    </row>
    <row r="130" spans="2:494" ht="15" customHeight="1" x14ac:dyDescent="0.35">
      <c r="B130" s="153" t="str">
        <f t="shared" si="70"/>
        <v>ROUEN - 25 rue de la Poterne (Entrée escalier Parking)</v>
      </c>
      <c r="C130" s="154">
        <v>186</v>
      </c>
      <c r="D130" s="155"/>
      <c r="E130" s="155"/>
      <c r="F130" s="155"/>
      <c r="G130" s="155"/>
      <c r="H130" s="155"/>
      <c r="I130" s="155"/>
      <c r="J130" s="156"/>
      <c r="K130" s="157">
        <f t="shared" si="71"/>
        <v>1</v>
      </c>
      <c r="L130" s="157">
        <f t="shared" si="72"/>
        <v>2</v>
      </c>
      <c r="M130" s="158" t="s">
        <v>741</v>
      </c>
      <c r="N130" s="159" t="s">
        <v>742</v>
      </c>
      <c r="O130" s="159">
        <v>76000</v>
      </c>
      <c r="P130" s="159" t="s">
        <v>90</v>
      </c>
      <c r="Q130" s="159" t="s">
        <v>743</v>
      </c>
      <c r="R130" s="159" t="s">
        <v>744</v>
      </c>
      <c r="S130" s="159" t="s">
        <v>93</v>
      </c>
      <c r="T130" s="159" t="s">
        <v>94</v>
      </c>
      <c r="U130" s="159" t="s">
        <v>745</v>
      </c>
      <c r="V130" s="160" t="s">
        <v>96</v>
      </c>
      <c r="W130" s="210">
        <v>2</v>
      </c>
      <c r="X130" s="162">
        <v>2</v>
      </c>
      <c r="Y130" s="162"/>
      <c r="Z130" s="162"/>
      <c r="AA130" s="162"/>
      <c r="AB130" s="162"/>
      <c r="AC130" s="162"/>
      <c r="AD130" s="162"/>
      <c r="AE130" s="162"/>
      <c r="AF130" s="162"/>
      <c r="AG130" s="162"/>
      <c r="AH130" s="162"/>
      <c r="AI130" s="162"/>
      <c r="AJ130" s="162"/>
      <c r="AK130" s="162"/>
      <c r="AL130" s="162"/>
      <c r="AM130" s="162"/>
      <c r="AN130" s="162"/>
      <c r="AO130" s="162"/>
      <c r="AP130" s="164"/>
      <c r="AQ130" s="164"/>
      <c r="AR130" s="164"/>
      <c r="AS130" s="164"/>
      <c r="AT130" s="164"/>
      <c r="AU130" s="164"/>
      <c r="AV130" s="164"/>
      <c r="AW130" s="164"/>
      <c r="AX130" s="164"/>
      <c r="AY130" s="165"/>
      <c r="AZ130" s="41"/>
      <c r="BA130" s="190"/>
      <c r="BB130" s="191"/>
      <c r="BC130" s="191">
        <v>200</v>
      </c>
      <c r="BD130" s="191"/>
      <c r="BE130" s="191"/>
      <c r="BF130" s="191"/>
      <c r="BG130" s="191"/>
      <c r="BH130" s="191"/>
      <c r="BI130" s="191"/>
      <c r="BJ130" s="191">
        <v>100</v>
      </c>
      <c r="BK130" s="191"/>
      <c r="BL130" s="191"/>
      <c r="BM130" s="191">
        <v>50</v>
      </c>
      <c r="BN130" s="191"/>
      <c r="BO130" s="191"/>
      <c r="BP130" s="191"/>
      <c r="BQ130" s="191">
        <v>50</v>
      </c>
      <c r="BR130" s="191"/>
      <c r="BS130" s="191"/>
      <c r="BT130" s="191"/>
      <c r="BU130" s="191"/>
      <c r="BV130" s="191"/>
      <c r="BW130" s="191"/>
      <c r="BX130" s="191">
        <v>200</v>
      </c>
      <c r="BY130" s="191"/>
      <c r="BZ130" s="191"/>
      <c r="CA130" s="191"/>
      <c r="CB130" s="191"/>
      <c r="CC130" s="191"/>
      <c r="CD130" s="191"/>
      <c r="CE130" s="192">
        <v>100</v>
      </c>
      <c r="CF130" s="190"/>
      <c r="CG130" s="191"/>
      <c r="CH130" s="191"/>
      <c r="CI130" s="191"/>
      <c r="CJ130" s="191"/>
      <c r="CK130" s="191"/>
      <c r="CL130" s="191">
        <v>200</v>
      </c>
      <c r="CM130" s="191"/>
      <c r="CN130" s="191"/>
      <c r="CO130" s="191">
        <v>50</v>
      </c>
      <c r="CP130" s="191"/>
      <c r="CQ130" s="191"/>
      <c r="CR130" s="191"/>
      <c r="CS130" s="191">
        <v>50</v>
      </c>
      <c r="CT130" s="191"/>
      <c r="CU130" s="191"/>
      <c r="CV130" s="191">
        <v>100</v>
      </c>
      <c r="CW130" s="191"/>
      <c r="CX130" s="191"/>
      <c r="CY130" s="191"/>
      <c r="CZ130" s="191">
        <v>100</v>
      </c>
      <c r="DA130" s="191"/>
      <c r="DB130" s="191"/>
      <c r="DC130" s="191">
        <v>100</v>
      </c>
      <c r="DD130" s="191"/>
      <c r="DE130" s="191"/>
      <c r="DF130" s="191"/>
      <c r="DG130" s="191">
        <v>50</v>
      </c>
      <c r="DH130" s="193"/>
      <c r="DI130" s="194"/>
      <c r="DJ130" s="191"/>
      <c r="DK130" s="191">
        <v>50</v>
      </c>
      <c r="DL130" s="191"/>
      <c r="DM130" s="191"/>
      <c r="DN130" s="191"/>
      <c r="DO130" s="191"/>
      <c r="DP130" s="191"/>
      <c r="DQ130" s="191"/>
      <c r="DR130" s="191">
        <v>100</v>
      </c>
      <c r="DS130" s="191"/>
      <c r="DT130" s="191"/>
      <c r="DU130" s="191"/>
      <c r="DV130" s="191">
        <v>10</v>
      </c>
      <c r="DW130" s="191"/>
      <c r="DX130" s="191"/>
      <c r="DY130" s="191">
        <v>100</v>
      </c>
      <c r="DZ130" s="191"/>
      <c r="EA130" s="191"/>
      <c r="EB130" s="191"/>
      <c r="EC130" s="191">
        <v>100</v>
      </c>
      <c r="ED130" s="191"/>
      <c r="EE130" s="191"/>
      <c r="EF130" s="191">
        <v>100</v>
      </c>
      <c r="EG130" s="191"/>
      <c r="EH130" s="191"/>
      <c r="EI130" s="191"/>
      <c r="EJ130" s="191">
        <v>50</v>
      </c>
      <c r="EK130" s="191"/>
      <c r="EL130" s="191"/>
      <c r="EM130" s="192">
        <v>50</v>
      </c>
      <c r="EN130" s="190"/>
      <c r="EO130" s="191"/>
      <c r="EP130" s="191"/>
      <c r="EQ130" s="191">
        <v>100</v>
      </c>
      <c r="ER130" s="191"/>
      <c r="ES130" s="191"/>
      <c r="ET130" s="191">
        <v>100</v>
      </c>
      <c r="EU130" s="191"/>
      <c r="EV130" s="191"/>
      <c r="EW130" s="191"/>
      <c r="EX130" s="191">
        <v>150</v>
      </c>
      <c r="EY130" s="191"/>
      <c r="EZ130" s="191"/>
      <c r="FA130" s="191">
        <v>100</v>
      </c>
      <c r="FB130" s="191"/>
      <c r="FC130" s="191"/>
      <c r="FD130" s="191"/>
      <c r="FE130" s="191">
        <v>50</v>
      </c>
      <c r="FF130" s="191"/>
      <c r="FG130" s="191"/>
      <c r="FH130" s="191"/>
      <c r="FI130" s="191"/>
      <c r="FJ130" s="191"/>
      <c r="FK130" s="191">
        <v>200</v>
      </c>
      <c r="FL130" s="191"/>
      <c r="FM130" s="191"/>
      <c r="FN130" s="191"/>
      <c r="FO130" s="191">
        <v>150</v>
      </c>
      <c r="FP130" s="191"/>
      <c r="FQ130" s="193"/>
      <c r="FR130" s="194"/>
      <c r="FS130" s="191"/>
      <c r="FT130" s="191"/>
      <c r="FU130" s="191"/>
      <c r="FV130" s="191">
        <v>200</v>
      </c>
      <c r="FW130" s="191"/>
      <c r="FX130" s="191"/>
      <c r="FY130" s="191"/>
      <c r="FZ130" s="191">
        <v>100</v>
      </c>
      <c r="GA130" s="191"/>
      <c r="GB130" s="191"/>
      <c r="GC130" s="191">
        <v>50</v>
      </c>
      <c r="GD130" s="191"/>
      <c r="GE130" s="191"/>
      <c r="GF130" s="191"/>
      <c r="GG130" s="191">
        <v>100</v>
      </c>
      <c r="GH130" s="191"/>
      <c r="GI130" s="191"/>
      <c r="GJ130" s="191">
        <v>100</v>
      </c>
      <c r="GK130" s="191"/>
      <c r="GL130" s="191"/>
      <c r="GM130" s="191"/>
      <c r="GN130" s="191">
        <v>50</v>
      </c>
      <c r="GO130" s="191"/>
      <c r="GP130" s="191"/>
      <c r="GQ130" s="191">
        <v>50</v>
      </c>
      <c r="GR130" s="191"/>
      <c r="GS130" s="191"/>
      <c r="GT130" s="191"/>
      <c r="GU130" s="191"/>
      <c r="GV130" s="192"/>
      <c r="GW130" s="190"/>
      <c r="GX130" s="191">
        <v>200</v>
      </c>
      <c r="GY130" s="191"/>
      <c r="GZ130" s="191"/>
      <c r="HA130" s="191"/>
      <c r="HB130" s="191">
        <v>50</v>
      </c>
      <c r="HC130" s="191"/>
      <c r="HD130" s="191"/>
      <c r="HE130" s="191"/>
      <c r="HF130" s="191"/>
      <c r="HG130" s="191">
        <v>100</v>
      </c>
      <c r="HH130" s="191">
        <v>100</v>
      </c>
      <c r="HI130" s="191"/>
      <c r="HJ130" s="191"/>
      <c r="HK130" s="191"/>
      <c r="HL130" s="191"/>
      <c r="HM130" s="191"/>
      <c r="HN130" s="191"/>
      <c r="HO130" s="191">
        <v>150</v>
      </c>
      <c r="HP130" s="191"/>
      <c r="HQ130" s="191"/>
      <c r="HR130" s="191"/>
      <c r="HS130" s="191">
        <v>150</v>
      </c>
      <c r="HT130" s="191"/>
      <c r="HU130" s="191"/>
      <c r="HV130" s="191"/>
      <c r="HW130" s="191">
        <v>50</v>
      </c>
      <c r="HX130" s="191"/>
      <c r="HY130" s="191"/>
      <c r="HZ130" s="193">
        <v>50</v>
      </c>
      <c r="IA130" s="194"/>
      <c r="IB130" s="191"/>
      <c r="IC130" s="191"/>
      <c r="ID130" s="191">
        <v>200</v>
      </c>
      <c r="IE130" s="191"/>
      <c r="IF130" s="191"/>
      <c r="IG130" s="191"/>
      <c r="IH130" s="191"/>
      <c r="II130" s="191"/>
      <c r="IJ130" s="191">
        <v>200</v>
      </c>
      <c r="IK130" s="191"/>
      <c r="IL130" s="191"/>
      <c r="IM130" s="191"/>
      <c r="IN130" s="191">
        <v>150</v>
      </c>
      <c r="IO130" s="191"/>
      <c r="IP130" s="191"/>
      <c r="IQ130" s="191"/>
      <c r="IR130" s="191"/>
      <c r="IS130" s="191"/>
      <c r="IT130" s="191"/>
      <c r="IU130" s="191">
        <v>150</v>
      </c>
      <c r="IV130" s="191"/>
      <c r="IW130" s="191"/>
      <c r="IX130" s="191"/>
      <c r="IY130" s="191"/>
      <c r="IZ130" s="191"/>
      <c r="JA130" s="191"/>
      <c r="JB130" s="191"/>
      <c r="JC130" s="191">
        <v>200</v>
      </c>
      <c r="JD130" s="191"/>
      <c r="JE130" s="192"/>
      <c r="JF130" s="190">
        <v>150</v>
      </c>
      <c r="JG130" s="191"/>
      <c r="JH130" s="191"/>
      <c r="JI130" s="191">
        <v>100</v>
      </c>
      <c r="JJ130" s="191"/>
      <c r="JK130" s="191"/>
      <c r="JL130" s="191"/>
      <c r="JM130" s="191">
        <v>50</v>
      </c>
      <c r="JN130" s="191"/>
      <c r="JO130" s="191"/>
      <c r="JP130" s="191">
        <v>50</v>
      </c>
      <c r="JQ130" s="191"/>
      <c r="JR130" s="191"/>
      <c r="JS130" s="191"/>
      <c r="JT130" s="191"/>
      <c r="JU130" s="191"/>
      <c r="JV130" s="191"/>
      <c r="JW130" s="191">
        <v>100</v>
      </c>
      <c r="JX130" s="191"/>
      <c r="JY130" s="191"/>
      <c r="JZ130" s="191"/>
      <c r="KA130" s="191">
        <v>100</v>
      </c>
      <c r="KB130" s="191"/>
      <c r="KC130" s="191"/>
      <c r="KD130" s="191">
        <v>50</v>
      </c>
      <c r="KE130" s="191"/>
      <c r="KF130" s="191"/>
      <c r="KG130" s="191"/>
      <c r="KH130" s="191">
        <v>150</v>
      </c>
      <c r="KI130" s="191"/>
      <c r="KJ130" s="193"/>
      <c r="KK130" s="194">
        <v>100</v>
      </c>
      <c r="KL130" s="191"/>
      <c r="KM130" s="191"/>
      <c r="KN130" s="191"/>
      <c r="KO130" s="191"/>
      <c r="KP130" s="191"/>
      <c r="KQ130" s="191"/>
      <c r="KR130" s="191">
        <v>100</v>
      </c>
      <c r="KS130" s="191"/>
      <c r="KT130" s="191"/>
      <c r="KU130" s="191"/>
      <c r="KV130" s="191"/>
      <c r="KW130" s="191"/>
      <c r="KX130" s="191"/>
      <c r="KY130" s="191">
        <v>200</v>
      </c>
      <c r="KZ130" s="191"/>
      <c r="LA130" s="191"/>
      <c r="LB130" s="191"/>
      <c r="LC130" s="191">
        <v>50</v>
      </c>
      <c r="LD130" s="191"/>
      <c r="LE130" s="191"/>
      <c r="LF130" s="191">
        <v>100</v>
      </c>
      <c r="LG130" s="191"/>
      <c r="LH130" s="191"/>
      <c r="LI130" s="191"/>
      <c r="LJ130" s="191">
        <v>100</v>
      </c>
      <c r="LK130" s="191"/>
      <c r="LL130" s="191"/>
      <c r="LM130" s="191">
        <v>100</v>
      </c>
      <c r="LN130" s="192"/>
      <c r="LO130" s="190"/>
      <c r="LP130" s="191"/>
      <c r="LQ130" s="191"/>
      <c r="LR130" s="191"/>
      <c r="LS130" s="191"/>
      <c r="LT130" s="191">
        <v>150</v>
      </c>
      <c r="LU130" s="191"/>
      <c r="LV130" s="191"/>
      <c r="LW130" s="191"/>
      <c r="LX130" s="191">
        <v>50</v>
      </c>
      <c r="LY130" s="191"/>
      <c r="LZ130" s="191"/>
      <c r="MA130" s="191">
        <v>10</v>
      </c>
      <c r="MB130" s="191"/>
      <c r="MC130" s="191"/>
      <c r="MD130" s="191"/>
      <c r="ME130" s="191">
        <v>50</v>
      </c>
      <c r="MF130" s="191"/>
      <c r="MG130" s="191"/>
      <c r="MH130" s="191">
        <v>50</v>
      </c>
      <c r="MI130" s="191"/>
      <c r="MJ130" s="191"/>
      <c r="MK130" s="191"/>
      <c r="ML130" s="191">
        <v>50</v>
      </c>
      <c r="MM130" s="191"/>
      <c r="MN130" s="191"/>
      <c r="MO130" s="191">
        <v>10</v>
      </c>
      <c r="MP130" s="191"/>
      <c r="MQ130" s="191"/>
      <c r="MR130" s="191"/>
      <c r="MS130" s="193">
        <v>100</v>
      </c>
      <c r="MT130" s="194"/>
      <c r="MU130" s="191"/>
      <c r="MV130" s="191">
        <v>50</v>
      </c>
      <c r="MW130" s="191"/>
      <c r="MX130" s="191"/>
      <c r="MY130" s="191"/>
      <c r="MZ130" s="191">
        <v>50</v>
      </c>
      <c r="NA130" s="191"/>
      <c r="NB130" s="191"/>
      <c r="NC130" s="191">
        <v>50</v>
      </c>
      <c r="ND130" s="191"/>
      <c r="NE130" s="191"/>
      <c r="NF130" s="191"/>
      <c r="NG130" s="191">
        <v>50</v>
      </c>
      <c r="NH130" s="191"/>
      <c r="NI130" s="191"/>
      <c r="NJ130" s="191">
        <v>100</v>
      </c>
      <c r="NK130" s="191"/>
      <c r="NL130" s="191"/>
      <c r="NM130" s="191"/>
      <c r="NN130" s="191">
        <v>50</v>
      </c>
      <c r="NO130" s="191"/>
      <c r="NP130" s="191"/>
      <c r="NQ130" s="191">
        <v>50</v>
      </c>
      <c r="NR130" s="191"/>
      <c r="NS130" s="191"/>
      <c r="NT130" s="191"/>
      <c r="NU130" s="191">
        <v>100</v>
      </c>
      <c r="NV130" s="191"/>
      <c r="NW130" s="192"/>
      <c r="NX130" s="190">
        <v>50</v>
      </c>
      <c r="NY130" s="191"/>
      <c r="NZ130" s="191"/>
      <c r="OA130" s="191"/>
      <c r="OB130" s="191">
        <v>100</v>
      </c>
      <c r="OC130" s="191"/>
      <c r="OD130" s="191"/>
      <c r="OE130" s="191">
        <v>50</v>
      </c>
      <c r="OF130" s="191"/>
      <c r="OG130" s="191"/>
      <c r="OH130" s="191"/>
      <c r="OI130" s="191">
        <v>50</v>
      </c>
      <c r="OJ130" s="191"/>
      <c r="OK130" s="191"/>
      <c r="OL130" s="191"/>
      <c r="OM130" s="191"/>
      <c r="ON130" s="191"/>
      <c r="OO130" s="191"/>
      <c r="OP130" s="191"/>
      <c r="OQ130" s="191"/>
      <c r="OR130" s="191"/>
      <c r="OS130" s="191"/>
      <c r="OT130" s="191"/>
      <c r="OU130" s="191"/>
      <c r="OV130" s="191"/>
      <c r="OW130" s="191"/>
      <c r="OX130" s="191"/>
      <c r="OY130" s="191"/>
      <c r="OZ130" s="191"/>
      <c r="PA130" s="191"/>
      <c r="PB130" s="193"/>
      <c r="PC130" s="47"/>
      <c r="PD130" s="154" t="s">
        <v>97</v>
      </c>
      <c r="PE130" s="155" t="s">
        <v>98</v>
      </c>
      <c r="PF130" s="155" t="s">
        <v>98</v>
      </c>
      <c r="PG130" s="155" t="s">
        <v>98</v>
      </c>
      <c r="PH130" s="155" t="s">
        <v>98</v>
      </c>
      <c r="PI130" s="155" t="s">
        <v>98</v>
      </c>
      <c r="PJ130" s="155" t="s">
        <v>98</v>
      </c>
      <c r="PK130" s="155" t="s">
        <v>98</v>
      </c>
      <c r="PL130" s="155" t="s">
        <v>98</v>
      </c>
      <c r="PM130" s="155" t="s">
        <v>98</v>
      </c>
      <c r="PN130" s="155" t="s">
        <v>98</v>
      </c>
      <c r="PO130" s="156"/>
      <c r="PP130" s="156"/>
      <c r="PQ130" s="156"/>
      <c r="PR130" s="156"/>
      <c r="PS130" s="156"/>
      <c r="PT130" s="156"/>
      <c r="PU130" s="156"/>
      <c r="PV130" s="156"/>
      <c r="PW130" s="156"/>
      <c r="PX130" s="195"/>
      <c r="PY130" s="1"/>
      <c r="PZ130" s="196">
        <f t="shared" si="73"/>
        <v>700</v>
      </c>
      <c r="QA130" s="176">
        <f t="shared" si="74"/>
        <v>5.8396596312672066E-3</v>
      </c>
      <c r="QB130" s="177" t="str">
        <f t="shared" ca="1" si="75"/>
        <v>Attente…</v>
      </c>
      <c r="QC130" s="197">
        <f t="shared" si="76"/>
        <v>650</v>
      </c>
      <c r="QD130" s="179">
        <f t="shared" si="77"/>
        <v>6.0861423220973784E-3</v>
      </c>
      <c r="QE130" s="180" t="str">
        <f t="shared" ca="1" si="78"/>
        <v>Attente…</v>
      </c>
      <c r="QF130" s="196">
        <f t="shared" si="79"/>
        <v>560</v>
      </c>
      <c r="QG130" s="176">
        <f t="shared" si="80"/>
        <v>4.459308807134894E-3</v>
      </c>
      <c r="QH130" s="177" t="str">
        <f t="shared" ca="1" si="81"/>
        <v>Attente…</v>
      </c>
      <c r="QI130" s="197">
        <f t="shared" si="82"/>
        <v>850</v>
      </c>
      <c r="QJ130" s="179">
        <f t="shared" si="83"/>
        <v>5.9615654369476788E-3</v>
      </c>
      <c r="QK130" s="180" t="str">
        <f t="shared" ca="1" si="84"/>
        <v>Attente…</v>
      </c>
      <c r="QL130" s="196">
        <f t="shared" si="85"/>
        <v>650</v>
      </c>
      <c r="QM130" s="176">
        <f t="shared" si="86"/>
        <v>4.755633596722271E-3</v>
      </c>
      <c r="QN130" s="177" t="str">
        <f t="shared" ca="1" si="87"/>
        <v>Attente…</v>
      </c>
      <c r="QO130" s="197">
        <f t="shared" si="88"/>
        <v>850</v>
      </c>
      <c r="QP130" s="179">
        <f t="shared" si="89"/>
        <v>6.6546621780317859E-3</v>
      </c>
      <c r="QQ130" s="180" t="str">
        <f t="shared" ca="1" si="90"/>
        <v>Attente…</v>
      </c>
      <c r="QR130" s="196">
        <f t="shared" si="91"/>
        <v>900</v>
      </c>
      <c r="QS130" s="176">
        <f t="shared" si="92"/>
        <v>6.4792484071847668E-3</v>
      </c>
      <c r="QT130" s="177" t="str">
        <f t="shared" ca="1" si="93"/>
        <v>Attente…</v>
      </c>
      <c r="QU130" s="197">
        <f t="shared" si="94"/>
        <v>750</v>
      </c>
      <c r="QV130" s="179">
        <f t="shared" si="95"/>
        <v>5.1709873138444567E-3</v>
      </c>
      <c r="QW130" s="180" t="str">
        <f t="shared" ca="1" si="96"/>
        <v>Attente…</v>
      </c>
      <c r="QX130" s="196">
        <f t="shared" si="97"/>
        <v>750</v>
      </c>
      <c r="QY130" s="176">
        <f t="shared" si="98"/>
        <v>5.4730143903791708E-3</v>
      </c>
      <c r="QZ130" s="177" t="str">
        <f t="shared" ca="1" si="99"/>
        <v>Attente…</v>
      </c>
      <c r="RA130" s="197">
        <f t="shared" si="100"/>
        <v>470</v>
      </c>
      <c r="RB130" s="179">
        <f t="shared" si="101"/>
        <v>3.677333541976371E-3</v>
      </c>
      <c r="RC130" s="180" t="str">
        <f t="shared" ca="1" si="102"/>
        <v>Attente…</v>
      </c>
      <c r="RD130" s="196">
        <f t="shared" si="103"/>
        <v>500</v>
      </c>
      <c r="RE130" s="176">
        <f t="shared" si="104"/>
        <v>4.9820645675567954E-3</v>
      </c>
      <c r="RF130" s="177" t="str">
        <f t="shared" ca="1" si="105"/>
        <v>Attente…</v>
      </c>
      <c r="RG130" s="197">
        <f t="shared" si="106"/>
        <v>250</v>
      </c>
      <c r="RH130" s="179">
        <f t="shared" si="107"/>
        <v>4.5981239654221077E-3</v>
      </c>
      <c r="RI130" s="198" t="str">
        <f t="shared" ca="1" si="108"/>
        <v>Attente…</v>
      </c>
      <c r="RJ130" s="199">
        <f t="shared" si="109"/>
        <v>1910</v>
      </c>
      <c r="RK130" s="200" t="str">
        <f t="shared" ca="1" si="66"/>
        <v>Attente…</v>
      </c>
      <c r="RL130" s="199">
        <f t="shared" si="110"/>
        <v>2350</v>
      </c>
      <c r="RM130" s="200" t="str">
        <f t="shared" ca="1" si="111"/>
        <v>Atttente…</v>
      </c>
      <c r="RN130" s="199">
        <f t="shared" si="112"/>
        <v>2400</v>
      </c>
      <c r="RO130" s="200" t="str">
        <f t="shared" ca="1" si="67"/>
        <v>Attente…</v>
      </c>
      <c r="RP130" s="199">
        <f t="shared" si="113"/>
        <v>1220</v>
      </c>
      <c r="RQ130" s="200" t="str">
        <f t="shared" ca="1" si="68"/>
        <v>Attente…</v>
      </c>
      <c r="RR130" s="201">
        <f t="shared" si="114"/>
        <v>7880</v>
      </c>
      <c r="RS130" s="202" t="str">
        <f t="shared" ca="1" si="69"/>
        <v>Attente…</v>
      </c>
      <c r="RT130" s="103"/>
      <c r="RU130" s="203">
        <f t="shared" si="115"/>
        <v>0.47469879518072289</v>
      </c>
      <c r="RV130" s="204">
        <f t="shared" si="118"/>
        <v>1</v>
      </c>
      <c r="RW130" s="204">
        <f t="shared" si="118"/>
        <v>2</v>
      </c>
      <c r="RX130" s="204">
        <f t="shared" si="116"/>
        <v>83</v>
      </c>
      <c r="RY130" s="205" t="str">
        <f t="shared" si="117"/>
        <v>ROUEN - 25 rue de la Poterne (Entrée escalier Parking)</v>
      </c>
      <c r="RZ130" s="189" t="str">
        <f>IF(OR(RZ129="",RZ129="  &lt;/Document&gt;
&lt;/kml&gt;"),"",
IF(B130="","  &lt;/Document&gt;
&lt;/kml&gt;",
IF(TournéesCAV!Q130=""," ",
"    &lt;Placemark&gt;
      &lt;description&gt;&lt;![CDATA["&amp;B130&amp;"&lt;br&gt;&lt;br&gt;"&amp;RV130&amp;" CAV&lt;br&gt;&lt;br&gt;Présent sur "&amp;RW130&amp;" tournée(s)&lt;br&gt;&lt;br&gt;Taux de remplissage moyen "&amp;TEXT(RU130*1000,"0 %")&amp;"]]&gt;&lt;/description&gt;
      &lt;Style&gt;
        &lt;IconStyle&gt;
          &lt;color&gt;ff"&amp;
          DEC2HEX(0,2)&amp;
          DEC2HEX(
            IF(RU130&lt;=0.5,
               INT(255*(RU130*2)),
               255
            ),2)&amp;
          DEC2HEX(
            IF(RU130&lt;=0.5,
               255,
               INT(255*(1-(RU130-0.5)*2))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&lt;Point&gt;&lt;coordinates&gt;"&amp;R130&amp;","&amp;Q130&amp;",0&lt;/coordinates&gt;&lt;/Point&gt;
    &lt;/Placemark&gt;"
)))</f>
        <v xml:space="preserve">    &lt;Placemark&gt;
      &lt;description&gt;&lt;![CDATA[ROUEN - 25 rue de la Poterne (Entrée escalier Parking)&lt;br&gt;&lt;br&gt;1 CAV&lt;br&gt;&lt;br&gt;Présent sur 2 tournée(s)&lt;br&gt;&lt;br&gt;Taux de remplissage moyen 47%]]&gt;&lt;/description&gt;
      &lt;Style&gt;
        &lt;IconStyle&gt;
          &lt;color&gt;ff00F2FF&lt;/color&gt;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&lt;Point&gt;&lt;coordinates&gt;1.0926687,49.4435782,0&lt;/coordinates&gt;&lt;/Point&gt;
    &lt;/Placemark&gt;</v>
      </c>
    </row>
    <row r="131" spans="2:494" ht="15" customHeight="1" x14ac:dyDescent="0.35">
      <c r="B131" s="153" t="str">
        <f t="shared" si="70"/>
        <v>ROUEN - 35 rue Orbe (Près de Franprix)</v>
      </c>
      <c r="C131" s="154">
        <v>185</v>
      </c>
      <c r="D131" s="155"/>
      <c r="E131" s="155"/>
      <c r="F131" s="155"/>
      <c r="G131" s="155"/>
      <c r="H131" s="155"/>
      <c r="I131" s="155"/>
      <c r="J131" s="156"/>
      <c r="K131" s="157">
        <f t="shared" si="71"/>
        <v>1</v>
      </c>
      <c r="L131" s="157">
        <f t="shared" si="72"/>
        <v>2</v>
      </c>
      <c r="M131" s="158" t="s">
        <v>746</v>
      </c>
      <c r="N131" s="159" t="s">
        <v>747</v>
      </c>
      <c r="O131" s="159">
        <v>76000</v>
      </c>
      <c r="P131" s="159" t="s">
        <v>90</v>
      </c>
      <c r="Q131" s="159" t="s">
        <v>748</v>
      </c>
      <c r="R131" s="159" t="s">
        <v>749</v>
      </c>
      <c r="S131" s="159" t="s">
        <v>93</v>
      </c>
      <c r="T131" s="159" t="s">
        <v>94</v>
      </c>
      <c r="U131" s="159" t="s">
        <v>750</v>
      </c>
      <c r="V131" s="160" t="s">
        <v>96</v>
      </c>
      <c r="W131" s="210">
        <v>3</v>
      </c>
      <c r="X131" s="162">
        <v>3</v>
      </c>
      <c r="Y131" s="162"/>
      <c r="Z131" s="162"/>
      <c r="AA131" s="162"/>
      <c r="AB131" s="162"/>
      <c r="AC131" s="162"/>
      <c r="AD131" s="162"/>
      <c r="AE131" s="162"/>
      <c r="AF131" s="162"/>
      <c r="AG131" s="162"/>
      <c r="AH131" s="162"/>
      <c r="AI131" s="162"/>
      <c r="AJ131" s="162"/>
      <c r="AK131" s="162"/>
      <c r="AL131" s="162"/>
      <c r="AM131" s="162"/>
      <c r="AN131" s="162"/>
      <c r="AO131" s="162"/>
      <c r="AP131" s="164"/>
      <c r="AQ131" s="164"/>
      <c r="AR131" s="164"/>
      <c r="AS131" s="164"/>
      <c r="AT131" s="164"/>
      <c r="AU131" s="164"/>
      <c r="AV131" s="164"/>
      <c r="AW131" s="164"/>
      <c r="AX131" s="164"/>
      <c r="AY131" s="165"/>
      <c r="AZ131" s="41"/>
      <c r="BA131" s="190"/>
      <c r="BB131" s="191"/>
      <c r="BC131" s="191">
        <v>200</v>
      </c>
      <c r="BD131" s="191"/>
      <c r="BE131" s="191"/>
      <c r="BF131" s="191"/>
      <c r="BG131" s="191"/>
      <c r="BH131" s="191"/>
      <c r="BI131" s="191"/>
      <c r="BJ131" s="191">
        <v>100</v>
      </c>
      <c r="BK131" s="191"/>
      <c r="BL131" s="191"/>
      <c r="BM131" s="191">
        <v>100</v>
      </c>
      <c r="BN131" s="191"/>
      <c r="BO131" s="191"/>
      <c r="BP131" s="191"/>
      <c r="BQ131" s="191">
        <v>10</v>
      </c>
      <c r="BR131" s="191"/>
      <c r="BS131" s="191"/>
      <c r="BT131" s="191"/>
      <c r="BU131" s="191"/>
      <c r="BV131" s="191"/>
      <c r="BW131" s="191"/>
      <c r="BX131" s="191">
        <v>100</v>
      </c>
      <c r="BY131" s="191"/>
      <c r="BZ131" s="191"/>
      <c r="CA131" s="191"/>
      <c r="CB131" s="191"/>
      <c r="CC131" s="191"/>
      <c r="CD131" s="191"/>
      <c r="CE131" s="192">
        <v>100</v>
      </c>
      <c r="CF131" s="190"/>
      <c r="CG131" s="191"/>
      <c r="CH131" s="191"/>
      <c r="CI131" s="191"/>
      <c r="CJ131" s="191"/>
      <c r="CK131" s="191"/>
      <c r="CL131" s="191">
        <v>100</v>
      </c>
      <c r="CM131" s="191"/>
      <c r="CN131" s="191"/>
      <c r="CO131" s="191">
        <v>100</v>
      </c>
      <c r="CP131" s="191"/>
      <c r="CQ131" s="191"/>
      <c r="CR131" s="191"/>
      <c r="CS131" s="191">
        <v>100</v>
      </c>
      <c r="CT131" s="191"/>
      <c r="CU131" s="191"/>
      <c r="CV131" s="191">
        <v>100</v>
      </c>
      <c r="CW131" s="191"/>
      <c r="CX131" s="191"/>
      <c r="CY131" s="191"/>
      <c r="CZ131" s="191">
        <v>100</v>
      </c>
      <c r="DA131" s="191"/>
      <c r="DB131" s="191"/>
      <c r="DC131" s="191">
        <v>100</v>
      </c>
      <c r="DD131" s="191"/>
      <c r="DE131" s="191"/>
      <c r="DF131" s="191"/>
      <c r="DG131" s="191">
        <v>50</v>
      </c>
      <c r="DH131" s="193"/>
      <c r="DI131" s="194"/>
      <c r="DJ131" s="191"/>
      <c r="DK131" s="191">
        <v>100</v>
      </c>
      <c r="DL131" s="191"/>
      <c r="DM131" s="191"/>
      <c r="DN131" s="191"/>
      <c r="DO131" s="191">
        <v>100</v>
      </c>
      <c r="DP131" s="191"/>
      <c r="DQ131" s="191"/>
      <c r="DR131" s="191"/>
      <c r="DS131" s="191"/>
      <c r="DT131" s="191"/>
      <c r="DU131" s="191"/>
      <c r="DV131" s="191">
        <v>100</v>
      </c>
      <c r="DW131" s="191"/>
      <c r="DX131" s="191"/>
      <c r="DY131" s="191">
        <v>100</v>
      </c>
      <c r="DZ131" s="191"/>
      <c r="EA131" s="191"/>
      <c r="EB131" s="191"/>
      <c r="EC131" s="191">
        <v>100</v>
      </c>
      <c r="ED131" s="191"/>
      <c r="EE131" s="191"/>
      <c r="EF131" s="191">
        <v>50</v>
      </c>
      <c r="EG131" s="191"/>
      <c r="EH131" s="191"/>
      <c r="EI131" s="191"/>
      <c r="EJ131" s="191">
        <v>100</v>
      </c>
      <c r="EK131" s="191"/>
      <c r="EL131" s="191"/>
      <c r="EM131" s="192">
        <v>150</v>
      </c>
      <c r="EN131" s="190"/>
      <c r="EO131" s="191"/>
      <c r="EP131" s="191"/>
      <c r="EQ131" s="191">
        <v>100</v>
      </c>
      <c r="ER131" s="191"/>
      <c r="ES131" s="191"/>
      <c r="ET131" s="191">
        <v>150</v>
      </c>
      <c r="EU131" s="191"/>
      <c r="EV131" s="191"/>
      <c r="EW131" s="191"/>
      <c r="EX131" s="191">
        <v>200</v>
      </c>
      <c r="EY131" s="191"/>
      <c r="EZ131" s="191"/>
      <c r="FA131" s="191">
        <v>100</v>
      </c>
      <c r="FB131" s="191"/>
      <c r="FC131" s="191"/>
      <c r="FD131" s="191"/>
      <c r="FE131" s="191">
        <v>100</v>
      </c>
      <c r="FF131" s="191"/>
      <c r="FG131" s="191"/>
      <c r="FH131" s="191"/>
      <c r="FI131" s="191"/>
      <c r="FJ131" s="191"/>
      <c r="FK131" s="191">
        <v>200</v>
      </c>
      <c r="FL131" s="191"/>
      <c r="FM131" s="191"/>
      <c r="FN131" s="191"/>
      <c r="FO131" s="191">
        <v>100</v>
      </c>
      <c r="FP131" s="191"/>
      <c r="FQ131" s="193"/>
      <c r="FR131" s="194"/>
      <c r="FS131" s="191"/>
      <c r="FT131" s="191"/>
      <c r="FU131" s="191"/>
      <c r="FV131" s="191">
        <v>200</v>
      </c>
      <c r="FW131" s="191"/>
      <c r="FX131" s="191"/>
      <c r="FY131" s="191"/>
      <c r="FZ131" s="191">
        <v>150</v>
      </c>
      <c r="GA131" s="191"/>
      <c r="GB131" s="191"/>
      <c r="GC131" s="191">
        <v>100</v>
      </c>
      <c r="GD131" s="191"/>
      <c r="GE131" s="191"/>
      <c r="GF131" s="191"/>
      <c r="GG131" s="191">
        <v>150</v>
      </c>
      <c r="GH131" s="191"/>
      <c r="GI131" s="191"/>
      <c r="GJ131" s="191">
        <v>150</v>
      </c>
      <c r="GK131" s="191"/>
      <c r="GL131" s="191"/>
      <c r="GM131" s="191"/>
      <c r="GN131" s="191">
        <v>50</v>
      </c>
      <c r="GO131" s="191"/>
      <c r="GP131" s="191"/>
      <c r="GQ131" s="191">
        <v>100</v>
      </c>
      <c r="GR131" s="191"/>
      <c r="GS131" s="191"/>
      <c r="GT131" s="191"/>
      <c r="GU131" s="191">
        <v>100</v>
      </c>
      <c r="GV131" s="192"/>
      <c r="GW131" s="190"/>
      <c r="GX131" s="191">
        <v>100</v>
      </c>
      <c r="GY131" s="191"/>
      <c r="GZ131" s="191"/>
      <c r="HA131" s="191"/>
      <c r="HB131" s="191">
        <v>50</v>
      </c>
      <c r="HC131" s="191"/>
      <c r="HD131" s="191"/>
      <c r="HE131" s="191"/>
      <c r="HF131" s="191"/>
      <c r="HG131" s="191"/>
      <c r="HH131" s="191"/>
      <c r="HI131" s="191">
        <v>100</v>
      </c>
      <c r="HJ131" s="191"/>
      <c r="HK131" s="191"/>
      <c r="HL131" s="191"/>
      <c r="HM131" s="191"/>
      <c r="HN131" s="191"/>
      <c r="HO131" s="191">
        <v>200</v>
      </c>
      <c r="HP131" s="191"/>
      <c r="HQ131" s="191"/>
      <c r="HR131" s="191"/>
      <c r="HS131" s="191">
        <v>200</v>
      </c>
      <c r="HT131" s="191"/>
      <c r="HU131" s="191"/>
      <c r="HV131" s="191"/>
      <c r="HW131" s="191">
        <v>100</v>
      </c>
      <c r="HX131" s="191"/>
      <c r="HY131" s="191"/>
      <c r="HZ131" s="193">
        <v>100</v>
      </c>
      <c r="IA131" s="194"/>
      <c r="IB131" s="191"/>
      <c r="IC131" s="191"/>
      <c r="ID131" s="191">
        <v>100</v>
      </c>
      <c r="IE131" s="191"/>
      <c r="IF131" s="191"/>
      <c r="IG131" s="191"/>
      <c r="IH131" s="191"/>
      <c r="II131" s="191"/>
      <c r="IJ131" s="191">
        <v>200</v>
      </c>
      <c r="IK131" s="191"/>
      <c r="IL131" s="191"/>
      <c r="IM131" s="191"/>
      <c r="IN131" s="191">
        <v>150</v>
      </c>
      <c r="IO131" s="191"/>
      <c r="IP131" s="191"/>
      <c r="IQ131" s="191"/>
      <c r="IR131" s="191"/>
      <c r="IS131" s="191"/>
      <c r="IT131" s="191"/>
      <c r="IU131" s="191">
        <v>15</v>
      </c>
      <c r="IV131" s="191"/>
      <c r="IW131" s="191"/>
      <c r="IX131" s="191"/>
      <c r="IY131" s="191"/>
      <c r="IZ131" s="191"/>
      <c r="JA131" s="191"/>
      <c r="JB131" s="191"/>
      <c r="JC131" s="191">
        <v>200</v>
      </c>
      <c r="JD131" s="191"/>
      <c r="JE131" s="192"/>
      <c r="JF131" s="190">
        <v>100</v>
      </c>
      <c r="JG131" s="191"/>
      <c r="JH131" s="191"/>
      <c r="JI131" s="191">
        <v>100</v>
      </c>
      <c r="JJ131" s="191"/>
      <c r="JK131" s="191"/>
      <c r="JL131" s="191"/>
      <c r="JM131" s="191">
        <v>50</v>
      </c>
      <c r="JN131" s="191"/>
      <c r="JO131" s="191"/>
      <c r="JP131" s="191">
        <v>100</v>
      </c>
      <c r="JQ131" s="191"/>
      <c r="JR131" s="191"/>
      <c r="JS131" s="191"/>
      <c r="JT131" s="191"/>
      <c r="JU131" s="191"/>
      <c r="JV131" s="191"/>
      <c r="JW131" s="191">
        <v>150</v>
      </c>
      <c r="JX131" s="191"/>
      <c r="JY131" s="191"/>
      <c r="JZ131" s="191"/>
      <c r="KA131" s="191">
        <v>150</v>
      </c>
      <c r="KB131" s="191"/>
      <c r="KC131" s="191"/>
      <c r="KD131" s="191">
        <v>100</v>
      </c>
      <c r="KE131" s="191"/>
      <c r="KF131" s="191"/>
      <c r="KG131" s="191"/>
      <c r="KH131" s="191">
        <v>150</v>
      </c>
      <c r="KI131" s="191"/>
      <c r="KJ131" s="193"/>
      <c r="KK131" s="194">
        <v>100</v>
      </c>
      <c r="KL131" s="191"/>
      <c r="KM131" s="191"/>
      <c r="KN131" s="191"/>
      <c r="KO131" s="191"/>
      <c r="KP131" s="191"/>
      <c r="KQ131" s="191"/>
      <c r="KR131" s="191">
        <v>200</v>
      </c>
      <c r="KS131" s="191"/>
      <c r="KT131" s="191"/>
      <c r="KU131" s="191"/>
      <c r="KV131" s="191">
        <v>100</v>
      </c>
      <c r="KW131" s="191"/>
      <c r="KX131" s="191"/>
      <c r="KY131" s="191">
        <v>50</v>
      </c>
      <c r="KZ131" s="191"/>
      <c r="LA131" s="191"/>
      <c r="LB131" s="191"/>
      <c r="LC131" s="191">
        <v>100</v>
      </c>
      <c r="LD131" s="191"/>
      <c r="LE131" s="191"/>
      <c r="LF131" s="191">
        <v>100</v>
      </c>
      <c r="LG131" s="191"/>
      <c r="LH131" s="191"/>
      <c r="LI131" s="191"/>
      <c r="LJ131" s="191">
        <v>100</v>
      </c>
      <c r="LK131" s="191"/>
      <c r="LL131" s="191"/>
      <c r="LM131" s="191">
        <v>100</v>
      </c>
      <c r="LN131" s="192"/>
      <c r="LO131" s="190"/>
      <c r="LP131" s="191"/>
      <c r="LQ131" s="191"/>
      <c r="LR131" s="191"/>
      <c r="LS131" s="191"/>
      <c r="LT131" s="191">
        <v>200</v>
      </c>
      <c r="LU131" s="191"/>
      <c r="LV131" s="191"/>
      <c r="LW131" s="191"/>
      <c r="LX131" s="191"/>
      <c r="LY131" s="191"/>
      <c r="LZ131" s="191"/>
      <c r="MA131" s="191"/>
      <c r="MB131" s="191"/>
      <c r="MC131" s="191"/>
      <c r="MD131" s="191"/>
      <c r="ME131" s="191">
        <v>50</v>
      </c>
      <c r="MF131" s="191"/>
      <c r="MG131" s="191"/>
      <c r="MH131" s="191">
        <v>50</v>
      </c>
      <c r="MI131" s="191"/>
      <c r="MJ131" s="191"/>
      <c r="MK131" s="191"/>
      <c r="ML131" s="191">
        <v>100</v>
      </c>
      <c r="MM131" s="191"/>
      <c r="MN131" s="191"/>
      <c r="MO131" s="191">
        <v>50</v>
      </c>
      <c r="MP131" s="191"/>
      <c r="MQ131" s="191"/>
      <c r="MR131" s="191"/>
      <c r="MS131" s="193">
        <v>100</v>
      </c>
      <c r="MT131" s="194"/>
      <c r="MU131" s="191"/>
      <c r="MV131" s="191">
        <v>50</v>
      </c>
      <c r="MW131" s="191"/>
      <c r="MX131" s="191"/>
      <c r="MY131" s="191"/>
      <c r="MZ131" s="191">
        <v>50</v>
      </c>
      <c r="NA131" s="191"/>
      <c r="NB131" s="191"/>
      <c r="NC131" s="191">
        <v>50</v>
      </c>
      <c r="ND131" s="191"/>
      <c r="NE131" s="191"/>
      <c r="NF131" s="191"/>
      <c r="NG131" s="191">
        <v>50</v>
      </c>
      <c r="NH131" s="191"/>
      <c r="NI131" s="191"/>
      <c r="NJ131" s="191">
        <v>50</v>
      </c>
      <c r="NK131" s="191"/>
      <c r="NL131" s="191"/>
      <c r="NM131" s="191"/>
      <c r="NN131" s="191">
        <v>100</v>
      </c>
      <c r="NO131" s="191"/>
      <c r="NP131" s="191"/>
      <c r="NQ131" s="191">
        <v>100</v>
      </c>
      <c r="NR131" s="191"/>
      <c r="NS131" s="191"/>
      <c r="NT131" s="191"/>
      <c r="NU131" s="191">
        <v>150</v>
      </c>
      <c r="NV131" s="191"/>
      <c r="NW131" s="192"/>
      <c r="NX131" s="190">
        <v>50</v>
      </c>
      <c r="NY131" s="191"/>
      <c r="NZ131" s="191"/>
      <c r="OA131" s="191"/>
      <c r="OB131" s="191">
        <v>100</v>
      </c>
      <c r="OC131" s="191"/>
      <c r="OD131" s="191"/>
      <c r="OE131" s="191">
        <v>150</v>
      </c>
      <c r="OF131" s="191"/>
      <c r="OG131" s="191"/>
      <c r="OH131" s="191"/>
      <c r="OI131" s="191">
        <v>50</v>
      </c>
      <c r="OJ131" s="191"/>
      <c r="OK131" s="191"/>
      <c r="OL131" s="191"/>
      <c r="OM131" s="191">
        <v>100</v>
      </c>
      <c r="ON131" s="191"/>
      <c r="OO131" s="191"/>
      <c r="OP131" s="191"/>
      <c r="OQ131" s="191"/>
      <c r="OR131" s="191"/>
      <c r="OS131" s="191"/>
      <c r="OT131" s="191"/>
      <c r="OU131" s="191"/>
      <c r="OV131" s="191"/>
      <c r="OW131" s="191"/>
      <c r="OX131" s="191"/>
      <c r="OY131" s="191"/>
      <c r="OZ131" s="191"/>
      <c r="PA131" s="191"/>
      <c r="PB131" s="193"/>
      <c r="PC131" s="47"/>
      <c r="PD131" s="154" t="s">
        <v>97</v>
      </c>
      <c r="PE131" s="155" t="s">
        <v>98</v>
      </c>
      <c r="PF131" s="155" t="s">
        <v>98</v>
      </c>
      <c r="PG131" s="155" t="s">
        <v>98</v>
      </c>
      <c r="PH131" s="155" t="s">
        <v>98</v>
      </c>
      <c r="PI131" s="155" t="s">
        <v>98</v>
      </c>
      <c r="PJ131" s="155" t="s">
        <v>98</v>
      </c>
      <c r="PK131" s="155" t="s">
        <v>98</v>
      </c>
      <c r="PL131" s="155" t="s">
        <v>98</v>
      </c>
      <c r="PM131" s="155" t="s">
        <v>98</v>
      </c>
      <c r="PN131" s="155" t="s">
        <v>98</v>
      </c>
      <c r="PO131" s="156"/>
      <c r="PP131" s="156"/>
      <c r="PQ131" s="156"/>
      <c r="PR131" s="156"/>
      <c r="PS131" s="156"/>
      <c r="PT131" s="156"/>
      <c r="PU131" s="156"/>
      <c r="PV131" s="156"/>
      <c r="PW131" s="156"/>
      <c r="PX131" s="195"/>
      <c r="PY131" s="1"/>
      <c r="PZ131" s="196">
        <f t="shared" si="73"/>
        <v>610</v>
      </c>
      <c r="QA131" s="176">
        <f t="shared" si="74"/>
        <v>5.0888462501042795E-3</v>
      </c>
      <c r="QB131" s="177" t="str">
        <f t="shared" ca="1" si="75"/>
        <v>Attente…</v>
      </c>
      <c r="QC131" s="197">
        <f t="shared" si="76"/>
        <v>650</v>
      </c>
      <c r="QD131" s="179">
        <f t="shared" si="77"/>
        <v>6.0861423220973784E-3</v>
      </c>
      <c r="QE131" s="180" t="str">
        <f t="shared" ca="1" si="78"/>
        <v>Attente…</v>
      </c>
      <c r="QF131" s="196">
        <f t="shared" si="79"/>
        <v>800</v>
      </c>
      <c r="QG131" s="176">
        <f t="shared" si="80"/>
        <v>6.370441153049849E-3</v>
      </c>
      <c r="QH131" s="177" t="str">
        <f t="shared" ca="1" si="81"/>
        <v>Attente…</v>
      </c>
      <c r="QI131" s="197">
        <f t="shared" si="82"/>
        <v>950</v>
      </c>
      <c r="QJ131" s="179">
        <f t="shared" si="83"/>
        <v>6.6629260765885823E-3</v>
      </c>
      <c r="QK131" s="180" t="str">
        <f t="shared" ca="1" si="84"/>
        <v>Attente…</v>
      </c>
      <c r="QL131" s="196">
        <f t="shared" si="85"/>
        <v>1000</v>
      </c>
      <c r="QM131" s="176">
        <f t="shared" si="86"/>
        <v>7.3163593795727245E-3</v>
      </c>
      <c r="QN131" s="177" t="str">
        <f t="shared" ca="1" si="87"/>
        <v>Attente…</v>
      </c>
      <c r="QO131" s="197">
        <f t="shared" si="88"/>
        <v>850</v>
      </c>
      <c r="QP131" s="179">
        <f t="shared" si="89"/>
        <v>6.6546621780317859E-3</v>
      </c>
      <c r="QQ131" s="180" t="str">
        <f t="shared" ca="1" si="90"/>
        <v>Attente…</v>
      </c>
      <c r="QR131" s="196">
        <f t="shared" si="91"/>
        <v>665</v>
      </c>
      <c r="QS131" s="176">
        <f t="shared" si="92"/>
        <v>4.7874446564198552E-3</v>
      </c>
      <c r="QT131" s="177" t="str">
        <f t="shared" ca="1" si="93"/>
        <v>Attente…</v>
      </c>
      <c r="QU131" s="197">
        <f t="shared" si="94"/>
        <v>900</v>
      </c>
      <c r="QV131" s="179">
        <f t="shared" si="95"/>
        <v>6.2051847766133482E-3</v>
      </c>
      <c r="QW131" s="180" t="str">
        <f t="shared" ca="1" si="96"/>
        <v>Attente…</v>
      </c>
      <c r="QX131" s="196">
        <f t="shared" si="97"/>
        <v>850</v>
      </c>
      <c r="QY131" s="176">
        <f t="shared" si="98"/>
        <v>6.2027496424297262E-3</v>
      </c>
      <c r="QZ131" s="177" t="str">
        <f t="shared" ca="1" si="99"/>
        <v>Attente…</v>
      </c>
      <c r="RA131" s="197">
        <f t="shared" si="100"/>
        <v>550</v>
      </c>
      <c r="RB131" s="179">
        <f t="shared" si="101"/>
        <v>4.3032626555042641E-3</v>
      </c>
      <c r="RC131" s="180" t="str">
        <f t="shared" ca="1" si="102"/>
        <v>Attente…</v>
      </c>
      <c r="RD131" s="196">
        <f t="shared" si="103"/>
        <v>600</v>
      </c>
      <c r="RE131" s="176">
        <f t="shared" si="104"/>
        <v>5.9784774810681543E-3</v>
      </c>
      <c r="RF131" s="177" t="str">
        <f t="shared" ca="1" si="105"/>
        <v>Attente…</v>
      </c>
      <c r="RG131" s="197">
        <f t="shared" si="106"/>
        <v>450</v>
      </c>
      <c r="RH131" s="179">
        <f t="shared" si="107"/>
        <v>8.2766231377597935E-3</v>
      </c>
      <c r="RI131" s="198" t="str">
        <f t="shared" ca="1" si="108"/>
        <v>Attente…</v>
      </c>
      <c r="RJ131" s="199">
        <f t="shared" si="109"/>
        <v>2060</v>
      </c>
      <c r="RK131" s="200" t="str">
        <f t="shared" ca="1" si="66"/>
        <v>Attente…</v>
      </c>
      <c r="RL131" s="199">
        <f t="shared" si="110"/>
        <v>2800</v>
      </c>
      <c r="RM131" s="200" t="str">
        <f t="shared" ca="1" si="111"/>
        <v>Atttente…</v>
      </c>
      <c r="RN131" s="199">
        <f t="shared" si="112"/>
        <v>2415</v>
      </c>
      <c r="RO131" s="200" t="str">
        <f t="shared" ca="1" si="67"/>
        <v>Attente…</v>
      </c>
      <c r="RP131" s="199">
        <f t="shared" si="113"/>
        <v>1600</v>
      </c>
      <c r="RQ131" s="200" t="str">
        <f t="shared" ca="1" si="68"/>
        <v>Attente…</v>
      </c>
      <c r="RR131" s="201">
        <f t="shared" si="114"/>
        <v>8875</v>
      </c>
      <c r="RS131" s="202" t="str">
        <f t="shared" ca="1" si="69"/>
        <v>Attente…</v>
      </c>
      <c r="RT131" s="103"/>
      <c r="RU131" s="203">
        <f t="shared" si="115"/>
        <v>0.53463855421686746</v>
      </c>
      <c r="RV131" s="204">
        <f t="shared" si="118"/>
        <v>1</v>
      </c>
      <c r="RW131" s="204">
        <f t="shared" si="118"/>
        <v>2</v>
      </c>
      <c r="RX131" s="204">
        <f t="shared" si="116"/>
        <v>83</v>
      </c>
      <c r="RY131" s="205" t="str">
        <f t="shared" si="117"/>
        <v>ROUEN - 35 rue Orbe (Près de Franprix)</v>
      </c>
      <c r="RZ131" s="189" t="str">
        <f>IF(OR(RZ130="",RZ130="  &lt;/Document&gt;
&lt;/kml&gt;"),"",
IF(B131="","  &lt;/Document&gt;
&lt;/kml&gt;",
IF(TournéesCAV!Q131=""," ",
"    &lt;Placemark&gt;
      &lt;description&gt;&lt;![CDATA["&amp;B131&amp;"&lt;br&gt;&lt;br&gt;"&amp;RV131&amp;" CAV&lt;br&gt;&lt;br&gt;Présent sur "&amp;RW131&amp;" tournée(s)&lt;br&gt;&lt;br&gt;Taux de remplissage moyen "&amp;TEXT(RU131*1000,"0 %")&amp;"]]&gt;&lt;/description&gt;
      &lt;Style&gt;
        &lt;IconStyle&gt;
          &lt;color&gt;ff"&amp;
          DEC2HEX(0,2)&amp;
          DEC2HEX(
            IF(RU131&lt;=0.5,
               INT(255*(RU131*2)),
               255
            ),2)&amp;
          DEC2HEX(
            IF(RU131&lt;=0.5,
               255,
               INT(255*(1-(RU131-0.5)*2))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&lt;Point&gt;&lt;coordinates&gt;"&amp;R131&amp;","&amp;Q131&amp;",0&lt;/coordinates&gt;&lt;/Point&gt;
    &lt;/Placemark&gt;"
)))</f>
        <v xml:space="preserve">    &lt;Placemark&gt;
      &lt;description&gt;&lt;![CDATA[ROUEN - 35 rue Orbe (Près de Franprix)&lt;br&gt;&lt;br&gt;1 CAV&lt;br&gt;&lt;br&gt;Présent sur 2 tournée(s)&lt;br&gt;&lt;br&gt;Taux de remplissage moyen 53%]]&gt;&lt;/description&gt;
      &lt;Style&gt;
        &lt;IconStyle&gt;
          &lt;color&gt;ff00FFED&lt;/color&gt;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&lt;Point&gt;&lt;coordinates&gt;1.1041131,49.4431433,0&lt;/coordinates&gt;&lt;/Point&gt;
    &lt;/Placemark&gt;</v>
      </c>
    </row>
    <row r="132" spans="2:494" ht="15" customHeight="1" x14ac:dyDescent="0.35">
      <c r="B132" s="153" t="str">
        <f t="shared" si="70"/>
        <v>ROUEN - 72 rue de Martainville</v>
      </c>
      <c r="C132" s="154">
        <v>183</v>
      </c>
      <c r="D132" s="155"/>
      <c r="E132" s="155"/>
      <c r="F132" s="155"/>
      <c r="G132" s="155"/>
      <c r="H132" s="155"/>
      <c r="I132" s="155"/>
      <c r="J132" s="156"/>
      <c r="K132" s="157">
        <f t="shared" si="71"/>
        <v>1</v>
      </c>
      <c r="L132" s="157">
        <f t="shared" si="72"/>
        <v>2</v>
      </c>
      <c r="M132" s="158" t="s">
        <v>751</v>
      </c>
      <c r="N132" s="159"/>
      <c r="O132" s="159">
        <v>76000</v>
      </c>
      <c r="P132" s="159" t="s">
        <v>90</v>
      </c>
      <c r="Q132" s="159" t="s">
        <v>752</v>
      </c>
      <c r="R132" s="159" t="s">
        <v>753</v>
      </c>
      <c r="S132" s="159" t="s">
        <v>93</v>
      </c>
      <c r="T132" s="159" t="s">
        <v>94</v>
      </c>
      <c r="U132" s="159" t="s">
        <v>754</v>
      </c>
      <c r="V132" s="160" t="s">
        <v>96</v>
      </c>
      <c r="W132" s="210">
        <v>4</v>
      </c>
      <c r="X132" s="162">
        <v>4</v>
      </c>
      <c r="Y132" s="162"/>
      <c r="Z132" s="162"/>
      <c r="AA132" s="162"/>
      <c r="AB132" s="162"/>
      <c r="AC132" s="162"/>
      <c r="AD132" s="162"/>
      <c r="AE132" s="162"/>
      <c r="AF132" s="162"/>
      <c r="AG132" s="162"/>
      <c r="AH132" s="162"/>
      <c r="AI132" s="162"/>
      <c r="AJ132" s="162"/>
      <c r="AK132" s="162"/>
      <c r="AL132" s="162"/>
      <c r="AM132" s="162"/>
      <c r="AN132" s="162"/>
      <c r="AO132" s="162"/>
      <c r="AP132" s="164"/>
      <c r="AQ132" s="164"/>
      <c r="AR132" s="164"/>
      <c r="AS132" s="164"/>
      <c r="AT132" s="164"/>
      <c r="AU132" s="164"/>
      <c r="AV132" s="164"/>
      <c r="AW132" s="164"/>
      <c r="AX132" s="164"/>
      <c r="AY132" s="165"/>
      <c r="AZ132" s="41"/>
      <c r="BA132" s="190"/>
      <c r="BB132" s="191"/>
      <c r="BC132" s="191">
        <v>200</v>
      </c>
      <c r="BD132" s="191"/>
      <c r="BE132" s="191"/>
      <c r="BF132" s="191"/>
      <c r="BG132" s="191"/>
      <c r="BH132" s="191"/>
      <c r="BI132" s="191"/>
      <c r="BJ132" s="191">
        <v>100</v>
      </c>
      <c r="BK132" s="191"/>
      <c r="BL132" s="191"/>
      <c r="BM132" s="191">
        <v>100</v>
      </c>
      <c r="BN132" s="191"/>
      <c r="BO132" s="191"/>
      <c r="BP132" s="191"/>
      <c r="BQ132" s="191">
        <v>50</v>
      </c>
      <c r="BR132" s="191"/>
      <c r="BS132" s="191"/>
      <c r="BT132" s="191"/>
      <c r="BU132" s="191"/>
      <c r="BV132" s="191"/>
      <c r="BW132" s="191"/>
      <c r="BX132" s="191">
        <v>100</v>
      </c>
      <c r="BY132" s="191"/>
      <c r="BZ132" s="191"/>
      <c r="CA132" s="191"/>
      <c r="CB132" s="191"/>
      <c r="CC132" s="191"/>
      <c r="CD132" s="191"/>
      <c r="CE132" s="192">
        <v>150</v>
      </c>
      <c r="CF132" s="190"/>
      <c r="CG132" s="191"/>
      <c r="CH132" s="191"/>
      <c r="CI132" s="191"/>
      <c r="CJ132" s="191"/>
      <c r="CK132" s="191"/>
      <c r="CL132" s="191">
        <v>200</v>
      </c>
      <c r="CM132" s="191"/>
      <c r="CN132" s="191"/>
      <c r="CO132" s="191">
        <v>100</v>
      </c>
      <c r="CP132" s="191"/>
      <c r="CQ132" s="191"/>
      <c r="CR132" s="191"/>
      <c r="CS132" s="191">
        <v>50</v>
      </c>
      <c r="CT132" s="191"/>
      <c r="CU132" s="191"/>
      <c r="CV132" s="191">
        <v>150</v>
      </c>
      <c r="CW132" s="191"/>
      <c r="CX132" s="191"/>
      <c r="CY132" s="191"/>
      <c r="CZ132" s="191">
        <v>50</v>
      </c>
      <c r="DA132" s="191"/>
      <c r="DB132" s="191"/>
      <c r="DC132" s="191">
        <v>50</v>
      </c>
      <c r="DD132" s="191"/>
      <c r="DE132" s="191"/>
      <c r="DF132" s="191"/>
      <c r="DG132" s="191">
        <v>100</v>
      </c>
      <c r="DH132" s="193"/>
      <c r="DI132" s="194"/>
      <c r="DJ132" s="191"/>
      <c r="DK132" s="191">
        <v>100</v>
      </c>
      <c r="DL132" s="191"/>
      <c r="DM132" s="191"/>
      <c r="DN132" s="191"/>
      <c r="DO132" s="191">
        <v>150</v>
      </c>
      <c r="DP132" s="191"/>
      <c r="DQ132" s="191"/>
      <c r="DR132" s="191"/>
      <c r="DS132" s="191"/>
      <c r="DT132" s="191"/>
      <c r="DU132" s="191"/>
      <c r="DV132" s="191">
        <v>150</v>
      </c>
      <c r="DW132" s="191"/>
      <c r="DX132" s="191"/>
      <c r="DY132" s="191">
        <v>50</v>
      </c>
      <c r="DZ132" s="191"/>
      <c r="EA132" s="191"/>
      <c r="EB132" s="191"/>
      <c r="EC132" s="191">
        <v>100</v>
      </c>
      <c r="ED132" s="191"/>
      <c r="EE132" s="191"/>
      <c r="EF132" s="191">
        <v>50</v>
      </c>
      <c r="EG132" s="191"/>
      <c r="EH132" s="191"/>
      <c r="EI132" s="191"/>
      <c r="EJ132" s="191">
        <v>50</v>
      </c>
      <c r="EK132" s="191"/>
      <c r="EL132" s="191"/>
      <c r="EM132" s="192">
        <v>100</v>
      </c>
      <c r="EN132" s="190"/>
      <c r="EO132" s="191"/>
      <c r="EP132" s="191"/>
      <c r="EQ132" s="191">
        <v>100</v>
      </c>
      <c r="ER132" s="191"/>
      <c r="ES132" s="191"/>
      <c r="ET132" s="191">
        <v>100</v>
      </c>
      <c r="EU132" s="191"/>
      <c r="EV132" s="191"/>
      <c r="EW132" s="191"/>
      <c r="EX132" s="191">
        <v>100</v>
      </c>
      <c r="EY132" s="191"/>
      <c r="EZ132" s="191"/>
      <c r="FA132" s="191">
        <v>100</v>
      </c>
      <c r="FB132" s="191"/>
      <c r="FC132" s="191"/>
      <c r="FD132" s="191"/>
      <c r="FE132" s="191">
        <v>150</v>
      </c>
      <c r="FF132" s="191"/>
      <c r="FG132" s="191"/>
      <c r="FH132" s="191"/>
      <c r="FI132" s="191"/>
      <c r="FJ132" s="191"/>
      <c r="FK132" s="191">
        <v>200</v>
      </c>
      <c r="FL132" s="191"/>
      <c r="FM132" s="191"/>
      <c r="FN132" s="191"/>
      <c r="FO132" s="191"/>
      <c r="FP132" s="191"/>
      <c r="FQ132" s="193"/>
      <c r="FR132" s="194"/>
      <c r="FS132" s="191"/>
      <c r="FT132" s="191"/>
      <c r="FU132" s="191"/>
      <c r="FV132" s="191">
        <v>200</v>
      </c>
      <c r="FW132" s="191"/>
      <c r="FX132" s="191"/>
      <c r="FY132" s="191"/>
      <c r="FZ132" s="191">
        <v>100</v>
      </c>
      <c r="GA132" s="191"/>
      <c r="GB132" s="191"/>
      <c r="GC132" s="191">
        <v>100</v>
      </c>
      <c r="GD132" s="191"/>
      <c r="GE132" s="191"/>
      <c r="GF132" s="191"/>
      <c r="GG132" s="191">
        <v>100</v>
      </c>
      <c r="GH132" s="191"/>
      <c r="GI132" s="191"/>
      <c r="GJ132" s="191">
        <v>100</v>
      </c>
      <c r="GK132" s="191"/>
      <c r="GL132" s="191"/>
      <c r="GM132" s="191"/>
      <c r="GN132" s="191">
        <v>50</v>
      </c>
      <c r="GO132" s="191"/>
      <c r="GP132" s="191"/>
      <c r="GQ132" s="191">
        <v>100</v>
      </c>
      <c r="GR132" s="191"/>
      <c r="GS132" s="191"/>
      <c r="GT132" s="191"/>
      <c r="GU132" s="191">
        <v>100</v>
      </c>
      <c r="GV132" s="192"/>
      <c r="GW132" s="190"/>
      <c r="GX132" s="191">
        <v>100</v>
      </c>
      <c r="GY132" s="191"/>
      <c r="GZ132" s="191"/>
      <c r="HA132" s="191"/>
      <c r="HB132" s="191">
        <v>100</v>
      </c>
      <c r="HC132" s="191"/>
      <c r="HD132" s="191"/>
      <c r="HE132" s="191"/>
      <c r="HF132" s="191"/>
      <c r="HG132" s="191"/>
      <c r="HH132" s="191"/>
      <c r="HI132" s="191">
        <v>150</v>
      </c>
      <c r="HJ132" s="191"/>
      <c r="HK132" s="191"/>
      <c r="HL132" s="191"/>
      <c r="HM132" s="191"/>
      <c r="HN132" s="191"/>
      <c r="HO132" s="191">
        <v>150</v>
      </c>
      <c r="HP132" s="191"/>
      <c r="HQ132" s="191"/>
      <c r="HR132" s="191"/>
      <c r="HS132" s="191">
        <v>200</v>
      </c>
      <c r="HT132" s="191"/>
      <c r="HU132" s="191"/>
      <c r="HV132" s="191"/>
      <c r="HW132" s="191">
        <v>150</v>
      </c>
      <c r="HX132" s="191"/>
      <c r="HY132" s="191"/>
      <c r="HZ132" s="193">
        <v>50</v>
      </c>
      <c r="IA132" s="194"/>
      <c r="IB132" s="191"/>
      <c r="IC132" s="191"/>
      <c r="ID132" s="191">
        <v>150</v>
      </c>
      <c r="IE132" s="191"/>
      <c r="IF132" s="191"/>
      <c r="IG132" s="191"/>
      <c r="IH132" s="191"/>
      <c r="II132" s="191"/>
      <c r="IJ132" s="191">
        <v>200</v>
      </c>
      <c r="IK132" s="191"/>
      <c r="IL132" s="191"/>
      <c r="IM132" s="191"/>
      <c r="IN132" s="191">
        <v>15</v>
      </c>
      <c r="IO132" s="191"/>
      <c r="IP132" s="191"/>
      <c r="IQ132" s="191"/>
      <c r="IR132" s="191"/>
      <c r="IS132" s="191"/>
      <c r="IT132" s="191"/>
      <c r="IU132" s="191">
        <v>200</v>
      </c>
      <c r="IV132" s="191"/>
      <c r="IW132" s="191"/>
      <c r="IX132" s="191"/>
      <c r="IY132" s="191"/>
      <c r="IZ132" s="191"/>
      <c r="JA132" s="191"/>
      <c r="JB132" s="191"/>
      <c r="JC132" s="191">
        <v>200</v>
      </c>
      <c r="JD132" s="191"/>
      <c r="JE132" s="192"/>
      <c r="JF132" s="190">
        <v>100</v>
      </c>
      <c r="JG132" s="191"/>
      <c r="JH132" s="191"/>
      <c r="JI132" s="191">
        <v>150</v>
      </c>
      <c r="JJ132" s="191"/>
      <c r="JK132" s="191"/>
      <c r="JL132" s="191"/>
      <c r="JM132" s="191">
        <v>10</v>
      </c>
      <c r="JN132" s="191"/>
      <c r="JO132" s="191"/>
      <c r="JP132" s="191">
        <v>100</v>
      </c>
      <c r="JQ132" s="191"/>
      <c r="JR132" s="191"/>
      <c r="JS132" s="191"/>
      <c r="JT132" s="191"/>
      <c r="JU132" s="191"/>
      <c r="JV132" s="191"/>
      <c r="JW132" s="191">
        <v>150</v>
      </c>
      <c r="JX132" s="191"/>
      <c r="JY132" s="191"/>
      <c r="JZ132" s="191"/>
      <c r="KA132" s="191">
        <v>150</v>
      </c>
      <c r="KB132" s="191"/>
      <c r="KC132" s="191"/>
      <c r="KD132" s="191">
        <v>100</v>
      </c>
      <c r="KE132" s="191"/>
      <c r="KF132" s="191"/>
      <c r="KG132" s="191"/>
      <c r="KH132" s="191">
        <v>200</v>
      </c>
      <c r="KI132" s="191"/>
      <c r="KJ132" s="193"/>
      <c r="KK132" s="194">
        <v>150</v>
      </c>
      <c r="KL132" s="191"/>
      <c r="KM132" s="191"/>
      <c r="KN132" s="191"/>
      <c r="KO132" s="191"/>
      <c r="KP132" s="191"/>
      <c r="KQ132" s="191"/>
      <c r="KR132" s="191">
        <v>200</v>
      </c>
      <c r="KS132" s="191"/>
      <c r="KT132" s="191"/>
      <c r="KU132" s="191"/>
      <c r="KV132" s="191">
        <v>200</v>
      </c>
      <c r="KW132" s="191"/>
      <c r="KX132" s="191"/>
      <c r="KY132" s="191">
        <v>200</v>
      </c>
      <c r="KZ132" s="191"/>
      <c r="LA132" s="191"/>
      <c r="LB132" s="191"/>
      <c r="LC132" s="191">
        <v>100</v>
      </c>
      <c r="LD132" s="191"/>
      <c r="LE132" s="191"/>
      <c r="LF132" s="191">
        <v>100</v>
      </c>
      <c r="LG132" s="191"/>
      <c r="LH132" s="191"/>
      <c r="LI132" s="191"/>
      <c r="LJ132" s="191">
        <v>100</v>
      </c>
      <c r="LK132" s="191"/>
      <c r="LL132" s="191"/>
      <c r="LM132" s="191">
        <v>100</v>
      </c>
      <c r="LN132" s="192"/>
      <c r="LO132" s="190"/>
      <c r="LP132" s="191"/>
      <c r="LQ132" s="191"/>
      <c r="LR132" s="191"/>
      <c r="LS132" s="191"/>
      <c r="LT132" s="191">
        <v>200</v>
      </c>
      <c r="LU132" s="191"/>
      <c r="LV132" s="191"/>
      <c r="LW132" s="191"/>
      <c r="LX132" s="191">
        <v>100</v>
      </c>
      <c r="LY132" s="191"/>
      <c r="LZ132" s="191"/>
      <c r="MA132" s="191">
        <v>100</v>
      </c>
      <c r="MB132" s="191"/>
      <c r="MC132" s="191"/>
      <c r="MD132" s="191"/>
      <c r="ME132" s="191">
        <v>50</v>
      </c>
      <c r="MF132" s="191"/>
      <c r="MG132" s="191"/>
      <c r="MH132" s="191">
        <v>50</v>
      </c>
      <c r="MI132" s="191"/>
      <c r="MJ132" s="191"/>
      <c r="MK132" s="191"/>
      <c r="ML132" s="191">
        <v>100</v>
      </c>
      <c r="MM132" s="191"/>
      <c r="MN132" s="191"/>
      <c r="MO132" s="191">
        <v>50</v>
      </c>
      <c r="MP132" s="191"/>
      <c r="MQ132" s="191"/>
      <c r="MR132" s="191"/>
      <c r="MS132" s="193">
        <v>100</v>
      </c>
      <c r="MT132" s="194"/>
      <c r="MU132" s="191"/>
      <c r="MV132" s="191">
        <v>50</v>
      </c>
      <c r="MW132" s="191"/>
      <c r="MX132" s="191"/>
      <c r="MY132" s="191"/>
      <c r="MZ132" s="191">
        <v>50</v>
      </c>
      <c r="NA132" s="191"/>
      <c r="NB132" s="191"/>
      <c r="NC132" s="191">
        <v>100</v>
      </c>
      <c r="ND132" s="191"/>
      <c r="NE132" s="191"/>
      <c r="NF132" s="191"/>
      <c r="NG132" s="191">
        <v>50</v>
      </c>
      <c r="NH132" s="191"/>
      <c r="NI132" s="191"/>
      <c r="NJ132" s="191">
        <v>100</v>
      </c>
      <c r="NK132" s="191"/>
      <c r="NL132" s="191"/>
      <c r="NM132" s="191"/>
      <c r="NN132" s="191">
        <v>50</v>
      </c>
      <c r="NO132" s="191"/>
      <c r="NP132" s="191"/>
      <c r="NQ132" s="191">
        <v>100</v>
      </c>
      <c r="NR132" s="191"/>
      <c r="NS132" s="191"/>
      <c r="NT132" s="191"/>
      <c r="NU132" s="191">
        <v>100</v>
      </c>
      <c r="NV132" s="191"/>
      <c r="NW132" s="192"/>
      <c r="NX132" s="190">
        <v>50</v>
      </c>
      <c r="NY132" s="191"/>
      <c r="NZ132" s="191"/>
      <c r="OA132" s="191"/>
      <c r="OB132" s="191">
        <v>50</v>
      </c>
      <c r="OC132" s="191"/>
      <c r="OD132" s="191"/>
      <c r="OE132" s="191">
        <v>100</v>
      </c>
      <c r="OF132" s="191"/>
      <c r="OG132" s="191"/>
      <c r="OH132" s="191"/>
      <c r="OI132" s="191">
        <v>100</v>
      </c>
      <c r="OJ132" s="191"/>
      <c r="OK132" s="191"/>
      <c r="OL132" s="191"/>
      <c r="OM132" s="191">
        <v>100</v>
      </c>
      <c r="ON132" s="191"/>
      <c r="OO132" s="191"/>
      <c r="OP132" s="191"/>
      <c r="OQ132" s="191"/>
      <c r="OR132" s="191"/>
      <c r="OS132" s="191"/>
      <c r="OT132" s="191"/>
      <c r="OU132" s="191"/>
      <c r="OV132" s="191"/>
      <c r="OW132" s="191"/>
      <c r="OX132" s="191"/>
      <c r="OY132" s="191"/>
      <c r="OZ132" s="191"/>
      <c r="PA132" s="191"/>
      <c r="PB132" s="193"/>
      <c r="PC132" s="47"/>
      <c r="PD132" s="154" t="s">
        <v>97</v>
      </c>
      <c r="PE132" s="155" t="s">
        <v>98</v>
      </c>
      <c r="PF132" s="155" t="s">
        <v>98</v>
      </c>
      <c r="PG132" s="155" t="s">
        <v>98</v>
      </c>
      <c r="PH132" s="155" t="s">
        <v>98</v>
      </c>
      <c r="PI132" s="155" t="s">
        <v>98</v>
      </c>
      <c r="PJ132" s="155" t="s">
        <v>98</v>
      </c>
      <c r="PK132" s="155" t="s">
        <v>98</v>
      </c>
      <c r="PL132" s="155" t="s">
        <v>98</v>
      </c>
      <c r="PM132" s="155" t="s">
        <v>98</v>
      </c>
      <c r="PN132" s="155" t="s">
        <v>98</v>
      </c>
      <c r="PO132" s="156"/>
      <c r="PP132" s="156"/>
      <c r="PQ132" s="156"/>
      <c r="PR132" s="156"/>
      <c r="PS132" s="156"/>
      <c r="PT132" s="156"/>
      <c r="PU132" s="156"/>
      <c r="PV132" s="156"/>
      <c r="PW132" s="156"/>
      <c r="PX132" s="195"/>
      <c r="PY132" s="1"/>
      <c r="PZ132" s="196">
        <f t="shared" si="73"/>
        <v>700</v>
      </c>
      <c r="QA132" s="176">
        <f t="shared" si="74"/>
        <v>5.8396596312672066E-3</v>
      </c>
      <c r="QB132" s="177" t="str">
        <f t="shared" ca="1" si="75"/>
        <v>Attente…</v>
      </c>
      <c r="QC132" s="197">
        <f t="shared" si="76"/>
        <v>700</v>
      </c>
      <c r="QD132" s="179">
        <f t="shared" si="77"/>
        <v>6.5543071161048693E-3</v>
      </c>
      <c r="QE132" s="180" t="str">
        <f t="shared" ca="1" si="78"/>
        <v>Attente…</v>
      </c>
      <c r="QF132" s="196">
        <f t="shared" si="79"/>
        <v>750</v>
      </c>
      <c r="QG132" s="176">
        <f t="shared" si="80"/>
        <v>5.972288580984233E-3</v>
      </c>
      <c r="QH132" s="177" t="str">
        <f t="shared" ca="1" si="81"/>
        <v>Attente…</v>
      </c>
      <c r="QI132" s="197">
        <f t="shared" si="82"/>
        <v>750</v>
      </c>
      <c r="QJ132" s="179">
        <f t="shared" si="83"/>
        <v>5.2602047973067754E-3</v>
      </c>
      <c r="QK132" s="180" t="str">
        <f t="shared" ca="1" si="84"/>
        <v>Attente…</v>
      </c>
      <c r="QL132" s="196">
        <f t="shared" si="85"/>
        <v>850</v>
      </c>
      <c r="QM132" s="176">
        <f t="shared" si="86"/>
        <v>6.2189054726368162E-3</v>
      </c>
      <c r="QN132" s="177" t="str">
        <f t="shared" ca="1" si="87"/>
        <v>Attente…</v>
      </c>
      <c r="QO132" s="197">
        <f t="shared" si="88"/>
        <v>900</v>
      </c>
      <c r="QP132" s="179">
        <f t="shared" si="89"/>
        <v>7.0461128943865971E-3</v>
      </c>
      <c r="QQ132" s="180" t="str">
        <f t="shared" ca="1" si="90"/>
        <v>Attente…</v>
      </c>
      <c r="QR132" s="196">
        <f t="shared" si="91"/>
        <v>765</v>
      </c>
      <c r="QS132" s="176">
        <f t="shared" si="92"/>
        <v>5.5073611461070515E-3</v>
      </c>
      <c r="QT132" s="177" t="str">
        <f t="shared" ca="1" si="93"/>
        <v>Attente…</v>
      </c>
      <c r="QU132" s="197">
        <f t="shared" si="94"/>
        <v>960</v>
      </c>
      <c r="QV132" s="179">
        <f t="shared" si="95"/>
        <v>6.6188637617209042E-3</v>
      </c>
      <c r="QW132" s="180" t="str">
        <f t="shared" ca="1" si="96"/>
        <v>Attente…</v>
      </c>
      <c r="QX132" s="196">
        <f t="shared" si="97"/>
        <v>1150</v>
      </c>
      <c r="QY132" s="176">
        <f t="shared" si="98"/>
        <v>8.3919553985813949E-3</v>
      </c>
      <c r="QZ132" s="177" t="str">
        <f t="shared" ca="1" si="99"/>
        <v>Attente…</v>
      </c>
      <c r="RA132" s="197">
        <f t="shared" si="100"/>
        <v>750</v>
      </c>
      <c r="RB132" s="179">
        <f t="shared" si="101"/>
        <v>5.8680854393239968E-3</v>
      </c>
      <c r="RC132" s="180" t="str">
        <f t="shared" ca="1" si="102"/>
        <v>Attente…</v>
      </c>
      <c r="RD132" s="196">
        <f t="shared" si="103"/>
        <v>600</v>
      </c>
      <c r="RE132" s="176">
        <f t="shared" si="104"/>
        <v>5.9784774810681543E-3</v>
      </c>
      <c r="RF132" s="177" t="str">
        <f t="shared" ca="1" si="105"/>
        <v>Attente…</v>
      </c>
      <c r="RG132" s="197">
        <f t="shared" si="106"/>
        <v>400</v>
      </c>
      <c r="RH132" s="179">
        <f t="shared" si="107"/>
        <v>7.3569983446753725E-3</v>
      </c>
      <c r="RI132" s="198" t="str">
        <f t="shared" ca="1" si="108"/>
        <v>Attente…</v>
      </c>
      <c r="RJ132" s="199">
        <f t="shared" si="109"/>
        <v>2150</v>
      </c>
      <c r="RK132" s="200" t="str">
        <f t="shared" ca="1" si="66"/>
        <v>Attente…</v>
      </c>
      <c r="RL132" s="199">
        <f t="shared" si="110"/>
        <v>2500</v>
      </c>
      <c r="RM132" s="200" t="str">
        <f t="shared" ca="1" si="111"/>
        <v>Atttente…</v>
      </c>
      <c r="RN132" s="199">
        <f t="shared" si="112"/>
        <v>2875</v>
      </c>
      <c r="RO132" s="200" t="str">
        <f t="shared" ca="1" si="67"/>
        <v>Attente…</v>
      </c>
      <c r="RP132" s="199">
        <f t="shared" si="113"/>
        <v>1750</v>
      </c>
      <c r="RQ132" s="200" t="str">
        <f t="shared" ca="1" si="68"/>
        <v>Attente…</v>
      </c>
      <c r="RR132" s="201">
        <f t="shared" si="114"/>
        <v>9275</v>
      </c>
      <c r="RS132" s="202" t="str">
        <f t="shared" ca="1" si="69"/>
        <v>Attente…</v>
      </c>
      <c r="RT132" s="103"/>
      <c r="RU132" s="203">
        <f t="shared" si="115"/>
        <v>0.55208333333333337</v>
      </c>
      <c r="RV132" s="204">
        <f t="shared" si="118"/>
        <v>1</v>
      </c>
      <c r="RW132" s="204">
        <f t="shared" si="118"/>
        <v>2</v>
      </c>
      <c r="RX132" s="204">
        <f t="shared" si="116"/>
        <v>84</v>
      </c>
      <c r="RY132" s="205" t="str">
        <f t="shared" si="117"/>
        <v>ROUEN - 72 rue de Martainville</v>
      </c>
      <c r="RZ132" s="189" t="str">
        <f>IF(OR(RZ131="",RZ131="  &lt;/Document&gt;
&lt;/kml&gt;"),"",
IF(B132="","  &lt;/Document&gt;
&lt;/kml&gt;",
IF(TournéesCAV!Q132=""," ",
"    &lt;Placemark&gt;
      &lt;description&gt;&lt;![CDATA["&amp;B132&amp;"&lt;br&gt;&lt;br&gt;"&amp;RV132&amp;" CAV&lt;br&gt;&lt;br&gt;Présent sur "&amp;RW132&amp;" tournée(s)&lt;br&gt;&lt;br&gt;Taux de remplissage moyen "&amp;TEXT(RU132*1000,"0 %")&amp;"]]&gt;&lt;/description&gt;
      &lt;Style&gt;
        &lt;IconStyle&gt;
          &lt;color&gt;ff"&amp;
          DEC2HEX(0,2)&amp;
          DEC2HEX(
            IF(RU132&lt;=0.5,
               INT(255*(RU132*2)),
               255
            ),2)&amp;
          DEC2HEX(
            IF(RU132&lt;=0.5,
               255,
               INT(255*(1-(RU132-0.5)*2))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&lt;Point&gt;&lt;coordinates&gt;"&amp;R132&amp;","&amp;Q132&amp;",0&lt;/coordinates&gt;&lt;/Point&gt;
    &lt;/Placemark&gt;"
)))</f>
        <v xml:space="preserve">    &lt;Placemark&gt;
      &lt;description&gt;&lt;![CDATA[ROUEN - 72 rue de Martainville&lt;br&gt;&lt;br&gt;1 CAV&lt;br&gt;&lt;br&gt;Présent sur 2 tournée(s)&lt;br&gt;&lt;br&gt;Taux de remplissage moyen 55%]]&gt;&lt;/description&gt;
      &lt;Style&gt;
        &lt;IconStyle&gt;
          &lt;color&gt;ff00FFE4&lt;/color&gt;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&lt;Point&gt;&lt;coordinates&gt;1.1036246,49.4386581,0&lt;/coordinates&gt;&lt;/Point&gt;
    &lt;/Placemark&gt;</v>
      </c>
    </row>
    <row r="133" spans="2:494" ht="15" customHeight="1" x14ac:dyDescent="0.35">
      <c r="B133" s="153" t="str">
        <f t="shared" si="70"/>
        <v>ROUEN - 2 Rue François Couperin (Parking Eglise Sainte-Claire)</v>
      </c>
      <c r="C133" s="154">
        <v>193</v>
      </c>
      <c r="D133" s="155"/>
      <c r="E133" s="155"/>
      <c r="F133" s="155"/>
      <c r="G133" s="155"/>
      <c r="H133" s="155"/>
      <c r="I133" s="155"/>
      <c r="J133" s="156"/>
      <c r="K133" s="157">
        <f t="shared" si="71"/>
        <v>1</v>
      </c>
      <c r="L133" s="157">
        <f t="shared" si="72"/>
        <v>2</v>
      </c>
      <c r="M133" s="158" t="s">
        <v>755</v>
      </c>
      <c r="N133" s="159" t="s">
        <v>756</v>
      </c>
      <c r="O133" s="159">
        <v>76000</v>
      </c>
      <c r="P133" s="159" t="s">
        <v>90</v>
      </c>
      <c r="Q133" s="159" t="s">
        <v>757</v>
      </c>
      <c r="R133" s="159" t="s">
        <v>758</v>
      </c>
      <c r="S133" s="159" t="s">
        <v>93</v>
      </c>
      <c r="T133" s="159" t="s">
        <v>94</v>
      </c>
      <c r="U133" s="159" t="s">
        <v>759</v>
      </c>
      <c r="V133" s="160" t="s">
        <v>96</v>
      </c>
      <c r="W133" s="210">
        <v>5</v>
      </c>
      <c r="X133" s="162">
        <v>5</v>
      </c>
      <c r="Y133" s="162"/>
      <c r="Z133" s="162"/>
      <c r="AA133" s="162"/>
      <c r="AB133" s="162"/>
      <c r="AC133" s="162"/>
      <c r="AD133" s="162"/>
      <c r="AE133" s="162"/>
      <c r="AF133" s="162"/>
      <c r="AG133" s="162"/>
      <c r="AH133" s="162"/>
      <c r="AI133" s="162"/>
      <c r="AJ133" s="162"/>
      <c r="AK133" s="162"/>
      <c r="AL133" s="162"/>
      <c r="AM133" s="162"/>
      <c r="AN133" s="162"/>
      <c r="AO133" s="162"/>
      <c r="AP133" s="164"/>
      <c r="AQ133" s="164"/>
      <c r="AR133" s="164"/>
      <c r="AS133" s="164"/>
      <c r="AT133" s="164"/>
      <c r="AU133" s="164"/>
      <c r="AV133" s="164"/>
      <c r="AW133" s="164"/>
      <c r="AX133" s="164"/>
      <c r="AY133" s="165"/>
      <c r="AZ133" s="41"/>
      <c r="BA133" s="190"/>
      <c r="BB133" s="191"/>
      <c r="BC133" s="191">
        <v>200</v>
      </c>
      <c r="BD133" s="191"/>
      <c r="BE133" s="191"/>
      <c r="BF133" s="191"/>
      <c r="BG133" s="191"/>
      <c r="BH133" s="191"/>
      <c r="BI133" s="191"/>
      <c r="BJ133" s="191">
        <v>50</v>
      </c>
      <c r="BK133" s="191"/>
      <c r="BL133" s="191"/>
      <c r="BM133" s="191">
        <v>50</v>
      </c>
      <c r="BN133" s="191"/>
      <c r="BO133" s="191"/>
      <c r="BP133" s="191"/>
      <c r="BQ133" s="191">
        <v>50</v>
      </c>
      <c r="BR133" s="191"/>
      <c r="BS133" s="191"/>
      <c r="BT133" s="191"/>
      <c r="BU133" s="191"/>
      <c r="BV133" s="191"/>
      <c r="BW133" s="191"/>
      <c r="BX133" s="191">
        <v>50</v>
      </c>
      <c r="BY133" s="191"/>
      <c r="BZ133" s="191"/>
      <c r="CA133" s="191"/>
      <c r="CB133" s="191"/>
      <c r="CC133" s="191"/>
      <c r="CD133" s="191"/>
      <c r="CE133" s="192">
        <v>100</v>
      </c>
      <c r="CF133" s="190"/>
      <c r="CG133" s="191"/>
      <c r="CH133" s="191"/>
      <c r="CI133" s="191"/>
      <c r="CJ133" s="191"/>
      <c r="CK133" s="191"/>
      <c r="CL133" s="191">
        <v>100</v>
      </c>
      <c r="CM133" s="191"/>
      <c r="CN133" s="191"/>
      <c r="CO133" s="191">
        <v>50</v>
      </c>
      <c r="CP133" s="191"/>
      <c r="CQ133" s="191"/>
      <c r="CR133" s="191"/>
      <c r="CS133" s="191">
        <v>50</v>
      </c>
      <c r="CT133" s="191"/>
      <c r="CU133" s="191"/>
      <c r="CV133" s="191">
        <v>100</v>
      </c>
      <c r="CW133" s="191"/>
      <c r="CX133" s="191"/>
      <c r="CY133" s="191"/>
      <c r="CZ133" s="191">
        <v>50</v>
      </c>
      <c r="DA133" s="191"/>
      <c r="DB133" s="191"/>
      <c r="DC133" s="191">
        <v>150</v>
      </c>
      <c r="DD133" s="191"/>
      <c r="DE133" s="191"/>
      <c r="DF133" s="191"/>
      <c r="DG133" s="191">
        <v>50</v>
      </c>
      <c r="DH133" s="193"/>
      <c r="DI133" s="194"/>
      <c r="DJ133" s="191"/>
      <c r="DK133" s="191">
        <v>100</v>
      </c>
      <c r="DL133" s="191"/>
      <c r="DM133" s="191"/>
      <c r="DN133" s="191"/>
      <c r="DO133" s="191"/>
      <c r="DP133" s="191"/>
      <c r="DQ133" s="191"/>
      <c r="DR133" s="191">
        <v>200</v>
      </c>
      <c r="DS133" s="191"/>
      <c r="DT133" s="191"/>
      <c r="DU133" s="191"/>
      <c r="DV133" s="191">
        <v>100</v>
      </c>
      <c r="DW133" s="191"/>
      <c r="DX133" s="191"/>
      <c r="DY133" s="191">
        <v>50</v>
      </c>
      <c r="DZ133" s="191"/>
      <c r="EA133" s="191"/>
      <c r="EB133" s="191"/>
      <c r="EC133" s="191">
        <v>50</v>
      </c>
      <c r="ED133" s="191"/>
      <c r="EE133" s="191"/>
      <c r="EF133" s="191">
        <v>50</v>
      </c>
      <c r="EG133" s="191"/>
      <c r="EH133" s="191"/>
      <c r="EI133" s="191"/>
      <c r="EJ133" s="191">
        <v>200</v>
      </c>
      <c r="EK133" s="191"/>
      <c r="EL133" s="191"/>
      <c r="EM133" s="192">
        <v>100</v>
      </c>
      <c r="EN133" s="190"/>
      <c r="EO133" s="191"/>
      <c r="EP133" s="191"/>
      <c r="EQ133" s="191">
        <v>100</v>
      </c>
      <c r="ER133" s="191"/>
      <c r="ES133" s="191"/>
      <c r="ET133" s="191">
        <v>100</v>
      </c>
      <c r="EU133" s="191"/>
      <c r="EV133" s="191"/>
      <c r="EW133" s="191"/>
      <c r="EX133" s="191">
        <v>150</v>
      </c>
      <c r="EY133" s="191"/>
      <c r="EZ133" s="191"/>
      <c r="FA133" s="191">
        <v>50</v>
      </c>
      <c r="FB133" s="191"/>
      <c r="FC133" s="191"/>
      <c r="FD133" s="191"/>
      <c r="FE133" s="191">
        <v>100</v>
      </c>
      <c r="FF133" s="191"/>
      <c r="FG133" s="191"/>
      <c r="FH133" s="191"/>
      <c r="FI133" s="191"/>
      <c r="FJ133" s="191"/>
      <c r="FK133" s="191">
        <v>200</v>
      </c>
      <c r="FL133" s="191"/>
      <c r="FM133" s="191"/>
      <c r="FN133" s="191"/>
      <c r="FO133" s="191">
        <v>150</v>
      </c>
      <c r="FP133" s="191"/>
      <c r="FQ133" s="193"/>
      <c r="FR133" s="194"/>
      <c r="FS133" s="191"/>
      <c r="FT133" s="191"/>
      <c r="FU133" s="191"/>
      <c r="FV133" s="191">
        <v>150</v>
      </c>
      <c r="FW133" s="191"/>
      <c r="FX133" s="191"/>
      <c r="FY133" s="191"/>
      <c r="FZ133" s="191">
        <v>50</v>
      </c>
      <c r="GA133" s="191"/>
      <c r="GB133" s="191"/>
      <c r="GC133" s="191">
        <v>150</v>
      </c>
      <c r="GD133" s="191"/>
      <c r="GE133" s="191"/>
      <c r="GF133" s="191"/>
      <c r="GG133" s="191">
        <v>200</v>
      </c>
      <c r="GH133" s="191"/>
      <c r="GI133" s="191"/>
      <c r="GJ133" s="191">
        <v>100</v>
      </c>
      <c r="GK133" s="191"/>
      <c r="GL133" s="191"/>
      <c r="GM133" s="191"/>
      <c r="GN133" s="191">
        <v>100</v>
      </c>
      <c r="GO133" s="191"/>
      <c r="GP133" s="191"/>
      <c r="GQ133" s="191">
        <v>50</v>
      </c>
      <c r="GR133" s="191"/>
      <c r="GS133" s="191"/>
      <c r="GT133" s="191"/>
      <c r="GU133" s="191">
        <v>100</v>
      </c>
      <c r="GV133" s="192"/>
      <c r="GW133" s="190"/>
      <c r="GX133" s="191">
        <v>100</v>
      </c>
      <c r="GY133" s="191"/>
      <c r="GZ133" s="191"/>
      <c r="HA133" s="191"/>
      <c r="HB133" s="191">
        <v>100</v>
      </c>
      <c r="HC133" s="191"/>
      <c r="HD133" s="191"/>
      <c r="HE133" s="191"/>
      <c r="HF133" s="191"/>
      <c r="HG133" s="191"/>
      <c r="HH133" s="191">
        <v>200</v>
      </c>
      <c r="HI133" s="191"/>
      <c r="HJ133" s="191"/>
      <c r="HK133" s="191"/>
      <c r="HL133" s="191"/>
      <c r="HM133" s="191"/>
      <c r="HN133" s="191"/>
      <c r="HO133" s="191"/>
      <c r="HP133" s="191"/>
      <c r="HQ133" s="191"/>
      <c r="HR133" s="191"/>
      <c r="HS133" s="191">
        <v>100</v>
      </c>
      <c r="HT133" s="191"/>
      <c r="HU133" s="191"/>
      <c r="HV133" s="191"/>
      <c r="HW133" s="191">
        <v>100</v>
      </c>
      <c r="HX133" s="191"/>
      <c r="HY133" s="191"/>
      <c r="HZ133" s="193">
        <v>200</v>
      </c>
      <c r="IA133" s="194"/>
      <c r="IB133" s="191"/>
      <c r="IC133" s="191"/>
      <c r="ID133" s="191">
        <v>50</v>
      </c>
      <c r="IE133" s="191"/>
      <c r="IF133" s="191"/>
      <c r="IG133" s="191"/>
      <c r="IH133" s="191"/>
      <c r="II133" s="191"/>
      <c r="IJ133" s="191">
        <v>200</v>
      </c>
      <c r="IK133" s="191"/>
      <c r="IL133" s="191"/>
      <c r="IM133" s="191"/>
      <c r="IN133" s="191">
        <v>150</v>
      </c>
      <c r="IO133" s="191"/>
      <c r="IP133" s="191"/>
      <c r="IQ133" s="191"/>
      <c r="IR133" s="191"/>
      <c r="IS133" s="191"/>
      <c r="IT133" s="191"/>
      <c r="IU133" s="191">
        <v>200</v>
      </c>
      <c r="IV133" s="191"/>
      <c r="IW133" s="191"/>
      <c r="IX133" s="191">
        <v>50</v>
      </c>
      <c r="IY133" s="191"/>
      <c r="IZ133" s="191"/>
      <c r="JA133" s="191"/>
      <c r="JB133" s="191">
        <v>100</v>
      </c>
      <c r="JC133" s="191"/>
      <c r="JD133" s="191"/>
      <c r="JE133" s="192"/>
      <c r="JF133" s="190">
        <v>100</v>
      </c>
      <c r="JG133" s="191"/>
      <c r="JH133" s="191"/>
      <c r="JI133" s="191">
        <v>50</v>
      </c>
      <c r="JJ133" s="191"/>
      <c r="JK133" s="191"/>
      <c r="JL133" s="191"/>
      <c r="JM133" s="191">
        <v>50</v>
      </c>
      <c r="JN133" s="191"/>
      <c r="JO133" s="191"/>
      <c r="JP133" s="191">
        <v>150</v>
      </c>
      <c r="JQ133" s="191"/>
      <c r="JR133" s="191"/>
      <c r="JS133" s="191"/>
      <c r="JT133" s="191"/>
      <c r="JU133" s="191"/>
      <c r="JV133" s="191"/>
      <c r="JW133" s="191">
        <v>150</v>
      </c>
      <c r="JX133" s="191"/>
      <c r="JY133" s="191"/>
      <c r="JZ133" s="191"/>
      <c r="KA133" s="191">
        <v>100</v>
      </c>
      <c r="KB133" s="191"/>
      <c r="KC133" s="191"/>
      <c r="KD133" s="191">
        <v>100</v>
      </c>
      <c r="KE133" s="191"/>
      <c r="KF133" s="191"/>
      <c r="KG133" s="191"/>
      <c r="KH133" s="191">
        <v>50</v>
      </c>
      <c r="KI133" s="191"/>
      <c r="KJ133" s="193"/>
      <c r="KK133" s="194">
        <v>150</v>
      </c>
      <c r="KL133" s="191"/>
      <c r="KM133" s="191"/>
      <c r="KN133" s="191"/>
      <c r="KO133" s="191"/>
      <c r="KP133" s="191"/>
      <c r="KQ133" s="191"/>
      <c r="KR133" s="191">
        <v>200</v>
      </c>
      <c r="KS133" s="191"/>
      <c r="KT133" s="191"/>
      <c r="KU133" s="191"/>
      <c r="KV133" s="191">
        <v>150</v>
      </c>
      <c r="KW133" s="191"/>
      <c r="KX133" s="191"/>
      <c r="KY133" s="191">
        <v>50</v>
      </c>
      <c r="KZ133" s="191"/>
      <c r="LA133" s="191"/>
      <c r="LB133" s="191"/>
      <c r="LC133" s="191">
        <v>100</v>
      </c>
      <c r="LD133" s="191"/>
      <c r="LE133" s="191"/>
      <c r="LF133" s="191">
        <v>100</v>
      </c>
      <c r="LG133" s="191"/>
      <c r="LH133" s="191"/>
      <c r="LI133" s="191"/>
      <c r="LJ133" s="191">
        <v>50</v>
      </c>
      <c r="LK133" s="191"/>
      <c r="LL133" s="191"/>
      <c r="LM133" s="191">
        <v>150</v>
      </c>
      <c r="LN133" s="192"/>
      <c r="LO133" s="190"/>
      <c r="LP133" s="191"/>
      <c r="LQ133" s="191"/>
      <c r="LR133" s="191"/>
      <c r="LS133" s="191"/>
      <c r="LT133" s="191">
        <v>200</v>
      </c>
      <c r="LU133" s="191"/>
      <c r="LV133" s="191"/>
      <c r="LW133" s="191"/>
      <c r="LX133" s="191">
        <v>50</v>
      </c>
      <c r="LY133" s="191"/>
      <c r="LZ133" s="191"/>
      <c r="MA133" s="191">
        <v>100</v>
      </c>
      <c r="MB133" s="191"/>
      <c r="MC133" s="191"/>
      <c r="MD133" s="191"/>
      <c r="ME133" s="191">
        <v>50</v>
      </c>
      <c r="MF133" s="191"/>
      <c r="MG133" s="191"/>
      <c r="MH133" s="191">
        <v>50</v>
      </c>
      <c r="MI133" s="191"/>
      <c r="MJ133" s="191"/>
      <c r="MK133" s="191"/>
      <c r="ML133" s="191">
        <v>50</v>
      </c>
      <c r="MM133" s="191"/>
      <c r="MN133" s="191"/>
      <c r="MO133" s="191">
        <v>50</v>
      </c>
      <c r="MP133" s="191"/>
      <c r="MQ133" s="191"/>
      <c r="MR133" s="191"/>
      <c r="MS133" s="193">
        <v>100</v>
      </c>
      <c r="MT133" s="194"/>
      <c r="MU133" s="191"/>
      <c r="MV133" s="191">
        <v>50</v>
      </c>
      <c r="MW133" s="191"/>
      <c r="MX133" s="191"/>
      <c r="MY133" s="191"/>
      <c r="MZ133" s="191">
        <v>150</v>
      </c>
      <c r="NA133" s="191"/>
      <c r="NB133" s="191"/>
      <c r="NC133" s="191">
        <v>100</v>
      </c>
      <c r="ND133" s="191"/>
      <c r="NE133" s="191"/>
      <c r="NF133" s="191"/>
      <c r="NG133" s="191">
        <v>100</v>
      </c>
      <c r="NH133" s="191"/>
      <c r="NI133" s="191"/>
      <c r="NJ133" s="191">
        <v>150</v>
      </c>
      <c r="NK133" s="191"/>
      <c r="NL133" s="191"/>
      <c r="NM133" s="191"/>
      <c r="NN133" s="191">
        <v>100</v>
      </c>
      <c r="NO133" s="191"/>
      <c r="NP133" s="191"/>
      <c r="NQ133" s="191">
        <v>10</v>
      </c>
      <c r="NR133" s="191"/>
      <c r="NS133" s="191"/>
      <c r="NT133" s="191"/>
      <c r="NU133" s="191">
        <v>100</v>
      </c>
      <c r="NV133" s="191"/>
      <c r="NW133" s="192"/>
      <c r="NX133" s="190">
        <v>50</v>
      </c>
      <c r="NY133" s="191"/>
      <c r="NZ133" s="191"/>
      <c r="OA133" s="191"/>
      <c r="OB133" s="191">
        <v>50</v>
      </c>
      <c r="OC133" s="191"/>
      <c r="OD133" s="191"/>
      <c r="OE133" s="191">
        <v>10</v>
      </c>
      <c r="OF133" s="191"/>
      <c r="OG133" s="191"/>
      <c r="OH133" s="191"/>
      <c r="OI133" s="191">
        <v>100</v>
      </c>
      <c r="OJ133" s="191"/>
      <c r="OK133" s="191"/>
      <c r="OL133" s="191"/>
      <c r="OM133" s="191"/>
      <c r="ON133" s="191"/>
      <c r="OO133" s="191"/>
      <c r="OP133" s="191"/>
      <c r="OQ133" s="191"/>
      <c r="OR133" s="191"/>
      <c r="OS133" s="191"/>
      <c r="OT133" s="191"/>
      <c r="OU133" s="191"/>
      <c r="OV133" s="191"/>
      <c r="OW133" s="191"/>
      <c r="OX133" s="191"/>
      <c r="OY133" s="191"/>
      <c r="OZ133" s="191"/>
      <c r="PA133" s="191"/>
      <c r="PB133" s="193"/>
      <c r="PC133" s="47"/>
      <c r="PD133" s="154" t="s">
        <v>97</v>
      </c>
      <c r="PE133" s="155" t="s">
        <v>98</v>
      </c>
      <c r="PF133" s="155" t="s">
        <v>98</v>
      </c>
      <c r="PG133" s="155" t="s">
        <v>98</v>
      </c>
      <c r="PH133" s="155" t="s">
        <v>98</v>
      </c>
      <c r="PI133" s="155" t="s">
        <v>98</v>
      </c>
      <c r="PJ133" s="155" t="s">
        <v>98</v>
      </c>
      <c r="PK133" s="155" t="s">
        <v>98</v>
      </c>
      <c r="PL133" s="155" t="s">
        <v>98</v>
      </c>
      <c r="PM133" s="155" t="s">
        <v>98</v>
      </c>
      <c r="PN133" s="155" t="s">
        <v>98</v>
      </c>
      <c r="PO133" s="156"/>
      <c r="PP133" s="156"/>
      <c r="PQ133" s="156"/>
      <c r="PR133" s="156"/>
      <c r="PS133" s="156"/>
      <c r="PT133" s="156"/>
      <c r="PU133" s="156"/>
      <c r="PV133" s="156"/>
      <c r="PW133" s="156"/>
      <c r="PX133" s="195"/>
      <c r="PY133" s="1"/>
      <c r="PZ133" s="196">
        <f t="shared" si="73"/>
        <v>500</v>
      </c>
      <c r="QA133" s="176">
        <f t="shared" si="74"/>
        <v>4.1711854509051474E-3</v>
      </c>
      <c r="QB133" s="177" t="str">
        <f t="shared" ca="1" si="75"/>
        <v>Attente…</v>
      </c>
      <c r="QC133" s="197">
        <f t="shared" si="76"/>
        <v>550</v>
      </c>
      <c r="QD133" s="179">
        <f t="shared" si="77"/>
        <v>5.1498127340823966E-3</v>
      </c>
      <c r="QE133" s="180" t="str">
        <f t="shared" ca="1" si="78"/>
        <v>Attente…</v>
      </c>
      <c r="QF133" s="196">
        <f t="shared" si="79"/>
        <v>850</v>
      </c>
      <c r="QG133" s="176">
        <f t="shared" si="80"/>
        <v>6.768593725115464E-3</v>
      </c>
      <c r="QH133" s="177" t="str">
        <f t="shared" ca="1" si="81"/>
        <v>Attente…</v>
      </c>
      <c r="QI133" s="197">
        <f t="shared" si="82"/>
        <v>850</v>
      </c>
      <c r="QJ133" s="179">
        <f t="shared" si="83"/>
        <v>5.9615654369476788E-3</v>
      </c>
      <c r="QK133" s="180" t="str">
        <f t="shared" ca="1" si="84"/>
        <v>Attente…</v>
      </c>
      <c r="QL133" s="196">
        <f t="shared" si="85"/>
        <v>900</v>
      </c>
      <c r="QM133" s="176">
        <f t="shared" si="86"/>
        <v>6.5847234416154523E-3</v>
      </c>
      <c r="QN133" s="177" t="str">
        <f t="shared" ca="1" si="87"/>
        <v>Attente…</v>
      </c>
      <c r="QO133" s="197">
        <f t="shared" si="88"/>
        <v>800</v>
      </c>
      <c r="QP133" s="179">
        <f t="shared" si="89"/>
        <v>6.2632114616769747E-3</v>
      </c>
      <c r="QQ133" s="180" t="str">
        <f t="shared" ca="1" si="90"/>
        <v>Attente…</v>
      </c>
      <c r="QR133" s="196">
        <f t="shared" si="91"/>
        <v>750</v>
      </c>
      <c r="QS133" s="176">
        <f t="shared" si="92"/>
        <v>5.3993736726539723E-3</v>
      </c>
      <c r="QT133" s="177" t="str">
        <f t="shared" ca="1" si="93"/>
        <v>Attente…</v>
      </c>
      <c r="QU133" s="197">
        <f t="shared" si="94"/>
        <v>750</v>
      </c>
      <c r="QV133" s="179">
        <f t="shared" si="95"/>
        <v>5.1709873138444567E-3</v>
      </c>
      <c r="QW133" s="180" t="str">
        <f t="shared" ca="1" si="96"/>
        <v>Attente…</v>
      </c>
      <c r="QX133" s="196">
        <f t="shared" si="97"/>
        <v>950</v>
      </c>
      <c r="QY133" s="176">
        <f t="shared" si="98"/>
        <v>6.9324848944802824E-3</v>
      </c>
      <c r="QZ133" s="177" t="str">
        <f t="shared" ca="1" si="99"/>
        <v>Attente…</v>
      </c>
      <c r="RA133" s="197">
        <f t="shared" si="100"/>
        <v>650</v>
      </c>
      <c r="RB133" s="179">
        <f t="shared" si="101"/>
        <v>5.08567404741413E-3</v>
      </c>
      <c r="RC133" s="180" t="str">
        <f t="shared" ca="1" si="102"/>
        <v>Attente…</v>
      </c>
      <c r="RD133" s="196">
        <f t="shared" si="103"/>
        <v>760</v>
      </c>
      <c r="RE133" s="176">
        <f t="shared" si="104"/>
        <v>7.5727381426863296E-3</v>
      </c>
      <c r="RF133" s="177" t="str">
        <f t="shared" ca="1" si="105"/>
        <v>Attente…</v>
      </c>
      <c r="RG133" s="197">
        <f t="shared" si="106"/>
        <v>210</v>
      </c>
      <c r="RH133" s="179">
        <f t="shared" si="107"/>
        <v>3.8624241309545707E-3</v>
      </c>
      <c r="RI133" s="198" t="str">
        <f t="shared" ca="1" si="108"/>
        <v>Attente…</v>
      </c>
      <c r="RJ133" s="199">
        <f t="shared" si="109"/>
        <v>1900</v>
      </c>
      <c r="RK133" s="200" t="str">
        <f t="shared" ref="RK133:RK196" ca="1" si="119">IFERROR(QB133+QE133+QH133,"Attente…")</f>
        <v>Attente…</v>
      </c>
      <c r="RL133" s="199">
        <f t="shared" si="110"/>
        <v>2550</v>
      </c>
      <c r="RM133" s="200" t="str">
        <f t="shared" ca="1" si="111"/>
        <v>Atttente…</v>
      </c>
      <c r="RN133" s="199">
        <f t="shared" si="112"/>
        <v>2450</v>
      </c>
      <c r="RO133" s="200" t="str">
        <f t="shared" ref="RO133:RO196" ca="1" si="120">IFERROR(QT133+QW133+QZ133,"Attente…")</f>
        <v>Attente…</v>
      </c>
      <c r="RP133" s="199">
        <f t="shared" si="113"/>
        <v>1620</v>
      </c>
      <c r="RQ133" s="200" t="str">
        <f t="shared" ref="RQ133:RQ196" ca="1" si="121">IFERROR(RC133+RF133+RI133,"Attente…")</f>
        <v>Attente…</v>
      </c>
      <c r="RR133" s="201">
        <f t="shared" si="114"/>
        <v>8520</v>
      </c>
      <c r="RS133" s="202" t="str">
        <f t="shared" ref="RS133:RS196" ca="1" si="122">IFERROR(RK133+RM133+RO133+RQ133,"Attente…")</f>
        <v>Attente…</v>
      </c>
      <c r="RT133" s="103"/>
      <c r="RU133" s="203">
        <f t="shared" si="115"/>
        <v>0.50714285714285712</v>
      </c>
      <c r="RV133" s="204">
        <f t="shared" si="118"/>
        <v>1</v>
      </c>
      <c r="RW133" s="204">
        <f t="shared" si="118"/>
        <v>2</v>
      </c>
      <c r="RX133" s="204">
        <f t="shared" si="116"/>
        <v>84</v>
      </c>
      <c r="RY133" s="205" t="str">
        <f t="shared" si="117"/>
        <v>ROUEN - 2 Rue François Couperin (Parking Eglise Sainte-Claire)</v>
      </c>
      <c r="RZ133" s="189" t="str">
        <f>IF(OR(RZ132="",RZ132="  &lt;/Document&gt;
&lt;/kml&gt;"),"",
IF(B133="","  &lt;/Document&gt;
&lt;/kml&gt;",
IF(TournéesCAV!Q133=""," ",
"    &lt;Placemark&gt;
      &lt;description&gt;&lt;![CDATA["&amp;B133&amp;"&lt;br&gt;&lt;br&gt;"&amp;RV133&amp;" CAV&lt;br&gt;&lt;br&gt;Présent sur "&amp;RW133&amp;" tournée(s)&lt;br&gt;&lt;br&gt;Taux de remplissage moyen "&amp;TEXT(RU133*1000,"0 %")&amp;"]]&gt;&lt;/description&gt;
      &lt;Style&gt;
        &lt;IconStyle&gt;
          &lt;color&gt;ff"&amp;
          DEC2HEX(0,2)&amp;
          DEC2HEX(
            IF(RU133&lt;=0.5,
               INT(255*(RU133*2)),
               255
            ),2)&amp;
          DEC2HEX(
            IF(RU133&lt;=0.5,
               255,
               INT(255*(1-(RU133-0.5)*2))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&lt;Point&gt;&lt;coordinates&gt;"&amp;R133&amp;","&amp;Q133&amp;",0&lt;/coordinates&gt;&lt;/Point&gt;
    &lt;/Placemark&gt;"
)))</f>
        <v xml:space="preserve">    &lt;Placemark&gt;
      &lt;description&gt;&lt;![CDATA[ROUEN - 2 Rue François Couperin (Parking Eglise Sainte-Claire)&lt;br&gt;&lt;br&gt;1 CAV&lt;br&gt;&lt;br&gt;Présent sur 2 tournée(s)&lt;br&gt;&lt;br&gt;Taux de remplissage moyen 51%]]&gt;&lt;/description&gt;
      &lt;Style&gt;
        &lt;IconStyle&gt;
          &lt;color&gt;ff00FFFB&lt;/color&gt;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&lt;Point&gt;&lt;coordinates&gt;1.1406381,49.4477877,0&lt;/coordinates&gt;&lt;/Point&gt;
    &lt;/Placemark&gt;</v>
      </c>
    </row>
    <row r="134" spans="2:494" ht="15" customHeight="1" x14ac:dyDescent="0.35">
      <c r="B134" s="153" t="str">
        <f t="shared" ref="B134:B197" si="123">UPPER(P134)&amp;" - "&amp;M134&amp;IF(N134="",""," ("&amp;N134&amp;")")</f>
        <v>ROUEN - Rue du Chanoine Maubec (Angle Ferdinand Marrou - Derrière le Coccinelle)</v>
      </c>
      <c r="C134" s="154">
        <v>192</v>
      </c>
      <c r="D134" s="155"/>
      <c r="E134" s="155"/>
      <c r="F134" s="155"/>
      <c r="G134" s="155"/>
      <c r="H134" s="155"/>
      <c r="I134" s="155"/>
      <c r="J134" s="156"/>
      <c r="K134" s="157">
        <f t="shared" ref="K134:K197" si="124">COUNTA(C134:J134)</f>
        <v>1</v>
      </c>
      <c r="L134" s="157">
        <f t="shared" ref="L134:L197" si="125">COUNTA(W134:AY134)</f>
        <v>2</v>
      </c>
      <c r="M134" s="158" t="s">
        <v>760</v>
      </c>
      <c r="N134" s="159" t="s">
        <v>761</v>
      </c>
      <c r="O134" s="159">
        <v>76000</v>
      </c>
      <c r="P134" s="159" t="s">
        <v>90</v>
      </c>
      <c r="Q134" s="159" t="s">
        <v>762</v>
      </c>
      <c r="R134" s="159" t="s">
        <v>763</v>
      </c>
      <c r="S134" s="159" t="s">
        <v>93</v>
      </c>
      <c r="T134" s="159" t="s">
        <v>94</v>
      </c>
      <c r="U134" s="159" t="s">
        <v>764</v>
      </c>
      <c r="V134" s="160" t="s">
        <v>96</v>
      </c>
      <c r="W134" s="210">
        <v>6</v>
      </c>
      <c r="X134" s="162">
        <v>6</v>
      </c>
      <c r="Y134" s="162"/>
      <c r="Z134" s="162"/>
      <c r="AA134" s="162"/>
      <c r="AB134" s="162"/>
      <c r="AC134" s="162"/>
      <c r="AD134" s="162"/>
      <c r="AE134" s="162"/>
      <c r="AF134" s="162"/>
      <c r="AG134" s="162"/>
      <c r="AH134" s="162"/>
      <c r="AI134" s="162"/>
      <c r="AJ134" s="162"/>
      <c r="AK134" s="162"/>
      <c r="AL134" s="162"/>
      <c r="AM134" s="162"/>
      <c r="AN134" s="162"/>
      <c r="AO134" s="162"/>
      <c r="AP134" s="164"/>
      <c r="AQ134" s="164"/>
      <c r="AR134" s="164"/>
      <c r="AS134" s="164"/>
      <c r="AT134" s="164"/>
      <c r="AU134" s="164"/>
      <c r="AV134" s="164"/>
      <c r="AW134" s="164"/>
      <c r="AX134" s="164"/>
      <c r="AY134" s="165"/>
      <c r="AZ134" s="41"/>
      <c r="BA134" s="190"/>
      <c r="BB134" s="191"/>
      <c r="BC134" s="191">
        <v>100</v>
      </c>
      <c r="BD134" s="191"/>
      <c r="BE134" s="191"/>
      <c r="BF134" s="191"/>
      <c r="BG134" s="191"/>
      <c r="BH134" s="191"/>
      <c r="BI134" s="191"/>
      <c r="BJ134" s="191">
        <v>10</v>
      </c>
      <c r="BK134" s="191"/>
      <c r="BL134" s="191"/>
      <c r="BM134" s="191">
        <v>100</v>
      </c>
      <c r="BN134" s="191"/>
      <c r="BO134" s="191"/>
      <c r="BP134" s="191"/>
      <c r="BQ134" s="191">
        <v>50</v>
      </c>
      <c r="BR134" s="191"/>
      <c r="BS134" s="191"/>
      <c r="BT134" s="191"/>
      <c r="BU134" s="191"/>
      <c r="BV134" s="191"/>
      <c r="BW134" s="191"/>
      <c r="BX134" s="191">
        <v>50</v>
      </c>
      <c r="BY134" s="191"/>
      <c r="BZ134" s="191"/>
      <c r="CA134" s="191"/>
      <c r="CB134" s="191"/>
      <c r="CC134" s="191"/>
      <c r="CD134" s="191"/>
      <c r="CE134" s="192">
        <v>50</v>
      </c>
      <c r="CF134" s="190"/>
      <c r="CG134" s="191"/>
      <c r="CH134" s="191"/>
      <c r="CI134" s="191"/>
      <c r="CJ134" s="191"/>
      <c r="CK134" s="191"/>
      <c r="CL134" s="191">
        <v>100</v>
      </c>
      <c r="CM134" s="191"/>
      <c r="CN134" s="191"/>
      <c r="CO134" s="191">
        <v>50</v>
      </c>
      <c r="CP134" s="191"/>
      <c r="CQ134" s="191"/>
      <c r="CR134" s="191"/>
      <c r="CS134" s="191">
        <v>10</v>
      </c>
      <c r="CT134" s="191"/>
      <c r="CU134" s="191"/>
      <c r="CV134" s="191">
        <v>50</v>
      </c>
      <c r="CW134" s="191"/>
      <c r="CX134" s="191"/>
      <c r="CY134" s="191"/>
      <c r="CZ134" s="191">
        <v>10</v>
      </c>
      <c r="DA134" s="191"/>
      <c r="DB134" s="191"/>
      <c r="DC134" s="191">
        <v>50</v>
      </c>
      <c r="DD134" s="191"/>
      <c r="DE134" s="191"/>
      <c r="DF134" s="191"/>
      <c r="DG134" s="191">
        <v>50</v>
      </c>
      <c r="DH134" s="193"/>
      <c r="DI134" s="194"/>
      <c r="DJ134" s="191"/>
      <c r="DK134" s="191">
        <v>50</v>
      </c>
      <c r="DL134" s="191"/>
      <c r="DM134" s="191"/>
      <c r="DN134" s="191"/>
      <c r="DO134" s="191"/>
      <c r="DP134" s="191"/>
      <c r="DQ134" s="191"/>
      <c r="DR134" s="191">
        <v>100</v>
      </c>
      <c r="DS134" s="191"/>
      <c r="DT134" s="191"/>
      <c r="DU134" s="191"/>
      <c r="DV134" s="191">
        <v>10</v>
      </c>
      <c r="DW134" s="191"/>
      <c r="DX134" s="191"/>
      <c r="DY134" s="191">
        <v>100</v>
      </c>
      <c r="DZ134" s="191"/>
      <c r="EA134" s="191"/>
      <c r="EB134" s="191"/>
      <c r="EC134" s="191">
        <v>50</v>
      </c>
      <c r="ED134" s="191"/>
      <c r="EE134" s="191"/>
      <c r="EF134" s="191">
        <v>10</v>
      </c>
      <c r="EG134" s="191"/>
      <c r="EH134" s="191"/>
      <c r="EI134" s="191"/>
      <c r="EJ134" s="191">
        <v>100</v>
      </c>
      <c r="EK134" s="191"/>
      <c r="EL134" s="191"/>
      <c r="EM134" s="192">
        <v>50</v>
      </c>
      <c r="EN134" s="190"/>
      <c r="EO134" s="191"/>
      <c r="EP134" s="191"/>
      <c r="EQ134" s="191">
        <v>100</v>
      </c>
      <c r="ER134" s="191"/>
      <c r="ES134" s="191"/>
      <c r="ET134" s="191">
        <v>200</v>
      </c>
      <c r="EU134" s="191"/>
      <c r="EV134" s="191"/>
      <c r="EW134" s="191"/>
      <c r="EX134" s="191">
        <v>50</v>
      </c>
      <c r="EY134" s="191"/>
      <c r="EZ134" s="191"/>
      <c r="FA134" s="191">
        <v>100</v>
      </c>
      <c r="FB134" s="191"/>
      <c r="FC134" s="191"/>
      <c r="FD134" s="191"/>
      <c r="FE134" s="191">
        <v>50</v>
      </c>
      <c r="FF134" s="191"/>
      <c r="FG134" s="191"/>
      <c r="FH134" s="191"/>
      <c r="FI134" s="191"/>
      <c r="FJ134" s="191"/>
      <c r="FK134" s="191">
        <v>50</v>
      </c>
      <c r="FL134" s="191"/>
      <c r="FM134" s="191"/>
      <c r="FN134" s="191"/>
      <c r="FO134" s="191">
        <v>150</v>
      </c>
      <c r="FP134" s="191"/>
      <c r="FQ134" s="193"/>
      <c r="FR134" s="194"/>
      <c r="FS134" s="191"/>
      <c r="FT134" s="191"/>
      <c r="FU134" s="191"/>
      <c r="FV134" s="191">
        <v>150</v>
      </c>
      <c r="FW134" s="191"/>
      <c r="FX134" s="191"/>
      <c r="FY134" s="191"/>
      <c r="FZ134" s="191">
        <v>50</v>
      </c>
      <c r="GA134" s="191"/>
      <c r="GB134" s="191"/>
      <c r="GC134" s="191">
        <v>10</v>
      </c>
      <c r="GD134" s="191"/>
      <c r="GE134" s="191"/>
      <c r="GF134" s="191"/>
      <c r="GG134" s="191">
        <v>100</v>
      </c>
      <c r="GH134" s="191"/>
      <c r="GI134" s="191"/>
      <c r="GJ134" s="191">
        <v>10</v>
      </c>
      <c r="GK134" s="191"/>
      <c r="GL134" s="191"/>
      <c r="GM134" s="191"/>
      <c r="GN134" s="191">
        <v>10</v>
      </c>
      <c r="GO134" s="191"/>
      <c r="GP134" s="191"/>
      <c r="GQ134" s="191">
        <v>50</v>
      </c>
      <c r="GR134" s="191"/>
      <c r="GS134" s="191"/>
      <c r="GT134" s="191"/>
      <c r="GU134" s="191">
        <v>50</v>
      </c>
      <c r="GV134" s="192"/>
      <c r="GW134" s="190"/>
      <c r="GX134" s="191">
        <v>100</v>
      </c>
      <c r="GY134" s="191"/>
      <c r="GZ134" s="191"/>
      <c r="HA134" s="191"/>
      <c r="HB134" s="191">
        <v>50</v>
      </c>
      <c r="HC134" s="191"/>
      <c r="HD134" s="191"/>
      <c r="HE134" s="191"/>
      <c r="HF134" s="191"/>
      <c r="HG134" s="191"/>
      <c r="HH134" s="191"/>
      <c r="HI134" s="191">
        <v>50</v>
      </c>
      <c r="HJ134" s="191"/>
      <c r="HK134" s="191"/>
      <c r="HL134" s="191"/>
      <c r="HM134" s="191"/>
      <c r="HN134" s="191"/>
      <c r="HO134" s="191">
        <v>50</v>
      </c>
      <c r="HP134" s="191"/>
      <c r="HQ134" s="191"/>
      <c r="HR134" s="191"/>
      <c r="HS134" s="191">
        <v>100</v>
      </c>
      <c r="HT134" s="191"/>
      <c r="HU134" s="191"/>
      <c r="HV134" s="191"/>
      <c r="HW134" s="191">
        <v>50</v>
      </c>
      <c r="HX134" s="191"/>
      <c r="HY134" s="191"/>
      <c r="HZ134" s="193">
        <v>10</v>
      </c>
      <c r="IA134" s="194"/>
      <c r="IB134" s="191"/>
      <c r="IC134" s="191"/>
      <c r="ID134" s="191">
        <v>50</v>
      </c>
      <c r="IE134" s="191"/>
      <c r="IF134" s="191"/>
      <c r="IG134" s="191"/>
      <c r="IH134" s="191"/>
      <c r="II134" s="191"/>
      <c r="IJ134" s="191">
        <v>50</v>
      </c>
      <c r="IK134" s="191"/>
      <c r="IL134" s="191"/>
      <c r="IM134" s="191"/>
      <c r="IN134" s="191">
        <v>100</v>
      </c>
      <c r="IO134" s="191"/>
      <c r="IP134" s="191"/>
      <c r="IQ134" s="191"/>
      <c r="IR134" s="191"/>
      <c r="IS134" s="191"/>
      <c r="IT134" s="191"/>
      <c r="IU134" s="191"/>
      <c r="IV134" s="191"/>
      <c r="IW134" s="191"/>
      <c r="IX134" s="191">
        <v>50</v>
      </c>
      <c r="IY134" s="191"/>
      <c r="IZ134" s="191"/>
      <c r="JA134" s="191"/>
      <c r="JB134" s="191">
        <v>100</v>
      </c>
      <c r="JC134" s="191"/>
      <c r="JD134" s="191"/>
      <c r="JE134" s="192"/>
      <c r="JF134" s="190">
        <v>100</v>
      </c>
      <c r="JG134" s="191"/>
      <c r="JH134" s="191"/>
      <c r="JI134" s="191">
        <v>10</v>
      </c>
      <c r="JJ134" s="191"/>
      <c r="JK134" s="191"/>
      <c r="JL134" s="191"/>
      <c r="JM134" s="191">
        <v>50</v>
      </c>
      <c r="JN134" s="191"/>
      <c r="JO134" s="191"/>
      <c r="JP134" s="191">
        <v>10</v>
      </c>
      <c r="JQ134" s="191"/>
      <c r="JR134" s="191"/>
      <c r="JS134" s="191"/>
      <c r="JT134" s="191"/>
      <c r="JU134" s="191"/>
      <c r="JV134" s="191"/>
      <c r="JW134" s="191">
        <v>100</v>
      </c>
      <c r="JX134" s="191"/>
      <c r="JY134" s="191"/>
      <c r="JZ134" s="191"/>
      <c r="KA134" s="191">
        <v>50</v>
      </c>
      <c r="KB134" s="191"/>
      <c r="KC134" s="191"/>
      <c r="KD134" s="191">
        <v>50</v>
      </c>
      <c r="KE134" s="191"/>
      <c r="KF134" s="191"/>
      <c r="KG134" s="191"/>
      <c r="KH134" s="191">
        <v>50</v>
      </c>
      <c r="KI134" s="191"/>
      <c r="KJ134" s="193"/>
      <c r="KK134" s="194">
        <v>50</v>
      </c>
      <c r="KL134" s="191"/>
      <c r="KM134" s="191"/>
      <c r="KN134" s="191"/>
      <c r="KO134" s="191"/>
      <c r="KP134" s="191"/>
      <c r="KQ134" s="191"/>
      <c r="KR134" s="191">
        <v>10</v>
      </c>
      <c r="KS134" s="191"/>
      <c r="KT134" s="191"/>
      <c r="KU134" s="191"/>
      <c r="KV134" s="191">
        <v>10</v>
      </c>
      <c r="KW134" s="191"/>
      <c r="KX134" s="191"/>
      <c r="KY134" s="191">
        <v>10</v>
      </c>
      <c r="KZ134" s="191"/>
      <c r="LA134" s="191"/>
      <c r="LB134" s="191"/>
      <c r="LC134" s="191">
        <v>50</v>
      </c>
      <c r="LD134" s="191"/>
      <c r="LE134" s="191"/>
      <c r="LF134" s="191">
        <v>10</v>
      </c>
      <c r="LG134" s="191"/>
      <c r="LH134" s="191"/>
      <c r="LI134" s="191"/>
      <c r="LJ134" s="191">
        <v>50</v>
      </c>
      <c r="LK134" s="191"/>
      <c r="LL134" s="191"/>
      <c r="LM134" s="191">
        <v>50</v>
      </c>
      <c r="LN134" s="192"/>
      <c r="LO134" s="190"/>
      <c r="LP134" s="191"/>
      <c r="LQ134" s="191"/>
      <c r="LR134" s="191"/>
      <c r="LS134" s="191"/>
      <c r="LT134" s="191">
        <v>50</v>
      </c>
      <c r="LU134" s="191"/>
      <c r="LV134" s="191"/>
      <c r="LW134" s="191"/>
      <c r="LX134" s="191">
        <v>50</v>
      </c>
      <c r="LY134" s="191"/>
      <c r="LZ134" s="191"/>
      <c r="MA134" s="191">
        <v>10</v>
      </c>
      <c r="MB134" s="191"/>
      <c r="MC134" s="191"/>
      <c r="MD134" s="191"/>
      <c r="ME134" s="191">
        <v>50</v>
      </c>
      <c r="MF134" s="191"/>
      <c r="MG134" s="191"/>
      <c r="MH134" s="191">
        <v>50</v>
      </c>
      <c r="MI134" s="191"/>
      <c r="MJ134" s="191"/>
      <c r="MK134" s="191"/>
      <c r="ML134" s="191">
        <v>10</v>
      </c>
      <c r="MM134" s="191"/>
      <c r="MN134" s="191"/>
      <c r="MO134" s="191">
        <v>100</v>
      </c>
      <c r="MP134" s="191"/>
      <c r="MQ134" s="191"/>
      <c r="MR134" s="191"/>
      <c r="MS134" s="193">
        <v>100</v>
      </c>
      <c r="MT134" s="194"/>
      <c r="MU134" s="191"/>
      <c r="MV134" s="191">
        <v>10</v>
      </c>
      <c r="MW134" s="191"/>
      <c r="MX134" s="191"/>
      <c r="MY134" s="191"/>
      <c r="MZ134" s="191">
        <v>10</v>
      </c>
      <c r="NA134" s="191"/>
      <c r="NB134" s="191"/>
      <c r="NC134" s="191">
        <v>10</v>
      </c>
      <c r="ND134" s="191"/>
      <c r="NE134" s="191"/>
      <c r="NF134" s="191"/>
      <c r="NG134" s="191">
        <v>50</v>
      </c>
      <c r="NH134" s="191"/>
      <c r="NI134" s="191"/>
      <c r="NJ134" s="191">
        <v>10</v>
      </c>
      <c r="NK134" s="191"/>
      <c r="NL134" s="191"/>
      <c r="NM134" s="191"/>
      <c r="NN134" s="191">
        <v>10</v>
      </c>
      <c r="NO134" s="191"/>
      <c r="NP134" s="191"/>
      <c r="NQ134" s="191">
        <v>10</v>
      </c>
      <c r="NR134" s="191"/>
      <c r="NS134" s="191"/>
      <c r="NT134" s="191"/>
      <c r="NU134" s="191">
        <v>10</v>
      </c>
      <c r="NV134" s="191"/>
      <c r="NW134" s="192"/>
      <c r="NX134" s="190">
        <v>10</v>
      </c>
      <c r="NY134" s="191"/>
      <c r="NZ134" s="191"/>
      <c r="OA134" s="191"/>
      <c r="OB134" s="191">
        <v>50</v>
      </c>
      <c r="OC134" s="191"/>
      <c r="OD134" s="191"/>
      <c r="OE134" s="191">
        <v>50</v>
      </c>
      <c r="OF134" s="191"/>
      <c r="OG134" s="191"/>
      <c r="OH134" s="191"/>
      <c r="OI134" s="191">
        <v>10</v>
      </c>
      <c r="OJ134" s="191"/>
      <c r="OK134" s="191"/>
      <c r="OL134" s="191">
        <v>50</v>
      </c>
      <c r="OM134" s="191"/>
      <c r="ON134" s="191"/>
      <c r="OO134" s="191"/>
      <c r="OP134" s="191"/>
      <c r="OQ134" s="191"/>
      <c r="OR134" s="191"/>
      <c r="OS134" s="191"/>
      <c r="OT134" s="191"/>
      <c r="OU134" s="191"/>
      <c r="OV134" s="191"/>
      <c r="OW134" s="191"/>
      <c r="OX134" s="191"/>
      <c r="OY134" s="191"/>
      <c r="OZ134" s="191"/>
      <c r="PA134" s="191"/>
      <c r="PB134" s="193"/>
      <c r="PC134" s="47"/>
      <c r="PD134" s="154" t="s">
        <v>97</v>
      </c>
      <c r="PE134" s="155" t="s">
        <v>98</v>
      </c>
      <c r="PF134" s="155" t="s">
        <v>98</v>
      </c>
      <c r="PG134" s="155" t="s">
        <v>98</v>
      </c>
      <c r="PH134" s="155" t="s">
        <v>98</v>
      </c>
      <c r="PI134" s="155" t="s">
        <v>98</v>
      </c>
      <c r="PJ134" s="155" t="s">
        <v>98</v>
      </c>
      <c r="PK134" s="155" t="s">
        <v>98</v>
      </c>
      <c r="PL134" s="155" t="s">
        <v>98</v>
      </c>
      <c r="PM134" s="155" t="s">
        <v>98</v>
      </c>
      <c r="PN134" s="155" t="s">
        <v>98</v>
      </c>
      <c r="PO134" s="156"/>
      <c r="PP134" s="156"/>
      <c r="PQ134" s="156"/>
      <c r="PR134" s="156"/>
      <c r="PS134" s="156"/>
      <c r="PT134" s="156"/>
      <c r="PU134" s="156"/>
      <c r="PV134" s="156"/>
      <c r="PW134" s="156"/>
      <c r="PX134" s="195"/>
      <c r="PY134" s="1"/>
      <c r="PZ134" s="196">
        <f t="shared" ref="PZ134:PZ197" si="126">SUM(BA134:CE134)</f>
        <v>360</v>
      </c>
      <c r="QA134" s="176">
        <f t="shared" ref="QA134:QA197" si="127">IFERROR(PZ134/PZ$5,"Attente…")</f>
        <v>3.0032535246517062E-3</v>
      </c>
      <c r="QB134" s="177" t="str">
        <f t="shared" ref="QB134:QB197" ca="1" si="128">IFERROR(QA134*QB$5,"Attente…")</f>
        <v>Attente…</v>
      </c>
      <c r="QC134" s="197">
        <f t="shared" ref="QC134:QC197" si="129">SUM(CF134:DH134)</f>
        <v>320</v>
      </c>
      <c r="QD134" s="179">
        <f t="shared" ref="QD134:QD197" si="130">IFERROR(QC134/QC$5,"Attente…")</f>
        <v>2.9962546816479402E-3</v>
      </c>
      <c r="QE134" s="180" t="str">
        <f t="shared" ref="QE134:QE197" ca="1" si="131">IFERROR(QD134*QE$5,"Attente…")</f>
        <v>Attente…</v>
      </c>
      <c r="QF134" s="196">
        <f t="shared" ref="QF134:QF197" si="132">SUM(DI134:EM134)</f>
        <v>470</v>
      </c>
      <c r="QG134" s="176">
        <f t="shared" ref="QG134:QG197" si="133">IFERROR(QF134/QF$5,"Attente…")</f>
        <v>3.742634177416786E-3</v>
      </c>
      <c r="QH134" s="177" t="str">
        <f t="shared" ref="QH134:QH197" ca="1" si="134">IFERROR(QG134*QH$5,"Attente…")</f>
        <v>Attente…</v>
      </c>
      <c r="QI134" s="197">
        <f t="shared" ref="QI134:QI197" si="135">SUM(EN134:FQ134)</f>
        <v>700</v>
      </c>
      <c r="QJ134" s="179">
        <f t="shared" ref="QJ134:QJ197" si="136">IFERROR(QI134/QI$5,"Attente…")</f>
        <v>4.9095244774863232E-3</v>
      </c>
      <c r="QK134" s="180" t="str">
        <f t="shared" ref="QK134:QK197" ca="1" si="137">IFERROR(QJ134*QK$5,"Attente…")</f>
        <v>Attente…</v>
      </c>
      <c r="QL134" s="196">
        <f t="shared" ref="QL134:QL197" si="138">SUM(FR134:GV134)</f>
        <v>430</v>
      </c>
      <c r="QM134" s="176">
        <f t="shared" ref="QM134:QM197" si="139">IFERROR(QL134/QL$5,"Attente…")</f>
        <v>3.1460345332162717E-3</v>
      </c>
      <c r="QN134" s="177" t="str">
        <f t="shared" ref="QN134:QN197" ca="1" si="140">IFERROR(QM134*QN$5,"Attente…")</f>
        <v>Attente…</v>
      </c>
      <c r="QO134" s="197">
        <f t="shared" ref="QO134:QO197" si="141">SUM(GW134:HZ134)</f>
        <v>410</v>
      </c>
      <c r="QP134" s="179">
        <f t="shared" ref="QP134:QP197" si="142">IFERROR(QO134/QO$5,"Attente…")</f>
        <v>3.2098958741094497E-3</v>
      </c>
      <c r="QQ134" s="180" t="str">
        <f t="shared" ref="QQ134:QQ197" ca="1" si="143">IFERROR(QP134*QQ$5,"Attente…")</f>
        <v>Attente…</v>
      </c>
      <c r="QR134" s="196">
        <f t="shared" ref="QR134:QR197" si="144">SUM(IA134:JE134)</f>
        <v>350</v>
      </c>
      <c r="QS134" s="176">
        <f t="shared" ref="QS134:QS197" si="145">IFERROR(QR134/QR$5,"Attente…")</f>
        <v>2.5197077139051871E-3</v>
      </c>
      <c r="QT134" s="177" t="str">
        <f t="shared" ref="QT134:QT197" ca="1" si="146">IFERROR(QS134*QT$5,"Attente…")</f>
        <v>Attente…</v>
      </c>
      <c r="QU134" s="197">
        <f t="shared" ref="QU134:QU197" si="147">SUM(JF134:KJ134)</f>
        <v>420</v>
      </c>
      <c r="QV134" s="179">
        <f t="shared" ref="QV134:QV197" si="148">IFERROR(QU134/QU$5,"Attente…")</f>
        <v>2.8957528957528956E-3</v>
      </c>
      <c r="QW134" s="180" t="str">
        <f t="shared" ref="QW134:QW197" ca="1" si="149">IFERROR(QV134*QW$5,"Attente…")</f>
        <v>Attente…</v>
      </c>
      <c r="QX134" s="196">
        <f t="shared" ref="QX134:QX197" si="150">SUM(KK134:LN134)</f>
        <v>240</v>
      </c>
      <c r="QY134" s="176">
        <f t="shared" ref="QY134:QY197" si="151">IFERROR(QX134/QX$5,"Attente…")</f>
        <v>1.7513646049213346E-3</v>
      </c>
      <c r="QZ134" s="177" t="str">
        <f t="shared" ref="QZ134:QZ197" ca="1" si="152">IFERROR(QY134*QZ$5,"Attente…")</f>
        <v>Attente…</v>
      </c>
      <c r="RA134" s="197">
        <f t="shared" ref="RA134:RA197" si="153">SUM(LO134:MS134)</f>
        <v>420</v>
      </c>
      <c r="RB134" s="179">
        <f t="shared" ref="RB134:RB197" si="154">IFERROR(RA134/RA$5,"Attente…")</f>
        <v>3.286127846021438E-3</v>
      </c>
      <c r="RC134" s="180" t="str">
        <f t="shared" ref="RC134:RC197" ca="1" si="155">IFERROR(RB134*RC$5,"Attente…")</f>
        <v>Attente…</v>
      </c>
      <c r="RD134" s="196">
        <f t="shared" ref="RD134:RD197" si="156">SUM(MT134:NW134)</f>
        <v>120</v>
      </c>
      <c r="RE134" s="176">
        <f t="shared" ref="RE134:RE197" si="157">IFERROR(RD134/RD$5,"Attente…")</f>
        <v>1.1956954962136308E-3</v>
      </c>
      <c r="RF134" s="177" t="str">
        <f t="shared" ref="RF134:RF197" ca="1" si="158">IFERROR(RE134*RF$5,"Attente…")</f>
        <v>Attente…</v>
      </c>
      <c r="RG134" s="197">
        <f t="shared" ref="RG134:RG197" si="159">SUM(NX134:PB134)</f>
        <v>170</v>
      </c>
      <c r="RH134" s="179">
        <f t="shared" ref="RH134:RH197" si="160">IFERROR(RG134/RG$5,"Attente…")</f>
        <v>3.1267242964870333E-3</v>
      </c>
      <c r="RI134" s="198" t="str">
        <f t="shared" ref="RI134:RI197" ca="1" si="161">IFERROR(RH134*RI$5,"Attente…")</f>
        <v>Attente…</v>
      </c>
      <c r="RJ134" s="199">
        <f t="shared" ref="RJ134:RJ197" si="162">IF(RJ$5="Attente...","Attente…",PZ134+QC134+QF134)</f>
        <v>1150</v>
      </c>
      <c r="RK134" s="200" t="str">
        <f t="shared" ca="1" si="119"/>
        <v>Attente…</v>
      </c>
      <c r="RL134" s="199">
        <f t="shared" ref="RL134:RL197" si="163">IF(RL$5="Attente...","Attente…",QI134+QL134+QO134)</f>
        <v>1540</v>
      </c>
      <c r="RM134" s="200" t="str">
        <f t="shared" ref="RM134:RM197" ca="1" si="164">IFERROR(QK134+QN134+QQ134,"Atttente…")</f>
        <v>Atttente…</v>
      </c>
      <c r="RN134" s="199">
        <f t="shared" ref="RN134:RN197" si="165">IF(RN$5="Attente...","Attente…",QR134+QU134+QX134)</f>
        <v>1010</v>
      </c>
      <c r="RO134" s="200" t="str">
        <f t="shared" ca="1" si="120"/>
        <v>Attente…</v>
      </c>
      <c r="RP134" s="199">
        <f t="shared" ref="RP134:RP197" si="166">IF(RP$5="Attente...","Attente…",RA134+RD134+RG134)</f>
        <v>710</v>
      </c>
      <c r="RQ134" s="200" t="str">
        <f t="shared" ca="1" si="121"/>
        <v>Attente…</v>
      </c>
      <c r="RR134" s="201">
        <f t="shared" ref="RR134:RR197" si="167">IF(RR$5="Attente...","Attente…",RJ134+RL134+RN134+RP134)</f>
        <v>4410</v>
      </c>
      <c r="RS134" s="202" t="str">
        <f t="shared" ca="1" si="122"/>
        <v>Attente…</v>
      </c>
      <c r="RT134" s="103"/>
      <c r="RU134" s="203">
        <f t="shared" ref="RU134:RU197" si="168">IFERROR(AVERAGE(BA134:PB134)/K134/2/100,"")</f>
        <v>0.25941176470588234</v>
      </c>
      <c r="RV134" s="204">
        <f t="shared" si="118"/>
        <v>1</v>
      </c>
      <c r="RW134" s="204">
        <f t="shared" si="118"/>
        <v>2</v>
      </c>
      <c r="RX134" s="204">
        <f t="shared" ref="RX134:RX197" si="169">COUNTA(BA134:PB134)</f>
        <v>85</v>
      </c>
      <c r="RY134" s="205" t="str">
        <f t="shared" ref="RY134:RY197" si="170">IF(B134="","",B134)</f>
        <v>ROUEN - Rue du Chanoine Maubec (Angle Ferdinand Marrou - Derrière le Coccinelle)</v>
      </c>
      <c r="RZ134" s="189" t="str">
        <f>IF(OR(RZ133="",RZ133="  &lt;/Document&gt;
&lt;/kml&gt;"),"",
IF(B134="","  &lt;/Document&gt;
&lt;/kml&gt;",
IF(TournéesCAV!Q142=""," ",
"    &lt;Placemark&gt;
      &lt;description&gt;&lt;![CDATA["&amp;B134&amp;"&lt;br&gt;&lt;br&gt;"&amp;RV134&amp;" CAV&lt;br&gt;&lt;br&gt;Présent sur "&amp;RW134&amp;" tournée(s)&lt;br&gt;&lt;br&gt;Taux de remplissage moyen "&amp;TEXT(RU134*1000,"0 %")&amp;"]]&gt;&lt;/description&gt;
      &lt;Style&gt;
        &lt;IconStyle&gt;
          &lt;color&gt;ff"&amp;
          DEC2HEX(0,2)&amp;
          DEC2HEX(
            IF(RU134&lt;=0.5,
               INT(255*(RU134*2)),
               255
            ),2)&amp;
          DEC2HEX(
            IF(RU134&lt;=0.5,
               255,
               INT(255*(1-(RU134-0.5)*2))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&lt;Point&gt;&lt;coordinates&gt;"&amp;R134&amp;","&amp;Q134&amp;",0&lt;/coordinates&gt;&lt;/Point&gt;
    &lt;/Placemark&gt;"
)))</f>
        <v xml:space="preserve">    &lt;Placemark&gt;
      &lt;description&gt;&lt;![CDATA[ROUEN - Rue du Chanoine Maubec (Angle Ferdinand Marrou - Derrière le Coccinelle)&lt;br&gt;&lt;br&gt;1 CAV&lt;br&gt;&lt;br&gt;Présent sur 2 tournée(s)&lt;br&gt;&lt;br&gt;Taux de remplissage moyen 26%]]&gt;&lt;/description&gt;
      &lt;Style&gt;
        &lt;IconStyle&gt;
          &lt;color&gt;ff0084FF&lt;/color&gt;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&lt;Point&gt;&lt;coordinates&gt;1.1296958227538978,49.45720248268819,0&lt;/coordinates&gt;&lt;/Point&gt;
    &lt;/Placemark&gt;</v>
      </c>
    </row>
    <row r="135" spans="2:494" ht="15" hidden="1" customHeight="1" x14ac:dyDescent="0.35">
      <c r="B135" s="153" t="str">
        <f t="shared" si="123"/>
        <v>SOTTEVILLE-LÈS-ROUEN - 30 avenue du 14 juillet (Parking Stade Sottevillais)</v>
      </c>
      <c r="C135" s="154">
        <v>100</v>
      </c>
      <c r="D135" s="155"/>
      <c r="E135" s="155"/>
      <c r="F135" s="155"/>
      <c r="G135" s="155"/>
      <c r="H135" s="155"/>
      <c r="I135" s="155"/>
      <c r="J135" s="156"/>
      <c r="K135" s="157">
        <f t="shared" si="124"/>
        <v>1</v>
      </c>
      <c r="L135" s="157">
        <f t="shared" si="125"/>
        <v>2</v>
      </c>
      <c r="M135" s="158" t="s">
        <v>765</v>
      </c>
      <c r="N135" s="159" t="s">
        <v>766</v>
      </c>
      <c r="O135" s="159">
        <v>76300</v>
      </c>
      <c r="P135" s="159" t="s">
        <v>275</v>
      </c>
      <c r="Q135" s="159" t="s">
        <v>767</v>
      </c>
      <c r="R135" s="159" t="s">
        <v>768</v>
      </c>
      <c r="S135" s="159" t="s">
        <v>93</v>
      </c>
      <c r="T135" s="159" t="s">
        <v>94</v>
      </c>
      <c r="U135" s="159" t="s">
        <v>769</v>
      </c>
      <c r="V135" s="160" t="s">
        <v>96</v>
      </c>
      <c r="W135" s="161"/>
      <c r="X135" s="162"/>
      <c r="Y135" s="163"/>
      <c r="Z135" s="162"/>
      <c r="AA135" s="163">
        <v>7</v>
      </c>
      <c r="AB135" s="162">
        <v>9</v>
      </c>
      <c r="AC135" s="163"/>
      <c r="AD135" s="162"/>
      <c r="AE135" s="163"/>
      <c r="AF135" s="162"/>
      <c r="AG135" s="163"/>
      <c r="AH135" s="163"/>
      <c r="AI135" s="162"/>
      <c r="AJ135" s="163"/>
      <c r="AK135" s="162"/>
      <c r="AL135" s="163"/>
      <c r="AM135" s="162"/>
      <c r="AN135" s="163"/>
      <c r="AO135" s="162"/>
      <c r="AP135" s="164"/>
      <c r="AQ135" s="164"/>
      <c r="AR135" s="164"/>
      <c r="AS135" s="164"/>
      <c r="AT135" s="164"/>
      <c r="AU135" s="164"/>
      <c r="AV135" s="164"/>
      <c r="AW135" s="164"/>
      <c r="AX135" s="164"/>
      <c r="AY135" s="165"/>
      <c r="AZ135" s="41"/>
      <c r="BA135" s="190"/>
      <c r="BB135" s="191"/>
      <c r="BC135" s="191">
        <v>200</v>
      </c>
      <c r="BD135" s="191"/>
      <c r="BE135" s="191"/>
      <c r="BF135" s="191"/>
      <c r="BG135" s="191">
        <v>200</v>
      </c>
      <c r="BH135" s="191"/>
      <c r="BI135" s="191"/>
      <c r="BJ135" s="191">
        <v>50</v>
      </c>
      <c r="BK135" s="191"/>
      <c r="BL135" s="191"/>
      <c r="BM135" s="191"/>
      <c r="BN135" s="191">
        <v>10</v>
      </c>
      <c r="BO135" s="191"/>
      <c r="BP135" s="191"/>
      <c r="BQ135" s="191">
        <v>200</v>
      </c>
      <c r="BR135" s="191"/>
      <c r="BS135" s="191"/>
      <c r="BT135" s="191"/>
      <c r="BU135" s="191">
        <v>100</v>
      </c>
      <c r="BV135" s="191"/>
      <c r="BW135" s="191"/>
      <c r="BX135" s="191">
        <v>50</v>
      </c>
      <c r="BY135" s="191"/>
      <c r="BZ135" s="191"/>
      <c r="CA135" s="191"/>
      <c r="CB135" s="191">
        <v>150</v>
      </c>
      <c r="CC135" s="191"/>
      <c r="CD135" s="191"/>
      <c r="CE135" s="192">
        <v>50</v>
      </c>
      <c r="CF135" s="190"/>
      <c r="CG135" s="191"/>
      <c r="CH135" s="191"/>
      <c r="CI135" s="191">
        <v>150</v>
      </c>
      <c r="CJ135" s="191"/>
      <c r="CK135" s="191"/>
      <c r="CL135" s="191">
        <v>100</v>
      </c>
      <c r="CM135" s="191"/>
      <c r="CN135" s="191"/>
      <c r="CO135" s="191"/>
      <c r="CP135" s="191">
        <v>150</v>
      </c>
      <c r="CQ135" s="191"/>
      <c r="CR135" s="191"/>
      <c r="CS135" s="191">
        <v>100</v>
      </c>
      <c r="CT135" s="191"/>
      <c r="CU135" s="191"/>
      <c r="CV135" s="191"/>
      <c r="CW135" s="191">
        <v>150</v>
      </c>
      <c r="CX135" s="191"/>
      <c r="CY135" s="191"/>
      <c r="CZ135" s="191">
        <v>150</v>
      </c>
      <c r="DA135" s="191"/>
      <c r="DB135" s="191"/>
      <c r="DC135" s="191"/>
      <c r="DD135" s="191">
        <v>100</v>
      </c>
      <c r="DE135" s="191"/>
      <c r="DF135" s="191"/>
      <c r="DG135" s="191">
        <v>200</v>
      </c>
      <c r="DH135" s="193"/>
      <c r="DI135" s="194"/>
      <c r="DJ135" s="191"/>
      <c r="DK135" s="191"/>
      <c r="DL135" s="191">
        <v>150</v>
      </c>
      <c r="DM135" s="191"/>
      <c r="DN135" s="191"/>
      <c r="DO135" s="191">
        <v>10</v>
      </c>
      <c r="DP135" s="191"/>
      <c r="DQ135" s="191"/>
      <c r="DR135" s="191"/>
      <c r="DS135" s="191">
        <v>200</v>
      </c>
      <c r="DT135" s="191"/>
      <c r="DU135" s="191"/>
      <c r="DV135" s="191">
        <v>50</v>
      </c>
      <c r="DW135" s="191"/>
      <c r="DX135" s="191"/>
      <c r="DY135" s="191"/>
      <c r="DZ135" s="191">
        <v>200</v>
      </c>
      <c r="EA135" s="191"/>
      <c r="EB135" s="191"/>
      <c r="EC135" s="191">
        <v>100</v>
      </c>
      <c r="ED135" s="191"/>
      <c r="EE135" s="191"/>
      <c r="EF135" s="191"/>
      <c r="EG135" s="191">
        <v>150</v>
      </c>
      <c r="EH135" s="191"/>
      <c r="EI135" s="191"/>
      <c r="EJ135" s="191">
        <v>100</v>
      </c>
      <c r="EK135" s="191"/>
      <c r="EL135" s="191"/>
      <c r="EM135" s="192"/>
      <c r="EN135" s="190">
        <v>100</v>
      </c>
      <c r="EO135" s="191"/>
      <c r="EP135" s="191"/>
      <c r="EQ135" s="191">
        <v>200</v>
      </c>
      <c r="ER135" s="191"/>
      <c r="ES135" s="191"/>
      <c r="ET135" s="191"/>
      <c r="EU135" s="191">
        <v>200</v>
      </c>
      <c r="EV135" s="191"/>
      <c r="EW135" s="191"/>
      <c r="EX135" s="191">
        <v>200</v>
      </c>
      <c r="EY135" s="191"/>
      <c r="EZ135" s="191"/>
      <c r="FA135" s="191"/>
      <c r="FB135" s="191">
        <v>200</v>
      </c>
      <c r="FC135" s="191"/>
      <c r="FD135" s="191"/>
      <c r="FE135" s="191">
        <v>200</v>
      </c>
      <c r="FF135" s="191"/>
      <c r="FG135" s="191"/>
      <c r="FH135" s="191"/>
      <c r="FI135" s="191">
        <v>200</v>
      </c>
      <c r="FJ135" s="191"/>
      <c r="FK135" s="191"/>
      <c r="FL135" s="191"/>
      <c r="FM135" s="191"/>
      <c r="FN135" s="191"/>
      <c r="FO135" s="191"/>
      <c r="FP135" s="191">
        <v>100</v>
      </c>
      <c r="FQ135" s="193"/>
      <c r="FR135" s="194"/>
      <c r="FS135" s="191">
        <v>100</v>
      </c>
      <c r="FT135" s="191"/>
      <c r="FU135" s="191"/>
      <c r="FV135" s="191"/>
      <c r="FW135" s="191">
        <v>150</v>
      </c>
      <c r="FX135" s="191"/>
      <c r="FY135" s="191"/>
      <c r="FZ135" s="191">
        <v>200</v>
      </c>
      <c r="GA135" s="191"/>
      <c r="GB135" s="191"/>
      <c r="GC135" s="191"/>
      <c r="GD135" s="191">
        <v>100</v>
      </c>
      <c r="GE135" s="191"/>
      <c r="GF135" s="191"/>
      <c r="GG135" s="191">
        <v>100</v>
      </c>
      <c r="GH135" s="191"/>
      <c r="GI135" s="191"/>
      <c r="GJ135" s="191"/>
      <c r="GK135" s="191">
        <v>150</v>
      </c>
      <c r="GL135" s="191"/>
      <c r="GM135" s="191"/>
      <c r="GN135" s="191">
        <v>100</v>
      </c>
      <c r="GO135" s="191"/>
      <c r="GP135" s="191"/>
      <c r="GQ135" s="191"/>
      <c r="GR135" s="191">
        <v>200</v>
      </c>
      <c r="GS135" s="191"/>
      <c r="GT135" s="191"/>
      <c r="GU135" s="191">
        <v>100</v>
      </c>
      <c r="GV135" s="192"/>
      <c r="GW135" s="190"/>
      <c r="GX135" s="191"/>
      <c r="GY135" s="191">
        <v>150</v>
      </c>
      <c r="GZ135" s="191"/>
      <c r="HA135" s="191"/>
      <c r="HB135" s="191">
        <v>100</v>
      </c>
      <c r="HC135" s="191"/>
      <c r="HD135" s="191"/>
      <c r="HE135" s="191"/>
      <c r="HF135" s="191">
        <v>200</v>
      </c>
      <c r="HG135" s="191"/>
      <c r="HH135" s="191"/>
      <c r="HI135" s="191">
        <v>150</v>
      </c>
      <c r="HJ135" s="191"/>
      <c r="HK135" s="191"/>
      <c r="HL135" s="191"/>
      <c r="HM135" s="191">
        <v>200</v>
      </c>
      <c r="HN135" s="191"/>
      <c r="HO135" s="191"/>
      <c r="HP135" s="191">
        <v>50</v>
      </c>
      <c r="HQ135" s="191"/>
      <c r="HR135" s="191"/>
      <c r="HS135" s="191"/>
      <c r="HT135" s="191">
        <v>100</v>
      </c>
      <c r="HU135" s="191"/>
      <c r="HV135" s="191"/>
      <c r="HW135" s="191">
        <v>150</v>
      </c>
      <c r="HX135" s="191"/>
      <c r="HY135" s="191"/>
      <c r="HZ135" s="193"/>
      <c r="IA135" s="194">
        <v>200</v>
      </c>
      <c r="IB135" s="191"/>
      <c r="IC135" s="191"/>
      <c r="ID135" s="191">
        <v>100</v>
      </c>
      <c r="IE135" s="191"/>
      <c r="IF135" s="191"/>
      <c r="IG135" s="191"/>
      <c r="IH135" s="191"/>
      <c r="II135" s="191"/>
      <c r="IJ135" s="191"/>
      <c r="IK135" s="191">
        <v>150</v>
      </c>
      <c r="IL135" s="191"/>
      <c r="IM135" s="191"/>
      <c r="IN135" s="191"/>
      <c r="IO135" s="191"/>
      <c r="IP135" s="191">
        <v>150</v>
      </c>
      <c r="IQ135" s="191"/>
      <c r="IR135" s="191"/>
      <c r="IS135" s="191"/>
      <c r="IT135" s="191"/>
      <c r="IU135" s="191"/>
      <c r="IV135" s="191">
        <v>200</v>
      </c>
      <c r="IW135" s="191"/>
      <c r="IX135" s="191"/>
      <c r="IY135" s="191"/>
      <c r="IZ135" s="191"/>
      <c r="JA135" s="191"/>
      <c r="JB135" s="191"/>
      <c r="JC135" s="191">
        <v>100</v>
      </c>
      <c r="JD135" s="191"/>
      <c r="JE135" s="192"/>
      <c r="JF135" s="190">
        <v>200</v>
      </c>
      <c r="JG135" s="191"/>
      <c r="JH135" s="191"/>
      <c r="JI135" s="191"/>
      <c r="JJ135" s="191">
        <v>200</v>
      </c>
      <c r="JK135" s="191"/>
      <c r="JL135" s="191"/>
      <c r="JM135" s="191">
        <v>150</v>
      </c>
      <c r="JN135" s="191"/>
      <c r="JO135" s="191"/>
      <c r="JP135" s="191"/>
      <c r="JQ135" s="191">
        <v>200</v>
      </c>
      <c r="JR135" s="191"/>
      <c r="JS135" s="191"/>
      <c r="JT135" s="191"/>
      <c r="JU135" s="191"/>
      <c r="JV135" s="191"/>
      <c r="JW135" s="191"/>
      <c r="JX135" s="191"/>
      <c r="JY135" s="191"/>
      <c r="JZ135" s="191"/>
      <c r="KA135" s="191"/>
      <c r="KB135" s="191"/>
      <c r="KC135" s="191"/>
      <c r="KD135" s="191"/>
      <c r="KE135" s="191">
        <v>150</v>
      </c>
      <c r="KF135" s="191"/>
      <c r="KG135" s="191"/>
      <c r="KH135" s="191">
        <v>150</v>
      </c>
      <c r="KI135" s="191"/>
      <c r="KJ135" s="193"/>
      <c r="KK135" s="194"/>
      <c r="KL135" s="191">
        <v>200</v>
      </c>
      <c r="KM135" s="191"/>
      <c r="KN135" s="191"/>
      <c r="KO135" s="191">
        <v>150</v>
      </c>
      <c r="KP135" s="191"/>
      <c r="KQ135" s="191"/>
      <c r="KR135" s="191"/>
      <c r="KS135" s="191">
        <v>200</v>
      </c>
      <c r="KT135" s="191"/>
      <c r="KU135" s="191"/>
      <c r="KV135" s="191">
        <v>150</v>
      </c>
      <c r="KW135" s="191"/>
      <c r="KX135" s="191"/>
      <c r="KY135" s="191"/>
      <c r="KZ135" s="191">
        <v>150</v>
      </c>
      <c r="LA135" s="191"/>
      <c r="LB135" s="191"/>
      <c r="LC135" s="191"/>
      <c r="LD135" s="191"/>
      <c r="LE135" s="191"/>
      <c r="LF135" s="191"/>
      <c r="LG135" s="191">
        <v>200</v>
      </c>
      <c r="LH135" s="191"/>
      <c r="LI135" s="191"/>
      <c r="LJ135" s="191">
        <v>100</v>
      </c>
      <c r="LK135" s="191"/>
      <c r="LL135" s="191"/>
      <c r="LM135" s="191"/>
      <c r="LN135" s="192"/>
      <c r="LO135" s="190"/>
      <c r="LP135" s="191"/>
      <c r="LQ135" s="191"/>
      <c r="LR135" s="191"/>
      <c r="LS135" s="191"/>
      <c r="LT135" s="191"/>
      <c r="LU135" s="191">
        <v>200</v>
      </c>
      <c r="LV135" s="191"/>
      <c r="LW135" s="191"/>
      <c r="LX135" s="191">
        <v>150</v>
      </c>
      <c r="LY135" s="191"/>
      <c r="LZ135" s="191"/>
      <c r="MA135" s="191"/>
      <c r="MB135" s="191"/>
      <c r="MC135" s="191"/>
      <c r="MD135" s="191"/>
      <c r="ME135" s="191">
        <v>100</v>
      </c>
      <c r="MF135" s="191"/>
      <c r="MG135" s="191"/>
      <c r="MH135" s="191"/>
      <c r="MI135" s="191">
        <v>150</v>
      </c>
      <c r="MJ135" s="191"/>
      <c r="MK135" s="191"/>
      <c r="ML135" s="191">
        <v>100</v>
      </c>
      <c r="MM135" s="191"/>
      <c r="MN135" s="191"/>
      <c r="MO135" s="191"/>
      <c r="MP135" s="191">
        <v>150</v>
      </c>
      <c r="MQ135" s="191"/>
      <c r="MR135" s="191"/>
      <c r="MS135" s="193"/>
      <c r="MT135" s="194"/>
      <c r="MU135" s="191"/>
      <c r="MV135" s="191"/>
      <c r="MW135" s="191">
        <v>150</v>
      </c>
      <c r="MX135" s="191"/>
      <c r="MY135" s="191"/>
      <c r="MZ135" s="191">
        <v>50</v>
      </c>
      <c r="NA135" s="191"/>
      <c r="NB135" s="191"/>
      <c r="NC135" s="191"/>
      <c r="ND135" s="191"/>
      <c r="NE135" s="191">
        <v>200</v>
      </c>
      <c r="NF135" s="191"/>
      <c r="NG135" s="191">
        <v>50</v>
      </c>
      <c r="NH135" s="191"/>
      <c r="NI135" s="191"/>
      <c r="NJ135" s="191"/>
      <c r="NK135" s="191">
        <v>100</v>
      </c>
      <c r="NL135" s="191"/>
      <c r="NM135" s="191"/>
      <c r="NN135" s="191">
        <v>200</v>
      </c>
      <c r="NO135" s="191"/>
      <c r="NP135" s="191"/>
      <c r="NQ135" s="191"/>
      <c r="NR135" s="191">
        <v>200</v>
      </c>
      <c r="NS135" s="191"/>
      <c r="NT135" s="191"/>
      <c r="NU135" s="191">
        <v>100</v>
      </c>
      <c r="NV135" s="191"/>
      <c r="NW135" s="192"/>
      <c r="NX135" s="190"/>
      <c r="NY135" s="191">
        <v>150</v>
      </c>
      <c r="NZ135" s="191"/>
      <c r="OA135" s="191"/>
      <c r="OB135" s="191"/>
      <c r="OC135" s="191"/>
      <c r="OD135" s="191"/>
      <c r="OE135" s="191"/>
      <c r="OF135" s="191">
        <v>50</v>
      </c>
      <c r="OG135" s="191"/>
      <c r="OH135" s="191"/>
      <c r="OI135" s="191">
        <v>150</v>
      </c>
      <c r="OJ135" s="191"/>
      <c r="OK135" s="191"/>
      <c r="OL135" s="191"/>
      <c r="OM135" s="191">
        <v>150</v>
      </c>
      <c r="ON135" s="191"/>
      <c r="OO135" s="191"/>
      <c r="OP135" s="191"/>
      <c r="OQ135" s="191"/>
      <c r="OR135" s="191"/>
      <c r="OS135" s="191"/>
      <c r="OT135" s="191"/>
      <c r="OU135" s="191"/>
      <c r="OV135" s="191"/>
      <c r="OW135" s="191"/>
      <c r="OX135" s="191"/>
      <c r="OY135" s="191"/>
      <c r="OZ135" s="191"/>
      <c r="PA135" s="191"/>
      <c r="PB135" s="193"/>
      <c r="PC135" s="47"/>
      <c r="PD135" s="154" t="s">
        <v>97</v>
      </c>
      <c r="PE135" s="155" t="s">
        <v>98</v>
      </c>
      <c r="PF135" s="155" t="s">
        <v>98</v>
      </c>
      <c r="PG135" s="155" t="s">
        <v>98</v>
      </c>
      <c r="PH135" s="155" t="s">
        <v>98</v>
      </c>
      <c r="PI135" s="155" t="s">
        <v>98</v>
      </c>
      <c r="PJ135" s="155" t="s">
        <v>98</v>
      </c>
      <c r="PK135" s="155" t="s">
        <v>98</v>
      </c>
      <c r="PL135" s="155" t="s">
        <v>98</v>
      </c>
      <c r="PM135" s="155" t="s">
        <v>98</v>
      </c>
      <c r="PN135" s="155" t="s">
        <v>98</v>
      </c>
      <c r="PO135" s="156"/>
      <c r="PP135" s="156"/>
      <c r="PQ135" s="156"/>
      <c r="PR135" s="156"/>
      <c r="PS135" s="156"/>
      <c r="PT135" s="156"/>
      <c r="PU135" s="156"/>
      <c r="PV135" s="156"/>
      <c r="PW135" s="156"/>
      <c r="PX135" s="195"/>
      <c r="PY135" s="1"/>
      <c r="PZ135" s="196">
        <f t="shared" si="126"/>
        <v>1010</v>
      </c>
      <c r="QA135" s="176">
        <f t="shared" si="127"/>
        <v>8.4257946108283969E-3</v>
      </c>
      <c r="QB135" s="177" t="str">
        <f t="shared" ca="1" si="128"/>
        <v>Attente…</v>
      </c>
      <c r="QC135" s="197">
        <f t="shared" si="129"/>
        <v>1100</v>
      </c>
      <c r="QD135" s="179">
        <f t="shared" si="130"/>
        <v>1.0299625468164793E-2</v>
      </c>
      <c r="QE135" s="180" t="str">
        <f t="shared" ca="1" si="131"/>
        <v>Attente…</v>
      </c>
      <c r="QF135" s="196">
        <f t="shared" si="132"/>
        <v>960</v>
      </c>
      <c r="QG135" s="176">
        <f t="shared" si="133"/>
        <v>7.6445293836598181E-3</v>
      </c>
      <c r="QH135" s="177" t="str">
        <f t="shared" ca="1" si="134"/>
        <v>Attente…</v>
      </c>
      <c r="QI135" s="197">
        <f t="shared" si="135"/>
        <v>1400</v>
      </c>
      <c r="QJ135" s="179">
        <f t="shared" si="136"/>
        <v>9.8190489549726465E-3</v>
      </c>
      <c r="QK135" s="180" t="str">
        <f t="shared" ca="1" si="137"/>
        <v>Attente…</v>
      </c>
      <c r="QL135" s="196">
        <f t="shared" si="138"/>
        <v>1200</v>
      </c>
      <c r="QM135" s="176">
        <f t="shared" si="139"/>
        <v>8.7796312554872698E-3</v>
      </c>
      <c r="QN135" s="177" t="str">
        <f t="shared" ca="1" si="140"/>
        <v>Attente…</v>
      </c>
      <c r="QO135" s="197">
        <f t="shared" si="141"/>
        <v>1100</v>
      </c>
      <c r="QP135" s="179">
        <f t="shared" si="142"/>
        <v>8.611915759805841E-3</v>
      </c>
      <c r="QQ135" s="180" t="str">
        <f t="shared" ca="1" si="143"/>
        <v>Attente…</v>
      </c>
      <c r="QR135" s="196">
        <f t="shared" si="144"/>
        <v>900</v>
      </c>
      <c r="QS135" s="176">
        <f t="shared" si="145"/>
        <v>6.4792484071847668E-3</v>
      </c>
      <c r="QT135" s="177" t="str">
        <f t="shared" ca="1" si="146"/>
        <v>Attente…</v>
      </c>
      <c r="QU135" s="197">
        <f t="shared" si="147"/>
        <v>1050</v>
      </c>
      <c r="QV135" s="179">
        <f t="shared" si="148"/>
        <v>7.2393822393822397E-3</v>
      </c>
      <c r="QW135" s="180" t="str">
        <f t="shared" ca="1" si="149"/>
        <v>Attente…</v>
      </c>
      <c r="QX135" s="196">
        <f t="shared" si="150"/>
        <v>1150</v>
      </c>
      <c r="QY135" s="176">
        <f t="shared" si="151"/>
        <v>8.3919553985813949E-3</v>
      </c>
      <c r="QZ135" s="177" t="str">
        <f t="shared" ca="1" si="152"/>
        <v>Attente…</v>
      </c>
      <c r="RA135" s="197">
        <f t="shared" si="153"/>
        <v>850</v>
      </c>
      <c r="RB135" s="179">
        <f t="shared" si="154"/>
        <v>6.6504968312338627E-3</v>
      </c>
      <c r="RC135" s="180" t="str">
        <f t="shared" ca="1" si="155"/>
        <v>Attente…</v>
      </c>
      <c r="RD135" s="196">
        <f t="shared" si="156"/>
        <v>1050</v>
      </c>
      <c r="RE135" s="176">
        <f t="shared" si="157"/>
        <v>1.046233559186927E-2</v>
      </c>
      <c r="RF135" s="177" t="str">
        <f t="shared" ca="1" si="158"/>
        <v>Attente…</v>
      </c>
      <c r="RG135" s="197">
        <f t="shared" si="159"/>
        <v>500</v>
      </c>
      <c r="RH135" s="179">
        <f t="shared" si="160"/>
        <v>9.1962479308442154E-3</v>
      </c>
      <c r="RI135" s="198" t="str">
        <f t="shared" ca="1" si="161"/>
        <v>Attente…</v>
      </c>
      <c r="RJ135" s="199">
        <f t="shared" si="162"/>
        <v>3070</v>
      </c>
      <c r="RK135" s="200" t="str">
        <f t="shared" ca="1" si="119"/>
        <v>Attente…</v>
      </c>
      <c r="RL135" s="199">
        <f t="shared" si="163"/>
        <v>3700</v>
      </c>
      <c r="RM135" s="200" t="str">
        <f t="shared" ca="1" si="164"/>
        <v>Atttente…</v>
      </c>
      <c r="RN135" s="199">
        <f t="shared" si="165"/>
        <v>3100</v>
      </c>
      <c r="RO135" s="200" t="str">
        <f t="shared" ca="1" si="120"/>
        <v>Attente…</v>
      </c>
      <c r="RP135" s="199">
        <f t="shared" si="166"/>
        <v>2400</v>
      </c>
      <c r="RQ135" s="200" t="str">
        <f t="shared" ca="1" si="121"/>
        <v>Attente…</v>
      </c>
      <c r="RR135" s="201">
        <f t="shared" si="167"/>
        <v>12270</v>
      </c>
      <c r="RS135" s="202" t="str">
        <f t="shared" ca="1" si="122"/>
        <v>Attente…</v>
      </c>
      <c r="RT135" s="103"/>
      <c r="RU135" s="203">
        <f t="shared" si="168"/>
        <v>0.70517241379310347</v>
      </c>
      <c r="RV135" s="204">
        <f t="shared" si="118"/>
        <v>1</v>
      </c>
      <c r="RW135" s="204">
        <f t="shared" si="118"/>
        <v>2</v>
      </c>
      <c r="RX135" s="204">
        <f t="shared" si="169"/>
        <v>87</v>
      </c>
      <c r="RY135" s="205" t="str">
        <f t="shared" si="170"/>
        <v>SOTTEVILLE-LÈS-ROUEN - 30 avenue du 14 juillet (Parking Stade Sottevillais)</v>
      </c>
      <c r="RZ135" s="189" t="str">
        <f>IF(OR(RZ134="",RZ134="  &lt;/Document&gt;
&lt;/kml&gt;"),"",
IF(B135="","  &lt;/Document&gt;
&lt;/kml&gt;",
IF(TournéesCAV!Q137=""," ",
"    &lt;Placemark&gt;
      &lt;description&gt;&lt;![CDATA["&amp;B135&amp;"&lt;br&gt;&lt;br&gt;"&amp;RV135&amp;" CAV&lt;br&gt;&lt;br&gt;Présent sur "&amp;RW135&amp;" tournée(s)&lt;br&gt;&lt;br&gt;Taux de remplissage moyen "&amp;TEXT(RU135*1000,"0 %")&amp;"]]&gt;&lt;/description&gt;
      &lt;Style&gt;
        &lt;IconStyle&gt;
          &lt;color&gt;ff"&amp;
          DEC2HEX(0,2)&amp;
          DEC2HEX(
            IF(RU135&lt;=0.5,
               INT(255*(RU135*2)),
               255
            ),2)&amp;
          DEC2HEX(
            IF(RU135&lt;=0.5,
               255,
               INT(255*(1-(RU135-0.5)*2))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&lt;Point&gt;&lt;coordinates&gt;"&amp;R135&amp;","&amp;Q135&amp;",0&lt;/coordinates&gt;&lt;/Point&gt;
    &lt;/Placemark&gt;"
)))</f>
        <v xml:space="preserve">    &lt;Placemark&gt;
      &lt;description&gt;&lt;![CDATA[SOTTEVILLE-LÈS-ROUEN - 30 avenue du 14 juillet (Parking Stade Sottevillais)&lt;br&gt;&lt;br&gt;1 CAV&lt;br&gt;&lt;br&gt;Présent sur 2 tournée(s)&lt;br&gt;&lt;br&gt;Taux de remplissage moyen 71%]]&gt;&lt;/description&gt;
      &lt;Style&gt;
        &lt;IconStyle&gt;
          &lt;color&gt;ff00FF96&lt;/color&gt;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&lt;Point&gt;&lt;coordinates&gt;1.0982421,49.406198,0&lt;/coordinates&gt;&lt;/Point&gt;
    &lt;/Placemark&gt;</v>
      </c>
    </row>
    <row r="136" spans="2:494" ht="15" hidden="1" customHeight="1" x14ac:dyDescent="0.35">
      <c r="B136" s="153" t="str">
        <f t="shared" si="123"/>
        <v>SOTTEVILLE-LÈS-ROUEN - 36 rue Léon Salva (Angle rue Garibaldi)</v>
      </c>
      <c r="C136" s="154">
        <v>102</v>
      </c>
      <c r="D136" s="155"/>
      <c r="E136" s="155"/>
      <c r="F136" s="155"/>
      <c r="G136" s="155"/>
      <c r="H136" s="155"/>
      <c r="I136" s="155"/>
      <c r="J136" s="156"/>
      <c r="K136" s="157">
        <f t="shared" si="124"/>
        <v>1</v>
      </c>
      <c r="L136" s="157">
        <f t="shared" si="125"/>
        <v>2</v>
      </c>
      <c r="M136" s="158" t="s">
        <v>770</v>
      </c>
      <c r="N136" s="159" t="s">
        <v>771</v>
      </c>
      <c r="O136" s="159">
        <v>76300</v>
      </c>
      <c r="P136" s="159" t="s">
        <v>275</v>
      </c>
      <c r="Q136" s="159" t="s">
        <v>772</v>
      </c>
      <c r="R136" s="159" t="s">
        <v>773</v>
      </c>
      <c r="S136" s="159" t="s">
        <v>93</v>
      </c>
      <c r="T136" s="159" t="s">
        <v>94</v>
      </c>
      <c r="U136" s="159" t="s">
        <v>774</v>
      </c>
      <c r="V136" s="160" t="s">
        <v>96</v>
      </c>
      <c r="W136" s="161"/>
      <c r="X136" s="162"/>
      <c r="Y136" s="163"/>
      <c r="Z136" s="162"/>
      <c r="AA136" s="163">
        <v>8</v>
      </c>
      <c r="AB136" s="162">
        <v>10</v>
      </c>
      <c r="AC136" s="163"/>
      <c r="AD136" s="162"/>
      <c r="AE136" s="163"/>
      <c r="AF136" s="162"/>
      <c r="AG136" s="163"/>
      <c r="AH136" s="163"/>
      <c r="AI136" s="162"/>
      <c r="AJ136" s="163"/>
      <c r="AK136" s="162"/>
      <c r="AL136" s="163"/>
      <c r="AM136" s="162"/>
      <c r="AN136" s="163"/>
      <c r="AO136" s="162"/>
      <c r="AP136" s="164"/>
      <c r="AQ136" s="164"/>
      <c r="AR136" s="164"/>
      <c r="AS136" s="164"/>
      <c r="AT136" s="164"/>
      <c r="AU136" s="164"/>
      <c r="AV136" s="164"/>
      <c r="AW136" s="164"/>
      <c r="AX136" s="164"/>
      <c r="AY136" s="165"/>
      <c r="AZ136" s="41"/>
      <c r="BA136" s="190"/>
      <c r="BB136" s="191"/>
      <c r="BC136" s="191">
        <v>200</v>
      </c>
      <c r="BD136" s="191"/>
      <c r="BE136" s="191"/>
      <c r="BF136" s="191"/>
      <c r="BG136" s="191">
        <v>100</v>
      </c>
      <c r="BH136" s="191"/>
      <c r="BI136" s="191"/>
      <c r="BJ136" s="191">
        <v>50</v>
      </c>
      <c r="BK136" s="191"/>
      <c r="BL136" s="191"/>
      <c r="BM136" s="191"/>
      <c r="BN136" s="191">
        <v>50</v>
      </c>
      <c r="BO136" s="191"/>
      <c r="BP136" s="191"/>
      <c r="BQ136" s="191">
        <v>10</v>
      </c>
      <c r="BR136" s="191"/>
      <c r="BS136" s="191"/>
      <c r="BT136" s="191"/>
      <c r="BU136" s="191">
        <v>50</v>
      </c>
      <c r="BV136" s="191"/>
      <c r="BW136" s="191"/>
      <c r="BX136" s="191">
        <v>10</v>
      </c>
      <c r="BY136" s="191"/>
      <c r="BZ136" s="191"/>
      <c r="CA136" s="191"/>
      <c r="CB136" s="191">
        <v>100</v>
      </c>
      <c r="CC136" s="191"/>
      <c r="CD136" s="191"/>
      <c r="CE136" s="192">
        <v>50</v>
      </c>
      <c r="CF136" s="190"/>
      <c r="CG136" s="191"/>
      <c r="CH136" s="191"/>
      <c r="CI136" s="191">
        <v>50</v>
      </c>
      <c r="CJ136" s="191"/>
      <c r="CK136" s="191"/>
      <c r="CL136" s="191">
        <v>100</v>
      </c>
      <c r="CM136" s="191"/>
      <c r="CN136" s="191"/>
      <c r="CO136" s="191"/>
      <c r="CP136" s="191">
        <v>100</v>
      </c>
      <c r="CQ136" s="191"/>
      <c r="CR136" s="191"/>
      <c r="CS136" s="191">
        <v>50</v>
      </c>
      <c r="CT136" s="191"/>
      <c r="CU136" s="191"/>
      <c r="CV136" s="191"/>
      <c r="CW136" s="191">
        <v>200</v>
      </c>
      <c r="CX136" s="191"/>
      <c r="CY136" s="191"/>
      <c r="CZ136" s="191">
        <v>10</v>
      </c>
      <c r="DA136" s="191"/>
      <c r="DB136" s="191"/>
      <c r="DC136" s="191"/>
      <c r="DD136" s="191">
        <v>100</v>
      </c>
      <c r="DE136" s="191"/>
      <c r="DF136" s="191"/>
      <c r="DG136" s="191">
        <v>100</v>
      </c>
      <c r="DH136" s="193"/>
      <c r="DI136" s="194"/>
      <c r="DJ136" s="191"/>
      <c r="DK136" s="191"/>
      <c r="DL136" s="191">
        <v>150</v>
      </c>
      <c r="DM136" s="191"/>
      <c r="DN136" s="191"/>
      <c r="DO136" s="191">
        <v>100</v>
      </c>
      <c r="DP136" s="191"/>
      <c r="DQ136" s="191"/>
      <c r="DR136" s="191"/>
      <c r="DS136" s="191">
        <v>10</v>
      </c>
      <c r="DT136" s="191"/>
      <c r="DU136" s="191"/>
      <c r="DV136" s="191">
        <v>100</v>
      </c>
      <c r="DW136" s="191"/>
      <c r="DX136" s="191"/>
      <c r="DY136" s="191"/>
      <c r="DZ136" s="191">
        <v>100</v>
      </c>
      <c r="EA136" s="191"/>
      <c r="EB136" s="191"/>
      <c r="EC136" s="191">
        <v>50</v>
      </c>
      <c r="ED136" s="191"/>
      <c r="EE136" s="191"/>
      <c r="EF136" s="191"/>
      <c r="EG136" s="191">
        <v>100</v>
      </c>
      <c r="EH136" s="191"/>
      <c r="EI136" s="191"/>
      <c r="EJ136" s="191">
        <v>50</v>
      </c>
      <c r="EK136" s="191"/>
      <c r="EL136" s="191"/>
      <c r="EM136" s="192"/>
      <c r="EN136" s="190">
        <v>100</v>
      </c>
      <c r="EO136" s="191"/>
      <c r="EP136" s="191"/>
      <c r="EQ136" s="191">
        <v>100</v>
      </c>
      <c r="ER136" s="191"/>
      <c r="ES136" s="191"/>
      <c r="ET136" s="191"/>
      <c r="EU136" s="191"/>
      <c r="EV136" s="191"/>
      <c r="EW136" s="191"/>
      <c r="EX136" s="191">
        <v>200</v>
      </c>
      <c r="EY136" s="191"/>
      <c r="EZ136" s="191"/>
      <c r="FA136" s="191"/>
      <c r="FB136" s="191">
        <v>150</v>
      </c>
      <c r="FC136" s="191"/>
      <c r="FD136" s="191"/>
      <c r="FE136" s="191">
        <v>100</v>
      </c>
      <c r="FF136" s="191"/>
      <c r="FG136" s="191"/>
      <c r="FH136" s="191"/>
      <c r="FI136" s="191">
        <v>150</v>
      </c>
      <c r="FJ136" s="191"/>
      <c r="FK136" s="191"/>
      <c r="FL136" s="191"/>
      <c r="FM136" s="191"/>
      <c r="FN136" s="191"/>
      <c r="FO136" s="191"/>
      <c r="FP136" s="191">
        <v>100</v>
      </c>
      <c r="FQ136" s="193"/>
      <c r="FR136" s="194"/>
      <c r="FS136" s="191">
        <v>100</v>
      </c>
      <c r="FT136" s="191"/>
      <c r="FU136" s="191"/>
      <c r="FV136" s="191"/>
      <c r="FW136" s="191">
        <v>50</v>
      </c>
      <c r="FX136" s="191"/>
      <c r="FY136" s="191"/>
      <c r="FZ136" s="191">
        <v>200</v>
      </c>
      <c r="GA136" s="191"/>
      <c r="GB136" s="191"/>
      <c r="GC136" s="191"/>
      <c r="GD136" s="191">
        <v>150</v>
      </c>
      <c r="GE136" s="191"/>
      <c r="GF136" s="191"/>
      <c r="GG136" s="191">
        <v>100</v>
      </c>
      <c r="GH136" s="191"/>
      <c r="GI136" s="191"/>
      <c r="GJ136" s="191"/>
      <c r="GK136" s="191">
        <v>200</v>
      </c>
      <c r="GL136" s="191"/>
      <c r="GM136" s="191"/>
      <c r="GN136" s="191">
        <v>200</v>
      </c>
      <c r="GO136" s="191"/>
      <c r="GP136" s="191"/>
      <c r="GQ136" s="191"/>
      <c r="GR136" s="191">
        <v>200</v>
      </c>
      <c r="GS136" s="191"/>
      <c r="GT136" s="191"/>
      <c r="GU136" s="191">
        <v>200</v>
      </c>
      <c r="GV136" s="192"/>
      <c r="GW136" s="190"/>
      <c r="GX136" s="191"/>
      <c r="GY136" s="191">
        <v>200</v>
      </c>
      <c r="GZ136" s="191"/>
      <c r="HA136" s="191"/>
      <c r="HB136" s="191">
        <v>100</v>
      </c>
      <c r="HC136" s="191"/>
      <c r="HD136" s="191"/>
      <c r="HE136" s="191"/>
      <c r="HF136" s="191">
        <v>150</v>
      </c>
      <c r="HG136" s="191"/>
      <c r="HH136" s="191"/>
      <c r="HI136" s="191">
        <v>100</v>
      </c>
      <c r="HJ136" s="191"/>
      <c r="HK136" s="191"/>
      <c r="HL136" s="191"/>
      <c r="HM136" s="191">
        <v>100</v>
      </c>
      <c r="HN136" s="191"/>
      <c r="HO136" s="191"/>
      <c r="HP136" s="191">
        <v>50</v>
      </c>
      <c r="HQ136" s="191"/>
      <c r="HR136" s="191"/>
      <c r="HS136" s="191"/>
      <c r="HT136" s="191">
        <v>50</v>
      </c>
      <c r="HU136" s="191"/>
      <c r="HV136" s="191"/>
      <c r="HW136" s="191">
        <v>200</v>
      </c>
      <c r="HX136" s="191"/>
      <c r="HY136" s="191"/>
      <c r="HZ136" s="193"/>
      <c r="IA136" s="194">
        <v>200</v>
      </c>
      <c r="IB136" s="191"/>
      <c r="IC136" s="191"/>
      <c r="ID136" s="191">
        <v>100</v>
      </c>
      <c r="IE136" s="191"/>
      <c r="IF136" s="191"/>
      <c r="IG136" s="191"/>
      <c r="IH136" s="191"/>
      <c r="II136" s="191"/>
      <c r="IJ136" s="191"/>
      <c r="IK136" s="191">
        <v>200</v>
      </c>
      <c r="IL136" s="191"/>
      <c r="IM136" s="191"/>
      <c r="IN136" s="191"/>
      <c r="IO136" s="191"/>
      <c r="IP136" s="191">
        <v>150</v>
      </c>
      <c r="IQ136" s="191"/>
      <c r="IR136" s="191"/>
      <c r="IS136" s="191"/>
      <c r="IT136" s="191"/>
      <c r="IU136" s="191"/>
      <c r="IV136" s="191">
        <v>200</v>
      </c>
      <c r="IW136" s="191"/>
      <c r="IX136" s="191"/>
      <c r="IY136" s="191"/>
      <c r="IZ136" s="191"/>
      <c r="JA136" s="191"/>
      <c r="JB136" s="191"/>
      <c r="JC136" s="191">
        <v>200</v>
      </c>
      <c r="JD136" s="191"/>
      <c r="JE136" s="192"/>
      <c r="JF136" s="190">
        <v>150</v>
      </c>
      <c r="JG136" s="191"/>
      <c r="JH136" s="191"/>
      <c r="JI136" s="191"/>
      <c r="JJ136" s="191">
        <v>200</v>
      </c>
      <c r="JK136" s="191"/>
      <c r="JL136" s="191"/>
      <c r="JM136" s="191">
        <v>150</v>
      </c>
      <c r="JN136" s="191"/>
      <c r="JO136" s="191"/>
      <c r="JP136" s="191"/>
      <c r="JQ136" s="191">
        <v>150</v>
      </c>
      <c r="JR136" s="191"/>
      <c r="JS136" s="191"/>
      <c r="JT136" s="191"/>
      <c r="JU136" s="191"/>
      <c r="JV136" s="191"/>
      <c r="JW136" s="191"/>
      <c r="JX136" s="191"/>
      <c r="JY136" s="191"/>
      <c r="JZ136" s="191"/>
      <c r="KA136" s="191">
        <v>200</v>
      </c>
      <c r="KB136" s="191"/>
      <c r="KC136" s="191"/>
      <c r="KD136" s="191"/>
      <c r="KE136" s="191">
        <v>150</v>
      </c>
      <c r="KF136" s="191"/>
      <c r="KG136" s="191"/>
      <c r="KH136" s="191">
        <v>200</v>
      </c>
      <c r="KI136" s="191"/>
      <c r="KJ136" s="193"/>
      <c r="KK136" s="194"/>
      <c r="KL136" s="191">
        <v>200</v>
      </c>
      <c r="KM136" s="191"/>
      <c r="KN136" s="191"/>
      <c r="KO136" s="191">
        <v>200</v>
      </c>
      <c r="KP136" s="191"/>
      <c r="KQ136" s="191"/>
      <c r="KR136" s="191"/>
      <c r="KS136" s="191">
        <v>100</v>
      </c>
      <c r="KT136" s="191"/>
      <c r="KU136" s="191"/>
      <c r="KV136" s="191">
        <v>100</v>
      </c>
      <c r="KW136" s="191"/>
      <c r="KX136" s="191"/>
      <c r="KY136" s="191"/>
      <c r="KZ136" s="191">
        <v>200</v>
      </c>
      <c r="LA136" s="191"/>
      <c r="LB136" s="191"/>
      <c r="LC136" s="191"/>
      <c r="LD136" s="191"/>
      <c r="LE136" s="191"/>
      <c r="LF136" s="191"/>
      <c r="LG136" s="191">
        <v>200</v>
      </c>
      <c r="LH136" s="191"/>
      <c r="LI136" s="191"/>
      <c r="LJ136" s="191">
        <v>100</v>
      </c>
      <c r="LK136" s="191"/>
      <c r="LL136" s="191"/>
      <c r="LM136" s="191"/>
      <c r="LN136" s="192">
        <v>15</v>
      </c>
      <c r="LO136" s="190"/>
      <c r="LP136" s="191"/>
      <c r="LQ136" s="191"/>
      <c r="LR136" s="191"/>
      <c r="LS136" s="191"/>
      <c r="LT136" s="191"/>
      <c r="LU136" s="191">
        <v>150</v>
      </c>
      <c r="LV136" s="191"/>
      <c r="LW136" s="191"/>
      <c r="LX136" s="191">
        <v>150</v>
      </c>
      <c r="LY136" s="191"/>
      <c r="LZ136" s="191"/>
      <c r="MA136" s="191"/>
      <c r="MB136" s="191">
        <v>150</v>
      </c>
      <c r="MC136" s="191"/>
      <c r="MD136" s="191"/>
      <c r="ME136" s="191">
        <v>100</v>
      </c>
      <c r="MF136" s="191"/>
      <c r="MG136" s="191"/>
      <c r="MH136" s="191"/>
      <c r="MI136" s="191">
        <v>100</v>
      </c>
      <c r="MJ136" s="191"/>
      <c r="MK136" s="191"/>
      <c r="ML136" s="191">
        <v>100</v>
      </c>
      <c r="MM136" s="191"/>
      <c r="MN136" s="191"/>
      <c r="MO136" s="191"/>
      <c r="MP136" s="191">
        <v>150</v>
      </c>
      <c r="MQ136" s="191"/>
      <c r="MR136" s="191"/>
      <c r="MS136" s="193"/>
      <c r="MT136" s="194"/>
      <c r="MU136" s="191"/>
      <c r="MV136" s="191"/>
      <c r="MW136" s="191">
        <v>200</v>
      </c>
      <c r="MX136" s="191"/>
      <c r="MY136" s="191"/>
      <c r="MZ136" s="191">
        <v>50</v>
      </c>
      <c r="NA136" s="191"/>
      <c r="NB136" s="191"/>
      <c r="NC136" s="191"/>
      <c r="ND136" s="191"/>
      <c r="NE136" s="191">
        <v>200</v>
      </c>
      <c r="NF136" s="191"/>
      <c r="NG136" s="191">
        <v>100</v>
      </c>
      <c r="NH136" s="191"/>
      <c r="NI136" s="191"/>
      <c r="NJ136" s="191"/>
      <c r="NK136" s="191">
        <v>100</v>
      </c>
      <c r="NL136" s="191"/>
      <c r="NM136" s="191"/>
      <c r="NN136" s="191">
        <v>100</v>
      </c>
      <c r="NO136" s="191"/>
      <c r="NP136" s="191"/>
      <c r="NQ136" s="191"/>
      <c r="NR136" s="191">
        <v>100</v>
      </c>
      <c r="NS136" s="191"/>
      <c r="NT136" s="191"/>
      <c r="NU136" s="191">
        <v>50</v>
      </c>
      <c r="NV136" s="191"/>
      <c r="NW136" s="192"/>
      <c r="NX136" s="190"/>
      <c r="NY136" s="191">
        <v>150</v>
      </c>
      <c r="NZ136" s="191"/>
      <c r="OA136" s="191"/>
      <c r="OB136" s="191"/>
      <c r="OC136" s="191"/>
      <c r="OD136" s="191"/>
      <c r="OE136" s="191"/>
      <c r="OF136" s="191">
        <v>10</v>
      </c>
      <c r="OG136" s="191"/>
      <c r="OH136" s="191"/>
      <c r="OI136" s="191">
        <v>50</v>
      </c>
      <c r="OJ136" s="191"/>
      <c r="OK136" s="191"/>
      <c r="OL136" s="191"/>
      <c r="OM136" s="191">
        <v>150</v>
      </c>
      <c r="ON136" s="191"/>
      <c r="OO136" s="191"/>
      <c r="OP136" s="191"/>
      <c r="OQ136" s="191"/>
      <c r="OR136" s="191"/>
      <c r="OS136" s="191"/>
      <c r="OT136" s="191"/>
      <c r="OU136" s="191"/>
      <c r="OV136" s="191"/>
      <c r="OW136" s="191"/>
      <c r="OX136" s="191"/>
      <c r="OY136" s="191"/>
      <c r="OZ136" s="191"/>
      <c r="PA136" s="191"/>
      <c r="PB136" s="193"/>
      <c r="PC136" s="47"/>
      <c r="PD136" s="154" t="s">
        <v>97</v>
      </c>
      <c r="PE136" s="155" t="s">
        <v>98</v>
      </c>
      <c r="PF136" s="155" t="s">
        <v>98</v>
      </c>
      <c r="PG136" s="155" t="s">
        <v>98</v>
      </c>
      <c r="PH136" s="155" t="s">
        <v>98</v>
      </c>
      <c r="PI136" s="155" t="s">
        <v>98</v>
      </c>
      <c r="PJ136" s="155" t="s">
        <v>98</v>
      </c>
      <c r="PK136" s="155" t="s">
        <v>98</v>
      </c>
      <c r="PL136" s="155" t="s">
        <v>98</v>
      </c>
      <c r="PM136" s="155" t="s">
        <v>98</v>
      </c>
      <c r="PN136" s="155" t="s">
        <v>98</v>
      </c>
      <c r="PO136" s="156"/>
      <c r="PP136" s="156"/>
      <c r="PQ136" s="156"/>
      <c r="PR136" s="156"/>
      <c r="PS136" s="156"/>
      <c r="PT136" s="156"/>
      <c r="PU136" s="156"/>
      <c r="PV136" s="156"/>
      <c r="PW136" s="156"/>
      <c r="PX136" s="195"/>
      <c r="PY136" s="1"/>
      <c r="PZ136" s="196">
        <f t="shared" si="126"/>
        <v>620</v>
      </c>
      <c r="QA136" s="176">
        <f t="shared" si="127"/>
        <v>5.1722699591223824E-3</v>
      </c>
      <c r="QB136" s="177" t="str">
        <f t="shared" ca="1" si="128"/>
        <v>Attente…</v>
      </c>
      <c r="QC136" s="197">
        <f t="shared" si="129"/>
        <v>710</v>
      </c>
      <c r="QD136" s="179">
        <f t="shared" si="130"/>
        <v>6.6479400749063673E-3</v>
      </c>
      <c r="QE136" s="180" t="str">
        <f t="shared" ca="1" si="131"/>
        <v>Attente…</v>
      </c>
      <c r="QF136" s="196">
        <f t="shared" si="132"/>
        <v>660</v>
      </c>
      <c r="QG136" s="176">
        <f t="shared" si="133"/>
        <v>5.255613951266125E-3</v>
      </c>
      <c r="QH136" s="177" t="str">
        <f t="shared" ca="1" si="134"/>
        <v>Attente…</v>
      </c>
      <c r="QI136" s="197">
        <f t="shared" si="135"/>
        <v>900</v>
      </c>
      <c r="QJ136" s="179">
        <f t="shared" si="136"/>
        <v>6.3122457567681301E-3</v>
      </c>
      <c r="QK136" s="180" t="str">
        <f t="shared" ca="1" si="137"/>
        <v>Attente…</v>
      </c>
      <c r="QL136" s="196">
        <f t="shared" si="138"/>
        <v>1400</v>
      </c>
      <c r="QM136" s="176">
        <f t="shared" si="139"/>
        <v>1.0242903131401814E-2</v>
      </c>
      <c r="QN136" s="177" t="str">
        <f t="shared" ca="1" si="140"/>
        <v>Attente…</v>
      </c>
      <c r="QO136" s="197">
        <f t="shared" si="141"/>
        <v>950</v>
      </c>
      <c r="QP136" s="179">
        <f t="shared" si="142"/>
        <v>7.4375636107414074E-3</v>
      </c>
      <c r="QQ136" s="180" t="str">
        <f t="shared" ca="1" si="143"/>
        <v>Attente…</v>
      </c>
      <c r="QR136" s="196">
        <f t="shared" si="144"/>
        <v>1050</v>
      </c>
      <c r="QS136" s="176">
        <f t="shared" si="145"/>
        <v>7.5591231417155612E-3</v>
      </c>
      <c r="QT136" s="177" t="str">
        <f t="shared" ca="1" si="146"/>
        <v>Attente…</v>
      </c>
      <c r="QU136" s="197">
        <f t="shared" si="147"/>
        <v>1200</v>
      </c>
      <c r="QV136" s="179">
        <f t="shared" si="148"/>
        <v>8.2735797021511303E-3</v>
      </c>
      <c r="QW136" s="180" t="str">
        <f t="shared" ca="1" si="149"/>
        <v>Attente…</v>
      </c>
      <c r="QX136" s="196">
        <f t="shared" si="150"/>
        <v>1115</v>
      </c>
      <c r="QY136" s="176">
        <f t="shared" si="151"/>
        <v>8.1365480603637005E-3</v>
      </c>
      <c r="QZ136" s="177" t="str">
        <f t="shared" ca="1" si="152"/>
        <v>Attente…</v>
      </c>
      <c r="RA136" s="197">
        <f t="shared" si="153"/>
        <v>900</v>
      </c>
      <c r="RB136" s="179">
        <f t="shared" si="154"/>
        <v>7.0417025271887956E-3</v>
      </c>
      <c r="RC136" s="180" t="str">
        <f t="shared" ca="1" si="155"/>
        <v>Attente…</v>
      </c>
      <c r="RD136" s="196">
        <f t="shared" si="156"/>
        <v>900</v>
      </c>
      <c r="RE136" s="176">
        <f t="shared" si="157"/>
        <v>8.9677162216022319E-3</v>
      </c>
      <c r="RF136" s="177" t="str">
        <f t="shared" ca="1" si="158"/>
        <v>Attente…</v>
      </c>
      <c r="RG136" s="197">
        <f t="shared" si="159"/>
        <v>360</v>
      </c>
      <c r="RH136" s="179">
        <f t="shared" si="160"/>
        <v>6.6212985102078355E-3</v>
      </c>
      <c r="RI136" s="198" t="str">
        <f t="shared" ca="1" si="161"/>
        <v>Attente…</v>
      </c>
      <c r="RJ136" s="199">
        <f t="shared" si="162"/>
        <v>1990</v>
      </c>
      <c r="RK136" s="200" t="str">
        <f t="shared" ca="1" si="119"/>
        <v>Attente…</v>
      </c>
      <c r="RL136" s="199">
        <f t="shared" si="163"/>
        <v>3250</v>
      </c>
      <c r="RM136" s="200" t="str">
        <f t="shared" ca="1" si="164"/>
        <v>Atttente…</v>
      </c>
      <c r="RN136" s="199">
        <f t="shared" si="165"/>
        <v>3365</v>
      </c>
      <c r="RO136" s="200" t="str">
        <f t="shared" ca="1" si="120"/>
        <v>Attente…</v>
      </c>
      <c r="RP136" s="199">
        <f t="shared" si="166"/>
        <v>2160</v>
      </c>
      <c r="RQ136" s="200" t="str">
        <f t="shared" ca="1" si="121"/>
        <v>Attente…</v>
      </c>
      <c r="RR136" s="201">
        <f t="shared" si="167"/>
        <v>10765</v>
      </c>
      <c r="RS136" s="202" t="str">
        <f t="shared" ca="1" si="122"/>
        <v>Attente…</v>
      </c>
      <c r="RT136" s="103"/>
      <c r="RU136" s="203">
        <f t="shared" si="168"/>
        <v>0.60477528089887644</v>
      </c>
      <c r="RV136" s="204">
        <f t="shared" si="118"/>
        <v>1</v>
      </c>
      <c r="RW136" s="204">
        <f t="shared" si="118"/>
        <v>2</v>
      </c>
      <c r="RX136" s="204">
        <f t="shared" si="169"/>
        <v>89</v>
      </c>
      <c r="RY136" s="205" t="str">
        <f t="shared" si="170"/>
        <v>SOTTEVILLE-LÈS-ROUEN - 36 rue Léon Salva (Angle rue Garibaldi)</v>
      </c>
      <c r="RZ136" s="189" t="str">
        <f>IF(OR(RZ135="",RZ135="  &lt;/Document&gt;
&lt;/kml&gt;"),"",
IF(B136="","  &lt;/Document&gt;
&lt;/kml&gt;",
IF(TournéesCAV!Q138=""," ",
"    &lt;Placemark&gt;
      &lt;description&gt;&lt;![CDATA["&amp;B136&amp;"&lt;br&gt;&lt;br&gt;"&amp;RV136&amp;" CAV&lt;br&gt;&lt;br&gt;Présent sur "&amp;RW136&amp;" tournée(s)&lt;br&gt;&lt;br&gt;Taux de remplissage moyen "&amp;TEXT(RU136*1000,"0 %")&amp;"]]&gt;&lt;/description&gt;
      &lt;Style&gt;
        &lt;IconStyle&gt;
          &lt;color&gt;ff"&amp;
          DEC2HEX(0,2)&amp;
          DEC2HEX(
            IF(RU136&lt;=0.5,
               INT(255*(RU136*2)),
               255
            ),2)&amp;
          DEC2HEX(
            IF(RU136&lt;=0.5,
               255,
               INT(255*(1-(RU136-0.5)*2))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&lt;Point&gt;&lt;coordinates&gt;"&amp;R136&amp;","&amp;Q136&amp;",0&lt;/coordinates&gt;&lt;/Point&gt;
    &lt;/Placemark&gt;"
)))</f>
        <v xml:space="preserve">    &lt;Placemark&gt;
      &lt;description&gt;&lt;![CDATA[SOTTEVILLE-LÈS-ROUEN - 36 rue Léon Salva (Angle rue Garibaldi)&lt;br&gt;&lt;br&gt;1 CAV&lt;br&gt;&lt;br&gt;Présent sur 2 tournée(s)&lt;br&gt;&lt;br&gt;Taux de remplissage moyen 60%]]&gt;&lt;/description&gt;
      &lt;Style&gt;
        &lt;IconStyle&gt;
          &lt;color&gt;ff00FFC9&lt;/color&gt;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&lt;Point&gt;&lt;coordinates&gt;1.0907488,49.4200766,0&lt;/coordinates&gt;&lt;/Point&gt;
    &lt;/Placemark&gt;</v>
      </c>
    </row>
    <row r="137" spans="2:494" ht="15" hidden="1" customHeight="1" x14ac:dyDescent="0.35">
      <c r="B137" s="153" t="str">
        <f t="shared" si="123"/>
        <v>DARNÉTAL - 98 Rue Sadi Carnot (Face à la Mairie)</v>
      </c>
      <c r="C137" s="154">
        <v>99</v>
      </c>
      <c r="D137" s="155"/>
      <c r="E137" s="155"/>
      <c r="F137" s="155"/>
      <c r="G137" s="155"/>
      <c r="H137" s="155"/>
      <c r="I137" s="155"/>
      <c r="J137" s="156"/>
      <c r="K137" s="157">
        <f t="shared" si="124"/>
        <v>1</v>
      </c>
      <c r="L137" s="157">
        <f t="shared" si="125"/>
        <v>2</v>
      </c>
      <c r="M137" s="158" t="s">
        <v>775</v>
      </c>
      <c r="N137" s="159" t="s">
        <v>776</v>
      </c>
      <c r="O137" s="159">
        <v>76160</v>
      </c>
      <c r="P137" s="159" t="s">
        <v>15</v>
      </c>
      <c r="Q137" s="159" t="s">
        <v>777</v>
      </c>
      <c r="R137" s="159" t="s">
        <v>778</v>
      </c>
      <c r="S137" s="159" t="s">
        <v>93</v>
      </c>
      <c r="T137" s="159" t="s">
        <v>94</v>
      </c>
      <c r="U137" s="159" t="s">
        <v>779</v>
      </c>
      <c r="V137" s="160" t="s">
        <v>96</v>
      </c>
      <c r="W137" s="161"/>
      <c r="X137" s="162"/>
      <c r="Y137" s="163"/>
      <c r="Z137" s="162"/>
      <c r="AA137" s="163"/>
      <c r="AB137" s="162"/>
      <c r="AC137" s="163"/>
      <c r="AD137" s="162">
        <v>13</v>
      </c>
      <c r="AE137" s="163">
        <v>14</v>
      </c>
      <c r="AF137" s="162"/>
      <c r="AG137" s="163"/>
      <c r="AH137" s="163"/>
      <c r="AI137" s="162"/>
      <c r="AJ137" s="163"/>
      <c r="AK137" s="162"/>
      <c r="AL137" s="163"/>
      <c r="AM137" s="162"/>
      <c r="AN137" s="163"/>
      <c r="AO137" s="162"/>
      <c r="AP137" s="164"/>
      <c r="AQ137" s="164"/>
      <c r="AR137" s="164"/>
      <c r="AS137" s="164"/>
      <c r="AT137" s="164"/>
      <c r="AU137" s="164"/>
      <c r="AV137" s="164"/>
      <c r="AW137" s="164"/>
      <c r="AX137" s="164"/>
      <c r="AY137" s="165"/>
      <c r="AZ137" s="41"/>
      <c r="BA137" s="190"/>
      <c r="BB137" s="191"/>
      <c r="BC137" s="191">
        <v>200</v>
      </c>
      <c r="BD137" s="191"/>
      <c r="BE137" s="191"/>
      <c r="BF137" s="191">
        <v>200</v>
      </c>
      <c r="BG137" s="191"/>
      <c r="BH137" s="191"/>
      <c r="BI137" s="191"/>
      <c r="BJ137" s="191">
        <v>50</v>
      </c>
      <c r="BK137" s="191"/>
      <c r="BL137" s="191"/>
      <c r="BM137" s="191">
        <v>100</v>
      </c>
      <c r="BN137" s="191"/>
      <c r="BO137" s="191"/>
      <c r="BP137" s="191"/>
      <c r="BQ137" s="191"/>
      <c r="BR137" s="191"/>
      <c r="BS137" s="191"/>
      <c r="BT137" s="191">
        <v>200</v>
      </c>
      <c r="BU137" s="191"/>
      <c r="BV137" s="191"/>
      <c r="BW137" s="191"/>
      <c r="BX137" s="191">
        <v>100</v>
      </c>
      <c r="BY137" s="191"/>
      <c r="BZ137" s="191"/>
      <c r="CA137" s="191">
        <v>50</v>
      </c>
      <c r="CB137" s="191"/>
      <c r="CC137" s="191"/>
      <c r="CD137" s="191"/>
      <c r="CE137" s="192">
        <v>150</v>
      </c>
      <c r="CF137" s="190"/>
      <c r="CG137" s="191"/>
      <c r="CH137" s="191">
        <v>100</v>
      </c>
      <c r="CI137" s="191"/>
      <c r="CJ137" s="191"/>
      <c r="CK137" s="191"/>
      <c r="CL137" s="191">
        <v>50</v>
      </c>
      <c r="CM137" s="191"/>
      <c r="CN137" s="191"/>
      <c r="CO137" s="191">
        <v>100</v>
      </c>
      <c r="CP137" s="191"/>
      <c r="CQ137" s="191"/>
      <c r="CR137" s="191"/>
      <c r="CS137" s="191">
        <v>50</v>
      </c>
      <c r="CT137" s="191"/>
      <c r="CU137" s="191"/>
      <c r="CV137" s="191">
        <v>100</v>
      </c>
      <c r="CW137" s="191"/>
      <c r="CX137" s="191"/>
      <c r="CY137" s="191"/>
      <c r="CZ137" s="191">
        <v>150</v>
      </c>
      <c r="DA137" s="191"/>
      <c r="DB137" s="191"/>
      <c r="DC137" s="191">
        <v>50</v>
      </c>
      <c r="DD137" s="191"/>
      <c r="DE137" s="191"/>
      <c r="DF137" s="191"/>
      <c r="DG137" s="191">
        <v>150</v>
      </c>
      <c r="DH137" s="193"/>
      <c r="DI137" s="194"/>
      <c r="DJ137" s="191"/>
      <c r="DK137" s="191">
        <v>100</v>
      </c>
      <c r="DL137" s="191"/>
      <c r="DM137" s="191"/>
      <c r="DN137" s="191"/>
      <c r="DO137" s="191">
        <v>200</v>
      </c>
      <c r="DP137" s="191"/>
      <c r="DQ137" s="191"/>
      <c r="DR137" s="191">
        <v>200</v>
      </c>
      <c r="DS137" s="191"/>
      <c r="DT137" s="191"/>
      <c r="DU137" s="191"/>
      <c r="DV137" s="191">
        <v>150</v>
      </c>
      <c r="DW137" s="191"/>
      <c r="DX137" s="191"/>
      <c r="DY137" s="191">
        <v>200</v>
      </c>
      <c r="DZ137" s="191"/>
      <c r="EA137" s="191"/>
      <c r="EB137" s="191"/>
      <c r="EC137" s="191">
        <v>50</v>
      </c>
      <c r="ED137" s="191"/>
      <c r="EE137" s="191"/>
      <c r="EF137" s="191">
        <v>50</v>
      </c>
      <c r="EG137" s="191"/>
      <c r="EH137" s="191"/>
      <c r="EI137" s="191"/>
      <c r="EJ137" s="191">
        <v>150</v>
      </c>
      <c r="EK137" s="191"/>
      <c r="EL137" s="191"/>
      <c r="EM137" s="192">
        <v>150</v>
      </c>
      <c r="EN137" s="190"/>
      <c r="EO137" s="191"/>
      <c r="EP137" s="191"/>
      <c r="EQ137" s="191">
        <v>150</v>
      </c>
      <c r="ER137" s="191"/>
      <c r="ES137" s="191"/>
      <c r="ET137" s="191">
        <v>200</v>
      </c>
      <c r="EU137" s="191"/>
      <c r="EV137" s="191"/>
      <c r="EW137" s="191"/>
      <c r="EX137" s="191">
        <v>100</v>
      </c>
      <c r="EY137" s="191"/>
      <c r="EZ137" s="191"/>
      <c r="FA137" s="191">
        <v>100</v>
      </c>
      <c r="FB137" s="191"/>
      <c r="FC137" s="191"/>
      <c r="FD137" s="191"/>
      <c r="FE137" s="191">
        <v>200</v>
      </c>
      <c r="FF137" s="191"/>
      <c r="FG137" s="191"/>
      <c r="FH137" s="191"/>
      <c r="FI137" s="191">
        <v>100</v>
      </c>
      <c r="FJ137" s="191"/>
      <c r="FK137" s="191"/>
      <c r="FL137" s="191">
        <v>100</v>
      </c>
      <c r="FM137" s="191"/>
      <c r="FN137" s="191"/>
      <c r="FO137" s="191">
        <v>150</v>
      </c>
      <c r="FP137" s="191"/>
      <c r="FQ137" s="193"/>
      <c r="FR137" s="194"/>
      <c r="FS137" s="191">
        <v>200</v>
      </c>
      <c r="FT137" s="191"/>
      <c r="FU137" s="191"/>
      <c r="FV137" s="191">
        <v>150</v>
      </c>
      <c r="FW137" s="191"/>
      <c r="FX137" s="191"/>
      <c r="FY137" s="191"/>
      <c r="FZ137" s="191"/>
      <c r="GA137" s="191"/>
      <c r="GB137" s="191"/>
      <c r="GC137" s="191">
        <v>200</v>
      </c>
      <c r="GD137" s="191"/>
      <c r="GE137" s="191"/>
      <c r="GF137" s="191"/>
      <c r="GG137" s="191">
        <v>150</v>
      </c>
      <c r="GH137" s="191"/>
      <c r="GI137" s="191"/>
      <c r="GJ137" s="191">
        <v>200</v>
      </c>
      <c r="GK137" s="191"/>
      <c r="GL137" s="191"/>
      <c r="GM137" s="191"/>
      <c r="GN137" s="191">
        <v>100</v>
      </c>
      <c r="GO137" s="191"/>
      <c r="GP137" s="191"/>
      <c r="GQ137" s="191">
        <v>100</v>
      </c>
      <c r="GR137" s="191"/>
      <c r="GS137" s="191"/>
      <c r="GT137" s="191"/>
      <c r="GU137" s="191">
        <v>100</v>
      </c>
      <c r="GV137" s="192"/>
      <c r="GW137" s="190"/>
      <c r="GX137" s="191">
        <v>100</v>
      </c>
      <c r="GY137" s="191"/>
      <c r="GZ137" s="191"/>
      <c r="HA137" s="191"/>
      <c r="HB137" s="191">
        <v>150</v>
      </c>
      <c r="HC137" s="191"/>
      <c r="HD137" s="191"/>
      <c r="HE137" s="191"/>
      <c r="HF137" s="191">
        <v>100</v>
      </c>
      <c r="HG137" s="191"/>
      <c r="HH137" s="191"/>
      <c r="HI137" s="191">
        <v>10</v>
      </c>
      <c r="HJ137" s="191"/>
      <c r="HK137" s="191"/>
      <c r="HL137" s="191">
        <v>100</v>
      </c>
      <c r="HM137" s="191"/>
      <c r="HN137" s="191"/>
      <c r="HO137" s="191"/>
      <c r="HP137" s="191">
        <v>150</v>
      </c>
      <c r="HQ137" s="191"/>
      <c r="HR137" s="191"/>
      <c r="HS137" s="191">
        <v>150</v>
      </c>
      <c r="HT137" s="191"/>
      <c r="HU137" s="191"/>
      <c r="HV137" s="191"/>
      <c r="HW137" s="191">
        <v>150</v>
      </c>
      <c r="HX137" s="191"/>
      <c r="HY137" s="191"/>
      <c r="HZ137" s="193">
        <v>100</v>
      </c>
      <c r="IA137" s="194"/>
      <c r="IB137" s="191"/>
      <c r="IC137" s="191"/>
      <c r="ID137" s="191">
        <v>100</v>
      </c>
      <c r="IE137" s="191"/>
      <c r="IF137" s="191"/>
      <c r="IG137" s="191">
        <v>100</v>
      </c>
      <c r="IH137" s="191"/>
      <c r="II137" s="191"/>
      <c r="IJ137" s="191"/>
      <c r="IK137" s="191">
        <v>150</v>
      </c>
      <c r="IL137" s="191"/>
      <c r="IM137" s="191"/>
      <c r="IN137" s="191">
        <v>150</v>
      </c>
      <c r="IO137" s="191"/>
      <c r="IP137" s="191"/>
      <c r="IQ137" s="191"/>
      <c r="IR137" s="191">
        <v>150</v>
      </c>
      <c r="IS137" s="191"/>
      <c r="IT137" s="191"/>
      <c r="IU137" s="191">
        <v>150</v>
      </c>
      <c r="IV137" s="191"/>
      <c r="IW137" s="191"/>
      <c r="IX137" s="191"/>
      <c r="IY137" s="191">
        <v>200</v>
      </c>
      <c r="IZ137" s="191"/>
      <c r="JA137" s="191"/>
      <c r="JB137" s="191">
        <v>150</v>
      </c>
      <c r="JC137" s="191"/>
      <c r="JD137" s="191"/>
      <c r="JE137" s="192"/>
      <c r="JF137" s="190">
        <v>100</v>
      </c>
      <c r="JG137" s="191"/>
      <c r="JH137" s="191"/>
      <c r="JI137" s="191">
        <v>100</v>
      </c>
      <c r="JJ137" s="191"/>
      <c r="JK137" s="191"/>
      <c r="JL137" s="191"/>
      <c r="JM137" s="191">
        <v>200</v>
      </c>
      <c r="JN137" s="191"/>
      <c r="JO137" s="191"/>
      <c r="JP137" s="191">
        <v>150</v>
      </c>
      <c r="JQ137" s="191"/>
      <c r="JR137" s="191"/>
      <c r="JS137" s="191"/>
      <c r="JT137" s="191">
        <v>150</v>
      </c>
      <c r="JU137" s="191"/>
      <c r="JV137" s="191"/>
      <c r="JW137" s="191"/>
      <c r="JX137" s="191">
        <v>200</v>
      </c>
      <c r="JY137" s="191"/>
      <c r="JZ137" s="191">
        <v>200</v>
      </c>
      <c r="KA137" s="191"/>
      <c r="KB137" s="191"/>
      <c r="KC137" s="191"/>
      <c r="KD137" s="191">
        <v>150</v>
      </c>
      <c r="KE137" s="191"/>
      <c r="KF137" s="191"/>
      <c r="KG137" s="191">
        <v>150</v>
      </c>
      <c r="KH137" s="191"/>
      <c r="KI137" s="191"/>
      <c r="KJ137" s="193"/>
      <c r="KK137" s="194">
        <v>200</v>
      </c>
      <c r="KL137" s="191"/>
      <c r="KM137" s="191"/>
      <c r="KN137" s="191"/>
      <c r="KO137" s="191">
        <v>150</v>
      </c>
      <c r="KP137" s="191"/>
      <c r="KQ137" s="191"/>
      <c r="KR137" s="191">
        <v>150</v>
      </c>
      <c r="KS137" s="191"/>
      <c r="KT137" s="191"/>
      <c r="KU137" s="191"/>
      <c r="KV137" s="191">
        <v>150</v>
      </c>
      <c r="KW137" s="191"/>
      <c r="KX137" s="191"/>
      <c r="KY137" s="191">
        <v>100</v>
      </c>
      <c r="KZ137" s="191"/>
      <c r="LA137" s="191"/>
      <c r="LB137" s="191"/>
      <c r="LC137" s="191">
        <v>150</v>
      </c>
      <c r="LD137" s="191"/>
      <c r="LE137" s="191"/>
      <c r="LF137" s="191">
        <v>100</v>
      </c>
      <c r="LG137" s="191"/>
      <c r="LH137" s="191"/>
      <c r="LI137" s="191"/>
      <c r="LJ137" s="191">
        <v>200</v>
      </c>
      <c r="LK137" s="191"/>
      <c r="LL137" s="191"/>
      <c r="LM137" s="191"/>
      <c r="LN137" s="192"/>
      <c r="LO137" s="190"/>
      <c r="LP137" s="191"/>
      <c r="LQ137" s="191">
        <v>150</v>
      </c>
      <c r="LR137" s="191"/>
      <c r="LS137" s="191"/>
      <c r="LT137" s="191">
        <v>150</v>
      </c>
      <c r="LU137" s="191"/>
      <c r="LV137" s="191"/>
      <c r="LW137" s="191"/>
      <c r="LX137" s="191">
        <v>150</v>
      </c>
      <c r="LY137" s="191"/>
      <c r="LZ137" s="191"/>
      <c r="MA137" s="191">
        <v>100</v>
      </c>
      <c r="MB137" s="191"/>
      <c r="MC137" s="191"/>
      <c r="MD137" s="191"/>
      <c r="ME137" s="191">
        <v>150</v>
      </c>
      <c r="MF137" s="191"/>
      <c r="MG137" s="191"/>
      <c r="MH137" s="191">
        <v>100</v>
      </c>
      <c r="MI137" s="191"/>
      <c r="MJ137" s="191"/>
      <c r="MK137" s="191"/>
      <c r="ML137" s="191">
        <v>200</v>
      </c>
      <c r="MM137" s="191"/>
      <c r="MN137" s="191"/>
      <c r="MO137" s="191">
        <v>100</v>
      </c>
      <c r="MP137" s="191"/>
      <c r="MQ137" s="191"/>
      <c r="MR137" s="191"/>
      <c r="MS137" s="193">
        <v>100</v>
      </c>
      <c r="MT137" s="194"/>
      <c r="MU137" s="191"/>
      <c r="MV137" s="191">
        <v>100</v>
      </c>
      <c r="MW137" s="191"/>
      <c r="MX137" s="191"/>
      <c r="MY137" s="191"/>
      <c r="MZ137" s="191">
        <v>150</v>
      </c>
      <c r="NA137" s="191"/>
      <c r="NB137" s="191"/>
      <c r="NC137" s="191">
        <v>200</v>
      </c>
      <c r="ND137" s="191"/>
      <c r="NE137" s="191"/>
      <c r="NF137" s="191"/>
      <c r="NG137" s="191">
        <v>100</v>
      </c>
      <c r="NH137" s="191"/>
      <c r="NI137" s="191"/>
      <c r="NJ137" s="191">
        <v>100</v>
      </c>
      <c r="NK137" s="191"/>
      <c r="NL137" s="191"/>
      <c r="NM137" s="191"/>
      <c r="NN137" s="191">
        <v>100</v>
      </c>
      <c r="NO137" s="191"/>
      <c r="NP137" s="191"/>
      <c r="NQ137" s="191">
        <v>100</v>
      </c>
      <c r="NR137" s="191"/>
      <c r="NS137" s="191"/>
      <c r="NT137" s="191"/>
      <c r="NU137" s="191">
        <v>50</v>
      </c>
      <c r="NV137" s="191"/>
      <c r="NW137" s="192"/>
      <c r="NX137" s="190">
        <v>100</v>
      </c>
      <c r="NY137" s="191"/>
      <c r="NZ137" s="191"/>
      <c r="OA137" s="191"/>
      <c r="OB137" s="191">
        <v>200</v>
      </c>
      <c r="OC137" s="191"/>
      <c r="OD137" s="191"/>
      <c r="OE137" s="191">
        <v>100</v>
      </c>
      <c r="OF137" s="191"/>
      <c r="OG137" s="191"/>
      <c r="OH137" s="191"/>
      <c r="OI137" s="191">
        <v>100</v>
      </c>
      <c r="OJ137" s="191"/>
      <c r="OK137" s="191"/>
      <c r="OL137" s="191"/>
      <c r="OM137" s="191"/>
      <c r="ON137" s="191"/>
      <c r="OO137" s="191"/>
      <c r="OP137" s="191"/>
      <c r="OQ137" s="191"/>
      <c r="OR137" s="191"/>
      <c r="OS137" s="191"/>
      <c r="OT137" s="191"/>
      <c r="OU137" s="191"/>
      <c r="OV137" s="191"/>
      <c r="OW137" s="191"/>
      <c r="OX137" s="191"/>
      <c r="OY137" s="191"/>
      <c r="OZ137" s="191"/>
      <c r="PA137" s="191"/>
      <c r="PB137" s="193"/>
      <c r="PC137" s="47"/>
      <c r="PD137" s="154" t="s">
        <v>97</v>
      </c>
      <c r="PE137" s="155" t="s">
        <v>98</v>
      </c>
      <c r="PF137" s="155" t="s">
        <v>98</v>
      </c>
      <c r="PG137" s="155" t="s">
        <v>98</v>
      </c>
      <c r="PH137" s="155" t="s">
        <v>98</v>
      </c>
      <c r="PI137" s="155" t="s">
        <v>98</v>
      </c>
      <c r="PJ137" s="155" t="s">
        <v>98</v>
      </c>
      <c r="PK137" s="155" t="s">
        <v>98</v>
      </c>
      <c r="PL137" s="155" t="s">
        <v>98</v>
      </c>
      <c r="PM137" s="155" t="s">
        <v>98</v>
      </c>
      <c r="PN137" s="155" t="s">
        <v>98</v>
      </c>
      <c r="PO137" s="156"/>
      <c r="PP137" s="156"/>
      <c r="PQ137" s="156"/>
      <c r="PR137" s="156"/>
      <c r="PS137" s="156"/>
      <c r="PT137" s="156"/>
      <c r="PU137" s="156"/>
      <c r="PV137" s="156"/>
      <c r="PW137" s="156"/>
      <c r="PX137" s="195"/>
      <c r="PY137" s="1"/>
      <c r="PZ137" s="196">
        <f t="shared" si="126"/>
        <v>1050</v>
      </c>
      <c r="QA137" s="176">
        <f t="shared" si="127"/>
        <v>8.7594894469008085E-3</v>
      </c>
      <c r="QB137" s="177" t="str">
        <f t="shared" ca="1" si="128"/>
        <v>Attente…</v>
      </c>
      <c r="QC137" s="197">
        <f t="shared" si="129"/>
        <v>750</v>
      </c>
      <c r="QD137" s="179">
        <f t="shared" si="130"/>
        <v>7.0224719101123594E-3</v>
      </c>
      <c r="QE137" s="180" t="str">
        <f t="shared" ca="1" si="131"/>
        <v>Attente…</v>
      </c>
      <c r="QF137" s="196">
        <f t="shared" si="132"/>
        <v>1250</v>
      </c>
      <c r="QG137" s="176">
        <f t="shared" si="133"/>
        <v>9.9538143016403881E-3</v>
      </c>
      <c r="QH137" s="177" t="str">
        <f t="shared" ca="1" si="134"/>
        <v>Attente…</v>
      </c>
      <c r="QI137" s="197">
        <f t="shared" si="135"/>
        <v>1100</v>
      </c>
      <c r="QJ137" s="179">
        <f t="shared" si="136"/>
        <v>7.714967036049937E-3</v>
      </c>
      <c r="QK137" s="180" t="str">
        <f t="shared" ca="1" si="137"/>
        <v>Attente…</v>
      </c>
      <c r="QL137" s="196">
        <f t="shared" si="138"/>
        <v>1200</v>
      </c>
      <c r="QM137" s="176">
        <f t="shared" si="139"/>
        <v>8.7796312554872698E-3</v>
      </c>
      <c r="QN137" s="177" t="str">
        <f t="shared" ca="1" si="140"/>
        <v>Attente…</v>
      </c>
      <c r="QO137" s="197">
        <f t="shared" si="141"/>
        <v>1010</v>
      </c>
      <c r="QP137" s="179">
        <f t="shared" si="142"/>
        <v>7.9073044703671814E-3</v>
      </c>
      <c r="QQ137" s="180" t="str">
        <f t="shared" ca="1" si="143"/>
        <v>Attente…</v>
      </c>
      <c r="QR137" s="196">
        <f t="shared" si="144"/>
        <v>1150</v>
      </c>
      <c r="QS137" s="176">
        <f t="shared" si="145"/>
        <v>8.2790396314027567E-3</v>
      </c>
      <c r="QT137" s="177" t="str">
        <f t="shared" ca="1" si="146"/>
        <v>Attente…</v>
      </c>
      <c r="QU137" s="197">
        <f t="shared" si="147"/>
        <v>1400</v>
      </c>
      <c r="QV137" s="179">
        <f t="shared" si="148"/>
        <v>9.6525096525096523E-3</v>
      </c>
      <c r="QW137" s="180" t="str">
        <f t="shared" ca="1" si="149"/>
        <v>Attente…</v>
      </c>
      <c r="QX137" s="196">
        <f t="shared" si="150"/>
        <v>1200</v>
      </c>
      <c r="QY137" s="176">
        <f t="shared" si="151"/>
        <v>8.756823024606673E-3</v>
      </c>
      <c r="QZ137" s="177" t="str">
        <f t="shared" ca="1" si="152"/>
        <v>Attente…</v>
      </c>
      <c r="RA137" s="197">
        <f t="shared" si="153"/>
        <v>1200</v>
      </c>
      <c r="RB137" s="179">
        <f t="shared" si="154"/>
        <v>9.3889367029183941E-3</v>
      </c>
      <c r="RC137" s="180" t="str">
        <f t="shared" ca="1" si="155"/>
        <v>Attente…</v>
      </c>
      <c r="RD137" s="196">
        <f t="shared" si="156"/>
        <v>900</v>
      </c>
      <c r="RE137" s="176">
        <f t="shared" si="157"/>
        <v>8.9677162216022319E-3</v>
      </c>
      <c r="RF137" s="177" t="str">
        <f t="shared" ca="1" si="158"/>
        <v>Attente…</v>
      </c>
      <c r="RG137" s="197">
        <f t="shared" si="159"/>
        <v>500</v>
      </c>
      <c r="RH137" s="179">
        <f t="shared" si="160"/>
        <v>9.1962479308442154E-3</v>
      </c>
      <c r="RI137" s="198" t="str">
        <f t="shared" ca="1" si="161"/>
        <v>Attente…</v>
      </c>
      <c r="RJ137" s="199">
        <f t="shared" si="162"/>
        <v>3050</v>
      </c>
      <c r="RK137" s="200" t="str">
        <f t="shared" ca="1" si="119"/>
        <v>Attente…</v>
      </c>
      <c r="RL137" s="199">
        <f t="shared" si="163"/>
        <v>3310</v>
      </c>
      <c r="RM137" s="200" t="str">
        <f t="shared" ca="1" si="164"/>
        <v>Atttente…</v>
      </c>
      <c r="RN137" s="199">
        <f t="shared" si="165"/>
        <v>3750</v>
      </c>
      <c r="RO137" s="200" t="str">
        <f t="shared" ca="1" si="120"/>
        <v>Attente…</v>
      </c>
      <c r="RP137" s="199">
        <f t="shared" si="166"/>
        <v>2600</v>
      </c>
      <c r="RQ137" s="200" t="str">
        <f t="shared" ca="1" si="121"/>
        <v>Attente…</v>
      </c>
      <c r="RR137" s="201">
        <f t="shared" si="167"/>
        <v>12710</v>
      </c>
      <c r="RS137" s="202" t="str">
        <f t="shared" ca="1" si="122"/>
        <v>Attente…</v>
      </c>
      <c r="RT137" s="103"/>
      <c r="RU137" s="203">
        <f t="shared" si="168"/>
        <v>0.66197916666666667</v>
      </c>
      <c r="RV137" s="204">
        <f t="shared" si="118"/>
        <v>1</v>
      </c>
      <c r="RW137" s="204">
        <f t="shared" si="118"/>
        <v>2</v>
      </c>
      <c r="RX137" s="204">
        <f t="shared" si="169"/>
        <v>96</v>
      </c>
      <c r="RY137" s="205" t="str">
        <f t="shared" si="170"/>
        <v>DARNÉTAL - 98 Rue Sadi Carnot (Face à la Mairie)</v>
      </c>
      <c r="RZ137" s="189" t="str">
        <f>IF(OR(RZ136="",RZ136="  &lt;/Document&gt;
&lt;/kml&gt;"),"",
IF(B137="","  &lt;/Document&gt;
&lt;/kml&gt;",
IF(TournéesCAV!Q85=""," ",
"    &lt;Placemark&gt;
      &lt;description&gt;&lt;![CDATA["&amp;B137&amp;"&lt;br&gt;&lt;br&gt;"&amp;RV137&amp;" CAV&lt;br&gt;&lt;br&gt;Présent sur "&amp;RW137&amp;" tournée(s)&lt;br&gt;&lt;br&gt;Taux de remplissage moyen "&amp;TEXT(RU137*1000,"0 %")&amp;"]]&gt;&lt;/description&gt;
      &lt;Style&gt;
        &lt;IconStyle&gt;
          &lt;color&gt;ff"&amp;
          DEC2HEX(0,2)&amp;
          DEC2HEX(
            IF(RU137&lt;=0.5,
               INT(255*(RU137*2)),
               255
            ),2)&amp;
          DEC2HEX(
            IF(RU137&lt;=0.5,
               255,
               INT(255*(1-(RU137-0.5)*2))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&lt;Point&gt;&lt;coordinates&gt;"&amp;R137&amp;","&amp;Q137&amp;",0&lt;/coordinates&gt;&lt;/Point&gt;
    &lt;/Placemark&gt;"
)))</f>
        <v xml:space="preserve">    &lt;Placemark&gt;
      &lt;description&gt;&lt;![CDATA[DARNÉTAL - 98 Rue Sadi Carnot (Face à la Mairie)&lt;br&gt;&lt;br&gt;1 CAV&lt;br&gt;&lt;br&gt;Présent sur 2 tournée(s)&lt;br&gt;&lt;br&gt;Taux de remplissage moyen 66%]]&gt;&lt;/description&gt;
      &lt;Style&gt;
        &lt;IconStyle&gt;
          &lt;color&gt;ff00FFAC&lt;/color&gt;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&lt;Point&gt;&lt;coordinates&gt;1.144694,49.4406483,0&lt;/coordinates&gt;&lt;/Point&gt;
    &lt;/Placemark&gt;</v>
      </c>
    </row>
    <row r="138" spans="2:494" ht="15" hidden="1" customHeight="1" x14ac:dyDescent="0.35">
      <c r="B138" s="153" t="str">
        <f t="shared" si="123"/>
        <v>DARNÉTAL - 37 Rue Edouard Branly</v>
      </c>
      <c r="C138" s="154">
        <v>165</v>
      </c>
      <c r="D138" s="155"/>
      <c r="E138" s="155"/>
      <c r="F138" s="155"/>
      <c r="G138" s="155"/>
      <c r="H138" s="155"/>
      <c r="I138" s="155"/>
      <c r="J138" s="156"/>
      <c r="K138" s="157">
        <f t="shared" si="124"/>
        <v>1</v>
      </c>
      <c r="L138" s="157">
        <f t="shared" si="125"/>
        <v>1</v>
      </c>
      <c r="M138" s="158" t="s">
        <v>780</v>
      </c>
      <c r="N138" s="159"/>
      <c r="O138" s="159">
        <v>76160</v>
      </c>
      <c r="P138" s="159" t="s">
        <v>15</v>
      </c>
      <c r="Q138" s="159" t="s">
        <v>781</v>
      </c>
      <c r="R138" s="159" t="s">
        <v>782</v>
      </c>
      <c r="S138" s="159" t="s">
        <v>93</v>
      </c>
      <c r="T138" s="159" t="s">
        <v>94</v>
      </c>
      <c r="U138" s="159" t="s">
        <v>783</v>
      </c>
      <c r="V138" s="160" t="s">
        <v>96</v>
      </c>
      <c r="W138" s="161"/>
      <c r="X138" s="162"/>
      <c r="Y138" s="163"/>
      <c r="Z138" s="162"/>
      <c r="AA138" s="163"/>
      <c r="AB138" s="162"/>
      <c r="AC138" s="163"/>
      <c r="AD138" s="162">
        <v>14</v>
      </c>
      <c r="AE138" s="163"/>
      <c r="AF138" s="162"/>
      <c r="AG138" s="163"/>
      <c r="AH138" s="163"/>
      <c r="AI138" s="162"/>
      <c r="AJ138" s="163"/>
      <c r="AK138" s="162"/>
      <c r="AL138" s="163"/>
      <c r="AM138" s="162"/>
      <c r="AN138" s="163"/>
      <c r="AO138" s="162"/>
      <c r="AP138" s="164"/>
      <c r="AQ138" s="164"/>
      <c r="AR138" s="164"/>
      <c r="AS138" s="164"/>
      <c r="AT138" s="164"/>
      <c r="AU138" s="164"/>
      <c r="AV138" s="164"/>
      <c r="AW138" s="164"/>
      <c r="AX138" s="164"/>
      <c r="AY138" s="165"/>
      <c r="AZ138" s="41"/>
      <c r="BA138" s="190"/>
      <c r="BB138" s="191"/>
      <c r="BC138" s="191"/>
      <c r="BD138" s="191"/>
      <c r="BE138" s="191"/>
      <c r="BF138" s="191"/>
      <c r="BG138" s="191"/>
      <c r="BH138" s="191"/>
      <c r="BI138" s="191"/>
      <c r="BJ138" s="191"/>
      <c r="BK138" s="191"/>
      <c r="BL138" s="191"/>
      <c r="BM138" s="191">
        <v>50</v>
      </c>
      <c r="BN138" s="191"/>
      <c r="BO138" s="191"/>
      <c r="BP138" s="191"/>
      <c r="BQ138" s="191"/>
      <c r="BR138" s="191"/>
      <c r="BS138" s="191"/>
      <c r="BT138" s="191">
        <v>10</v>
      </c>
      <c r="BU138" s="191"/>
      <c r="BV138" s="191"/>
      <c r="BW138" s="191"/>
      <c r="BX138" s="191"/>
      <c r="BY138" s="191"/>
      <c r="BZ138" s="191"/>
      <c r="CA138" s="191">
        <v>10</v>
      </c>
      <c r="CB138" s="191"/>
      <c r="CC138" s="191"/>
      <c r="CD138" s="191"/>
      <c r="CE138" s="192"/>
      <c r="CF138" s="190"/>
      <c r="CG138" s="191"/>
      <c r="CH138" s="191">
        <v>10</v>
      </c>
      <c r="CI138" s="191"/>
      <c r="CJ138" s="191"/>
      <c r="CK138" s="191"/>
      <c r="CL138" s="191"/>
      <c r="CM138" s="191"/>
      <c r="CN138" s="191"/>
      <c r="CO138" s="191">
        <v>10</v>
      </c>
      <c r="CP138" s="191"/>
      <c r="CQ138" s="191"/>
      <c r="CR138" s="191"/>
      <c r="CS138" s="191"/>
      <c r="CT138" s="191"/>
      <c r="CU138" s="191"/>
      <c r="CV138" s="191">
        <v>50</v>
      </c>
      <c r="CW138" s="191"/>
      <c r="CX138" s="191"/>
      <c r="CY138" s="191"/>
      <c r="CZ138" s="191"/>
      <c r="DA138" s="191"/>
      <c r="DB138" s="191"/>
      <c r="DC138" s="191">
        <v>10</v>
      </c>
      <c r="DD138" s="191"/>
      <c r="DE138" s="191"/>
      <c r="DF138" s="191"/>
      <c r="DG138" s="191"/>
      <c r="DH138" s="193"/>
      <c r="DI138" s="194"/>
      <c r="DJ138" s="191"/>
      <c r="DK138" s="191">
        <v>10</v>
      </c>
      <c r="DL138" s="191"/>
      <c r="DM138" s="191"/>
      <c r="DN138" s="191"/>
      <c r="DO138" s="191"/>
      <c r="DP138" s="191"/>
      <c r="DQ138" s="191"/>
      <c r="DR138" s="191">
        <v>10</v>
      </c>
      <c r="DS138" s="191"/>
      <c r="DT138" s="191"/>
      <c r="DU138" s="191"/>
      <c r="DV138" s="191"/>
      <c r="DW138" s="191"/>
      <c r="DX138" s="191"/>
      <c r="DY138" s="191">
        <v>50</v>
      </c>
      <c r="DZ138" s="191"/>
      <c r="EA138" s="191"/>
      <c r="EB138" s="191"/>
      <c r="EC138" s="191"/>
      <c r="ED138" s="191"/>
      <c r="EE138" s="191"/>
      <c r="EF138" s="191">
        <v>50</v>
      </c>
      <c r="EG138" s="191"/>
      <c r="EH138" s="191"/>
      <c r="EI138" s="191"/>
      <c r="EJ138" s="191"/>
      <c r="EK138" s="191"/>
      <c r="EL138" s="191"/>
      <c r="EM138" s="192">
        <v>50</v>
      </c>
      <c r="EN138" s="190"/>
      <c r="EO138" s="191"/>
      <c r="EP138" s="191"/>
      <c r="EQ138" s="191"/>
      <c r="ER138" s="191"/>
      <c r="ES138" s="191"/>
      <c r="ET138" s="191">
        <v>10</v>
      </c>
      <c r="EU138" s="191"/>
      <c r="EV138" s="191"/>
      <c r="EW138" s="191"/>
      <c r="EX138" s="191"/>
      <c r="EY138" s="191"/>
      <c r="EZ138" s="191"/>
      <c r="FA138" s="191">
        <v>50</v>
      </c>
      <c r="FB138" s="191"/>
      <c r="FC138" s="191"/>
      <c r="FD138" s="191"/>
      <c r="FE138" s="191"/>
      <c r="FF138" s="191"/>
      <c r="FG138" s="191"/>
      <c r="FH138" s="191"/>
      <c r="FI138" s="191">
        <v>50</v>
      </c>
      <c r="FJ138" s="191"/>
      <c r="FK138" s="191"/>
      <c r="FL138" s="191"/>
      <c r="FM138" s="191"/>
      <c r="FN138" s="191"/>
      <c r="FO138" s="191">
        <v>10</v>
      </c>
      <c r="FP138" s="191"/>
      <c r="FQ138" s="193"/>
      <c r="FR138" s="194"/>
      <c r="FS138" s="191"/>
      <c r="FT138" s="191"/>
      <c r="FU138" s="191"/>
      <c r="FV138" s="191"/>
      <c r="FW138" s="191"/>
      <c r="FX138" s="191"/>
      <c r="FY138" s="191"/>
      <c r="FZ138" s="191"/>
      <c r="GA138" s="191"/>
      <c r="GB138" s="191"/>
      <c r="GC138" s="191">
        <v>200</v>
      </c>
      <c r="GD138" s="191"/>
      <c r="GE138" s="191"/>
      <c r="GF138" s="191"/>
      <c r="GG138" s="191"/>
      <c r="GH138" s="191"/>
      <c r="GI138" s="191"/>
      <c r="GJ138" s="191">
        <v>10</v>
      </c>
      <c r="GK138" s="191"/>
      <c r="GL138" s="191"/>
      <c r="GM138" s="191"/>
      <c r="GN138" s="191"/>
      <c r="GO138" s="191"/>
      <c r="GP138" s="191"/>
      <c r="GQ138" s="191">
        <v>10</v>
      </c>
      <c r="GR138" s="191"/>
      <c r="GS138" s="191"/>
      <c r="GT138" s="191"/>
      <c r="GU138" s="191"/>
      <c r="GV138" s="192"/>
      <c r="GW138" s="190"/>
      <c r="GX138" s="191">
        <v>10</v>
      </c>
      <c r="GY138" s="191"/>
      <c r="GZ138" s="191"/>
      <c r="HA138" s="191"/>
      <c r="HB138" s="191">
        <v>10</v>
      </c>
      <c r="HC138" s="191"/>
      <c r="HD138" s="191"/>
      <c r="HE138" s="191"/>
      <c r="HF138" s="191">
        <v>10</v>
      </c>
      <c r="HG138" s="191"/>
      <c r="HH138" s="191"/>
      <c r="HI138" s="191"/>
      <c r="HJ138" s="191"/>
      <c r="HK138" s="191"/>
      <c r="HL138" s="191">
        <v>100</v>
      </c>
      <c r="HM138" s="191"/>
      <c r="HN138" s="191"/>
      <c r="HO138" s="191"/>
      <c r="HP138" s="191"/>
      <c r="HQ138" s="191"/>
      <c r="HR138" s="191"/>
      <c r="HS138" s="191">
        <v>10</v>
      </c>
      <c r="HT138" s="191"/>
      <c r="HU138" s="191"/>
      <c r="HV138" s="191"/>
      <c r="HW138" s="191"/>
      <c r="HX138" s="191"/>
      <c r="HY138" s="191"/>
      <c r="HZ138" s="193">
        <v>10</v>
      </c>
      <c r="IA138" s="194"/>
      <c r="IB138" s="191"/>
      <c r="IC138" s="191"/>
      <c r="ID138" s="191"/>
      <c r="IE138" s="191"/>
      <c r="IF138" s="191"/>
      <c r="IG138" s="191">
        <v>10</v>
      </c>
      <c r="IH138" s="191"/>
      <c r="II138" s="191"/>
      <c r="IJ138" s="191"/>
      <c r="IK138" s="191"/>
      <c r="IL138" s="191"/>
      <c r="IM138" s="191"/>
      <c r="IN138" s="191">
        <v>10</v>
      </c>
      <c r="IO138" s="191"/>
      <c r="IP138" s="191"/>
      <c r="IQ138" s="191"/>
      <c r="IR138" s="191"/>
      <c r="IS138" s="191"/>
      <c r="IT138" s="191"/>
      <c r="IU138" s="191">
        <v>10</v>
      </c>
      <c r="IV138" s="191"/>
      <c r="IW138" s="191"/>
      <c r="IX138" s="191"/>
      <c r="IY138" s="191"/>
      <c r="IZ138" s="191"/>
      <c r="JA138" s="191"/>
      <c r="JB138" s="191">
        <v>10</v>
      </c>
      <c r="JC138" s="191"/>
      <c r="JD138" s="191"/>
      <c r="JE138" s="192"/>
      <c r="JF138" s="190"/>
      <c r="JG138" s="191"/>
      <c r="JH138" s="191"/>
      <c r="JI138" s="191">
        <v>10</v>
      </c>
      <c r="JJ138" s="191"/>
      <c r="JK138" s="191"/>
      <c r="JL138" s="191"/>
      <c r="JM138" s="191"/>
      <c r="JN138" s="191"/>
      <c r="JO138" s="191"/>
      <c r="JP138" s="191">
        <v>10</v>
      </c>
      <c r="JQ138" s="191"/>
      <c r="JR138" s="191"/>
      <c r="JS138" s="191"/>
      <c r="JT138" s="191">
        <v>50</v>
      </c>
      <c r="JU138" s="191"/>
      <c r="JV138" s="191"/>
      <c r="JW138" s="191"/>
      <c r="JX138" s="191">
        <v>10</v>
      </c>
      <c r="JY138" s="191"/>
      <c r="JZ138" s="191"/>
      <c r="KA138" s="191"/>
      <c r="KB138" s="191"/>
      <c r="KC138" s="191"/>
      <c r="KD138" s="191">
        <v>10</v>
      </c>
      <c r="KE138" s="191"/>
      <c r="KF138" s="191"/>
      <c r="KG138" s="191"/>
      <c r="KH138" s="191"/>
      <c r="KI138" s="191"/>
      <c r="KJ138" s="193"/>
      <c r="KK138" s="194">
        <v>50</v>
      </c>
      <c r="KL138" s="191"/>
      <c r="KM138" s="191"/>
      <c r="KN138" s="191"/>
      <c r="KO138" s="191"/>
      <c r="KP138" s="191"/>
      <c r="KQ138" s="191"/>
      <c r="KR138" s="191">
        <v>10</v>
      </c>
      <c r="KS138" s="191"/>
      <c r="KT138" s="191"/>
      <c r="KU138" s="191"/>
      <c r="KV138" s="191"/>
      <c r="KW138" s="191"/>
      <c r="KX138" s="191"/>
      <c r="KY138" s="191"/>
      <c r="KZ138" s="191"/>
      <c r="LA138" s="191"/>
      <c r="LB138" s="191"/>
      <c r="LC138" s="191"/>
      <c r="LD138" s="191"/>
      <c r="LE138" s="191"/>
      <c r="LF138" s="191">
        <v>10</v>
      </c>
      <c r="LG138" s="191"/>
      <c r="LH138" s="191"/>
      <c r="LI138" s="191"/>
      <c r="LJ138" s="191"/>
      <c r="LK138" s="191"/>
      <c r="LL138" s="191"/>
      <c r="LM138" s="191">
        <v>100</v>
      </c>
      <c r="LN138" s="192"/>
      <c r="LO138" s="190"/>
      <c r="LP138" s="191"/>
      <c r="LQ138" s="191"/>
      <c r="LR138" s="191"/>
      <c r="LS138" s="191"/>
      <c r="LT138" s="191">
        <v>100</v>
      </c>
      <c r="LU138" s="191"/>
      <c r="LV138" s="191"/>
      <c r="LW138" s="191"/>
      <c r="LX138" s="191"/>
      <c r="LY138" s="191"/>
      <c r="LZ138" s="191"/>
      <c r="MA138" s="191">
        <v>10</v>
      </c>
      <c r="MB138" s="191"/>
      <c r="MC138" s="191"/>
      <c r="MD138" s="191"/>
      <c r="ME138" s="191"/>
      <c r="MF138" s="191"/>
      <c r="MG138" s="191"/>
      <c r="MH138" s="191">
        <v>10</v>
      </c>
      <c r="MI138" s="191"/>
      <c r="MJ138" s="191"/>
      <c r="MK138" s="191"/>
      <c r="ML138" s="191"/>
      <c r="MM138" s="191"/>
      <c r="MN138" s="191"/>
      <c r="MO138" s="191">
        <v>50</v>
      </c>
      <c r="MP138" s="191"/>
      <c r="MQ138" s="191"/>
      <c r="MR138" s="191"/>
      <c r="MS138" s="193"/>
      <c r="MT138" s="194"/>
      <c r="MU138" s="191"/>
      <c r="MV138" s="191">
        <v>10</v>
      </c>
      <c r="MW138" s="191"/>
      <c r="MX138" s="191"/>
      <c r="MY138" s="191"/>
      <c r="MZ138" s="191"/>
      <c r="NA138" s="191"/>
      <c r="NB138" s="191"/>
      <c r="NC138" s="191">
        <v>10</v>
      </c>
      <c r="ND138" s="191"/>
      <c r="NE138" s="191"/>
      <c r="NF138" s="191"/>
      <c r="NG138" s="191"/>
      <c r="NH138" s="191"/>
      <c r="NI138" s="191"/>
      <c r="NJ138" s="191">
        <v>10</v>
      </c>
      <c r="NK138" s="191"/>
      <c r="NL138" s="191"/>
      <c r="NM138" s="191"/>
      <c r="NN138" s="191"/>
      <c r="NO138" s="191"/>
      <c r="NP138" s="191"/>
      <c r="NQ138" s="191">
        <v>150</v>
      </c>
      <c r="NR138" s="191"/>
      <c r="NS138" s="191"/>
      <c r="NT138" s="191"/>
      <c r="NU138" s="191"/>
      <c r="NV138" s="191"/>
      <c r="NW138" s="192"/>
      <c r="NX138" s="190">
        <v>10</v>
      </c>
      <c r="NY138" s="191"/>
      <c r="NZ138" s="191"/>
      <c r="OA138" s="191"/>
      <c r="OB138" s="191"/>
      <c r="OC138" s="191"/>
      <c r="OD138" s="191"/>
      <c r="OE138" s="191">
        <v>10</v>
      </c>
      <c r="OF138" s="191"/>
      <c r="OG138" s="191"/>
      <c r="OH138" s="191"/>
      <c r="OI138" s="191"/>
      <c r="OJ138" s="191"/>
      <c r="OK138" s="191"/>
      <c r="OL138" s="191"/>
      <c r="OM138" s="191"/>
      <c r="ON138" s="191"/>
      <c r="OO138" s="191"/>
      <c r="OP138" s="191"/>
      <c r="OQ138" s="191"/>
      <c r="OR138" s="191"/>
      <c r="OS138" s="191"/>
      <c r="OT138" s="191"/>
      <c r="OU138" s="191"/>
      <c r="OV138" s="191"/>
      <c r="OW138" s="191"/>
      <c r="OX138" s="191"/>
      <c r="OY138" s="191"/>
      <c r="OZ138" s="191"/>
      <c r="PA138" s="191"/>
      <c r="PB138" s="193"/>
      <c r="PC138" s="47"/>
      <c r="PD138" s="154" t="s">
        <v>97</v>
      </c>
      <c r="PE138" s="155" t="s">
        <v>98</v>
      </c>
      <c r="PF138" s="155" t="s">
        <v>98</v>
      </c>
      <c r="PG138" s="155" t="s">
        <v>98</v>
      </c>
      <c r="PH138" s="155" t="s">
        <v>98</v>
      </c>
      <c r="PI138" s="155" t="s">
        <v>98</v>
      </c>
      <c r="PJ138" s="155" t="s">
        <v>98</v>
      </c>
      <c r="PK138" s="155" t="s">
        <v>98</v>
      </c>
      <c r="PL138" s="155" t="s">
        <v>98</v>
      </c>
      <c r="PM138" s="155" t="s">
        <v>98</v>
      </c>
      <c r="PN138" s="155" t="s">
        <v>98</v>
      </c>
      <c r="PO138" s="156"/>
      <c r="PP138" s="156"/>
      <c r="PQ138" s="156"/>
      <c r="PR138" s="156"/>
      <c r="PS138" s="156"/>
      <c r="PT138" s="156"/>
      <c r="PU138" s="156"/>
      <c r="PV138" s="156"/>
      <c r="PW138" s="156"/>
      <c r="PX138" s="195"/>
      <c r="PY138" s="1"/>
      <c r="PZ138" s="196">
        <f t="shared" si="126"/>
        <v>70</v>
      </c>
      <c r="QA138" s="176">
        <f t="shared" si="127"/>
        <v>5.8396596312672061E-4</v>
      </c>
      <c r="QB138" s="177" t="str">
        <f t="shared" ca="1" si="128"/>
        <v>Attente…</v>
      </c>
      <c r="QC138" s="197">
        <f t="shared" si="129"/>
        <v>80</v>
      </c>
      <c r="QD138" s="179">
        <f t="shared" si="130"/>
        <v>7.4906367041198505E-4</v>
      </c>
      <c r="QE138" s="180" t="str">
        <f t="shared" ca="1" si="131"/>
        <v>Attente…</v>
      </c>
      <c r="QF138" s="196">
        <f t="shared" si="132"/>
        <v>170</v>
      </c>
      <c r="QG138" s="176">
        <f t="shared" si="133"/>
        <v>1.3537187450230928E-3</v>
      </c>
      <c r="QH138" s="177" t="str">
        <f t="shared" ca="1" si="134"/>
        <v>Attente…</v>
      </c>
      <c r="QI138" s="197">
        <f t="shared" si="135"/>
        <v>120</v>
      </c>
      <c r="QJ138" s="179">
        <f t="shared" si="136"/>
        <v>8.4163276756908407E-4</v>
      </c>
      <c r="QK138" s="180" t="str">
        <f t="shared" ca="1" si="137"/>
        <v>Attente…</v>
      </c>
      <c r="QL138" s="196">
        <f t="shared" si="138"/>
        <v>220</v>
      </c>
      <c r="QM138" s="176">
        <f t="shared" si="139"/>
        <v>1.6095990635059995E-3</v>
      </c>
      <c r="QN138" s="177" t="str">
        <f t="shared" ca="1" si="140"/>
        <v>Attente…</v>
      </c>
      <c r="QO138" s="197">
        <f t="shared" si="141"/>
        <v>150</v>
      </c>
      <c r="QP138" s="179">
        <f t="shared" si="142"/>
        <v>1.1743521490644327E-3</v>
      </c>
      <c r="QQ138" s="180" t="str">
        <f t="shared" ca="1" si="143"/>
        <v>Attente…</v>
      </c>
      <c r="QR138" s="196">
        <f t="shared" si="144"/>
        <v>40</v>
      </c>
      <c r="QS138" s="176">
        <f t="shared" si="145"/>
        <v>2.8796659587487853E-4</v>
      </c>
      <c r="QT138" s="177" t="str">
        <f t="shared" ca="1" si="146"/>
        <v>Attente…</v>
      </c>
      <c r="QU138" s="197">
        <f t="shared" si="147"/>
        <v>90</v>
      </c>
      <c r="QV138" s="179">
        <f t="shared" si="148"/>
        <v>6.2051847766133477E-4</v>
      </c>
      <c r="QW138" s="180" t="str">
        <f t="shared" ca="1" si="149"/>
        <v>Attente…</v>
      </c>
      <c r="QX138" s="196">
        <f t="shared" si="150"/>
        <v>170</v>
      </c>
      <c r="QY138" s="176">
        <f t="shared" si="151"/>
        <v>1.2405499284859453E-3</v>
      </c>
      <c r="QZ138" s="177" t="str">
        <f t="shared" ca="1" si="152"/>
        <v>Attente…</v>
      </c>
      <c r="RA138" s="197">
        <f t="shared" si="153"/>
        <v>170</v>
      </c>
      <c r="RB138" s="179">
        <f t="shared" si="154"/>
        <v>1.3300993662467727E-3</v>
      </c>
      <c r="RC138" s="180" t="str">
        <f t="shared" ca="1" si="155"/>
        <v>Attente…</v>
      </c>
      <c r="RD138" s="196">
        <f t="shared" si="156"/>
        <v>180</v>
      </c>
      <c r="RE138" s="176">
        <f t="shared" si="157"/>
        <v>1.7935432443204463E-3</v>
      </c>
      <c r="RF138" s="177" t="str">
        <f t="shared" ca="1" si="158"/>
        <v>Attente…</v>
      </c>
      <c r="RG138" s="197">
        <f t="shared" si="159"/>
        <v>20</v>
      </c>
      <c r="RH138" s="179">
        <f t="shared" si="160"/>
        <v>3.678499172337686E-4</v>
      </c>
      <c r="RI138" s="198" t="str">
        <f t="shared" ca="1" si="161"/>
        <v>Attente…</v>
      </c>
      <c r="RJ138" s="199">
        <f t="shared" si="162"/>
        <v>320</v>
      </c>
      <c r="RK138" s="200" t="str">
        <f t="shared" ca="1" si="119"/>
        <v>Attente…</v>
      </c>
      <c r="RL138" s="199">
        <f t="shared" si="163"/>
        <v>490</v>
      </c>
      <c r="RM138" s="200" t="str">
        <f t="shared" ca="1" si="164"/>
        <v>Atttente…</v>
      </c>
      <c r="RN138" s="199">
        <f t="shared" si="165"/>
        <v>300</v>
      </c>
      <c r="RO138" s="200" t="str">
        <f t="shared" ca="1" si="120"/>
        <v>Attente…</v>
      </c>
      <c r="RP138" s="199">
        <f t="shared" si="166"/>
        <v>370</v>
      </c>
      <c r="RQ138" s="200" t="str">
        <f t="shared" ca="1" si="121"/>
        <v>Attente…</v>
      </c>
      <c r="RR138" s="201">
        <f t="shared" si="167"/>
        <v>1480</v>
      </c>
      <c r="RS138" s="202" t="str">
        <f t="shared" ca="1" si="122"/>
        <v>Attente…</v>
      </c>
      <c r="RT138" s="103"/>
      <c r="RU138" s="203">
        <f t="shared" si="168"/>
        <v>0.15416666666666667</v>
      </c>
      <c r="RV138" s="204">
        <f t="shared" si="118"/>
        <v>1</v>
      </c>
      <c r="RW138" s="204">
        <f t="shared" si="118"/>
        <v>1</v>
      </c>
      <c r="RX138" s="204">
        <f t="shared" si="169"/>
        <v>48</v>
      </c>
      <c r="RY138" s="205" t="str">
        <f t="shared" si="170"/>
        <v>DARNÉTAL - 37 Rue Edouard Branly</v>
      </c>
      <c r="RZ138" s="189" t="str">
        <f>IF(OR(RZ137="",RZ137="  &lt;/Document&gt;
&lt;/kml&gt;"),"",
IF(B138="","  &lt;/Document&gt;
&lt;/kml&gt;",
IF(TournéesCAV!Q98=""," ",
"    &lt;Placemark&gt;
      &lt;description&gt;&lt;![CDATA["&amp;B138&amp;"&lt;br&gt;&lt;br&gt;"&amp;RV138&amp;" CAV&lt;br&gt;&lt;br&gt;Présent sur "&amp;RW138&amp;" tournée(s)&lt;br&gt;&lt;br&gt;Taux de remplissage moyen "&amp;TEXT(RU138*1000,"0 %")&amp;"]]&gt;&lt;/description&gt;
      &lt;Style&gt;
        &lt;IconStyle&gt;
          &lt;color&gt;ff"&amp;
          DEC2HEX(0,2)&amp;
          DEC2HEX(
            IF(RU138&lt;=0.5,
               INT(255*(RU138*2)),
               255
            ),2)&amp;
          DEC2HEX(
            IF(RU138&lt;=0.5,
               255,
               INT(255*(1-(RU138-0.5)*2))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&lt;Point&gt;&lt;coordinates&gt;"&amp;R138&amp;","&amp;Q138&amp;",0&lt;/coordinates&gt;&lt;/Point&gt;
    &lt;/Placemark&gt;"
)))</f>
        <v xml:space="preserve">    &lt;Placemark&gt;
      &lt;description&gt;&lt;![CDATA[DARNÉTAL - 37 Rue Edouard Branly&lt;br&gt;&lt;br&gt;1 CAV&lt;br&gt;&lt;br&gt;Présent sur 1 tournée(s)&lt;br&gt;&lt;br&gt;Taux de remplissage moyen 15%]]&gt;&lt;/description&gt;
      &lt;Style&gt;
        &lt;IconStyle&gt;
          &lt;color&gt;ff004EFF&lt;/color&gt;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&lt;Point&gt;&lt;coordinates&gt;1.1433416,49.4419378,0&lt;/coordinates&gt;&lt;/Point&gt;
    &lt;/Placemark&gt;</v>
      </c>
    </row>
    <row r="139" spans="2:494" ht="15" hidden="1" customHeight="1" x14ac:dyDescent="0.35">
      <c r="B139" s="153" t="str">
        <f t="shared" si="123"/>
        <v>SAINT-AUBIN-CELLOVILLE - 12 Rue de la Mairie  (Ruelle Atelier Municipal - Salle des Fêtes)</v>
      </c>
      <c r="C139" s="154">
        <v>180</v>
      </c>
      <c r="D139" s="155"/>
      <c r="E139" s="155"/>
      <c r="F139" s="155"/>
      <c r="G139" s="155"/>
      <c r="H139" s="155"/>
      <c r="I139" s="155"/>
      <c r="J139" s="156"/>
      <c r="K139" s="157">
        <f t="shared" si="124"/>
        <v>1</v>
      </c>
      <c r="L139" s="157">
        <f t="shared" si="125"/>
        <v>1</v>
      </c>
      <c r="M139" s="158" t="s">
        <v>784</v>
      </c>
      <c r="N139" s="159" t="s">
        <v>785</v>
      </c>
      <c r="O139" s="159">
        <v>76520</v>
      </c>
      <c r="P139" s="159" t="s">
        <v>786</v>
      </c>
      <c r="Q139" s="159" t="s">
        <v>787</v>
      </c>
      <c r="R139" s="159" t="s">
        <v>788</v>
      </c>
      <c r="S139" s="159" t="s">
        <v>93</v>
      </c>
      <c r="T139" s="159" t="s">
        <v>94</v>
      </c>
      <c r="U139" s="159" t="s">
        <v>789</v>
      </c>
      <c r="V139" s="160" t="s">
        <v>96</v>
      </c>
      <c r="W139" s="161"/>
      <c r="X139" s="162"/>
      <c r="Y139" s="163"/>
      <c r="Z139" s="162"/>
      <c r="AA139" s="163"/>
      <c r="AB139" s="162"/>
      <c r="AC139" s="163"/>
      <c r="AD139" s="162"/>
      <c r="AE139" s="163"/>
      <c r="AF139" s="162"/>
      <c r="AG139" s="163"/>
      <c r="AH139" s="163"/>
      <c r="AI139" s="162"/>
      <c r="AJ139" s="163"/>
      <c r="AK139" s="162"/>
      <c r="AL139" s="163">
        <v>12</v>
      </c>
      <c r="AM139" s="162"/>
      <c r="AN139" s="163"/>
      <c r="AO139" s="162"/>
      <c r="AP139" s="164"/>
      <c r="AQ139" s="164"/>
      <c r="AR139" s="164"/>
      <c r="AS139" s="164"/>
      <c r="AT139" s="164"/>
      <c r="AU139" s="164"/>
      <c r="AV139" s="164"/>
      <c r="AW139" s="164"/>
      <c r="AX139" s="164"/>
      <c r="AY139" s="165"/>
      <c r="AZ139" s="41"/>
      <c r="BA139" s="190"/>
      <c r="BB139" s="191"/>
      <c r="BC139" s="191"/>
      <c r="BD139" s="191"/>
      <c r="BE139" s="191"/>
      <c r="BF139" s="191"/>
      <c r="BG139" s="191"/>
      <c r="BH139" s="191"/>
      <c r="BI139" s="191"/>
      <c r="BJ139" s="191"/>
      <c r="BK139" s="191"/>
      <c r="BL139" s="191"/>
      <c r="BM139" s="191"/>
      <c r="BN139" s="191"/>
      <c r="BO139" s="191"/>
      <c r="BP139" s="191"/>
      <c r="BQ139" s="191"/>
      <c r="BR139" s="191"/>
      <c r="BS139" s="191"/>
      <c r="BT139" s="191"/>
      <c r="BU139" s="191"/>
      <c r="BV139" s="191">
        <v>100</v>
      </c>
      <c r="BW139" s="191"/>
      <c r="BX139" s="191"/>
      <c r="BY139" s="191"/>
      <c r="BZ139" s="191"/>
      <c r="CA139" s="191"/>
      <c r="CB139" s="191"/>
      <c r="CC139" s="191">
        <v>10</v>
      </c>
      <c r="CD139" s="191"/>
      <c r="CE139" s="192"/>
      <c r="CF139" s="190"/>
      <c r="CG139" s="191"/>
      <c r="CH139" s="191"/>
      <c r="CI139" s="191"/>
      <c r="CJ139" s="191">
        <v>100</v>
      </c>
      <c r="CK139" s="191"/>
      <c r="CL139" s="191"/>
      <c r="CM139" s="191"/>
      <c r="CN139" s="191"/>
      <c r="CO139" s="191"/>
      <c r="CP139" s="191"/>
      <c r="CQ139" s="191">
        <v>50</v>
      </c>
      <c r="CR139" s="191"/>
      <c r="CS139" s="191"/>
      <c r="CT139" s="191"/>
      <c r="CU139" s="191"/>
      <c r="CV139" s="191"/>
      <c r="CW139" s="191"/>
      <c r="CX139" s="191">
        <v>10</v>
      </c>
      <c r="CY139" s="191"/>
      <c r="CZ139" s="191"/>
      <c r="DA139" s="191"/>
      <c r="DB139" s="191"/>
      <c r="DC139" s="191"/>
      <c r="DD139" s="191"/>
      <c r="DE139" s="191">
        <v>10</v>
      </c>
      <c r="DF139" s="191"/>
      <c r="DG139" s="191"/>
      <c r="DH139" s="193"/>
      <c r="DI139" s="194"/>
      <c r="DJ139" s="191"/>
      <c r="DK139" s="191"/>
      <c r="DL139" s="191"/>
      <c r="DM139" s="191">
        <v>50</v>
      </c>
      <c r="DN139" s="191"/>
      <c r="DO139" s="191"/>
      <c r="DP139" s="191"/>
      <c r="DQ139" s="191"/>
      <c r="DR139" s="191"/>
      <c r="DS139" s="191"/>
      <c r="DT139" s="191">
        <v>10</v>
      </c>
      <c r="DU139" s="191"/>
      <c r="DV139" s="191"/>
      <c r="DW139" s="191"/>
      <c r="DX139" s="191"/>
      <c r="DY139" s="191"/>
      <c r="DZ139" s="191"/>
      <c r="EA139" s="191"/>
      <c r="EB139" s="191"/>
      <c r="EC139" s="191"/>
      <c r="ED139" s="191"/>
      <c r="EE139" s="191"/>
      <c r="EF139" s="191"/>
      <c r="EG139" s="191"/>
      <c r="EH139" s="191">
        <v>50</v>
      </c>
      <c r="EI139" s="191"/>
      <c r="EJ139" s="191"/>
      <c r="EK139" s="191"/>
      <c r="EL139" s="191"/>
      <c r="EM139" s="192"/>
      <c r="EN139" s="190"/>
      <c r="EO139" s="191">
        <v>10</v>
      </c>
      <c r="EP139" s="191"/>
      <c r="EQ139" s="191"/>
      <c r="ER139" s="191"/>
      <c r="ES139" s="191"/>
      <c r="ET139" s="191"/>
      <c r="EU139" s="191"/>
      <c r="EV139" s="191"/>
      <c r="EW139" s="191"/>
      <c r="EX139" s="191"/>
      <c r="EY139" s="191"/>
      <c r="EZ139" s="191"/>
      <c r="FA139" s="191"/>
      <c r="FB139" s="191"/>
      <c r="FC139" s="191">
        <v>100</v>
      </c>
      <c r="FD139" s="191"/>
      <c r="FE139" s="191"/>
      <c r="FF139" s="191"/>
      <c r="FG139" s="191"/>
      <c r="FH139" s="191"/>
      <c r="FI139" s="191"/>
      <c r="FJ139" s="191"/>
      <c r="FK139" s="191"/>
      <c r="FL139" s="191">
        <v>10</v>
      </c>
      <c r="FM139" s="191"/>
      <c r="FN139" s="191"/>
      <c r="FO139" s="191"/>
      <c r="FP139" s="191"/>
      <c r="FQ139" s="193"/>
      <c r="FR139" s="194"/>
      <c r="FS139" s="191"/>
      <c r="FT139" s="191"/>
      <c r="FU139" s="191"/>
      <c r="FV139" s="191"/>
      <c r="FW139" s="191"/>
      <c r="FX139" s="191">
        <v>10</v>
      </c>
      <c r="FY139" s="191"/>
      <c r="FZ139" s="191"/>
      <c r="GA139" s="191"/>
      <c r="GB139" s="191"/>
      <c r="GC139" s="191"/>
      <c r="GD139" s="191"/>
      <c r="GE139" s="191"/>
      <c r="GF139" s="191"/>
      <c r="GG139" s="191"/>
      <c r="GH139" s="191"/>
      <c r="GI139" s="191"/>
      <c r="GJ139" s="191"/>
      <c r="GK139" s="191"/>
      <c r="GL139" s="191">
        <v>100</v>
      </c>
      <c r="GM139" s="191"/>
      <c r="GN139" s="191"/>
      <c r="GO139" s="191"/>
      <c r="GP139" s="191"/>
      <c r="GQ139" s="191"/>
      <c r="GR139" s="191"/>
      <c r="GS139" s="191"/>
      <c r="GT139" s="191"/>
      <c r="GU139" s="191"/>
      <c r="GV139" s="192"/>
      <c r="GW139" s="190"/>
      <c r="GX139" s="191"/>
      <c r="GY139" s="191"/>
      <c r="GZ139" s="191">
        <v>200</v>
      </c>
      <c r="HA139" s="191"/>
      <c r="HB139" s="191"/>
      <c r="HC139" s="191"/>
      <c r="HD139" s="191"/>
      <c r="HE139" s="191"/>
      <c r="HF139" s="191"/>
      <c r="HG139" s="191"/>
      <c r="HH139" s="191"/>
      <c r="HI139" s="191"/>
      <c r="HJ139" s="191"/>
      <c r="HK139" s="191"/>
      <c r="HL139" s="191"/>
      <c r="HM139" s="191"/>
      <c r="HN139" s="191"/>
      <c r="HO139" s="191"/>
      <c r="HP139" s="191"/>
      <c r="HQ139" s="191"/>
      <c r="HR139" s="191"/>
      <c r="HS139" s="191"/>
      <c r="HT139" s="191"/>
      <c r="HU139" s="191">
        <v>100</v>
      </c>
      <c r="HV139" s="191"/>
      <c r="HW139" s="191"/>
      <c r="HX139" s="191"/>
      <c r="HY139" s="191"/>
      <c r="HZ139" s="193"/>
      <c r="IA139" s="194"/>
      <c r="IB139" s="191">
        <v>10</v>
      </c>
      <c r="IC139" s="191"/>
      <c r="ID139" s="191"/>
      <c r="IE139" s="191"/>
      <c r="IF139" s="191"/>
      <c r="IG139" s="191"/>
      <c r="IH139" s="191"/>
      <c r="II139" s="191">
        <v>10</v>
      </c>
      <c r="IJ139" s="191"/>
      <c r="IK139" s="191"/>
      <c r="IL139" s="191"/>
      <c r="IM139" s="191"/>
      <c r="IN139" s="191"/>
      <c r="IO139" s="191"/>
      <c r="IP139" s="191"/>
      <c r="IQ139" s="191">
        <v>200</v>
      </c>
      <c r="IR139" s="191"/>
      <c r="IS139" s="191"/>
      <c r="IT139" s="191"/>
      <c r="IU139" s="191"/>
      <c r="IV139" s="191"/>
      <c r="IW139" s="191">
        <v>10</v>
      </c>
      <c r="IX139" s="191"/>
      <c r="IY139" s="191"/>
      <c r="IZ139" s="191"/>
      <c r="JA139" s="191"/>
      <c r="JB139" s="191"/>
      <c r="JC139" s="191"/>
      <c r="JD139" s="191"/>
      <c r="JE139" s="192"/>
      <c r="JF139" s="190"/>
      <c r="JG139" s="191"/>
      <c r="JH139" s="191"/>
      <c r="JI139" s="191"/>
      <c r="JJ139" s="191"/>
      <c r="JK139" s="191">
        <v>50</v>
      </c>
      <c r="JL139" s="191"/>
      <c r="JM139" s="191"/>
      <c r="JN139" s="191"/>
      <c r="JO139" s="191"/>
      <c r="JP139" s="191"/>
      <c r="JQ139" s="191"/>
      <c r="JR139" s="191">
        <v>50</v>
      </c>
      <c r="JS139" s="191"/>
      <c r="JT139" s="191"/>
      <c r="JU139" s="191"/>
      <c r="JV139" s="191"/>
      <c r="JW139" s="191"/>
      <c r="JX139" s="191"/>
      <c r="JY139" s="191">
        <v>50</v>
      </c>
      <c r="JZ139" s="191"/>
      <c r="KA139" s="191"/>
      <c r="KB139" s="191"/>
      <c r="KC139" s="191"/>
      <c r="KD139" s="191"/>
      <c r="KE139" s="191"/>
      <c r="KF139" s="191">
        <v>10</v>
      </c>
      <c r="KG139" s="191"/>
      <c r="KH139" s="191"/>
      <c r="KI139" s="191"/>
      <c r="KJ139" s="193"/>
      <c r="KK139" s="194"/>
      <c r="KL139" s="191"/>
      <c r="KM139" s="191">
        <v>50</v>
      </c>
      <c r="KN139" s="191"/>
      <c r="KO139" s="191"/>
      <c r="KP139" s="191"/>
      <c r="KQ139" s="191"/>
      <c r="KR139" s="191"/>
      <c r="KS139" s="191"/>
      <c r="KT139" s="191"/>
      <c r="KU139" s="191">
        <v>100</v>
      </c>
      <c r="KV139" s="191"/>
      <c r="KW139" s="191"/>
      <c r="KX139" s="191"/>
      <c r="KY139" s="191"/>
      <c r="KZ139" s="191"/>
      <c r="LA139" s="191"/>
      <c r="LB139" s="191"/>
      <c r="LC139" s="191"/>
      <c r="LD139" s="191"/>
      <c r="LE139" s="191"/>
      <c r="LF139" s="191"/>
      <c r="LG139" s="191"/>
      <c r="LH139" s="191">
        <v>50</v>
      </c>
      <c r="LI139" s="191"/>
      <c r="LJ139" s="191"/>
      <c r="LK139" s="191"/>
      <c r="LL139" s="191"/>
      <c r="LM139" s="191"/>
      <c r="LN139" s="192"/>
      <c r="LO139" s="190"/>
      <c r="LP139" s="191">
        <v>50</v>
      </c>
      <c r="LQ139" s="191"/>
      <c r="LR139" s="191"/>
      <c r="LS139" s="191"/>
      <c r="LT139" s="191"/>
      <c r="LU139" s="191"/>
      <c r="LV139" s="191">
        <v>10</v>
      </c>
      <c r="LW139" s="191"/>
      <c r="LX139" s="191"/>
      <c r="LY139" s="191"/>
      <c r="LZ139" s="191"/>
      <c r="MA139" s="191"/>
      <c r="MB139" s="191"/>
      <c r="MC139" s="191">
        <v>100</v>
      </c>
      <c r="MD139" s="191"/>
      <c r="ME139" s="191"/>
      <c r="MF139" s="191"/>
      <c r="MG139" s="191"/>
      <c r="MH139" s="191"/>
      <c r="MI139" s="191"/>
      <c r="MJ139" s="191">
        <v>50</v>
      </c>
      <c r="MK139" s="191"/>
      <c r="ML139" s="191"/>
      <c r="MM139" s="191"/>
      <c r="MN139" s="191"/>
      <c r="MO139" s="191"/>
      <c r="MP139" s="191"/>
      <c r="MQ139" s="191">
        <v>50</v>
      </c>
      <c r="MR139" s="191"/>
      <c r="MS139" s="193"/>
      <c r="MT139" s="194"/>
      <c r="MU139" s="191"/>
      <c r="MV139" s="191"/>
      <c r="MW139" s="191"/>
      <c r="MX139" s="191">
        <v>50</v>
      </c>
      <c r="MY139" s="191"/>
      <c r="MZ139" s="191"/>
      <c r="NA139" s="191"/>
      <c r="NB139" s="191"/>
      <c r="NC139" s="191"/>
      <c r="ND139" s="191"/>
      <c r="NE139" s="191"/>
      <c r="NF139" s="191"/>
      <c r="NG139" s="191"/>
      <c r="NH139" s="191"/>
      <c r="NI139" s="191"/>
      <c r="NJ139" s="191"/>
      <c r="NK139" s="191"/>
      <c r="NL139" s="191">
        <v>50</v>
      </c>
      <c r="NM139" s="191"/>
      <c r="NN139" s="191"/>
      <c r="NO139" s="191"/>
      <c r="NP139" s="191"/>
      <c r="NQ139" s="191"/>
      <c r="NR139" s="191"/>
      <c r="NS139" s="191">
        <v>10</v>
      </c>
      <c r="NT139" s="191"/>
      <c r="NU139" s="191"/>
      <c r="NV139" s="191"/>
      <c r="NW139" s="192"/>
      <c r="NX139" s="190"/>
      <c r="NY139" s="191"/>
      <c r="NZ139" s="191">
        <v>50</v>
      </c>
      <c r="OA139" s="191"/>
      <c r="OB139" s="191"/>
      <c r="OC139" s="191"/>
      <c r="OD139" s="191"/>
      <c r="OE139" s="191"/>
      <c r="OF139" s="191"/>
      <c r="OG139" s="191">
        <v>10</v>
      </c>
      <c r="OH139" s="191"/>
      <c r="OI139" s="191"/>
      <c r="OJ139" s="191"/>
      <c r="OK139" s="191"/>
      <c r="OL139" s="191"/>
      <c r="OM139" s="191"/>
      <c r="ON139" s="191"/>
      <c r="OO139" s="191"/>
      <c r="OP139" s="191"/>
      <c r="OQ139" s="191"/>
      <c r="OR139" s="191"/>
      <c r="OS139" s="191"/>
      <c r="OT139" s="191"/>
      <c r="OU139" s="191"/>
      <c r="OV139" s="191"/>
      <c r="OW139" s="191"/>
      <c r="OX139" s="191"/>
      <c r="OY139" s="191"/>
      <c r="OZ139" s="191"/>
      <c r="PA139" s="191"/>
      <c r="PB139" s="193"/>
      <c r="PC139" s="47"/>
      <c r="PD139" s="154" t="s">
        <v>97</v>
      </c>
      <c r="PE139" s="155" t="s">
        <v>98</v>
      </c>
      <c r="PF139" s="155" t="s">
        <v>98</v>
      </c>
      <c r="PG139" s="155" t="s">
        <v>98</v>
      </c>
      <c r="PH139" s="155" t="s">
        <v>98</v>
      </c>
      <c r="PI139" s="155" t="s">
        <v>98</v>
      </c>
      <c r="PJ139" s="155" t="s">
        <v>98</v>
      </c>
      <c r="PK139" s="155" t="s">
        <v>98</v>
      </c>
      <c r="PL139" s="155" t="s">
        <v>98</v>
      </c>
      <c r="PM139" s="155" t="s">
        <v>98</v>
      </c>
      <c r="PN139" s="155" t="s">
        <v>98</v>
      </c>
      <c r="PO139" s="156"/>
      <c r="PP139" s="156"/>
      <c r="PQ139" s="156"/>
      <c r="PR139" s="156"/>
      <c r="PS139" s="156"/>
      <c r="PT139" s="156"/>
      <c r="PU139" s="156"/>
      <c r="PV139" s="156"/>
      <c r="PW139" s="156"/>
      <c r="PX139" s="195"/>
      <c r="PY139" s="1"/>
      <c r="PZ139" s="196">
        <f t="shared" si="126"/>
        <v>110</v>
      </c>
      <c r="QA139" s="176">
        <f t="shared" si="127"/>
        <v>9.1766079919913238E-4</v>
      </c>
      <c r="QB139" s="177" t="str">
        <f t="shared" ca="1" si="128"/>
        <v>Attente…</v>
      </c>
      <c r="QC139" s="197">
        <f t="shared" si="129"/>
        <v>170</v>
      </c>
      <c r="QD139" s="179">
        <f t="shared" si="130"/>
        <v>1.5917602996254681E-3</v>
      </c>
      <c r="QE139" s="180" t="str">
        <f t="shared" ca="1" si="131"/>
        <v>Attente…</v>
      </c>
      <c r="QF139" s="196">
        <f t="shared" si="132"/>
        <v>110</v>
      </c>
      <c r="QG139" s="176">
        <f t="shared" si="133"/>
        <v>8.7593565854435424E-4</v>
      </c>
      <c r="QH139" s="177" t="str">
        <f t="shared" ca="1" si="134"/>
        <v>Attente…</v>
      </c>
      <c r="QI139" s="197">
        <f t="shared" si="135"/>
        <v>120</v>
      </c>
      <c r="QJ139" s="179">
        <f t="shared" si="136"/>
        <v>8.4163276756908407E-4</v>
      </c>
      <c r="QK139" s="180" t="str">
        <f t="shared" ca="1" si="137"/>
        <v>Attente…</v>
      </c>
      <c r="QL139" s="196">
        <f t="shared" si="138"/>
        <v>110</v>
      </c>
      <c r="QM139" s="176">
        <f t="shared" si="139"/>
        <v>8.0479953175299974E-4</v>
      </c>
      <c r="QN139" s="177" t="str">
        <f t="shared" ca="1" si="140"/>
        <v>Attente…</v>
      </c>
      <c r="QO139" s="197">
        <f t="shared" si="141"/>
        <v>300</v>
      </c>
      <c r="QP139" s="179">
        <f t="shared" si="142"/>
        <v>2.3487042981288654E-3</v>
      </c>
      <c r="QQ139" s="180" t="str">
        <f t="shared" ca="1" si="143"/>
        <v>Attente…</v>
      </c>
      <c r="QR139" s="196">
        <f t="shared" si="144"/>
        <v>230</v>
      </c>
      <c r="QS139" s="176">
        <f t="shared" si="145"/>
        <v>1.6558079262805514E-3</v>
      </c>
      <c r="QT139" s="177" t="str">
        <f t="shared" ca="1" si="146"/>
        <v>Attente…</v>
      </c>
      <c r="QU139" s="197">
        <f t="shared" si="147"/>
        <v>160</v>
      </c>
      <c r="QV139" s="179">
        <f t="shared" si="148"/>
        <v>1.1031439602868175E-3</v>
      </c>
      <c r="QW139" s="180" t="str">
        <f t="shared" ca="1" si="149"/>
        <v>Attente…</v>
      </c>
      <c r="QX139" s="196">
        <f t="shared" si="150"/>
        <v>200</v>
      </c>
      <c r="QY139" s="176">
        <f t="shared" si="151"/>
        <v>1.459470504101112E-3</v>
      </c>
      <c r="QZ139" s="177" t="str">
        <f t="shared" ca="1" si="152"/>
        <v>Attente…</v>
      </c>
      <c r="RA139" s="197">
        <f t="shared" si="153"/>
        <v>260</v>
      </c>
      <c r="RB139" s="179">
        <f t="shared" si="154"/>
        <v>2.0342696189656522E-3</v>
      </c>
      <c r="RC139" s="180" t="str">
        <f t="shared" ca="1" si="155"/>
        <v>Attente…</v>
      </c>
      <c r="RD139" s="196">
        <f t="shared" si="156"/>
        <v>110</v>
      </c>
      <c r="RE139" s="176">
        <f t="shared" si="157"/>
        <v>1.096054204862495E-3</v>
      </c>
      <c r="RF139" s="177" t="str">
        <f t="shared" ca="1" si="158"/>
        <v>Attente…</v>
      </c>
      <c r="RG139" s="197">
        <f t="shared" si="159"/>
        <v>60</v>
      </c>
      <c r="RH139" s="179">
        <f t="shared" si="160"/>
        <v>1.1035497517013059E-3</v>
      </c>
      <c r="RI139" s="198" t="str">
        <f t="shared" ca="1" si="161"/>
        <v>Attente…</v>
      </c>
      <c r="RJ139" s="199">
        <f t="shared" si="162"/>
        <v>390</v>
      </c>
      <c r="RK139" s="200" t="str">
        <f t="shared" ca="1" si="119"/>
        <v>Attente…</v>
      </c>
      <c r="RL139" s="199">
        <f t="shared" si="163"/>
        <v>530</v>
      </c>
      <c r="RM139" s="200" t="str">
        <f t="shared" ca="1" si="164"/>
        <v>Atttente…</v>
      </c>
      <c r="RN139" s="199">
        <f t="shared" si="165"/>
        <v>590</v>
      </c>
      <c r="RO139" s="200" t="str">
        <f t="shared" ca="1" si="120"/>
        <v>Attente…</v>
      </c>
      <c r="RP139" s="199">
        <f t="shared" si="166"/>
        <v>430</v>
      </c>
      <c r="RQ139" s="200" t="str">
        <f t="shared" ca="1" si="121"/>
        <v>Attente…</v>
      </c>
      <c r="RR139" s="201">
        <f t="shared" si="167"/>
        <v>1940</v>
      </c>
      <c r="RS139" s="202" t="str">
        <f t="shared" ca="1" si="122"/>
        <v>Attente…</v>
      </c>
      <c r="RT139" s="103"/>
      <c r="RU139" s="203">
        <f t="shared" si="168"/>
        <v>0.26216216216216215</v>
      </c>
      <c r="RV139" s="204">
        <f t="shared" si="118"/>
        <v>1</v>
      </c>
      <c r="RW139" s="204">
        <f t="shared" si="118"/>
        <v>1</v>
      </c>
      <c r="RX139" s="204">
        <f t="shared" si="169"/>
        <v>37</v>
      </c>
      <c r="RY139" s="205" t="str">
        <f t="shared" si="170"/>
        <v>SAINT-AUBIN-CELLOVILLE - 12 Rue de la Mairie  (Ruelle Atelier Municipal - Salle des Fêtes)</v>
      </c>
      <c r="RZ139" s="189" t="str">
        <f>IF(OR(RZ138="",RZ138="  &lt;/Document&gt;
&lt;/kml&gt;"),"",
IF(B139="","  &lt;/Document&gt;
&lt;/kml&gt;",
IF(TournéesCAV!Q139=""," ",
"    &lt;Placemark&gt;
      &lt;description&gt;&lt;![CDATA["&amp;B139&amp;"&lt;br&gt;&lt;br&gt;"&amp;RV139&amp;" CAV&lt;br&gt;&lt;br&gt;Présent sur "&amp;RW139&amp;" tournée(s)&lt;br&gt;&lt;br&gt;Taux de remplissage moyen "&amp;TEXT(RU139*1000,"0 %")&amp;"]]&gt;&lt;/description&gt;
      &lt;Style&gt;
        &lt;IconStyle&gt;
          &lt;color&gt;ff"&amp;
          DEC2HEX(0,2)&amp;
          DEC2HEX(
            IF(RU139&lt;=0.5,
               INT(255*(RU139*2)),
               255
            ),2)&amp;
          DEC2HEX(
            IF(RU139&lt;=0.5,
               255,
               INT(255*(1-(RU139-0.5)*2))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&lt;Point&gt;&lt;coordinates&gt;"&amp;R139&amp;","&amp;Q139&amp;",0&lt;/coordinates&gt;&lt;/Point&gt;
    &lt;/Placemark&gt;"
)))</f>
        <v xml:space="preserve">    &lt;Placemark&gt;
      &lt;description&gt;&lt;![CDATA[SAINT-AUBIN-CELLOVILLE - 12 Rue de la Mairie  (Ruelle Atelier Municipal - Salle des Fêtes)&lt;br&gt;&lt;br&gt;1 CAV&lt;br&gt;&lt;br&gt;Présent sur 1 tournée(s)&lt;br&gt;&lt;br&gt;Taux de remplissage moyen 26%]]&gt;&lt;/description&gt;
      &lt;Style&gt;
        &lt;IconStyle&gt;
          &lt;color&gt;ff0085FF&lt;/color&gt;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&lt;Point&gt;&lt;coordinates&gt;1.155796,49.364568,0&lt;/coordinates&gt;&lt;/Point&gt;
    &lt;/Placemark&gt;</v>
      </c>
    </row>
    <row r="140" spans="2:494" ht="15" customHeight="1" x14ac:dyDescent="0.35">
      <c r="B140" s="153" t="str">
        <f t="shared" si="123"/>
        <v>ROUEN - 41 Rue des Canadiens</v>
      </c>
      <c r="C140" s="154">
        <v>107</v>
      </c>
      <c r="D140" s="155"/>
      <c r="E140" s="155"/>
      <c r="F140" s="155"/>
      <c r="G140" s="155"/>
      <c r="H140" s="155"/>
      <c r="I140" s="155"/>
      <c r="J140" s="156"/>
      <c r="K140" s="157">
        <f t="shared" si="124"/>
        <v>1</v>
      </c>
      <c r="L140" s="157">
        <f t="shared" si="125"/>
        <v>2</v>
      </c>
      <c r="M140" s="158" t="s">
        <v>790</v>
      </c>
      <c r="N140" s="159"/>
      <c r="O140" s="159">
        <v>76000</v>
      </c>
      <c r="P140" s="159" t="s">
        <v>90</v>
      </c>
      <c r="Q140" s="159" t="s">
        <v>791</v>
      </c>
      <c r="R140" s="159" t="s">
        <v>792</v>
      </c>
      <c r="S140" s="159" t="s">
        <v>93</v>
      </c>
      <c r="T140" s="159" t="s">
        <v>94</v>
      </c>
      <c r="U140" s="159" t="s">
        <v>793</v>
      </c>
      <c r="V140" s="160" t="s">
        <v>96</v>
      </c>
      <c r="W140" s="210">
        <v>7</v>
      </c>
      <c r="X140" s="162">
        <v>7</v>
      </c>
      <c r="Y140" s="162"/>
      <c r="Z140" s="162"/>
      <c r="AA140" s="162"/>
      <c r="AB140" s="162"/>
      <c r="AC140" s="162"/>
      <c r="AD140" s="162"/>
      <c r="AE140" s="162"/>
      <c r="AF140" s="162"/>
      <c r="AG140" s="162"/>
      <c r="AH140" s="162"/>
      <c r="AI140" s="162"/>
      <c r="AJ140" s="162"/>
      <c r="AK140" s="162"/>
      <c r="AL140" s="162"/>
      <c r="AM140" s="162"/>
      <c r="AN140" s="162"/>
      <c r="AO140" s="162"/>
      <c r="AP140" s="164"/>
      <c r="AQ140" s="164"/>
      <c r="AR140" s="164"/>
      <c r="AS140" s="164"/>
      <c r="AT140" s="164"/>
      <c r="AU140" s="164"/>
      <c r="AV140" s="164"/>
      <c r="AW140" s="164"/>
      <c r="AX140" s="164"/>
      <c r="AY140" s="165"/>
      <c r="AZ140" s="41"/>
      <c r="BA140" s="190"/>
      <c r="BB140" s="191"/>
      <c r="BC140" s="191">
        <v>100</v>
      </c>
      <c r="BD140" s="191"/>
      <c r="BE140" s="191"/>
      <c r="BF140" s="191"/>
      <c r="BG140" s="191"/>
      <c r="BH140" s="191"/>
      <c r="BI140" s="191"/>
      <c r="BJ140" s="191">
        <v>150</v>
      </c>
      <c r="BK140" s="191"/>
      <c r="BL140" s="191"/>
      <c r="BM140" s="191">
        <v>10</v>
      </c>
      <c r="BN140" s="191"/>
      <c r="BO140" s="191"/>
      <c r="BP140" s="191"/>
      <c r="BQ140" s="191">
        <v>50</v>
      </c>
      <c r="BR140" s="191"/>
      <c r="BS140" s="191"/>
      <c r="BT140" s="191"/>
      <c r="BU140" s="191"/>
      <c r="BV140" s="191"/>
      <c r="BW140" s="191"/>
      <c r="BX140" s="191">
        <v>50</v>
      </c>
      <c r="BY140" s="191"/>
      <c r="BZ140" s="191"/>
      <c r="CA140" s="191"/>
      <c r="CB140" s="191"/>
      <c r="CC140" s="191"/>
      <c r="CD140" s="191"/>
      <c r="CE140" s="192">
        <v>100</v>
      </c>
      <c r="CF140" s="190"/>
      <c r="CG140" s="191"/>
      <c r="CH140" s="191"/>
      <c r="CI140" s="191"/>
      <c r="CJ140" s="191"/>
      <c r="CK140" s="191"/>
      <c r="CL140" s="191">
        <v>100</v>
      </c>
      <c r="CM140" s="191"/>
      <c r="CN140" s="191"/>
      <c r="CO140" s="191">
        <v>50</v>
      </c>
      <c r="CP140" s="191"/>
      <c r="CQ140" s="191"/>
      <c r="CR140" s="191"/>
      <c r="CS140" s="191"/>
      <c r="CT140" s="191"/>
      <c r="CU140" s="191"/>
      <c r="CV140" s="191">
        <v>50</v>
      </c>
      <c r="CW140" s="191"/>
      <c r="CX140" s="191"/>
      <c r="CY140" s="191"/>
      <c r="CZ140" s="191">
        <v>50</v>
      </c>
      <c r="DA140" s="191"/>
      <c r="DB140" s="191"/>
      <c r="DC140" s="191">
        <v>100</v>
      </c>
      <c r="DD140" s="191"/>
      <c r="DE140" s="191"/>
      <c r="DF140" s="191"/>
      <c r="DG140" s="191">
        <v>100</v>
      </c>
      <c r="DH140" s="193"/>
      <c r="DI140" s="194"/>
      <c r="DJ140" s="191"/>
      <c r="DK140" s="191">
        <v>50</v>
      </c>
      <c r="DL140" s="191"/>
      <c r="DM140" s="191"/>
      <c r="DN140" s="191"/>
      <c r="DO140" s="191"/>
      <c r="DP140" s="191"/>
      <c r="DQ140" s="191"/>
      <c r="DR140" s="191">
        <v>150</v>
      </c>
      <c r="DS140" s="191"/>
      <c r="DT140" s="191"/>
      <c r="DU140" s="191"/>
      <c r="DV140" s="191">
        <v>50</v>
      </c>
      <c r="DW140" s="191"/>
      <c r="DX140" s="191"/>
      <c r="DY140" s="191">
        <v>50</v>
      </c>
      <c r="DZ140" s="191"/>
      <c r="EA140" s="191"/>
      <c r="EB140" s="191"/>
      <c r="EC140" s="191">
        <v>50</v>
      </c>
      <c r="ED140" s="191"/>
      <c r="EE140" s="191"/>
      <c r="EF140" s="191">
        <v>10</v>
      </c>
      <c r="EG140" s="191"/>
      <c r="EH140" s="191"/>
      <c r="EI140" s="191"/>
      <c r="EJ140" s="191">
        <v>50</v>
      </c>
      <c r="EK140" s="191"/>
      <c r="EL140" s="191"/>
      <c r="EM140" s="192">
        <v>100</v>
      </c>
      <c r="EN140" s="190"/>
      <c r="EO140" s="191"/>
      <c r="EP140" s="191"/>
      <c r="EQ140" s="191">
        <v>100</v>
      </c>
      <c r="ER140" s="191"/>
      <c r="ES140" s="191"/>
      <c r="ET140" s="191">
        <v>100</v>
      </c>
      <c r="EU140" s="191"/>
      <c r="EV140" s="191"/>
      <c r="EW140" s="191"/>
      <c r="EX140" s="191">
        <v>50</v>
      </c>
      <c r="EY140" s="191"/>
      <c r="EZ140" s="191"/>
      <c r="FA140" s="191">
        <v>50</v>
      </c>
      <c r="FB140" s="191"/>
      <c r="FC140" s="191"/>
      <c r="FD140" s="191"/>
      <c r="FE140" s="191">
        <v>100</v>
      </c>
      <c r="FF140" s="191"/>
      <c r="FG140" s="191"/>
      <c r="FH140" s="191"/>
      <c r="FI140" s="191"/>
      <c r="FJ140" s="191"/>
      <c r="FK140" s="191">
        <v>100</v>
      </c>
      <c r="FL140" s="191"/>
      <c r="FM140" s="191"/>
      <c r="FN140" s="191"/>
      <c r="FO140" s="191">
        <v>100</v>
      </c>
      <c r="FP140" s="191"/>
      <c r="FQ140" s="193"/>
      <c r="FR140" s="194"/>
      <c r="FS140" s="191"/>
      <c r="FT140" s="191"/>
      <c r="FU140" s="191"/>
      <c r="FV140" s="191">
        <v>150</v>
      </c>
      <c r="FW140" s="191"/>
      <c r="FX140" s="191"/>
      <c r="FY140" s="191"/>
      <c r="FZ140" s="191">
        <v>50</v>
      </c>
      <c r="GA140" s="191"/>
      <c r="GB140" s="191"/>
      <c r="GC140" s="191">
        <v>10</v>
      </c>
      <c r="GD140" s="191"/>
      <c r="GE140" s="191"/>
      <c r="GF140" s="191"/>
      <c r="GG140" s="191">
        <v>100</v>
      </c>
      <c r="GH140" s="191"/>
      <c r="GI140" s="191"/>
      <c r="GJ140" s="191">
        <v>10</v>
      </c>
      <c r="GK140" s="191"/>
      <c r="GL140" s="191"/>
      <c r="GM140" s="191"/>
      <c r="GN140" s="191">
        <v>10</v>
      </c>
      <c r="GO140" s="191"/>
      <c r="GP140" s="191"/>
      <c r="GQ140" s="191">
        <v>50</v>
      </c>
      <c r="GR140" s="191"/>
      <c r="GS140" s="191"/>
      <c r="GT140" s="191"/>
      <c r="GU140" s="191">
        <v>50</v>
      </c>
      <c r="GV140" s="192"/>
      <c r="GW140" s="190"/>
      <c r="GX140" s="191">
        <v>10</v>
      </c>
      <c r="GY140" s="191"/>
      <c r="GZ140" s="191"/>
      <c r="HA140" s="191"/>
      <c r="HB140" s="191">
        <v>50</v>
      </c>
      <c r="HC140" s="191"/>
      <c r="HD140" s="191"/>
      <c r="HE140" s="191"/>
      <c r="HF140" s="191"/>
      <c r="HG140" s="191"/>
      <c r="HH140" s="191"/>
      <c r="HI140" s="191">
        <v>150</v>
      </c>
      <c r="HJ140" s="191"/>
      <c r="HK140" s="191"/>
      <c r="HL140" s="191"/>
      <c r="HM140" s="191"/>
      <c r="HN140" s="191"/>
      <c r="HO140" s="191">
        <v>150</v>
      </c>
      <c r="HP140" s="191"/>
      <c r="HQ140" s="191"/>
      <c r="HR140" s="191"/>
      <c r="HS140" s="191">
        <v>100</v>
      </c>
      <c r="HT140" s="191"/>
      <c r="HU140" s="191"/>
      <c r="HV140" s="191"/>
      <c r="HW140" s="191">
        <v>50</v>
      </c>
      <c r="HX140" s="191"/>
      <c r="HY140" s="191"/>
      <c r="HZ140" s="193">
        <v>10</v>
      </c>
      <c r="IA140" s="194"/>
      <c r="IB140" s="191"/>
      <c r="IC140" s="191"/>
      <c r="ID140" s="191">
        <v>150</v>
      </c>
      <c r="IE140" s="191"/>
      <c r="IF140" s="191"/>
      <c r="IG140" s="191"/>
      <c r="IH140" s="191"/>
      <c r="II140" s="191"/>
      <c r="IJ140" s="191">
        <v>150</v>
      </c>
      <c r="IK140" s="191"/>
      <c r="IL140" s="191"/>
      <c r="IM140" s="191"/>
      <c r="IN140" s="191">
        <v>100</v>
      </c>
      <c r="IO140" s="191"/>
      <c r="IP140" s="191"/>
      <c r="IQ140" s="191"/>
      <c r="IR140" s="191"/>
      <c r="IS140" s="191"/>
      <c r="IT140" s="191"/>
      <c r="IU140" s="191">
        <v>200</v>
      </c>
      <c r="IV140" s="191"/>
      <c r="IW140" s="191"/>
      <c r="IX140" s="191">
        <v>50</v>
      </c>
      <c r="IY140" s="191"/>
      <c r="IZ140" s="191"/>
      <c r="JA140" s="191"/>
      <c r="JB140" s="191">
        <v>100</v>
      </c>
      <c r="JC140" s="191"/>
      <c r="JD140" s="191"/>
      <c r="JE140" s="192"/>
      <c r="JF140" s="190">
        <v>100</v>
      </c>
      <c r="JG140" s="191"/>
      <c r="JH140" s="191"/>
      <c r="JI140" s="191">
        <v>50</v>
      </c>
      <c r="JJ140" s="191"/>
      <c r="JK140" s="191"/>
      <c r="JL140" s="191"/>
      <c r="JM140" s="191">
        <v>100</v>
      </c>
      <c r="JN140" s="191"/>
      <c r="JO140" s="191"/>
      <c r="JP140" s="191">
        <v>50</v>
      </c>
      <c r="JQ140" s="191"/>
      <c r="JR140" s="191"/>
      <c r="JS140" s="191"/>
      <c r="JT140" s="191"/>
      <c r="JU140" s="191"/>
      <c r="JV140" s="191"/>
      <c r="JW140" s="191">
        <v>100</v>
      </c>
      <c r="JX140" s="191"/>
      <c r="JY140" s="191"/>
      <c r="JZ140" s="191"/>
      <c r="KA140" s="191">
        <v>50</v>
      </c>
      <c r="KB140" s="191"/>
      <c r="KC140" s="191"/>
      <c r="KD140" s="191">
        <v>50</v>
      </c>
      <c r="KE140" s="191"/>
      <c r="KF140" s="191"/>
      <c r="KG140" s="191"/>
      <c r="KH140" s="191">
        <v>50</v>
      </c>
      <c r="KI140" s="191"/>
      <c r="KJ140" s="193"/>
      <c r="KK140" s="194">
        <v>100</v>
      </c>
      <c r="KL140" s="191"/>
      <c r="KM140" s="191"/>
      <c r="KN140" s="191"/>
      <c r="KO140" s="191"/>
      <c r="KP140" s="191"/>
      <c r="KQ140" s="191"/>
      <c r="KR140" s="191">
        <v>100</v>
      </c>
      <c r="KS140" s="191"/>
      <c r="KT140" s="191"/>
      <c r="KU140" s="191"/>
      <c r="KV140" s="191">
        <v>100</v>
      </c>
      <c r="KW140" s="191"/>
      <c r="KX140" s="191"/>
      <c r="KY140" s="191">
        <v>50</v>
      </c>
      <c r="KZ140" s="191"/>
      <c r="LA140" s="191"/>
      <c r="LB140" s="191"/>
      <c r="LC140" s="191">
        <v>50</v>
      </c>
      <c r="LD140" s="191"/>
      <c r="LE140" s="191"/>
      <c r="LF140" s="191">
        <v>50</v>
      </c>
      <c r="LG140" s="191"/>
      <c r="LH140" s="191"/>
      <c r="LI140" s="191"/>
      <c r="LJ140" s="191">
        <v>50</v>
      </c>
      <c r="LK140" s="191"/>
      <c r="LL140" s="191"/>
      <c r="LM140" s="191">
        <v>50</v>
      </c>
      <c r="LN140" s="192"/>
      <c r="LO140" s="190"/>
      <c r="LP140" s="191"/>
      <c r="LQ140" s="191"/>
      <c r="LR140" s="191"/>
      <c r="LS140" s="191"/>
      <c r="LT140" s="191">
        <v>150</v>
      </c>
      <c r="LU140" s="191"/>
      <c r="LV140" s="191"/>
      <c r="LW140" s="191"/>
      <c r="LX140" s="191">
        <v>50</v>
      </c>
      <c r="LY140" s="191"/>
      <c r="LZ140" s="191"/>
      <c r="MA140" s="191">
        <v>10</v>
      </c>
      <c r="MB140" s="191"/>
      <c r="MC140" s="191"/>
      <c r="MD140" s="191"/>
      <c r="ME140" s="191">
        <v>10</v>
      </c>
      <c r="MF140" s="191"/>
      <c r="MG140" s="191"/>
      <c r="MH140" s="191">
        <v>50</v>
      </c>
      <c r="MI140" s="191"/>
      <c r="MJ140" s="191"/>
      <c r="MK140" s="191"/>
      <c r="ML140" s="191">
        <v>50</v>
      </c>
      <c r="MM140" s="191"/>
      <c r="MN140" s="191"/>
      <c r="MO140" s="191">
        <v>10</v>
      </c>
      <c r="MP140" s="191"/>
      <c r="MQ140" s="191"/>
      <c r="MR140" s="191"/>
      <c r="MS140" s="193">
        <v>100</v>
      </c>
      <c r="MT140" s="194"/>
      <c r="MU140" s="191"/>
      <c r="MV140" s="191">
        <v>200</v>
      </c>
      <c r="MW140" s="191"/>
      <c r="MX140" s="191"/>
      <c r="MY140" s="191"/>
      <c r="MZ140" s="191">
        <v>100</v>
      </c>
      <c r="NA140" s="191"/>
      <c r="NB140" s="191"/>
      <c r="NC140" s="191">
        <v>50</v>
      </c>
      <c r="ND140" s="191"/>
      <c r="NE140" s="191"/>
      <c r="NF140" s="191"/>
      <c r="NG140" s="191">
        <v>10</v>
      </c>
      <c r="NH140" s="191"/>
      <c r="NI140" s="191"/>
      <c r="NJ140" s="191">
        <v>10</v>
      </c>
      <c r="NK140" s="191"/>
      <c r="NL140" s="191"/>
      <c r="NM140" s="191"/>
      <c r="NN140" s="191">
        <v>50</v>
      </c>
      <c r="NO140" s="191"/>
      <c r="NP140" s="191"/>
      <c r="NQ140" s="191">
        <v>10</v>
      </c>
      <c r="NR140" s="191"/>
      <c r="NS140" s="191"/>
      <c r="NT140" s="191"/>
      <c r="NU140" s="191">
        <v>10</v>
      </c>
      <c r="NV140" s="191"/>
      <c r="NW140" s="192"/>
      <c r="NX140" s="190">
        <v>50</v>
      </c>
      <c r="NY140" s="191"/>
      <c r="NZ140" s="191"/>
      <c r="OA140" s="191"/>
      <c r="OB140" s="191">
        <v>10</v>
      </c>
      <c r="OC140" s="191"/>
      <c r="OD140" s="191"/>
      <c r="OE140" s="191">
        <v>50</v>
      </c>
      <c r="OF140" s="191"/>
      <c r="OG140" s="191"/>
      <c r="OH140" s="191"/>
      <c r="OI140" s="191">
        <v>50</v>
      </c>
      <c r="OJ140" s="191"/>
      <c r="OK140" s="191"/>
      <c r="OL140" s="191">
        <v>50</v>
      </c>
      <c r="OM140" s="191"/>
      <c r="ON140" s="191"/>
      <c r="OO140" s="191"/>
      <c r="OP140" s="191"/>
      <c r="OQ140" s="191"/>
      <c r="OR140" s="191"/>
      <c r="OS140" s="191"/>
      <c r="OT140" s="191"/>
      <c r="OU140" s="191"/>
      <c r="OV140" s="191"/>
      <c r="OW140" s="191"/>
      <c r="OX140" s="191"/>
      <c r="OY140" s="191"/>
      <c r="OZ140" s="191"/>
      <c r="PA140" s="191"/>
      <c r="PB140" s="193"/>
      <c r="PC140" s="47"/>
      <c r="PD140" s="154" t="s">
        <v>97</v>
      </c>
      <c r="PE140" s="155" t="s">
        <v>98</v>
      </c>
      <c r="PF140" s="155" t="s">
        <v>98</v>
      </c>
      <c r="PG140" s="155" t="s">
        <v>98</v>
      </c>
      <c r="PH140" s="155" t="s">
        <v>98</v>
      </c>
      <c r="PI140" s="155" t="s">
        <v>98</v>
      </c>
      <c r="PJ140" s="155" t="s">
        <v>98</v>
      </c>
      <c r="PK140" s="155" t="s">
        <v>98</v>
      </c>
      <c r="PL140" s="155" t="s">
        <v>98</v>
      </c>
      <c r="PM140" s="155" t="s">
        <v>98</v>
      </c>
      <c r="PN140" s="155" t="s">
        <v>98</v>
      </c>
      <c r="PO140" s="156"/>
      <c r="PP140" s="156"/>
      <c r="PQ140" s="156"/>
      <c r="PR140" s="156"/>
      <c r="PS140" s="156"/>
      <c r="PT140" s="156"/>
      <c r="PU140" s="156"/>
      <c r="PV140" s="156"/>
      <c r="PW140" s="156"/>
      <c r="PX140" s="195"/>
      <c r="PY140" s="1"/>
      <c r="PZ140" s="196">
        <f t="shared" si="126"/>
        <v>460</v>
      </c>
      <c r="QA140" s="176">
        <f t="shared" si="127"/>
        <v>3.8374906148327353E-3</v>
      </c>
      <c r="QB140" s="177" t="str">
        <f t="shared" ca="1" si="128"/>
        <v>Attente…</v>
      </c>
      <c r="QC140" s="197">
        <f t="shared" si="129"/>
        <v>450</v>
      </c>
      <c r="QD140" s="179">
        <f t="shared" si="130"/>
        <v>4.2134831460674156E-3</v>
      </c>
      <c r="QE140" s="180" t="str">
        <f t="shared" ca="1" si="131"/>
        <v>Attente…</v>
      </c>
      <c r="QF140" s="196">
        <f t="shared" si="132"/>
        <v>510</v>
      </c>
      <c r="QG140" s="176">
        <f t="shared" si="133"/>
        <v>4.0611562350692789E-3</v>
      </c>
      <c r="QH140" s="177" t="str">
        <f t="shared" ca="1" si="134"/>
        <v>Attente…</v>
      </c>
      <c r="QI140" s="197">
        <f t="shared" si="135"/>
        <v>600</v>
      </c>
      <c r="QJ140" s="179">
        <f t="shared" si="136"/>
        <v>4.2081638378454198E-3</v>
      </c>
      <c r="QK140" s="180" t="str">
        <f t="shared" ca="1" si="137"/>
        <v>Attente…</v>
      </c>
      <c r="QL140" s="196">
        <f t="shared" si="138"/>
        <v>430</v>
      </c>
      <c r="QM140" s="176">
        <f t="shared" si="139"/>
        <v>3.1460345332162717E-3</v>
      </c>
      <c r="QN140" s="177" t="str">
        <f t="shared" ca="1" si="140"/>
        <v>Attente…</v>
      </c>
      <c r="QO140" s="197">
        <f t="shared" si="141"/>
        <v>520</v>
      </c>
      <c r="QP140" s="179">
        <f t="shared" si="142"/>
        <v>4.071087450090034E-3</v>
      </c>
      <c r="QQ140" s="180" t="str">
        <f t="shared" ca="1" si="143"/>
        <v>Attente…</v>
      </c>
      <c r="QR140" s="196">
        <f t="shared" si="144"/>
        <v>750</v>
      </c>
      <c r="QS140" s="176">
        <f t="shared" si="145"/>
        <v>5.3993736726539723E-3</v>
      </c>
      <c r="QT140" s="177" t="str">
        <f t="shared" ca="1" si="146"/>
        <v>Attente…</v>
      </c>
      <c r="QU140" s="197">
        <f t="shared" si="147"/>
        <v>550</v>
      </c>
      <c r="QV140" s="179">
        <f t="shared" si="148"/>
        <v>3.7920573634859351E-3</v>
      </c>
      <c r="QW140" s="180" t="str">
        <f t="shared" ca="1" si="149"/>
        <v>Attente…</v>
      </c>
      <c r="QX140" s="196">
        <f t="shared" si="150"/>
        <v>550</v>
      </c>
      <c r="QY140" s="176">
        <f t="shared" si="151"/>
        <v>4.0135438862780584E-3</v>
      </c>
      <c r="QZ140" s="177" t="str">
        <f t="shared" ca="1" si="152"/>
        <v>Attente…</v>
      </c>
      <c r="RA140" s="197">
        <f t="shared" si="153"/>
        <v>430</v>
      </c>
      <c r="RB140" s="179">
        <f t="shared" si="154"/>
        <v>3.3643689852124246E-3</v>
      </c>
      <c r="RC140" s="180" t="str">
        <f t="shared" ca="1" si="155"/>
        <v>Attente…</v>
      </c>
      <c r="RD140" s="196">
        <f t="shared" si="156"/>
        <v>440</v>
      </c>
      <c r="RE140" s="176">
        <f t="shared" si="157"/>
        <v>4.3842168194499799E-3</v>
      </c>
      <c r="RF140" s="177" t="str">
        <f t="shared" ca="1" si="158"/>
        <v>Attente…</v>
      </c>
      <c r="RG140" s="197">
        <f t="shared" si="159"/>
        <v>210</v>
      </c>
      <c r="RH140" s="179">
        <f t="shared" si="160"/>
        <v>3.8624241309545707E-3</v>
      </c>
      <c r="RI140" s="198" t="str">
        <f t="shared" ca="1" si="161"/>
        <v>Attente…</v>
      </c>
      <c r="RJ140" s="199">
        <f t="shared" si="162"/>
        <v>1420</v>
      </c>
      <c r="RK140" s="200" t="str">
        <f t="shared" ca="1" si="119"/>
        <v>Attente…</v>
      </c>
      <c r="RL140" s="199">
        <f t="shared" si="163"/>
        <v>1550</v>
      </c>
      <c r="RM140" s="200" t="str">
        <f t="shared" ca="1" si="164"/>
        <v>Atttente…</v>
      </c>
      <c r="RN140" s="199">
        <f t="shared" si="165"/>
        <v>1850</v>
      </c>
      <c r="RO140" s="200" t="str">
        <f t="shared" ca="1" si="120"/>
        <v>Attente…</v>
      </c>
      <c r="RP140" s="199">
        <f t="shared" si="166"/>
        <v>1080</v>
      </c>
      <c r="RQ140" s="200" t="str">
        <f t="shared" ca="1" si="121"/>
        <v>Attente…</v>
      </c>
      <c r="RR140" s="201">
        <f t="shared" si="167"/>
        <v>5900</v>
      </c>
      <c r="RS140" s="202" t="str">
        <f t="shared" ca="1" si="122"/>
        <v>Attente…</v>
      </c>
      <c r="RT140" s="103"/>
      <c r="RU140" s="203">
        <f t="shared" si="168"/>
        <v>0.34705882352941175</v>
      </c>
      <c r="RV140" s="204">
        <f t="shared" si="118"/>
        <v>1</v>
      </c>
      <c r="RW140" s="204">
        <f t="shared" si="118"/>
        <v>2</v>
      </c>
      <c r="RX140" s="204">
        <f t="shared" si="169"/>
        <v>85</v>
      </c>
      <c r="RY140" s="205" t="str">
        <f t="shared" si="170"/>
        <v>ROUEN - 41 Rue des Canadiens</v>
      </c>
      <c r="RZ140" s="189" t="str">
        <f>IF(OR(RZ139="",RZ139="  &lt;/Document&gt;
&lt;/kml&gt;"),"",
IF(B140="","  &lt;/Document&gt;
&lt;/kml&gt;",
IF(TournéesCAV!Q134=""," ",
"    &lt;Placemark&gt;
      &lt;description&gt;&lt;![CDATA["&amp;B140&amp;"&lt;br&gt;&lt;br&gt;"&amp;RV140&amp;" CAV&lt;br&gt;&lt;br&gt;Présent sur "&amp;RW140&amp;" tournée(s)&lt;br&gt;&lt;br&gt;Taux de remplissage moyen "&amp;TEXT(RU140*1000,"0 %")&amp;"]]&gt;&lt;/description&gt;
      &lt;Style&gt;
        &lt;IconStyle&gt;
          &lt;color&gt;ff"&amp;
          DEC2HEX(0,2)&amp;
          DEC2HEX(
            IF(RU140&lt;=0.5,
               INT(255*(RU140*2)),
               255
            ),2)&amp;
          DEC2HEX(
            IF(RU140&lt;=0.5,
               255,
               INT(255*(1-(RU140-0.5)*2))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&lt;Point&gt;&lt;coordinates&gt;"&amp;R140&amp;","&amp;Q140&amp;",0&lt;/coordinates&gt;&lt;/Point&gt;
    &lt;/Placemark&gt;"
)))</f>
        <v xml:space="preserve">    &lt;Placemark&gt;
      &lt;description&gt;&lt;![CDATA[ROUEN - 41 Rue des Canadiens&lt;br&gt;&lt;br&gt;1 CAV&lt;br&gt;&lt;br&gt;Présent sur 2 tournée(s)&lt;br&gt;&lt;br&gt;Taux de remplissage moyen 35%]]&gt;&lt;/description&gt;
      &lt;Style&gt;
        &lt;IconStyle&gt;
          &lt;color&gt;ff00B1FF&lt;/color&gt;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&lt;Point&gt;&lt;coordinates&gt;1.118665,49.4524062,0&lt;/coordinates&gt;&lt;/Point&gt;
    &lt;/Placemark&gt;</v>
      </c>
    </row>
    <row r="141" spans="2:494" ht="15" customHeight="1" x14ac:dyDescent="0.35">
      <c r="B141" s="153" t="str">
        <f t="shared" si="123"/>
        <v>BIHOREL - 15 Rue Philibert Caux (En face de l'école Ste Victrice)</v>
      </c>
      <c r="C141" s="154">
        <v>61</v>
      </c>
      <c r="D141" s="155"/>
      <c r="E141" s="155"/>
      <c r="F141" s="155"/>
      <c r="G141" s="155"/>
      <c r="H141" s="155"/>
      <c r="I141" s="155"/>
      <c r="J141" s="156"/>
      <c r="K141" s="157">
        <f t="shared" si="124"/>
        <v>1</v>
      </c>
      <c r="L141" s="157">
        <f t="shared" si="125"/>
        <v>2</v>
      </c>
      <c r="M141" s="158" t="s">
        <v>794</v>
      </c>
      <c r="N141" s="159" t="s">
        <v>795</v>
      </c>
      <c r="O141" s="159">
        <v>76420</v>
      </c>
      <c r="P141" s="159" t="s">
        <v>209</v>
      </c>
      <c r="Q141" s="159" t="s">
        <v>796</v>
      </c>
      <c r="R141" s="159" t="s">
        <v>797</v>
      </c>
      <c r="S141" s="159" t="s">
        <v>93</v>
      </c>
      <c r="T141" s="159" t="s">
        <v>94</v>
      </c>
      <c r="U141" s="159" t="s">
        <v>798</v>
      </c>
      <c r="V141" s="160" t="s">
        <v>96</v>
      </c>
      <c r="W141" s="210">
        <v>8</v>
      </c>
      <c r="X141" s="162">
        <v>8</v>
      </c>
      <c r="Y141" s="162"/>
      <c r="Z141" s="162"/>
      <c r="AA141" s="162"/>
      <c r="AB141" s="162"/>
      <c r="AC141" s="162"/>
      <c r="AD141" s="162"/>
      <c r="AE141" s="162"/>
      <c r="AF141" s="162"/>
      <c r="AG141" s="162"/>
      <c r="AH141" s="162"/>
      <c r="AI141" s="162"/>
      <c r="AJ141" s="162"/>
      <c r="AK141" s="162"/>
      <c r="AL141" s="162"/>
      <c r="AM141" s="162"/>
      <c r="AN141" s="162"/>
      <c r="AO141" s="162"/>
      <c r="AP141" s="164"/>
      <c r="AQ141" s="164"/>
      <c r="AR141" s="164"/>
      <c r="AS141" s="164"/>
      <c r="AT141" s="164"/>
      <c r="AU141" s="164"/>
      <c r="AV141" s="164"/>
      <c r="AW141" s="164"/>
      <c r="AX141" s="164"/>
      <c r="AY141" s="165"/>
      <c r="AZ141" s="41"/>
      <c r="BA141" s="190"/>
      <c r="BB141" s="191"/>
      <c r="BC141" s="191">
        <v>200</v>
      </c>
      <c r="BD141" s="191"/>
      <c r="BE141" s="191"/>
      <c r="BF141" s="191"/>
      <c r="BG141" s="191"/>
      <c r="BH141" s="191"/>
      <c r="BI141" s="191"/>
      <c r="BJ141" s="191">
        <v>150</v>
      </c>
      <c r="BK141" s="191"/>
      <c r="BL141" s="191"/>
      <c r="BM141" s="191">
        <v>50</v>
      </c>
      <c r="BN141" s="191"/>
      <c r="BO141" s="191"/>
      <c r="BP141" s="191"/>
      <c r="BQ141" s="191">
        <v>50</v>
      </c>
      <c r="BR141" s="191"/>
      <c r="BS141" s="191"/>
      <c r="BT141" s="191"/>
      <c r="BU141" s="191"/>
      <c r="BV141" s="191"/>
      <c r="BW141" s="191"/>
      <c r="BX141" s="191">
        <v>150</v>
      </c>
      <c r="BY141" s="191"/>
      <c r="BZ141" s="191"/>
      <c r="CA141" s="191"/>
      <c r="CB141" s="191"/>
      <c r="CC141" s="191"/>
      <c r="CD141" s="191"/>
      <c r="CE141" s="192">
        <v>100</v>
      </c>
      <c r="CF141" s="190"/>
      <c r="CG141" s="191"/>
      <c r="CH141" s="191"/>
      <c r="CI141" s="191"/>
      <c r="CJ141" s="191"/>
      <c r="CK141" s="191"/>
      <c r="CL141" s="191">
        <v>100</v>
      </c>
      <c r="CM141" s="191"/>
      <c r="CN141" s="191"/>
      <c r="CO141" s="191">
        <v>100</v>
      </c>
      <c r="CP141" s="191"/>
      <c r="CQ141" s="191"/>
      <c r="CR141" s="191"/>
      <c r="CS141" s="191">
        <v>50</v>
      </c>
      <c r="CT141" s="191"/>
      <c r="CU141" s="191"/>
      <c r="CV141" s="191">
        <v>50</v>
      </c>
      <c r="CW141" s="191"/>
      <c r="CX141" s="191"/>
      <c r="CY141" s="191"/>
      <c r="CZ141" s="191">
        <v>10</v>
      </c>
      <c r="DA141" s="191"/>
      <c r="DB141" s="191"/>
      <c r="DC141" s="191">
        <v>100</v>
      </c>
      <c r="DD141" s="191"/>
      <c r="DE141" s="191"/>
      <c r="DF141" s="191"/>
      <c r="DG141" s="191">
        <v>100</v>
      </c>
      <c r="DH141" s="193"/>
      <c r="DI141" s="194"/>
      <c r="DJ141" s="191"/>
      <c r="DK141" s="191">
        <v>50</v>
      </c>
      <c r="DL141" s="191"/>
      <c r="DM141" s="191"/>
      <c r="DN141" s="191"/>
      <c r="DO141" s="191"/>
      <c r="DP141" s="191"/>
      <c r="DQ141" s="191"/>
      <c r="DR141" s="191">
        <v>100</v>
      </c>
      <c r="DS141" s="191"/>
      <c r="DT141" s="191"/>
      <c r="DU141" s="191"/>
      <c r="DV141" s="191">
        <v>50</v>
      </c>
      <c r="DW141" s="191"/>
      <c r="DX141" s="191"/>
      <c r="DY141" s="191">
        <v>100</v>
      </c>
      <c r="DZ141" s="191"/>
      <c r="EA141" s="191"/>
      <c r="EB141" s="191"/>
      <c r="EC141" s="191">
        <v>100</v>
      </c>
      <c r="ED141" s="191"/>
      <c r="EE141" s="191"/>
      <c r="EF141" s="191">
        <v>150</v>
      </c>
      <c r="EG141" s="191"/>
      <c r="EH141" s="191"/>
      <c r="EI141" s="191"/>
      <c r="EJ141" s="191">
        <v>50</v>
      </c>
      <c r="EK141" s="191"/>
      <c r="EL141" s="191"/>
      <c r="EM141" s="192">
        <v>10</v>
      </c>
      <c r="EN141" s="190"/>
      <c r="EO141" s="191"/>
      <c r="EP141" s="191"/>
      <c r="EQ141" s="191">
        <v>100</v>
      </c>
      <c r="ER141" s="191"/>
      <c r="ES141" s="191"/>
      <c r="ET141" s="191">
        <v>100</v>
      </c>
      <c r="EU141" s="191"/>
      <c r="EV141" s="191"/>
      <c r="EW141" s="191"/>
      <c r="EX141" s="191">
        <v>100</v>
      </c>
      <c r="EY141" s="191"/>
      <c r="EZ141" s="191"/>
      <c r="FA141" s="191">
        <v>50</v>
      </c>
      <c r="FB141" s="191"/>
      <c r="FC141" s="191"/>
      <c r="FD141" s="191"/>
      <c r="FE141" s="191">
        <v>50</v>
      </c>
      <c r="FF141" s="191"/>
      <c r="FG141" s="191"/>
      <c r="FH141" s="191"/>
      <c r="FI141" s="191"/>
      <c r="FJ141" s="191"/>
      <c r="FK141" s="191">
        <v>150</v>
      </c>
      <c r="FL141" s="191"/>
      <c r="FM141" s="191"/>
      <c r="FN141" s="191"/>
      <c r="FO141" s="191">
        <v>100</v>
      </c>
      <c r="FP141" s="191"/>
      <c r="FQ141" s="193"/>
      <c r="FR141" s="194"/>
      <c r="FS141" s="191"/>
      <c r="FT141" s="191"/>
      <c r="FU141" s="191"/>
      <c r="FV141" s="191">
        <v>100</v>
      </c>
      <c r="FW141" s="191"/>
      <c r="FX141" s="191"/>
      <c r="FY141" s="191"/>
      <c r="FZ141" s="191">
        <v>50</v>
      </c>
      <c r="GA141" s="191"/>
      <c r="GB141" s="191"/>
      <c r="GC141" s="191">
        <v>50</v>
      </c>
      <c r="GD141" s="191"/>
      <c r="GE141" s="191"/>
      <c r="GF141" s="191"/>
      <c r="GG141" s="191">
        <v>150</v>
      </c>
      <c r="GH141" s="191"/>
      <c r="GI141" s="191"/>
      <c r="GJ141" s="191">
        <v>150</v>
      </c>
      <c r="GK141" s="191"/>
      <c r="GL141" s="191"/>
      <c r="GM141" s="191"/>
      <c r="GN141" s="191">
        <v>100</v>
      </c>
      <c r="GO141" s="191"/>
      <c r="GP141" s="191"/>
      <c r="GQ141" s="191">
        <v>100</v>
      </c>
      <c r="GR141" s="191"/>
      <c r="GS141" s="191"/>
      <c r="GT141" s="191"/>
      <c r="GU141" s="191">
        <v>100</v>
      </c>
      <c r="GV141" s="192"/>
      <c r="GW141" s="190"/>
      <c r="GX141" s="191">
        <v>100</v>
      </c>
      <c r="GY141" s="191"/>
      <c r="GZ141" s="191"/>
      <c r="HA141" s="191"/>
      <c r="HB141" s="191">
        <v>50</v>
      </c>
      <c r="HC141" s="191"/>
      <c r="HD141" s="191"/>
      <c r="HE141" s="191"/>
      <c r="HF141" s="191"/>
      <c r="HG141" s="191"/>
      <c r="HH141" s="191"/>
      <c r="HI141" s="191">
        <v>100</v>
      </c>
      <c r="HJ141" s="191"/>
      <c r="HK141" s="191"/>
      <c r="HL141" s="191"/>
      <c r="HM141" s="191"/>
      <c r="HN141" s="191"/>
      <c r="HO141" s="191">
        <v>150</v>
      </c>
      <c r="HP141" s="191"/>
      <c r="HQ141" s="191"/>
      <c r="HR141" s="191"/>
      <c r="HS141" s="191">
        <v>50</v>
      </c>
      <c r="HT141" s="191"/>
      <c r="HU141" s="191"/>
      <c r="HV141" s="191"/>
      <c r="HW141" s="191">
        <v>100</v>
      </c>
      <c r="HX141" s="191"/>
      <c r="HY141" s="191"/>
      <c r="HZ141" s="193">
        <v>100</v>
      </c>
      <c r="IA141" s="194"/>
      <c r="IB141" s="191"/>
      <c r="IC141" s="191"/>
      <c r="ID141" s="191">
        <v>10</v>
      </c>
      <c r="IE141" s="191"/>
      <c r="IF141" s="191"/>
      <c r="IG141" s="191"/>
      <c r="IH141" s="191"/>
      <c r="II141" s="191"/>
      <c r="IJ141" s="191">
        <v>150</v>
      </c>
      <c r="IK141" s="191"/>
      <c r="IL141" s="191"/>
      <c r="IM141" s="191"/>
      <c r="IN141" s="191">
        <v>100</v>
      </c>
      <c r="IO141" s="191"/>
      <c r="IP141" s="191"/>
      <c r="IQ141" s="191"/>
      <c r="IR141" s="191"/>
      <c r="IS141" s="191"/>
      <c r="IT141" s="191"/>
      <c r="IU141" s="191">
        <v>150</v>
      </c>
      <c r="IV141" s="191"/>
      <c r="IW141" s="191"/>
      <c r="IX141" s="191">
        <v>50</v>
      </c>
      <c r="IY141" s="191"/>
      <c r="IZ141" s="191"/>
      <c r="JA141" s="191"/>
      <c r="JB141" s="191">
        <v>100</v>
      </c>
      <c r="JC141" s="191"/>
      <c r="JD141" s="191"/>
      <c r="JE141" s="192"/>
      <c r="JF141" s="190">
        <v>100</v>
      </c>
      <c r="JG141" s="191"/>
      <c r="JH141" s="191"/>
      <c r="JI141" s="191">
        <v>50</v>
      </c>
      <c r="JJ141" s="191"/>
      <c r="JK141" s="191"/>
      <c r="JL141" s="191"/>
      <c r="JM141" s="191">
        <v>100</v>
      </c>
      <c r="JN141" s="191"/>
      <c r="JO141" s="191"/>
      <c r="JP141" s="191">
        <v>100</v>
      </c>
      <c r="JQ141" s="191"/>
      <c r="JR141" s="191"/>
      <c r="JS141" s="191"/>
      <c r="JT141" s="191"/>
      <c r="JU141" s="191"/>
      <c r="JV141" s="191"/>
      <c r="JW141" s="191">
        <v>100</v>
      </c>
      <c r="JX141" s="191"/>
      <c r="JY141" s="191"/>
      <c r="JZ141" s="191"/>
      <c r="KA141" s="191">
        <v>50</v>
      </c>
      <c r="KB141" s="191"/>
      <c r="KC141" s="191"/>
      <c r="KD141" s="191">
        <v>100</v>
      </c>
      <c r="KE141" s="191"/>
      <c r="KF141" s="191"/>
      <c r="KG141" s="191"/>
      <c r="KH141" s="191">
        <v>100</v>
      </c>
      <c r="KI141" s="191"/>
      <c r="KJ141" s="193"/>
      <c r="KK141" s="194">
        <v>50</v>
      </c>
      <c r="KL141" s="191"/>
      <c r="KM141" s="191"/>
      <c r="KN141" s="191"/>
      <c r="KO141" s="191"/>
      <c r="KP141" s="191"/>
      <c r="KQ141" s="191"/>
      <c r="KR141" s="191">
        <v>100</v>
      </c>
      <c r="KS141" s="191"/>
      <c r="KT141" s="191"/>
      <c r="KU141" s="191"/>
      <c r="KV141" s="191">
        <v>50</v>
      </c>
      <c r="KW141" s="191"/>
      <c r="KX141" s="191"/>
      <c r="KY141" s="191">
        <v>100</v>
      </c>
      <c r="KZ141" s="191"/>
      <c r="LA141" s="191"/>
      <c r="LB141" s="191"/>
      <c r="LC141" s="191">
        <v>100</v>
      </c>
      <c r="LD141" s="191"/>
      <c r="LE141" s="191"/>
      <c r="LF141" s="191">
        <v>100</v>
      </c>
      <c r="LG141" s="191"/>
      <c r="LH141" s="191"/>
      <c r="LI141" s="191"/>
      <c r="LJ141" s="191">
        <v>50</v>
      </c>
      <c r="LK141" s="191"/>
      <c r="LL141" s="191"/>
      <c r="LM141" s="191">
        <v>50</v>
      </c>
      <c r="LN141" s="192"/>
      <c r="LO141" s="190"/>
      <c r="LP141" s="191"/>
      <c r="LQ141" s="191"/>
      <c r="LR141" s="191"/>
      <c r="LS141" s="191"/>
      <c r="LT141" s="191">
        <v>200</v>
      </c>
      <c r="LU141" s="191"/>
      <c r="LV141" s="191"/>
      <c r="LW141" s="191"/>
      <c r="LX141" s="191">
        <v>100</v>
      </c>
      <c r="LY141" s="191"/>
      <c r="LZ141" s="191"/>
      <c r="MA141" s="191">
        <v>50</v>
      </c>
      <c r="MB141" s="191"/>
      <c r="MC141" s="191"/>
      <c r="MD141" s="191"/>
      <c r="ME141" s="191">
        <v>50</v>
      </c>
      <c r="MF141" s="191"/>
      <c r="MG141" s="191"/>
      <c r="MH141" s="191">
        <v>100</v>
      </c>
      <c r="MI141" s="191"/>
      <c r="MJ141" s="191"/>
      <c r="MK141" s="191"/>
      <c r="ML141" s="191">
        <v>100</v>
      </c>
      <c r="MM141" s="191"/>
      <c r="MN141" s="191"/>
      <c r="MO141" s="191">
        <v>50</v>
      </c>
      <c r="MP141" s="191"/>
      <c r="MQ141" s="191"/>
      <c r="MR141" s="191"/>
      <c r="MS141" s="193">
        <v>150</v>
      </c>
      <c r="MT141" s="194"/>
      <c r="MU141" s="191"/>
      <c r="MV141" s="191">
        <v>50</v>
      </c>
      <c r="MW141" s="191"/>
      <c r="MX141" s="191"/>
      <c r="MY141" s="191"/>
      <c r="MZ141" s="191">
        <v>50</v>
      </c>
      <c r="NA141" s="191"/>
      <c r="NB141" s="191"/>
      <c r="NC141" s="191">
        <v>50</v>
      </c>
      <c r="ND141" s="191"/>
      <c r="NE141" s="191"/>
      <c r="NF141" s="191"/>
      <c r="NG141" s="191">
        <v>50</v>
      </c>
      <c r="NH141" s="191"/>
      <c r="NI141" s="191"/>
      <c r="NJ141" s="191">
        <v>50</v>
      </c>
      <c r="NK141" s="191"/>
      <c r="NL141" s="191"/>
      <c r="NM141" s="191"/>
      <c r="NN141" s="191">
        <v>50</v>
      </c>
      <c r="NO141" s="191"/>
      <c r="NP141" s="191"/>
      <c r="NQ141" s="191">
        <v>10</v>
      </c>
      <c r="NR141" s="191"/>
      <c r="NS141" s="191"/>
      <c r="NT141" s="191"/>
      <c r="NU141" s="191">
        <v>50</v>
      </c>
      <c r="NV141" s="191"/>
      <c r="NW141" s="192"/>
      <c r="NX141" s="190">
        <v>50</v>
      </c>
      <c r="NY141" s="191"/>
      <c r="NZ141" s="191"/>
      <c r="OA141" s="191"/>
      <c r="OB141" s="191">
        <v>50</v>
      </c>
      <c r="OC141" s="191"/>
      <c r="OD141" s="191"/>
      <c r="OE141" s="191">
        <v>50</v>
      </c>
      <c r="OF141" s="191"/>
      <c r="OG141" s="191"/>
      <c r="OH141" s="191"/>
      <c r="OI141" s="191">
        <v>50</v>
      </c>
      <c r="OJ141" s="191"/>
      <c r="OK141" s="191"/>
      <c r="OL141" s="191">
        <v>50</v>
      </c>
      <c r="OM141" s="191"/>
      <c r="ON141" s="191"/>
      <c r="OO141" s="191"/>
      <c r="OP141" s="191"/>
      <c r="OQ141" s="191"/>
      <c r="OR141" s="191"/>
      <c r="OS141" s="191"/>
      <c r="OT141" s="191"/>
      <c r="OU141" s="191"/>
      <c r="OV141" s="191"/>
      <c r="OW141" s="191"/>
      <c r="OX141" s="191"/>
      <c r="OY141" s="191"/>
      <c r="OZ141" s="191"/>
      <c r="PA141" s="191"/>
      <c r="PB141" s="193"/>
      <c r="PC141" s="47"/>
      <c r="PD141" s="154" t="s">
        <v>97</v>
      </c>
      <c r="PE141" s="155" t="s">
        <v>98</v>
      </c>
      <c r="PF141" s="155" t="s">
        <v>98</v>
      </c>
      <c r="PG141" s="155" t="s">
        <v>98</v>
      </c>
      <c r="PH141" s="155" t="s">
        <v>98</v>
      </c>
      <c r="PI141" s="155" t="s">
        <v>98</v>
      </c>
      <c r="PJ141" s="155" t="s">
        <v>98</v>
      </c>
      <c r="PK141" s="155" t="s">
        <v>98</v>
      </c>
      <c r="PL141" s="155" t="s">
        <v>98</v>
      </c>
      <c r="PM141" s="155" t="s">
        <v>98</v>
      </c>
      <c r="PN141" s="155" t="s">
        <v>98</v>
      </c>
      <c r="PO141" s="156"/>
      <c r="PP141" s="156"/>
      <c r="PQ141" s="156"/>
      <c r="PR141" s="156"/>
      <c r="PS141" s="156"/>
      <c r="PT141" s="156"/>
      <c r="PU141" s="156"/>
      <c r="PV141" s="156"/>
      <c r="PW141" s="156"/>
      <c r="PX141" s="195"/>
      <c r="PY141" s="1"/>
      <c r="PZ141" s="196">
        <f t="shared" si="126"/>
        <v>700</v>
      </c>
      <c r="QA141" s="176">
        <f t="shared" si="127"/>
        <v>5.8396596312672066E-3</v>
      </c>
      <c r="QB141" s="177" t="str">
        <f t="shared" ca="1" si="128"/>
        <v>Attente…</v>
      </c>
      <c r="QC141" s="197">
        <f t="shared" si="129"/>
        <v>510</v>
      </c>
      <c r="QD141" s="179">
        <f t="shared" si="130"/>
        <v>4.7752808988764045E-3</v>
      </c>
      <c r="QE141" s="180" t="str">
        <f t="shared" ca="1" si="131"/>
        <v>Attente…</v>
      </c>
      <c r="QF141" s="196">
        <f t="shared" si="132"/>
        <v>610</v>
      </c>
      <c r="QG141" s="176">
        <f t="shared" si="133"/>
        <v>4.85746137920051E-3</v>
      </c>
      <c r="QH141" s="177" t="str">
        <f t="shared" ca="1" si="134"/>
        <v>Attente…</v>
      </c>
      <c r="QI141" s="197">
        <f t="shared" si="135"/>
        <v>650</v>
      </c>
      <c r="QJ141" s="179">
        <f t="shared" si="136"/>
        <v>4.5588441576658719E-3</v>
      </c>
      <c r="QK141" s="180" t="str">
        <f t="shared" ca="1" si="137"/>
        <v>Attente…</v>
      </c>
      <c r="QL141" s="196">
        <f t="shared" si="138"/>
        <v>800</v>
      </c>
      <c r="QM141" s="176">
        <f t="shared" si="139"/>
        <v>5.8530875036581793E-3</v>
      </c>
      <c r="QN141" s="177" t="str">
        <f t="shared" ca="1" si="140"/>
        <v>Attente…</v>
      </c>
      <c r="QO141" s="197">
        <f t="shared" si="141"/>
        <v>650</v>
      </c>
      <c r="QP141" s="179">
        <f t="shared" si="142"/>
        <v>5.088859312612542E-3</v>
      </c>
      <c r="QQ141" s="180" t="str">
        <f t="shared" ca="1" si="143"/>
        <v>Attente…</v>
      </c>
      <c r="QR141" s="196">
        <f t="shared" si="144"/>
        <v>560</v>
      </c>
      <c r="QS141" s="176">
        <f t="shared" si="145"/>
        <v>4.0315323422482991E-3</v>
      </c>
      <c r="QT141" s="177" t="str">
        <f t="shared" ca="1" si="146"/>
        <v>Attente…</v>
      </c>
      <c r="QU141" s="197">
        <f t="shared" si="147"/>
        <v>700</v>
      </c>
      <c r="QV141" s="179">
        <f t="shared" si="148"/>
        <v>4.8262548262548262E-3</v>
      </c>
      <c r="QW141" s="180" t="str">
        <f t="shared" ca="1" si="149"/>
        <v>Attente…</v>
      </c>
      <c r="QX141" s="196">
        <f t="shared" si="150"/>
        <v>600</v>
      </c>
      <c r="QY141" s="176">
        <f t="shared" si="151"/>
        <v>4.3784115123033365E-3</v>
      </c>
      <c r="QZ141" s="177" t="str">
        <f t="shared" ca="1" si="152"/>
        <v>Attente…</v>
      </c>
      <c r="RA141" s="197">
        <f t="shared" si="153"/>
        <v>800</v>
      </c>
      <c r="RB141" s="179">
        <f t="shared" si="154"/>
        <v>6.2592911352789297E-3</v>
      </c>
      <c r="RC141" s="180" t="str">
        <f t="shared" ca="1" si="155"/>
        <v>Attente…</v>
      </c>
      <c r="RD141" s="196">
        <f t="shared" si="156"/>
        <v>360</v>
      </c>
      <c r="RE141" s="176">
        <f t="shared" si="157"/>
        <v>3.5870864886408927E-3</v>
      </c>
      <c r="RF141" s="177" t="str">
        <f t="shared" ca="1" si="158"/>
        <v>Attente…</v>
      </c>
      <c r="RG141" s="197">
        <f t="shared" si="159"/>
        <v>250</v>
      </c>
      <c r="RH141" s="179">
        <f t="shared" si="160"/>
        <v>4.5981239654221077E-3</v>
      </c>
      <c r="RI141" s="198" t="str">
        <f t="shared" ca="1" si="161"/>
        <v>Attente…</v>
      </c>
      <c r="RJ141" s="199">
        <f t="shared" si="162"/>
        <v>1820</v>
      </c>
      <c r="RK141" s="200" t="str">
        <f t="shared" ca="1" si="119"/>
        <v>Attente…</v>
      </c>
      <c r="RL141" s="199">
        <f t="shared" si="163"/>
        <v>2100</v>
      </c>
      <c r="RM141" s="200" t="str">
        <f t="shared" ca="1" si="164"/>
        <v>Atttente…</v>
      </c>
      <c r="RN141" s="199">
        <f t="shared" si="165"/>
        <v>1860</v>
      </c>
      <c r="RO141" s="200" t="str">
        <f t="shared" ca="1" si="120"/>
        <v>Attente…</v>
      </c>
      <c r="RP141" s="199">
        <f t="shared" si="166"/>
        <v>1410</v>
      </c>
      <c r="RQ141" s="200" t="str">
        <f t="shared" ca="1" si="121"/>
        <v>Attente…</v>
      </c>
      <c r="RR141" s="201">
        <f t="shared" si="167"/>
        <v>7190</v>
      </c>
      <c r="RS141" s="202" t="str">
        <f t="shared" ca="1" si="122"/>
        <v>Attente…</v>
      </c>
      <c r="RT141" s="103"/>
      <c r="RU141" s="203">
        <f t="shared" si="168"/>
        <v>0.4180232558139535</v>
      </c>
      <c r="RV141" s="204">
        <f t="shared" si="118"/>
        <v>1</v>
      </c>
      <c r="RW141" s="204">
        <f t="shared" si="118"/>
        <v>2</v>
      </c>
      <c r="RX141" s="204">
        <f t="shared" si="169"/>
        <v>86</v>
      </c>
      <c r="RY141" s="205" t="str">
        <f t="shared" si="170"/>
        <v>BIHOREL - 15 Rue Philibert Caux (En face de l'école Ste Victrice)</v>
      </c>
      <c r="RZ141" s="189" t="str">
        <f>IF(OR(RZ140="",RZ140="  &lt;/Document&gt;
&lt;/kml&gt;"),"",
IF(B141="","  &lt;/Document&gt;
&lt;/kml&gt;",
IF(TournéesCAV!Q140=""," ",
"    &lt;Placemark&gt;
      &lt;description&gt;&lt;![CDATA["&amp;B141&amp;"&lt;br&gt;&lt;br&gt;"&amp;RV141&amp;" CAV&lt;br&gt;&lt;br&gt;Présent sur "&amp;RW141&amp;" tournée(s)&lt;br&gt;&lt;br&gt;Taux de remplissage moyen "&amp;TEXT(RU141*1000,"0 %")&amp;"]]&gt;&lt;/description&gt;
      &lt;Style&gt;
        &lt;IconStyle&gt;
          &lt;color&gt;ff"&amp;
          DEC2HEX(0,2)&amp;
          DEC2HEX(
            IF(RU141&lt;=0.5,
               INT(255*(RU141*2)),
               255
            ),2)&amp;
          DEC2HEX(
            IF(RU141&lt;=0.5,
               255,
               INT(255*(1-(RU141-0.5)*2))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&lt;Point&gt;&lt;coordinates&gt;"&amp;R141&amp;","&amp;Q141&amp;",0&lt;/coordinates&gt;&lt;/Point&gt;
    &lt;/Placemark&gt;"
)))</f>
        <v xml:space="preserve">    &lt;Placemark&gt;
      &lt;description&gt;&lt;![CDATA[BIHOREL - 15 Rue Philibert Caux (En face de l'école Ste Victrice)&lt;br&gt;&lt;br&gt;1 CAV&lt;br&gt;&lt;br&gt;Présent sur 2 tournée(s)&lt;br&gt;&lt;br&gt;Taux de remplissage moyen 42%]]&gt;&lt;/description&gt;
      &lt;Style&gt;
        &lt;IconStyle&gt;
          &lt;color&gt;ff00D5FF&lt;/color&gt;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&lt;Point&gt;&lt;coordinates&gt;1.1144951,49.4591153,0&lt;/coordinates&gt;&lt;/Point&gt;
    &lt;/Placemark&gt;</v>
      </c>
    </row>
    <row r="142" spans="2:494" ht="15" customHeight="1" x14ac:dyDescent="0.35">
      <c r="B142" s="153" t="str">
        <f t="shared" si="123"/>
        <v>BIHOREL - 34 Rue de Verdun (Parking de la Piscine Transat)</v>
      </c>
      <c r="C142" s="154">
        <v>85</v>
      </c>
      <c r="D142" s="155"/>
      <c r="E142" s="155"/>
      <c r="F142" s="155"/>
      <c r="G142" s="155"/>
      <c r="H142" s="155"/>
      <c r="I142" s="155"/>
      <c r="J142" s="156"/>
      <c r="K142" s="157">
        <f t="shared" si="124"/>
        <v>1</v>
      </c>
      <c r="L142" s="157">
        <f t="shared" si="125"/>
        <v>2</v>
      </c>
      <c r="M142" s="158" t="s">
        <v>799</v>
      </c>
      <c r="N142" s="159" t="s">
        <v>800</v>
      </c>
      <c r="O142" s="159">
        <v>76420</v>
      </c>
      <c r="P142" s="159" t="s">
        <v>209</v>
      </c>
      <c r="Q142" s="159" t="s">
        <v>801</v>
      </c>
      <c r="R142" s="159" t="s">
        <v>802</v>
      </c>
      <c r="S142" s="159" t="s">
        <v>93</v>
      </c>
      <c r="T142" s="159" t="s">
        <v>94</v>
      </c>
      <c r="U142" s="159" t="s">
        <v>803</v>
      </c>
      <c r="V142" s="160" t="s">
        <v>96</v>
      </c>
      <c r="W142" s="210">
        <v>9</v>
      </c>
      <c r="X142" s="162">
        <v>9</v>
      </c>
      <c r="Y142" s="162"/>
      <c r="Z142" s="162"/>
      <c r="AA142" s="162"/>
      <c r="AB142" s="162"/>
      <c r="AC142" s="162"/>
      <c r="AD142" s="162"/>
      <c r="AE142" s="162"/>
      <c r="AF142" s="162"/>
      <c r="AG142" s="162"/>
      <c r="AH142" s="162"/>
      <c r="AI142" s="162"/>
      <c r="AJ142" s="162"/>
      <c r="AK142" s="162"/>
      <c r="AL142" s="162"/>
      <c r="AM142" s="162"/>
      <c r="AN142" s="162"/>
      <c r="AO142" s="162"/>
      <c r="AP142" s="164"/>
      <c r="AQ142" s="164"/>
      <c r="AR142" s="164"/>
      <c r="AS142" s="164"/>
      <c r="AT142" s="164"/>
      <c r="AU142" s="164"/>
      <c r="AV142" s="164"/>
      <c r="AW142" s="164"/>
      <c r="AX142" s="164"/>
      <c r="AY142" s="165"/>
      <c r="AZ142" s="41"/>
      <c r="BA142" s="190"/>
      <c r="BB142" s="191"/>
      <c r="BC142" s="191">
        <v>200</v>
      </c>
      <c r="BD142" s="191"/>
      <c r="BE142" s="191"/>
      <c r="BF142" s="191"/>
      <c r="BG142" s="191"/>
      <c r="BH142" s="191"/>
      <c r="BI142" s="191"/>
      <c r="BJ142" s="191">
        <v>100</v>
      </c>
      <c r="BK142" s="191"/>
      <c r="BL142" s="191"/>
      <c r="BM142" s="191">
        <v>50</v>
      </c>
      <c r="BN142" s="191"/>
      <c r="BO142" s="191"/>
      <c r="BP142" s="191"/>
      <c r="BQ142" s="191">
        <v>10</v>
      </c>
      <c r="BR142" s="191"/>
      <c r="BS142" s="191"/>
      <c r="BT142" s="191"/>
      <c r="BU142" s="191"/>
      <c r="BV142" s="191"/>
      <c r="BW142" s="191"/>
      <c r="BX142" s="191">
        <v>100</v>
      </c>
      <c r="BY142" s="191"/>
      <c r="BZ142" s="191"/>
      <c r="CA142" s="191"/>
      <c r="CB142" s="191"/>
      <c r="CC142" s="191"/>
      <c r="CD142" s="191"/>
      <c r="CE142" s="192">
        <v>50</v>
      </c>
      <c r="CF142" s="190"/>
      <c r="CG142" s="191"/>
      <c r="CH142" s="191"/>
      <c r="CI142" s="191"/>
      <c r="CJ142" s="191"/>
      <c r="CK142" s="191"/>
      <c r="CL142" s="191">
        <v>100</v>
      </c>
      <c r="CM142" s="191"/>
      <c r="CN142" s="191"/>
      <c r="CO142" s="191">
        <v>50</v>
      </c>
      <c r="CP142" s="191"/>
      <c r="CQ142" s="191"/>
      <c r="CR142" s="191"/>
      <c r="CS142" s="191">
        <v>10</v>
      </c>
      <c r="CT142" s="191"/>
      <c r="CU142" s="191"/>
      <c r="CV142" s="191">
        <v>10</v>
      </c>
      <c r="CW142" s="191"/>
      <c r="CX142" s="191"/>
      <c r="CY142" s="191"/>
      <c r="CZ142" s="191">
        <v>10</v>
      </c>
      <c r="DA142" s="191"/>
      <c r="DB142" s="191"/>
      <c r="DC142" s="191">
        <v>100</v>
      </c>
      <c r="DD142" s="191"/>
      <c r="DE142" s="191"/>
      <c r="DF142" s="191"/>
      <c r="DG142" s="191">
        <v>50</v>
      </c>
      <c r="DH142" s="193"/>
      <c r="DI142" s="194"/>
      <c r="DJ142" s="191"/>
      <c r="DK142" s="191">
        <v>50</v>
      </c>
      <c r="DL142" s="191"/>
      <c r="DM142" s="191"/>
      <c r="DN142" s="191"/>
      <c r="DO142" s="191"/>
      <c r="DP142" s="191"/>
      <c r="DQ142" s="191"/>
      <c r="DR142" s="191">
        <v>10</v>
      </c>
      <c r="DS142" s="191"/>
      <c r="DT142" s="191"/>
      <c r="DU142" s="191"/>
      <c r="DV142" s="191">
        <v>10</v>
      </c>
      <c r="DW142" s="191"/>
      <c r="DX142" s="191"/>
      <c r="DY142" s="191">
        <v>100</v>
      </c>
      <c r="DZ142" s="191"/>
      <c r="EA142" s="191"/>
      <c r="EB142" s="191"/>
      <c r="EC142" s="191">
        <v>50</v>
      </c>
      <c r="ED142" s="191"/>
      <c r="EE142" s="191"/>
      <c r="EF142" s="191">
        <v>10</v>
      </c>
      <c r="EG142" s="191"/>
      <c r="EH142" s="191"/>
      <c r="EI142" s="191"/>
      <c r="EJ142" s="191">
        <v>10</v>
      </c>
      <c r="EK142" s="191"/>
      <c r="EL142" s="191"/>
      <c r="EM142" s="192">
        <v>50</v>
      </c>
      <c r="EN142" s="190"/>
      <c r="EO142" s="191"/>
      <c r="EP142" s="191"/>
      <c r="EQ142" s="191">
        <v>10</v>
      </c>
      <c r="ER142" s="191"/>
      <c r="ES142" s="191"/>
      <c r="ET142" s="191">
        <v>10</v>
      </c>
      <c r="EU142" s="191"/>
      <c r="EV142" s="191"/>
      <c r="EW142" s="191"/>
      <c r="EX142" s="191">
        <v>10</v>
      </c>
      <c r="EY142" s="191"/>
      <c r="EZ142" s="191"/>
      <c r="FA142" s="191">
        <v>50</v>
      </c>
      <c r="FB142" s="191"/>
      <c r="FC142" s="191"/>
      <c r="FD142" s="191"/>
      <c r="FE142" s="191">
        <v>10</v>
      </c>
      <c r="FF142" s="191"/>
      <c r="FG142" s="191"/>
      <c r="FH142" s="191"/>
      <c r="FI142" s="191"/>
      <c r="FJ142" s="191"/>
      <c r="FK142" s="191">
        <v>150</v>
      </c>
      <c r="FL142" s="191"/>
      <c r="FM142" s="191"/>
      <c r="FN142" s="191"/>
      <c r="FO142" s="191">
        <v>10</v>
      </c>
      <c r="FP142" s="191"/>
      <c r="FQ142" s="193"/>
      <c r="FR142" s="194"/>
      <c r="FS142" s="191"/>
      <c r="FT142" s="191"/>
      <c r="FU142" s="191"/>
      <c r="FV142" s="191">
        <v>50</v>
      </c>
      <c r="FW142" s="191"/>
      <c r="FX142" s="191"/>
      <c r="FY142" s="191"/>
      <c r="FZ142" s="191">
        <v>50</v>
      </c>
      <c r="GA142" s="191"/>
      <c r="GB142" s="191"/>
      <c r="GC142" s="191">
        <v>10</v>
      </c>
      <c r="GD142" s="191"/>
      <c r="GE142" s="191"/>
      <c r="GF142" s="191"/>
      <c r="GG142" s="191">
        <v>150</v>
      </c>
      <c r="GH142" s="191"/>
      <c r="GI142" s="191"/>
      <c r="GJ142" s="191">
        <v>100</v>
      </c>
      <c r="GK142" s="191"/>
      <c r="GL142" s="191"/>
      <c r="GM142" s="191"/>
      <c r="GN142" s="191">
        <v>100</v>
      </c>
      <c r="GO142" s="191"/>
      <c r="GP142" s="191"/>
      <c r="GQ142" s="191">
        <v>50</v>
      </c>
      <c r="GR142" s="191"/>
      <c r="GS142" s="191"/>
      <c r="GT142" s="191"/>
      <c r="GU142" s="191">
        <v>100</v>
      </c>
      <c r="GV142" s="192"/>
      <c r="GW142" s="190"/>
      <c r="GX142" s="191">
        <v>100</v>
      </c>
      <c r="GY142" s="191"/>
      <c r="GZ142" s="191"/>
      <c r="HA142" s="191"/>
      <c r="HB142" s="191">
        <v>50</v>
      </c>
      <c r="HC142" s="191"/>
      <c r="HD142" s="191"/>
      <c r="HE142" s="191"/>
      <c r="HF142" s="191"/>
      <c r="HG142" s="191"/>
      <c r="HH142" s="191"/>
      <c r="HI142" s="191">
        <v>50</v>
      </c>
      <c r="HJ142" s="191"/>
      <c r="HK142" s="191"/>
      <c r="HL142" s="191"/>
      <c r="HM142" s="191"/>
      <c r="HN142" s="191"/>
      <c r="HO142" s="191">
        <v>100</v>
      </c>
      <c r="HP142" s="191"/>
      <c r="HQ142" s="191"/>
      <c r="HR142" s="191"/>
      <c r="HS142" s="191">
        <v>10</v>
      </c>
      <c r="HT142" s="191"/>
      <c r="HU142" s="191"/>
      <c r="HV142" s="191"/>
      <c r="HW142" s="191">
        <v>10</v>
      </c>
      <c r="HX142" s="191"/>
      <c r="HY142" s="191"/>
      <c r="HZ142" s="193">
        <v>100</v>
      </c>
      <c r="IA142" s="194"/>
      <c r="IB142" s="191"/>
      <c r="IC142" s="191"/>
      <c r="ID142" s="191">
        <v>100</v>
      </c>
      <c r="IE142" s="191"/>
      <c r="IF142" s="191"/>
      <c r="IG142" s="191"/>
      <c r="IH142" s="191"/>
      <c r="II142" s="191"/>
      <c r="IJ142" s="191">
        <v>100</v>
      </c>
      <c r="IK142" s="191"/>
      <c r="IL142" s="191"/>
      <c r="IM142" s="191"/>
      <c r="IN142" s="191">
        <v>100</v>
      </c>
      <c r="IO142" s="191"/>
      <c r="IP142" s="191"/>
      <c r="IQ142" s="191"/>
      <c r="IR142" s="191"/>
      <c r="IS142" s="191"/>
      <c r="IT142" s="191"/>
      <c r="IU142" s="191">
        <v>100</v>
      </c>
      <c r="IV142" s="191"/>
      <c r="IW142" s="191"/>
      <c r="IX142" s="191">
        <v>50</v>
      </c>
      <c r="IY142" s="191"/>
      <c r="IZ142" s="191"/>
      <c r="JA142" s="191"/>
      <c r="JB142" s="191">
        <v>50</v>
      </c>
      <c r="JC142" s="191"/>
      <c r="JD142" s="191"/>
      <c r="JE142" s="192"/>
      <c r="JF142" s="190">
        <v>10</v>
      </c>
      <c r="JG142" s="191"/>
      <c r="JH142" s="191"/>
      <c r="JI142" s="191">
        <v>10</v>
      </c>
      <c r="JJ142" s="191"/>
      <c r="JK142" s="191"/>
      <c r="JL142" s="191"/>
      <c r="JM142" s="191">
        <v>10</v>
      </c>
      <c r="JN142" s="191"/>
      <c r="JO142" s="191"/>
      <c r="JP142" s="191">
        <v>10</v>
      </c>
      <c r="JQ142" s="191"/>
      <c r="JR142" s="191"/>
      <c r="JS142" s="191"/>
      <c r="JT142" s="191"/>
      <c r="JU142" s="191"/>
      <c r="JV142" s="191"/>
      <c r="JW142" s="191">
        <v>10</v>
      </c>
      <c r="JX142" s="191"/>
      <c r="JY142" s="191"/>
      <c r="JZ142" s="191"/>
      <c r="KA142" s="191">
        <v>10</v>
      </c>
      <c r="KB142" s="191"/>
      <c r="KC142" s="191"/>
      <c r="KD142" s="191">
        <v>100</v>
      </c>
      <c r="KE142" s="191"/>
      <c r="KF142" s="191"/>
      <c r="KG142" s="191"/>
      <c r="KH142" s="191">
        <v>50</v>
      </c>
      <c r="KI142" s="191"/>
      <c r="KJ142" s="193"/>
      <c r="KK142" s="194">
        <v>10</v>
      </c>
      <c r="KL142" s="191"/>
      <c r="KM142" s="191"/>
      <c r="KN142" s="191"/>
      <c r="KO142" s="191"/>
      <c r="KP142" s="191"/>
      <c r="KQ142" s="191"/>
      <c r="KR142" s="191">
        <v>10</v>
      </c>
      <c r="KS142" s="191"/>
      <c r="KT142" s="191"/>
      <c r="KU142" s="191"/>
      <c r="KV142" s="191">
        <v>10</v>
      </c>
      <c r="KW142" s="191"/>
      <c r="KX142" s="191"/>
      <c r="KY142" s="191">
        <v>100</v>
      </c>
      <c r="KZ142" s="191"/>
      <c r="LA142" s="191"/>
      <c r="LB142" s="191"/>
      <c r="LC142" s="191">
        <v>50</v>
      </c>
      <c r="LD142" s="191"/>
      <c r="LE142" s="191"/>
      <c r="LF142" s="191">
        <v>10</v>
      </c>
      <c r="LG142" s="191"/>
      <c r="LH142" s="191"/>
      <c r="LI142" s="191"/>
      <c r="LJ142" s="191">
        <v>50</v>
      </c>
      <c r="LK142" s="191"/>
      <c r="LL142" s="191"/>
      <c r="LM142" s="191">
        <v>50</v>
      </c>
      <c r="LN142" s="192"/>
      <c r="LO142" s="190"/>
      <c r="LP142" s="191"/>
      <c r="LQ142" s="191"/>
      <c r="LR142" s="191"/>
      <c r="LS142" s="191"/>
      <c r="LT142" s="191">
        <v>50</v>
      </c>
      <c r="LU142" s="191"/>
      <c r="LV142" s="191"/>
      <c r="LW142" s="191"/>
      <c r="LX142" s="191">
        <v>50</v>
      </c>
      <c r="LY142" s="191"/>
      <c r="LZ142" s="191"/>
      <c r="MA142" s="191">
        <v>10</v>
      </c>
      <c r="MB142" s="191"/>
      <c r="MC142" s="191"/>
      <c r="MD142" s="191"/>
      <c r="ME142" s="191">
        <v>50</v>
      </c>
      <c r="MF142" s="191"/>
      <c r="MG142" s="191"/>
      <c r="MH142" s="191">
        <v>10</v>
      </c>
      <c r="MI142" s="191"/>
      <c r="MJ142" s="191"/>
      <c r="MK142" s="191"/>
      <c r="ML142" s="191">
        <v>10</v>
      </c>
      <c r="MM142" s="191"/>
      <c r="MN142" s="191"/>
      <c r="MO142" s="191">
        <v>10</v>
      </c>
      <c r="MP142" s="191"/>
      <c r="MQ142" s="191"/>
      <c r="MR142" s="191"/>
      <c r="MS142" s="193">
        <v>10</v>
      </c>
      <c r="MT142" s="194"/>
      <c r="MU142" s="191"/>
      <c r="MV142" s="191">
        <v>10</v>
      </c>
      <c r="MW142" s="191"/>
      <c r="MX142" s="191"/>
      <c r="MY142" s="191"/>
      <c r="MZ142" s="191">
        <v>50</v>
      </c>
      <c r="NA142" s="191"/>
      <c r="NB142" s="191"/>
      <c r="NC142" s="191">
        <v>10</v>
      </c>
      <c r="ND142" s="191"/>
      <c r="NE142" s="191"/>
      <c r="NF142" s="191"/>
      <c r="NG142" s="191">
        <v>50</v>
      </c>
      <c r="NH142" s="191"/>
      <c r="NI142" s="191"/>
      <c r="NJ142" s="191">
        <v>50</v>
      </c>
      <c r="NK142" s="191"/>
      <c r="NL142" s="191"/>
      <c r="NM142" s="191"/>
      <c r="NN142" s="191">
        <v>50</v>
      </c>
      <c r="NO142" s="191"/>
      <c r="NP142" s="191"/>
      <c r="NQ142" s="191">
        <v>10</v>
      </c>
      <c r="NR142" s="191"/>
      <c r="NS142" s="191"/>
      <c r="NT142" s="191"/>
      <c r="NU142" s="191">
        <v>50</v>
      </c>
      <c r="NV142" s="191"/>
      <c r="NW142" s="192"/>
      <c r="NX142" s="190">
        <v>10</v>
      </c>
      <c r="NY142" s="191"/>
      <c r="NZ142" s="191"/>
      <c r="OA142" s="191"/>
      <c r="OB142" s="191">
        <v>50</v>
      </c>
      <c r="OC142" s="191"/>
      <c r="OD142" s="191"/>
      <c r="OE142" s="191">
        <v>100</v>
      </c>
      <c r="OF142" s="191"/>
      <c r="OG142" s="191"/>
      <c r="OH142" s="191"/>
      <c r="OI142" s="191">
        <v>10</v>
      </c>
      <c r="OJ142" s="191"/>
      <c r="OK142" s="191"/>
      <c r="OL142" s="191"/>
      <c r="OM142" s="191"/>
      <c r="ON142" s="191"/>
      <c r="OO142" s="191"/>
      <c r="OP142" s="191"/>
      <c r="OQ142" s="191"/>
      <c r="OR142" s="191"/>
      <c r="OS142" s="191"/>
      <c r="OT142" s="191"/>
      <c r="OU142" s="191"/>
      <c r="OV142" s="191"/>
      <c r="OW142" s="191"/>
      <c r="OX142" s="191"/>
      <c r="OY142" s="191"/>
      <c r="OZ142" s="191"/>
      <c r="PA142" s="191"/>
      <c r="PB142" s="193"/>
      <c r="PC142" s="47"/>
      <c r="PD142" s="154" t="s">
        <v>97</v>
      </c>
      <c r="PE142" s="155" t="s">
        <v>98</v>
      </c>
      <c r="PF142" s="155" t="s">
        <v>98</v>
      </c>
      <c r="PG142" s="155" t="s">
        <v>98</v>
      </c>
      <c r="PH142" s="155" t="s">
        <v>98</v>
      </c>
      <c r="PI142" s="155" t="s">
        <v>98</v>
      </c>
      <c r="PJ142" s="155" t="s">
        <v>98</v>
      </c>
      <c r="PK142" s="155" t="s">
        <v>98</v>
      </c>
      <c r="PL142" s="155" t="s">
        <v>98</v>
      </c>
      <c r="PM142" s="155" t="s">
        <v>98</v>
      </c>
      <c r="PN142" s="155" t="s">
        <v>98</v>
      </c>
      <c r="PO142" s="156"/>
      <c r="PP142" s="156"/>
      <c r="PQ142" s="156"/>
      <c r="PR142" s="156"/>
      <c r="PS142" s="156"/>
      <c r="PT142" s="156"/>
      <c r="PU142" s="156"/>
      <c r="PV142" s="156"/>
      <c r="PW142" s="156"/>
      <c r="PX142" s="195"/>
      <c r="PY142" s="1"/>
      <c r="PZ142" s="196">
        <f t="shared" si="126"/>
        <v>510</v>
      </c>
      <c r="QA142" s="176">
        <f t="shared" si="127"/>
        <v>4.2546091599232503E-3</v>
      </c>
      <c r="QB142" s="177" t="str">
        <f t="shared" ca="1" si="128"/>
        <v>Attente…</v>
      </c>
      <c r="QC142" s="197">
        <f t="shared" si="129"/>
        <v>330</v>
      </c>
      <c r="QD142" s="179">
        <f t="shared" si="130"/>
        <v>3.0898876404494382E-3</v>
      </c>
      <c r="QE142" s="180" t="str">
        <f t="shared" ca="1" si="131"/>
        <v>Attente…</v>
      </c>
      <c r="QF142" s="196">
        <f t="shared" si="132"/>
        <v>290</v>
      </c>
      <c r="QG142" s="176">
        <f t="shared" si="133"/>
        <v>2.30928491798057E-3</v>
      </c>
      <c r="QH142" s="177" t="str">
        <f t="shared" ca="1" si="134"/>
        <v>Attente…</v>
      </c>
      <c r="QI142" s="197">
        <f t="shared" si="135"/>
        <v>250</v>
      </c>
      <c r="QJ142" s="179">
        <f t="shared" si="136"/>
        <v>1.7534015991022584E-3</v>
      </c>
      <c r="QK142" s="180" t="str">
        <f t="shared" ca="1" si="137"/>
        <v>Attente…</v>
      </c>
      <c r="QL142" s="196">
        <f t="shared" si="138"/>
        <v>610</v>
      </c>
      <c r="QM142" s="176">
        <f t="shared" si="139"/>
        <v>4.4629792215393621E-3</v>
      </c>
      <c r="QN142" s="177" t="str">
        <f t="shared" ca="1" si="140"/>
        <v>Attente…</v>
      </c>
      <c r="QO142" s="197">
        <f t="shared" si="141"/>
        <v>420</v>
      </c>
      <c r="QP142" s="179">
        <f t="shared" si="142"/>
        <v>3.288186017380412E-3</v>
      </c>
      <c r="QQ142" s="180" t="str">
        <f t="shared" ca="1" si="143"/>
        <v>Attente…</v>
      </c>
      <c r="QR142" s="196">
        <f t="shared" si="144"/>
        <v>500</v>
      </c>
      <c r="QS142" s="176">
        <f t="shared" si="145"/>
        <v>3.5995824484359815E-3</v>
      </c>
      <c r="QT142" s="177" t="str">
        <f t="shared" ca="1" si="146"/>
        <v>Attente…</v>
      </c>
      <c r="QU142" s="197">
        <f t="shared" si="147"/>
        <v>210</v>
      </c>
      <c r="QV142" s="179">
        <f t="shared" si="148"/>
        <v>1.4478764478764478E-3</v>
      </c>
      <c r="QW142" s="180" t="str">
        <f t="shared" ca="1" si="149"/>
        <v>Attente…</v>
      </c>
      <c r="QX142" s="196">
        <f t="shared" si="150"/>
        <v>290</v>
      </c>
      <c r="QY142" s="176">
        <f t="shared" si="151"/>
        <v>2.1162322309466125E-3</v>
      </c>
      <c r="QZ142" s="177" t="str">
        <f t="shared" ca="1" si="152"/>
        <v>Attente…</v>
      </c>
      <c r="RA142" s="197">
        <f t="shared" si="153"/>
        <v>200</v>
      </c>
      <c r="RB142" s="179">
        <f t="shared" si="154"/>
        <v>1.5648227838197324E-3</v>
      </c>
      <c r="RC142" s="180" t="str">
        <f t="shared" ca="1" si="155"/>
        <v>Attente…</v>
      </c>
      <c r="RD142" s="196">
        <f t="shared" si="156"/>
        <v>280</v>
      </c>
      <c r="RE142" s="176">
        <f t="shared" si="157"/>
        <v>2.7899561578318055E-3</v>
      </c>
      <c r="RF142" s="177" t="str">
        <f t="shared" ca="1" si="158"/>
        <v>Attente…</v>
      </c>
      <c r="RG142" s="197">
        <f t="shared" si="159"/>
        <v>170</v>
      </c>
      <c r="RH142" s="179">
        <f t="shared" si="160"/>
        <v>3.1267242964870333E-3</v>
      </c>
      <c r="RI142" s="198" t="str">
        <f t="shared" ca="1" si="161"/>
        <v>Attente…</v>
      </c>
      <c r="RJ142" s="199">
        <f t="shared" si="162"/>
        <v>1130</v>
      </c>
      <c r="RK142" s="200" t="str">
        <f t="shared" ca="1" si="119"/>
        <v>Attente…</v>
      </c>
      <c r="RL142" s="199">
        <f t="shared" si="163"/>
        <v>1280</v>
      </c>
      <c r="RM142" s="200" t="str">
        <f t="shared" ca="1" si="164"/>
        <v>Atttente…</v>
      </c>
      <c r="RN142" s="199">
        <f t="shared" si="165"/>
        <v>1000</v>
      </c>
      <c r="RO142" s="200" t="str">
        <f t="shared" ca="1" si="120"/>
        <v>Attente…</v>
      </c>
      <c r="RP142" s="199">
        <f t="shared" si="166"/>
        <v>650</v>
      </c>
      <c r="RQ142" s="200" t="str">
        <f t="shared" ca="1" si="121"/>
        <v>Attente…</v>
      </c>
      <c r="RR142" s="201">
        <f t="shared" si="167"/>
        <v>4060</v>
      </c>
      <c r="RS142" s="202" t="str">
        <f t="shared" ca="1" si="122"/>
        <v>Attente…</v>
      </c>
      <c r="RT142" s="103"/>
      <c r="RU142" s="203">
        <f t="shared" si="168"/>
        <v>0.23882352941176471</v>
      </c>
      <c r="RV142" s="204">
        <f t="shared" si="118"/>
        <v>1</v>
      </c>
      <c r="RW142" s="204">
        <f t="shared" si="118"/>
        <v>2</v>
      </c>
      <c r="RX142" s="204">
        <f t="shared" si="169"/>
        <v>85</v>
      </c>
      <c r="RY142" s="205" t="str">
        <f t="shared" si="170"/>
        <v>BIHOREL - 34 Rue de Verdun (Parking de la Piscine Transat)</v>
      </c>
      <c r="RZ142" s="189" t="str">
        <f>IF(OR(RZ141="",RZ141="  &lt;/Document&gt;
&lt;/kml&gt;"),"",
IF(B142="","  &lt;/Document&gt;
&lt;/kml&gt;",
IF(TournéesCAV!Q141=""," ",
"    &lt;Placemark&gt;
      &lt;description&gt;&lt;![CDATA["&amp;B142&amp;"&lt;br&gt;&lt;br&gt;"&amp;RV142&amp;" CAV&lt;br&gt;&lt;br&gt;Présent sur "&amp;RW142&amp;" tournée(s)&lt;br&gt;&lt;br&gt;Taux de remplissage moyen "&amp;TEXT(RU142*1000,"0 %")&amp;"]]&gt;&lt;/description&gt;
      &lt;Style&gt;
        &lt;IconStyle&gt;
          &lt;color&gt;ff"&amp;
          DEC2HEX(0,2)&amp;
          DEC2HEX(
            IF(RU142&lt;=0.5,
               INT(255*(RU142*2)),
               255
            ),2)&amp;
          DEC2HEX(
            IF(RU142&lt;=0.5,
               255,
               INT(255*(1-(RU142-0.5)*2))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&lt;Point&gt;&lt;coordinates&gt;"&amp;R142&amp;","&amp;Q142&amp;",0&lt;/coordinates&gt;&lt;/Point&gt;
    &lt;/Placemark&gt;"
)))</f>
        <v xml:space="preserve">    &lt;Placemark&gt;
      &lt;description&gt;&lt;![CDATA[BIHOREL - 34 Rue de Verdun (Parking de la Piscine Transat)&lt;br&gt;&lt;br&gt;1 CAV&lt;br&gt;&lt;br&gt;Présent sur 2 tournée(s)&lt;br&gt;&lt;br&gt;Taux de remplissage moyen 24%]]&gt;&lt;/description&gt;
      &lt;Style&gt;
        &lt;IconStyle&gt;
          &lt;color&gt;ff0079FF&lt;/color&gt;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&lt;Point&gt;&lt;coordinates&gt;1.1233008,49.459388,0&lt;/coordinates&gt;&lt;/Point&gt;
    &lt;/Placemark&gt;</v>
      </c>
    </row>
    <row r="143" spans="2:494" ht="15" hidden="1" customHeight="1" x14ac:dyDescent="0.35">
      <c r="B143" s="153" t="str">
        <f t="shared" si="123"/>
        <v>DARNÉTAL - 1 Rue de Préaux (Rond Point de la Girafe - Face à boulangerie)</v>
      </c>
      <c r="C143" s="154">
        <v>12</v>
      </c>
      <c r="D143" s="155"/>
      <c r="E143" s="155"/>
      <c r="F143" s="155"/>
      <c r="G143" s="155"/>
      <c r="H143" s="155"/>
      <c r="I143" s="155"/>
      <c r="J143" s="156"/>
      <c r="K143" s="157">
        <f t="shared" si="124"/>
        <v>1</v>
      </c>
      <c r="L143" s="157">
        <f t="shared" si="125"/>
        <v>2</v>
      </c>
      <c r="M143" s="158" t="s">
        <v>804</v>
      </c>
      <c r="N143" s="159" t="s">
        <v>805</v>
      </c>
      <c r="O143" s="159">
        <v>76160</v>
      </c>
      <c r="P143" s="159" t="s">
        <v>15</v>
      </c>
      <c r="Q143" s="159" t="s">
        <v>806</v>
      </c>
      <c r="R143" s="159" t="s">
        <v>807</v>
      </c>
      <c r="S143" s="159" t="s">
        <v>93</v>
      </c>
      <c r="T143" s="159" t="s">
        <v>94</v>
      </c>
      <c r="U143" s="159" t="s">
        <v>808</v>
      </c>
      <c r="V143" s="160" t="s">
        <v>96</v>
      </c>
      <c r="W143" s="161"/>
      <c r="X143" s="162"/>
      <c r="Y143" s="163"/>
      <c r="Z143" s="162"/>
      <c r="AA143" s="163"/>
      <c r="AB143" s="162"/>
      <c r="AC143" s="163"/>
      <c r="AD143" s="162">
        <v>15</v>
      </c>
      <c r="AE143" s="163">
        <v>15</v>
      </c>
      <c r="AF143" s="162"/>
      <c r="AG143" s="163"/>
      <c r="AH143" s="163"/>
      <c r="AI143" s="162"/>
      <c r="AJ143" s="163"/>
      <c r="AK143" s="162"/>
      <c r="AL143" s="163"/>
      <c r="AM143" s="162"/>
      <c r="AN143" s="163"/>
      <c r="AO143" s="162"/>
      <c r="AP143" s="164"/>
      <c r="AQ143" s="164"/>
      <c r="AR143" s="164"/>
      <c r="AS143" s="164"/>
      <c r="AT143" s="164"/>
      <c r="AU143" s="164"/>
      <c r="AV143" s="164"/>
      <c r="AW143" s="164"/>
      <c r="AX143" s="164"/>
      <c r="AY143" s="165"/>
      <c r="AZ143" s="41"/>
      <c r="BA143" s="190"/>
      <c r="BB143" s="191"/>
      <c r="BC143" s="191">
        <v>200</v>
      </c>
      <c r="BD143" s="191"/>
      <c r="BE143" s="191"/>
      <c r="BF143" s="191">
        <v>200</v>
      </c>
      <c r="BG143" s="191"/>
      <c r="BH143" s="191"/>
      <c r="BI143" s="191"/>
      <c r="BJ143" s="191">
        <v>50</v>
      </c>
      <c r="BK143" s="191"/>
      <c r="BL143" s="191"/>
      <c r="BM143" s="191">
        <v>50</v>
      </c>
      <c r="BN143" s="191"/>
      <c r="BO143" s="191"/>
      <c r="BP143" s="191"/>
      <c r="BQ143" s="191"/>
      <c r="BR143" s="191"/>
      <c r="BS143" s="191"/>
      <c r="BT143" s="191">
        <v>10</v>
      </c>
      <c r="BU143" s="191"/>
      <c r="BV143" s="191"/>
      <c r="BW143" s="191"/>
      <c r="BX143" s="191">
        <v>150</v>
      </c>
      <c r="BY143" s="191"/>
      <c r="BZ143" s="191"/>
      <c r="CA143" s="191">
        <v>50</v>
      </c>
      <c r="CB143" s="191"/>
      <c r="CC143" s="191"/>
      <c r="CD143" s="191"/>
      <c r="CE143" s="192">
        <v>50</v>
      </c>
      <c r="CF143" s="190"/>
      <c r="CG143" s="191"/>
      <c r="CH143" s="191"/>
      <c r="CI143" s="191"/>
      <c r="CJ143" s="191"/>
      <c r="CK143" s="191"/>
      <c r="CL143" s="191">
        <v>150</v>
      </c>
      <c r="CM143" s="191"/>
      <c r="CN143" s="191"/>
      <c r="CO143" s="191">
        <v>50</v>
      </c>
      <c r="CP143" s="191"/>
      <c r="CQ143" s="191"/>
      <c r="CR143" s="191"/>
      <c r="CS143" s="191">
        <v>150</v>
      </c>
      <c r="CT143" s="191"/>
      <c r="CU143" s="191"/>
      <c r="CV143" s="191">
        <v>50</v>
      </c>
      <c r="CW143" s="191"/>
      <c r="CX143" s="191"/>
      <c r="CY143" s="191"/>
      <c r="CZ143" s="191">
        <v>200</v>
      </c>
      <c r="DA143" s="191"/>
      <c r="DB143" s="191"/>
      <c r="DC143" s="191">
        <v>150</v>
      </c>
      <c r="DD143" s="191"/>
      <c r="DE143" s="191"/>
      <c r="DF143" s="191"/>
      <c r="DG143" s="191"/>
      <c r="DH143" s="193"/>
      <c r="DI143" s="194"/>
      <c r="DJ143" s="191"/>
      <c r="DK143" s="191">
        <v>100</v>
      </c>
      <c r="DL143" s="191"/>
      <c r="DM143" s="191"/>
      <c r="DN143" s="191"/>
      <c r="DO143" s="191">
        <v>150</v>
      </c>
      <c r="DP143" s="191"/>
      <c r="DQ143" s="191"/>
      <c r="DR143" s="191">
        <v>50</v>
      </c>
      <c r="DS143" s="191"/>
      <c r="DT143" s="191"/>
      <c r="DU143" s="191"/>
      <c r="DV143" s="191">
        <v>50</v>
      </c>
      <c r="DW143" s="191"/>
      <c r="DX143" s="191"/>
      <c r="DY143" s="191">
        <v>200</v>
      </c>
      <c r="DZ143" s="191"/>
      <c r="EA143" s="191"/>
      <c r="EB143" s="191"/>
      <c r="EC143" s="191">
        <v>50</v>
      </c>
      <c r="ED143" s="191"/>
      <c r="EE143" s="191"/>
      <c r="EF143" s="191">
        <v>100</v>
      </c>
      <c r="EG143" s="191"/>
      <c r="EH143" s="191"/>
      <c r="EI143" s="191"/>
      <c r="EJ143" s="191">
        <v>100</v>
      </c>
      <c r="EK143" s="191"/>
      <c r="EL143" s="191"/>
      <c r="EM143" s="192">
        <v>50</v>
      </c>
      <c r="EN143" s="190"/>
      <c r="EO143" s="191"/>
      <c r="EP143" s="191"/>
      <c r="EQ143" s="191">
        <v>50</v>
      </c>
      <c r="ER143" s="191"/>
      <c r="ES143" s="191"/>
      <c r="ET143" s="191">
        <v>200</v>
      </c>
      <c r="EU143" s="191"/>
      <c r="EV143" s="191"/>
      <c r="EW143" s="191"/>
      <c r="EX143" s="191">
        <v>100</v>
      </c>
      <c r="EY143" s="191"/>
      <c r="EZ143" s="191"/>
      <c r="FA143" s="191">
        <v>50</v>
      </c>
      <c r="FB143" s="191"/>
      <c r="FC143" s="191"/>
      <c r="FD143" s="191"/>
      <c r="FE143" s="191">
        <v>150</v>
      </c>
      <c r="FF143" s="191"/>
      <c r="FG143" s="191"/>
      <c r="FH143" s="191"/>
      <c r="FI143" s="191">
        <v>100</v>
      </c>
      <c r="FJ143" s="191"/>
      <c r="FK143" s="191"/>
      <c r="FL143" s="191">
        <v>50</v>
      </c>
      <c r="FM143" s="191"/>
      <c r="FN143" s="191"/>
      <c r="FO143" s="191">
        <v>100</v>
      </c>
      <c r="FP143" s="191"/>
      <c r="FQ143" s="193"/>
      <c r="FR143" s="194"/>
      <c r="FS143" s="191">
        <v>10</v>
      </c>
      <c r="FT143" s="191"/>
      <c r="FU143" s="191"/>
      <c r="FV143" s="191">
        <v>50</v>
      </c>
      <c r="FW143" s="191"/>
      <c r="FX143" s="191"/>
      <c r="FY143" s="191"/>
      <c r="FZ143" s="191">
        <v>150</v>
      </c>
      <c r="GA143" s="191"/>
      <c r="GB143" s="191"/>
      <c r="GC143" s="191">
        <v>150</v>
      </c>
      <c r="GD143" s="191"/>
      <c r="GE143" s="191"/>
      <c r="GF143" s="191"/>
      <c r="GG143" s="191">
        <v>100</v>
      </c>
      <c r="GH143" s="191"/>
      <c r="GI143" s="191"/>
      <c r="GJ143" s="191">
        <v>150</v>
      </c>
      <c r="GK143" s="191"/>
      <c r="GL143" s="191"/>
      <c r="GM143" s="191"/>
      <c r="GN143" s="191">
        <v>50</v>
      </c>
      <c r="GO143" s="191"/>
      <c r="GP143" s="191"/>
      <c r="GQ143" s="191">
        <v>50</v>
      </c>
      <c r="GR143" s="191"/>
      <c r="GS143" s="191"/>
      <c r="GT143" s="191"/>
      <c r="GU143" s="191">
        <v>100</v>
      </c>
      <c r="GV143" s="192"/>
      <c r="GW143" s="190"/>
      <c r="GX143" s="191">
        <v>100</v>
      </c>
      <c r="GY143" s="191"/>
      <c r="GZ143" s="191"/>
      <c r="HA143" s="191"/>
      <c r="HB143" s="191">
        <v>10</v>
      </c>
      <c r="HC143" s="191"/>
      <c r="HD143" s="191"/>
      <c r="HE143" s="191"/>
      <c r="HF143" s="191">
        <v>10</v>
      </c>
      <c r="HG143" s="191"/>
      <c r="HH143" s="191"/>
      <c r="HI143" s="191">
        <v>50</v>
      </c>
      <c r="HJ143" s="191"/>
      <c r="HK143" s="191"/>
      <c r="HL143" s="191">
        <v>100</v>
      </c>
      <c r="HM143" s="191"/>
      <c r="HN143" s="191"/>
      <c r="HO143" s="191"/>
      <c r="HP143" s="191">
        <v>50</v>
      </c>
      <c r="HQ143" s="191"/>
      <c r="HR143" s="191"/>
      <c r="HS143" s="191">
        <v>100</v>
      </c>
      <c r="HT143" s="191"/>
      <c r="HU143" s="191"/>
      <c r="HV143" s="191"/>
      <c r="HW143" s="191">
        <v>100</v>
      </c>
      <c r="HX143" s="191"/>
      <c r="HY143" s="191"/>
      <c r="HZ143" s="193">
        <v>100</v>
      </c>
      <c r="IA143" s="194"/>
      <c r="IB143" s="191"/>
      <c r="IC143" s="191"/>
      <c r="ID143" s="191">
        <v>100</v>
      </c>
      <c r="IE143" s="191"/>
      <c r="IF143" s="191"/>
      <c r="IG143" s="191">
        <v>100</v>
      </c>
      <c r="IH143" s="191"/>
      <c r="II143" s="191"/>
      <c r="IJ143" s="191"/>
      <c r="IK143" s="191">
        <v>100</v>
      </c>
      <c r="IL143" s="191"/>
      <c r="IM143" s="191"/>
      <c r="IN143" s="191">
        <v>100</v>
      </c>
      <c r="IO143" s="191"/>
      <c r="IP143" s="191"/>
      <c r="IQ143" s="191"/>
      <c r="IR143" s="191">
        <v>200</v>
      </c>
      <c r="IS143" s="191"/>
      <c r="IT143" s="191"/>
      <c r="IU143" s="191">
        <v>100</v>
      </c>
      <c r="IV143" s="191"/>
      <c r="IW143" s="191"/>
      <c r="IX143" s="191"/>
      <c r="IY143" s="191">
        <v>200</v>
      </c>
      <c r="IZ143" s="191"/>
      <c r="JA143" s="191"/>
      <c r="JB143" s="191">
        <v>200</v>
      </c>
      <c r="JC143" s="191"/>
      <c r="JD143" s="191"/>
      <c r="JE143" s="192"/>
      <c r="JF143" s="190">
        <v>100</v>
      </c>
      <c r="JG143" s="191"/>
      <c r="JH143" s="191"/>
      <c r="JI143" s="191">
        <v>100</v>
      </c>
      <c r="JJ143" s="191"/>
      <c r="JK143" s="191"/>
      <c r="JL143" s="191"/>
      <c r="JM143" s="191">
        <v>200</v>
      </c>
      <c r="JN143" s="191"/>
      <c r="JO143" s="191"/>
      <c r="JP143" s="191">
        <v>150</v>
      </c>
      <c r="JQ143" s="191"/>
      <c r="JR143" s="191"/>
      <c r="JS143" s="191"/>
      <c r="JT143" s="191">
        <v>100</v>
      </c>
      <c r="JU143" s="191"/>
      <c r="JV143" s="191"/>
      <c r="JW143" s="191"/>
      <c r="JX143" s="191">
        <v>150</v>
      </c>
      <c r="JY143" s="191"/>
      <c r="JZ143" s="191">
        <v>50</v>
      </c>
      <c r="KA143" s="191"/>
      <c r="KB143" s="191"/>
      <c r="KC143" s="191"/>
      <c r="KD143" s="191">
        <v>100</v>
      </c>
      <c r="KE143" s="191"/>
      <c r="KF143" s="191"/>
      <c r="KG143" s="191">
        <v>200</v>
      </c>
      <c r="KH143" s="191"/>
      <c r="KI143" s="191"/>
      <c r="KJ143" s="193"/>
      <c r="KK143" s="194"/>
      <c r="KL143" s="191"/>
      <c r="KM143" s="191"/>
      <c r="KN143" s="191"/>
      <c r="KO143" s="191">
        <v>150</v>
      </c>
      <c r="KP143" s="191"/>
      <c r="KQ143" s="191"/>
      <c r="KR143" s="191">
        <v>100</v>
      </c>
      <c r="KS143" s="191"/>
      <c r="KT143" s="191"/>
      <c r="KU143" s="191"/>
      <c r="KV143" s="191">
        <v>100</v>
      </c>
      <c r="KW143" s="191"/>
      <c r="KX143" s="191"/>
      <c r="KY143" s="191">
        <v>100</v>
      </c>
      <c r="KZ143" s="191"/>
      <c r="LA143" s="191"/>
      <c r="LB143" s="191"/>
      <c r="LC143" s="191">
        <v>50</v>
      </c>
      <c r="LD143" s="191"/>
      <c r="LE143" s="191"/>
      <c r="LF143" s="191">
        <v>50</v>
      </c>
      <c r="LG143" s="191"/>
      <c r="LH143" s="191"/>
      <c r="LI143" s="191"/>
      <c r="LJ143" s="191">
        <v>50</v>
      </c>
      <c r="LK143" s="191"/>
      <c r="LL143" s="191"/>
      <c r="LM143" s="191"/>
      <c r="LN143" s="192"/>
      <c r="LO143" s="190"/>
      <c r="LP143" s="191"/>
      <c r="LQ143" s="191">
        <v>200</v>
      </c>
      <c r="LR143" s="191"/>
      <c r="LS143" s="191"/>
      <c r="LT143" s="191">
        <v>100</v>
      </c>
      <c r="LU143" s="191"/>
      <c r="LV143" s="191"/>
      <c r="LW143" s="191"/>
      <c r="LX143" s="191">
        <v>150</v>
      </c>
      <c r="LY143" s="191"/>
      <c r="LZ143" s="191"/>
      <c r="MA143" s="191">
        <v>10</v>
      </c>
      <c r="MB143" s="191"/>
      <c r="MC143" s="191"/>
      <c r="MD143" s="191"/>
      <c r="ME143" s="191">
        <v>100</v>
      </c>
      <c r="MF143" s="191"/>
      <c r="MG143" s="191"/>
      <c r="MH143" s="191">
        <v>100</v>
      </c>
      <c r="MI143" s="191"/>
      <c r="MJ143" s="191"/>
      <c r="MK143" s="191"/>
      <c r="ML143" s="191">
        <v>150</v>
      </c>
      <c r="MM143" s="191"/>
      <c r="MN143" s="191"/>
      <c r="MO143" s="191">
        <v>50</v>
      </c>
      <c r="MP143" s="191"/>
      <c r="MQ143" s="191"/>
      <c r="MR143" s="191"/>
      <c r="MS143" s="193">
        <v>100</v>
      </c>
      <c r="MT143" s="194"/>
      <c r="MU143" s="191"/>
      <c r="MV143" s="191">
        <v>150</v>
      </c>
      <c r="MW143" s="191"/>
      <c r="MX143" s="191"/>
      <c r="MY143" s="191"/>
      <c r="MZ143" s="191">
        <v>100</v>
      </c>
      <c r="NA143" s="191"/>
      <c r="NB143" s="191"/>
      <c r="NC143" s="191"/>
      <c r="ND143" s="191"/>
      <c r="NE143" s="191"/>
      <c r="NF143" s="191"/>
      <c r="NG143" s="191">
        <v>50</v>
      </c>
      <c r="NH143" s="191"/>
      <c r="NI143" s="191"/>
      <c r="NJ143" s="191">
        <v>50</v>
      </c>
      <c r="NK143" s="191"/>
      <c r="NL143" s="191"/>
      <c r="NM143" s="191"/>
      <c r="NN143" s="191">
        <v>100</v>
      </c>
      <c r="NO143" s="191"/>
      <c r="NP143" s="191"/>
      <c r="NQ143" s="191">
        <v>50</v>
      </c>
      <c r="NR143" s="191"/>
      <c r="NS143" s="191"/>
      <c r="NT143" s="191"/>
      <c r="NU143" s="191">
        <v>50</v>
      </c>
      <c r="NV143" s="191"/>
      <c r="NW143" s="192"/>
      <c r="NX143" s="190">
        <v>100</v>
      </c>
      <c r="NY143" s="191"/>
      <c r="NZ143" s="191"/>
      <c r="OA143" s="191"/>
      <c r="OB143" s="191">
        <v>50</v>
      </c>
      <c r="OC143" s="191"/>
      <c r="OD143" s="191"/>
      <c r="OE143" s="191">
        <v>10</v>
      </c>
      <c r="OF143" s="191"/>
      <c r="OG143" s="191"/>
      <c r="OH143" s="191"/>
      <c r="OI143" s="191">
        <v>100</v>
      </c>
      <c r="OJ143" s="191"/>
      <c r="OK143" s="191"/>
      <c r="OL143" s="191"/>
      <c r="OM143" s="191"/>
      <c r="ON143" s="191"/>
      <c r="OO143" s="191"/>
      <c r="OP143" s="191"/>
      <c r="OQ143" s="191"/>
      <c r="OR143" s="191"/>
      <c r="OS143" s="191"/>
      <c r="OT143" s="191"/>
      <c r="OU143" s="191"/>
      <c r="OV143" s="191"/>
      <c r="OW143" s="191"/>
      <c r="OX143" s="191"/>
      <c r="OY143" s="191"/>
      <c r="OZ143" s="191"/>
      <c r="PA143" s="191"/>
      <c r="PB143" s="193"/>
      <c r="PC143" s="47"/>
      <c r="PD143" s="154" t="s">
        <v>97</v>
      </c>
      <c r="PE143" s="155" t="s">
        <v>98</v>
      </c>
      <c r="PF143" s="155" t="s">
        <v>98</v>
      </c>
      <c r="PG143" s="155" t="s">
        <v>98</v>
      </c>
      <c r="PH143" s="155" t="s">
        <v>98</v>
      </c>
      <c r="PI143" s="155" t="s">
        <v>98</v>
      </c>
      <c r="PJ143" s="155" t="s">
        <v>98</v>
      </c>
      <c r="PK143" s="155" t="s">
        <v>98</v>
      </c>
      <c r="PL143" s="155" t="s">
        <v>98</v>
      </c>
      <c r="PM143" s="155" t="s">
        <v>98</v>
      </c>
      <c r="PN143" s="155" t="s">
        <v>98</v>
      </c>
      <c r="PO143" s="156"/>
      <c r="PP143" s="156"/>
      <c r="PQ143" s="156"/>
      <c r="PR143" s="156"/>
      <c r="PS143" s="156"/>
      <c r="PT143" s="156"/>
      <c r="PU143" s="156"/>
      <c r="PV143" s="156"/>
      <c r="PW143" s="156"/>
      <c r="PX143" s="195"/>
      <c r="PY143" s="1"/>
      <c r="PZ143" s="196">
        <f t="shared" si="126"/>
        <v>760</v>
      </c>
      <c r="QA143" s="176">
        <f t="shared" si="127"/>
        <v>6.340201885375824E-3</v>
      </c>
      <c r="QB143" s="177" t="str">
        <f t="shared" ca="1" si="128"/>
        <v>Attente…</v>
      </c>
      <c r="QC143" s="197">
        <f t="shared" si="129"/>
        <v>750</v>
      </c>
      <c r="QD143" s="179">
        <f t="shared" si="130"/>
        <v>7.0224719101123594E-3</v>
      </c>
      <c r="QE143" s="180" t="str">
        <f t="shared" ca="1" si="131"/>
        <v>Attente…</v>
      </c>
      <c r="QF143" s="196">
        <f t="shared" si="132"/>
        <v>850</v>
      </c>
      <c r="QG143" s="176">
        <f t="shared" si="133"/>
        <v>6.768593725115464E-3</v>
      </c>
      <c r="QH143" s="177" t="str">
        <f t="shared" ca="1" si="134"/>
        <v>Attente…</v>
      </c>
      <c r="QI143" s="197">
        <f t="shared" si="135"/>
        <v>800</v>
      </c>
      <c r="QJ143" s="179">
        <f t="shared" si="136"/>
        <v>5.6108851171272267E-3</v>
      </c>
      <c r="QK143" s="180" t="str">
        <f t="shared" ca="1" si="137"/>
        <v>Attente…</v>
      </c>
      <c r="QL143" s="196">
        <f t="shared" si="138"/>
        <v>810</v>
      </c>
      <c r="QM143" s="176">
        <f t="shared" si="139"/>
        <v>5.9262510974539074E-3</v>
      </c>
      <c r="QN143" s="177" t="str">
        <f t="shared" ca="1" si="140"/>
        <v>Attente…</v>
      </c>
      <c r="QO143" s="197">
        <f t="shared" si="141"/>
        <v>620</v>
      </c>
      <c r="QP143" s="179">
        <f t="shared" si="142"/>
        <v>4.8539888827996555E-3</v>
      </c>
      <c r="QQ143" s="180" t="str">
        <f t="shared" ca="1" si="143"/>
        <v>Attente…</v>
      </c>
      <c r="QR143" s="196">
        <f t="shared" si="144"/>
        <v>1100</v>
      </c>
      <c r="QS143" s="176">
        <f t="shared" si="145"/>
        <v>7.9190813865591594E-3</v>
      </c>
      <c r="QT143" s="177" t="str">
        <f t="shared" ca="1" si="146"/>
        <v>Attente…</v>
      </c>
      <c r="QU143" s="197">
        <f t="shared" si="147"/>
        <v>1150</v>
      </c>
      <c r="QV143" s="179">
        <f t="shared" si="148"/>
        <v>7.9288472145614998E-3</v>
      </c>
      <c r="QW143" s="180" t="str">
        <f t="shared" ca="1" si="149"/>
        <v>Attente…</v>
      </c>
      <c r="QX143" s="196">
        <f t="shared" si="150"/>
        <v>600</v>
      </c>
      <c r="QY143" s="176">
        <f t="shared" si="151"/>
        <v>4.3784115123033365E-3</v>
      </c>
      <c r="QZ143" s="177" t="str">
        <f t="shared" ca="1" si="152"/>
        <v>Attente…</v>
      </c>
      <c r="RA143" s="197">
        <f t="shared" si="153"/>
        <v>960</v>
      </c>
      <c r="RB143" s="179">
        <f t="shared" si="154"/>
        <v>7.511149362334716E-3</v>
      </c>
      <c r="RC143" s="180" t="str">
        <f t="shared" ca="1" si="155"/>
        <v>Attente…</v>
      </c>
      <c r="RD143" s="196">
        <f t="shared" si="156"/>
        <v>550</v>
      </c>
      <c r="RE143" s="176">
        <f t="shared" si="157"/>
        <v>5.4802710243124749E-3</v>
      </c>
      <c r="RF143" s="177" t="str">
        <f t="shared" ca="1" si="158"/>
        <v>Attente…</v>
      </c>
      <c r="RG143" s="197">
        <f t="shared" si="159"/>
        <v>260</v>
      </c>
      <c r="RH143" s="179">
        <f t="shared" si="160"/>
        <v>4.7820489240389917E-3</v>
      </c>
      <c r="RI143" s="198" t="str">
        <f t="shared" ca="1" si="161"/>
        <v>Attente…</v>
      </c>
      <c r="RJ143" s="199">
        <f t="shared" si="162"/>
        <v>2360</v>
      </c>
      <c r="RK143" s="200" t="str">
        <f t="shared" ca="1" si="119"/>
        <v>Attente…</v>
      </c>
      <c r="RL143" s="199">
        <f t="shared" si="163"/>
        <v>2230</v>
      </c>
      <c r="RM143" s="200" t="str">
        <f t="shared" ca="1" si="164"/>
        <v>Atttente…</v>
      </c>
      <c r="RN143" s="199">
        <f t="shared" si="165"/>
        <v>2850</v>
      </c>
      <c r="RO143" s="200" t="str">
        <f t="shared" ca="1" si="120"/>
        <v>Attente…</v>
      </c>
      <c r="RP143" s="199">
        <f t="shared" si="166"/>
        <v>1770</v>
      </c>
      <c r="RQ143" s="200" t="str">
        <f t="shared" ca="1" si="121"/>
        <v>Attente…</v>
      </c>
      <c r="RR143" s="201">
        <f t="shared" si="167"/>
        <v>9210</v>
      </c>
      <c r="RS143" s="202" t="str">
        <f t="shared" ca="1" si="122"/>
        <v>Attente…</v>
      </c>
      <c r="RT143" s="103"/>
      <c r="RU143" s="203">
        <f t="shared" si="168"/>
        <v>0.49516129032258066</v>
      </c>
      <c r="RV143" s="204">
        <f t="shared" si="118"/>
        <v>1</v>
      </c>
      <c r="RW143" s="204">
        <f t="shared" si="118"/>
        <v>2</v>
      </c>
      <c r="RX143" s="204">
        <f t="shared" si="169"/>
        <v>93</v>
      </c>
      <c r="RY143" s="205" t="str">
        <f t="shared" si="170"/>
        <v>DARNÉTAL - 1 Rue de Préaux (Rond Point de la Girafe - Face à boulangerie)</v>
      </c>
      <c r="RZ143" s="189" t="str">
        <f>IF(OR(RZ142="",RZ142="  &lt;/Document&gt;
&lt;/kml&gt;"),"",
IF(B143="","  &lt;/Document&gt;
&lt;/kml&gt;",
IF(TournéesCAV!Q99=""," ",
"    &lt;Placemark&gt;
      &lt;description&gt;&lt;![CDATA["&amp;B143&amp;"&lt;br&gt;&lt;br&gt;"&amp;RV143&amp;" CAV&lt;br&gt;&lt;br&gt;Présent sur "&amp;RW143&amp;" tournée(s)&lt;br&gt;&lt;br&gt;Taux de remplissage moyen "&amp;TEXT(RU143*1000,"0 %")&amp;"]]&gt;&lt;/description&gt;
      &lt;Style&gt;
        &lt;IconStyle&gt;
          &lt;color&gt;ff"&amp;
          DEC2HEX(0,2)&amp;
          DEC2HEX(
            IF(RU143&lt;=0.5,
               INT(255*(RU143*2)),
               255
            ),2)&amp;
          DEC2HEX(
            IF(RU143&lt;=0.5,
               255,
               INT(255*(1-(RU143-0.5)*2))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&lt;Point&gt;&lt;coordinates&gt;"&amp;R143&amp;","&amp;Q143&amp;",0&lt;/coordinates&gt;&lt;/Point&gt;
    &lt;/Placemark&gt;"
)))</f>
        <v xml:space="preserve">    &lt;Placemark&gt;
      &lt;description&gt;&lt;![CDATA[DARNÉTAL - 1 Rue de Préaux (Rond Point de la Girafe - Face à boulangerie)&lt;br&gt;&lt;br&gt;1 CAV&lt;br&gt;&lt;br&gt;Présent sur 2 tournée(s)&lt;br&gt;&lt;br&gt;Taux de remplissage moyen 50%]]&gt;&lt;/description&gt;
      &lt;Style&gt;
        &lt;IconStyle&gt;
          &lt;color&gt;ff00FCFF&lt;/color&gt;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&lt;Point&gt;&lt;coordinates&gt;1.1513028,49.4493106,0&lt;/coordinates&gt;&lt;/Point&gt;
    &lt;/Placemark&gt;</v>
      </c>
    </row>
    <row r="144" spans="2:494" ht="15" hidden="1" customHeight="1" x14ac:dyDescent="0.35">
      <c r="B144" s="153" t="str">
        <f t="shared" si="123"/>
        <v>DARNÉTAL - 8 Sente de la Ravine (Déchetterie)</v>
      </c>
      <c r="C144" s="154">
        <v>51</v>
      </c>
      <c r="D144" s="155"/>
      <c r="E144" s="155"/>
      <c r="F144" s="155"/>
      <c r="G144" s="155"/>
      <c r="H144" s="155"/>
      <c r="I144" s="155"/>
      <c r="J144" s="156"/>
      <c r="K144" s="157">
        <f t="shared" si="124"/>
        <v>1</v>
      </c>
      <c r="L144" s="157">
        <f t="shared" si="125"/>
        <v>1</v>
      </c>
      <c r="M144" s="158" t="s">
        <v>809</v>
      </c>
      <c r="N144" s="159" t="s">
        <v>411</v>
      </c>
      <c r="O144" s="159">
        <v>76160</v>
      </c>
      <c r="P144" s="159" t="s">
        <v>15</v>
      </c>
      <c r="Q144" s="159" t="s">
        <v>810</v>
      </c>
      <c r="R144" s="159" t="s">
        <v>811</v>
      </c>
      <c r="S144" s="159" t="s">
        <v>93</v>
      </c>
      <c r="T144" s="159" t="s">
        <v>159</v>
      </c>
      <c r="U144" s="159" t="s">
        <v>812</v>
      </c>
      <c r="V144" s="160" t="s">
        <v>96</v>
      </c>
      <c r="W144" s="161"/>
      <c r="X144" s="162"/>
      <c r="Y144" s="163"/>
      <c r="Z144" s="162"/>
      <c r="AA144" s="163"/>
      <c r="AB144" s="162"/>
      <c r="AC144" s="163"/>
      <c r="AD144" s="162"/>
      <c r="AE144" s="163">
        <v>16</v>
      </c>
      <c r="AF144" s="162"/>
      <c r="AG144" s="163"/>
      <c r="AH144" s="163"/>
      <c r="AI144" s="162"/>
      <c r="AJ144" s="163"/>
      <c r="AK144" s="162"/>
      <c r="AL144" s="163"/>
      <c r="AM144" s="162"/>
      <c r="AN144" s="163"/>
      <c r="AO144" s="162"/>
      <c r="AP144" s="164"/>
      <c r="AQ144" s="164"/>
      <c r="AR144" s="164"/>
      <c r="AS144" s="164"/>
      <c r="AT144" s="164"/>
      <c r="AU144" s="164"/>
      <c r="AV144" s="164"/>
      <c r="AW144" s="164"/>
      <c r="AX144" s="164"/>
      <c r="AY144" s="165"/>
      <c r="AZ144" s="41"/>
      <c r="BA144" s="190"/>
      <c r="BB144" s="191"/>
      <c r="BC144" s="191"/>
      <c r="BD144" s="191"/>
      <c r="BE144" s="191"/>
      <c r="BF144" s="191"/>
      <c r="BG144" s="191"/>
      <c r="BH144" s="191"/>
      <c r="BI144" s="191"/>
      <c r="BJ144" s="191">
        <v>50</v>
      </c>
      <c r="BK144" s="191"/>
      <c r="BL144" s="191"/>
      <c r="BM144" s="191">
        <v>10</v>
      </c>
      <c r="BN144" s="191"/>
      <c r="BO144" s="191"/>
      <c r="BP144" s="191"/>
      <c r="BQ144" s="191"/>
      <c r="BR144" s="191"/>
      <c r="BS144" s="191"/>
      <c r="BT144" s="191">
        <v>10</v>
      </c>
      <c r="BU144" s="191"/>
      <c r="BV144" s="191"/>
      <c r="BW144" s="191"/>
      <c r="BX144" s="191">
        <v>10</v>
      </c>
      <c r="BY144" s="191"/>
      <c r="BZ144" s="191"/>
      <c r="CA144" s="191">
        <v>10</v>
      </c>
      <c r="CB144" s="191"/>
      <c r="CC144" s="191"/>
      <c r="CD144" s="191"/>
      <c r="CE144" s="192">
        <v>50</v>
      </c>
      <c r="CF144" s="190"/>
      <c r="CG144" s="191"/>
      <c r="CH144" s="191">
        <v>10</v>
      </c>
      <c r="CI144" s="191"/>
      <c r="CJ144" s="191"/>
      <c r="CK144" s="191"/>
      <c r="CL144" s="191">
        <v>10</v>
      </c>
      <c r="CM144" s="191"/>
      <c r="CN144" s="191"/>
      <c r="CO144" s="191">
        <v>10</v>
      </c>
      <c r="CP144" s="191"/>
      <c r="CQ144" s="191"/>
      <c r="CR144" s="191"/>
      <c r="CS144" s="191">
        <v>50</v>
      </c>
      <c r="CT144" s="191"/>
      <c r="CU144" s="191"/>
      <c r="CV144" s="191">
        <v>50</v>
      </c>
      <c r="CW144" s="191"/>
      <c r="CX144" s="191"/>
      <c r="CY144" s="191"/>
      <c r="CZ144" s="191">
        <v>10</v>
      </c>
      <c r="DA144" s="191"/>
      <c r="DB144" s="191"/>
      <c r="DC144" s="191">
        <v>10</v>
      </c>
      <c r="DD144" s="191"/>
      <c r="DE144" s="191"/>
      <c r="DF144" s="191"/>
      <c r="DG144" s="191"/>
      <c r="DH144" s="193"/>
      <c r="DI144" s="194"/>
      <c r="DJ144" s="191"/>
      <c r="DK144" s="191">
        <v>10</v>
      </c>
      <c r="DL144" s="191"/>
      <c r="DM144" s="191"/>
      <c r="DN144" s="191"/>
      <c r="DO144" s="191">
        <v>10</v>
      </c>
      <c r="DP144" s="191"/>
      <c r="DQ144" s="191"/>
      <c r="DR144" s="191">
        <v>50</v>
      </c>
      <c r="DS144" s="191"/>
      <c r="DT144" s="191"/>
      <c r="DU144" s="191"/>
      <c r="DV144" s="191">
        <v>50</v>
      </c>
      <c r="DW144" s="191"/>
      <c r="DX144" s="191"/>
      <c r="DY144" s="191">
        <v>10</v>
      </c>
      <c r="DZ144" s="191"/>
      <c r="EA144" s="191"/>
      <c r="EB144" s="191"/>
      <c r="EC144" s="191">
        <v>10</v>
      </c>
      <c r="ED144" s="191"/>
      <c r="EE144" s="191"/>
      <c r="EF144" s="191">
        <v>50</v>
      </c>
      <c r="EG144" s="191"/>
      <c r="EH144" s="191"/>
      <c r="EI144" s="191"/>
      <c r="EJ144" s="191">
        <v>50</v>
      </c>
      <c r="EK144" s="191"/>
      <c r="EL144" s="191"/>
      <c r="EM144" s="192">
        <v>50</v>
      </c>
      <c r="EN144" s="190"/>
      <c r="EO144" s="191"/>
      <c r="EP144" s="191"/>
      <c r="EQ144" s="191">
        <v>10</v>
      </c>
      <c r="ER144" s="191"/>
      <c r="ES144" s="191"/>
      <c r="ET144" s="191"/>
      <c r="EU144" s="191"/>
      <c r="EV144" s="191"/>
      <c r="EW144" s="191"/>
      <c r="EX144" s="191"/>
      <c r="EY144" s="191"/>
      <c r="EZ144" s="191"/>
      <c r="FA144" s="191">
        <v>10</v>
      </c>
      <c r="FB144" s="191"/>
      <c r="FC144" s="191"/>
      <c r="FD144" s="191"/>
      <c r="FE144" s="191">
        <v>10</v>
      </c>
      <c r="FF144" s="191"/>
      <c r="FG144" s="191"/>
      <c r="FH144" s="191"/>
      <c r="FI144" s="191"/>
      <c r="FJ144" s="191"/>
      <c r="FK144" s="191"/>
      <c r="FL144" s="191">
        <v>10</v>
      </c>
      <c r="FM144" s="191"/>
      <c r="FN144" s="191"/>
      <c r="FO144" s="191">
        <v>10</v>
      </c>
      <c r="FP144" s="191"/>
      <c r="FQ144" s="193"/>
      <c r="FR144" s="194"/>
      <c r="FS144" s="191">
        <v>200</v>
      </c>
      <c r="FT144" s="191"/>
      <c r="FU144" s="191"/>
      <c r="FV144" s="191"/>
      <c r="FW144" s="191"/>
      <c r="FX144" s="191"/>
      <c r="FY144" s="191"/>
      <c r="FZ144" s="191">
        <v>50</v>
      </c>
      <c r="GA144" s="191"/>
      <c r="GB144" s="191"/>
      <c r="GC144" s="191">
        <v>100</v>
      </c>
      <c r="GD144" s="191"/>
      <c r="GE144" s="191"/>
      <c r="GF144" s="191"/>
      <c r="GG144" s="191">
        <v>10</v>
      </c>
      <c r="GH144" s="191"/>
      <c r="GI144" s="191"/>
      <c r="GJ144" s="191">
        <v>10</v>
      </c>
      <c r="GK144" s="191"/>
      <c r="GL144" s="191"/>
      <c r="GM144" s="191"/>
      <c r="GN144" s="191">
        <v>150</v>
      </c>
      <c r="GO144" s="191"/>
      <c r="GP144" s="191"/>
      <c r="GQ144" s="191">
        <v>150</v>
      </c>
      <c r="GR144" s="191"/>
      <c r="GS144" s="191"/>
      <c r="GT144" s="191"/>
      <c r="GU144" s="191"/>
      <c r="GV144" s="192"/>
      <c r="GW144" s="190"/>
      <c r="GX144" s="191"/>
      <c r="GY144" s="191"/>
      <c r="GZ144" s="191"/>
      <c r="HA144" s="191"/>
      <c r="HB144" s="191">
        <v>10</v>
      </c>
      <c r="HC144" s="191"/>
      <c r="HD144" s="191"/>
      <c r="HE144" s="191"/>
      <c r="HF144" s="191"/>
      <c r="HG144" s="191"/>
      <c r="HH144" s="191"/>
      <c r="HI144" s="191">
        <v>50</v>
      </c>
      <c r="HJ144" s="191"/>
      <c r="HK144" s="191"/>
      <c r="HL144" s="191"/>
      <c r="HM144" s="191"/>
      <c r="HN144" s="191"/>
      <c r="HO144" s="191"/>
      <c r="HP144" s="191">
        <v>50</v>
      </c>
      <c r="HQ144" s="191"/>
      <c r="HR144" s="191"/>
      <c r="HS144" s="191"/>
      <c r="HT144" s="191"/>
      <c r="HU144" s="191"/>
      <c r="HV144" s="191"/>
      <c r="HW144" s="191">
        <v>100</v>
      </c>
      <c r="HX144" s="191"/>
      <c r="HY144" s="191"/>
      <c r="HZ144" s="193"/>
      <c r="IA144" s="194"/>
      <c r="IB144" s="191"/>
      <c r="IC144" s="191"/>
      <c r="ID144" s="191"/>
      <c r="IE144" s="191"/>
      <c r="IF144" s="191"/>
      <c r="IG144" s="191"/>
      <c r="IH144" s="191"/>
      <c r="II144" s="191"/>
      <c r="IJ144" s="191"/>
      <c r="IK144" s="191">
        <v>50</v>
      </c>
      <c r="IL144" s="191"/>
      <c r="IM144" s="191"/>
      <c r="IN144" s="191"/>
      <c r="IO144" s="191"/>
      <c r="IP144" s="191"/>
      <c r="IQ144" s="191"/>
      <c r="IR144" s="191">
        <v>100</v>
      </c>
      <c r="IS144" s="191"/>
      <c r="IT144" s="191"/>
      <c r="IU144" s="191"/>
      <c r="IV144" s="191"/>
      <c r="IW144" s="191"/>
      <c r="IX144" s="191"/>
      <c r="IY144" s="191">
        <v>150</v>
      </c>
      <c r="IZ144" s="191"/>
      <c r="JA144" s="191"/>
      <c r="JB144" s="191"/>
      <c r="JC144" s="191"/>
      <c r="JD144" s="191"/>
      <c r="JE144" s="192"/>
      <c r="JF144" s="190">
        <v>100</v>
      </c>
      <c r="JG144" s="191"/>
      <c r="JH144" s="191"/>
      <c r="JI144" s="191"/>
      <c r="JJ144" s="191"/>
      <c r="JK144" s="191"/>
      <c r="JL144" s="191"/>
      <c r="JM144" s="191">
        <v>100</v>
      </c>
      <c r="JN144" s="191"/>
      <c r="JO144" s="191"/>
      <c r="JP144" s="191"/>
      <c r="JQ144" s="191"/>
      <c r="JR144" s="191"/>
      <c r="JS144" s="191"/>
      <c r="JT144" s="191">
        <v>100</v>
      </c>
      <c r="JU144" s="191"/>
      <c r="JV144" s="191"/>
      <c r="JW144" s="191"/>
      <c r="JX144" s="191"/>
      <c r="JY144" s="191"/>
      <c r="JZ144" s="191">
        <v>50</v>
      </c>
      <c r="KA144" s="191"/>
      <c r="KB144" s="191"/>
      <c r="KC144" s="191"/>
      <c r="KD144" s="191"/>
      <c r="KE144" s="191"/>
      <c r="KF144" s="191"/>
      <c r="KG144" s="191"/>
      <c r="KH144" s="191">
        <v>100</v>
      </c>
      <c r="KI144" s="191"/>
      <c r="KJ144" s="193"/>
      <c r="KK144" s="194"/>
      <c r="KL144" s="191"/>
      <c r="KM144" s="191"/>
      <c r="KN144" s="191"/>
      <c r="KO144" s="191"/>
      <c r="KP144" s="191"/>
      <c r="KQ144" s="191"/>
      <c r="KR144" s="191"/>
      <c r="KS144" s="191"/>
      <c r="KT144" s="191"/>
      <c r="KU144" s="191"/>
      <c r="KV144" s="191">
        <v>100</v>
      </c>
      <c r="KW144" s="191"/>
      <c r="KX144" s="191"/>
      <c r="KY144" s="191"/>
      <c r="KZ144" s="191"/>
      <c r="LA144" s="191"/>
      <c r="LB144" s="191"/>
      <c r="LC144" s="191">
        <v>100</v>
      </c>
      <c r="LD144" s="191"/>
      <c r="LE144" s="191"/>
      <c r="LF144" s="191"/>
      <c r="LG144" s="191"/>
      <c r="LH144" s="191"/>
      <c r="LI144" s="191"/>
      <c r="LJ144" s="191">
        <v>100</v>
      </c>
      <c r="LK144" s="191"/>
      <c r="LL144" s="191"/>
      <c r="LM144" s="191">
        <v>200</v>
      </c>
      <c r="LN144" s="192"/>
      <c r="LO144" s="190"/>
      <c r="LP144" s="191"/>
      <c r="LQ144" s="191">
        <v>10</v>
      </c>
      <c r="LR144" s="191"/>
      <c r="LS144" s="191"/>
      <c r="LT144" s="191"/>
      <c r="LU144" s="191"/>
      <c r="LV144" s="191"/>
      <c r="LW144" s="191"/>
      <c r="LX144" s="191">
        <v>150</v>
      </c>
      <c r="LY144" s="191"/>
      <c r="LZ144" s="191"/>
      <c r="MA144" s="191"/>
      <c r="MB144" s="191"/>
      <c r="MC144" s="191"/>
      <c r="MD144" s="191"/>
      <c r="ME144" s="191">
        <v>50</v>
      </c>
      <c r="MF144" s="191"/>
      <c r="MG144" s="191"/>
      <c r="MH144" s="191"/>
      <c r="MI144" s="191"/>
      <c r="MJ144" s="191"/>
      <c r="MK144" s="191"/>
      <c r="ML144" s="191">
        <v>100</v>
      </c>
      <c r="MM144" s="191"/>
      <c r="MN144" s="191"/>
      <c r="MO144" s="191"/>
      <c r="MP144" s="191"/>
      <c r="MQ144" s="191"/>
      <c r="MR144" s="191"/>
      <c r="MS144" s="193"/>
      <c r="MT144" s="194"/>
      <c r="MU144" s="191"/>
      <c r="MV144" s="191">
        <v>50</v>
      </c>
      <c r="MW144" s="191"/>
      <c r="MX144" s="191"/>
      <c r="MY144" s="191"/>
      <c r="MZ144" s="191">
        <v>10</v>
      </c>
      <c r="NA144" s="191"/>
      <c r="NB144" s="191"/>
      <c r="NC144" s="191"/>
      <c r="ND144" s="191"/>
      <c r="NE144" s="191"/>
      <c r="NF144" s="191"/>
      <c r="NG144" s="191">
        <v>150</v>
      </c>
      <c r="NH144" s="191"/>
      <c r="NI144" s="191"/>
      <c r="NJ144" s="191"/>
      <c r="NK144" s="191"/>
      <c r="NL144" s="191"/>
      <c r="NM144" s="191"/>
      <c r="NN144" s="191">
        <v>50</v>
      </c>
      <c r="NO144" s="191"/>
      <c r="NP144" s="191"/>
      <c r="NQ144" s="191"/>
      <c r="NR144" s="191"/>
      <c r="NS144" s="191"/>
      <c r="NT144" s="191"/>
      <c r="NU144" s="191">
        <v>50</v>
      </c>
      <c r="NV144" s="191"/>
      <c r="NW144" s="192"/>
      <c r="NX144" s="190"/>
      <c r="NY144" s="191"/>
      <c r="NZ144" s="191"/>
      <c r="OA144" s="191"/>
      <c r="OB144" s="191">
        <v>10</v>
      </c>
      <c r="OC144" s="191"/>
      <c r="OD144" s="191"/>
      <c r="OE144" s="191"/>
      <c r="OF144" s="191"/>
      <c r="OG144" s="191"/>
      <c r="OH144" s="191"/>
      <c r="OI144" s="191">
        <v>100</v>
      </c>
      <c r="OJ144" s="191"/>
      <c r="OK144" s="191"/>
      <c r="OL144" s="191"/>
      <c r="OM144" s="191"/>
      <c r="ON144" s="191"/>
      <c r="OO144" s="191"/>
      <c r="OP144" s="191"/>
      <c r="OQ144" s="191"/>
      <c r="OR144" s="191"/>
      <c r="OS144" s="191"/>
      <c r="OT144" s="191"/>
      <c r="OU144" s="191"/>
      <c r="OV144" s="191"/>
      <c r="OW144" s="191"/>
      <c r="OX144" s="191"/>
      <c r="OY144" s="191"/>
      <c r="OZ144" s="191"/>
      <c r="PA144" s="191"/>
      <c r="PB144" s="193"/>
      <c r="PC144" s="47"/>
      <c r="PD144" s="154" t="s">
        <v>97</v>
      </c>
      <c r="PE144" s="155" t="s">
        <v>97</v>
      </c>
      <c r="PF144" s="155" t="s">
        <v>98</v>
      </c>
      <c r="PG144" s="155" t="s">
        <v>98</v>
      </c>
      <c r="PH144" s="155" t="s">
        <v>98</v>
      </c>
      <c r="PI144" s="155" t="s">
        <v>98</v>
      </c>
      <c r="PJ144" s="155" t="s">
        <v>98</v>
      </c>
      <c r="PK144" s="155" t="s">
        <v>98</v>
      </c>
      <c r="PL144" s="155" t="s">
        <v>98</v>
      </c>
      <c r="PM144" s="155" t="s">
        <v>98</v>
      </c>
      <c r="PN144" s="155" t="s">
        <v>98</v>
      </c>
      <c r="PO144" s="156"/>
      <c r="PP144" s="156"/>
      <c r="PQ144" s="156"/>
      <c r="PR144" s="156"/>
      <c r="PS144" s="156"/>
      <c r="PT144" s="156"/>
      <c r="PU144" s="156"/>
      <c r="PV144" s="156"/>
      <c r="PW144" s="156"/>
      <c r="PX144" s="195"/>
      <c r="PY144" s="1"/>
      <c r="PZ144" s="196">
        <f t="shared" si="126"/>
        <v>140</v>
      </c>
      <c r="QA144" s="176">
        <f t="shared" si="127"/>
        <v>1.1679319262534412E-3</v>
      </c>
      <c r="QB144" s="177" t="str">
        <f t="shared" ca="1" si="128"/>
        <v>Attente…</v>
      </c>
      <c r="QC144" s="197">
        <f t="shared" si="129"/>
        <v>150</v>
      </c>
      <c r="QD144" s="179">
        <f t="shared" si="130"/>
        <v>1.4044943820224719E-3</v>
      </c>
      <c r="QE144" s="180" t="str">
        <f t="shared" ca="1" si="131"/>
        <v>Attente…</v>
      </c>
      <c r="QF144" s="196">
        <f t="shared" si="132"/>
        <v>290</v>
      </c>
      <c r="QG144" s="176">
        <f t="shared" si="133"/>
        <v>2.30928491798057E-3</v>
      </c>
      <c r="QH144" s="177" t="str">
        <f t="shared" ca="1" si="134"/>
        <v>Attente…</v>
      </c>
      <c r="QI144" s="197">
        <f t="shared" si="135"/>
        <v>50</v>
      </c>
      <c r="QJ144" s="179">
        <f t="shared" si="136"/>
        <v>3.5068031982045167E-4</v>
      </c>
      <c r="QK144" s="180" t="str">
        <f t="shared" ca="1" si="137"/>
        <v>Attente…</v>
      </c>
      <c r="QL144" s="196">
        <f t="shared" si="138"/>
        <v>670</v>
      </c>
      <c r="QM144" s="176">
        <f t="shared" si="139"/>
        <v>4.9019607843137254E-3</v>
      </c>
      <c r="QN144" s="177" t="str">
        <f t="shared" ca="1" si="140"/>
        <v>Attente…</v>
      </c>
      <c r="QO144" s="197">
        <f t="shared" si="141"/>
        <v>210</v>
      </c>
      <c r="QP144" s="179">
        <f t="shared" si="142"/>
        <v>1.644093008690206E-3</v>
      </c>
      <c r="QQ144" s="180" t="str">
        <f t="shared" ca="1" si="143"/>
        <v>Attente…</v>
      </c>
      <c r="QR144" s="196">
        <f t="shared" si="144"/>
        <v>300</v>
      </c>
      <c r="QS144" s="176">
        <f t="shared" si="145"/>
        <v>2.1597494690615889E-3</v>
      </c>
      <c r="QT144" s="177" t="str">
        <f t="shared" ca="1" si="146"/>
        <v>Attente…</v>
      </c>
      <c r="QU144" s="197">
        <f t="shared" si="147"/>
        <v>450</v>
      </c>
      <c r="QV144" s="179">
        <f t="shared" si="148"/>
        <v>3.1025923883066741E-3</v>
      </c>
      <c r="QW144" s="180" t="str">
        <f t="shared" ca="1" si="149"/>
        <v>Attente…</v>
      </c>
      <c r="QX144" s="196">
        <f t="shared" si="150"/>
        <v>500</v>
      </c>
      <c r="QY144" s="176">
        <f t="shared" si="151"/>
        <v>3.6486762602527803E-3</v>
      </c>
      <c r="QZ144" s="177" t="str">
        <f t="shared" ca="1" si="152"/>
        <v>Attente…</v>
      </c>
      <c r="RA144" s="197">
        <f t="shared" si="153"/>
        <v>310</v>
      </c>
      <c r="RB144" s="179">
        <f t="shared" si="154"/>
        <v>2.4254753149205851E-3</v>
      </c>
      <c r="RC144" s="180" t="str">
        <f t="shared" ca="1" si="155"/>
        <v>Attente…</v>
      </c>
      <c r="RD144" s="196">
        <f t="shared" si="156"/>
        <v>310</v>
      </c>
      <c r="RE144" s="176">
        <f t="shared" si="157"/>
        <v>3.0888800318852132E-3</v>
      </c>
      <c r="RF144" s="177" t="str">
        <f t="shared" ca="1" si="158"/>
        <v>Attente…</v>
      </c>
      <c r="RG144" s="197">
        <f t="shared" si="159"/>
        <v>110</v>
      </c>
      <c r="RH144" s="179">
        <f t="shared" si="160"/>
        <v>2.0231745447857274E-3</v>
      </c>
      <c r="RI144" s="198" t="str">
        <f t="shared" ca="1" si="161"/>
        <v>Attente…</v>
      </c>
      <c r="RJ144" s="199">
        <f t="shared" si="162"/>
        <v>580</v>
      </c>
      <c r="RK144" s="200" t="str">
        <f t="shared" ca="1" si="119"/>
        <v>Attente…</v>
      </c>
      <c r="RL144" s="199">
        <f t="shared" si="163"/>
        <v>930</v>
      </c>
      <c r="RM144" s="200" t="str">
        <f t="shared" ca="1" si="164"/>
        <v>Atttente…</v>
      </c>
      <c r="RN144" s="199">
        <f t="shared" si="165"/>
        <v>1250</v>
      </c>
      <c r="RO144" s="200" t="str">
        <f t="shared" ca="1" si="120"/>
        <v>Attente…</v>
      </c>
      <c r="RP144" s="199">
        <f t="shared" si="166"/>
        <v>730</v>
      </c>
      <c r="RQ144" s="200" t="str">
        <f t="shared" ca="1" si="121"/>
        <v>Attente…</v>
      </c>
      <c r="RR144" s="201">
        <f t="shared" si="167"/>
        <v>3490</v>
      </c>
      <c r="RS144" s="202" t="str">
        <f t="shared" ca="1" si="122"/>
        <v>Attente…</v>
      </c>
      <c r="RT144" s="103"/>
      <c r="RU144" s="203">
        <f t="shared" si="168"/>
        <v>0.2860655737704918</v>
      </c>
      <c r="RV144" s="204">
        <f t="shared" si="118"/>
        <v>1</v>
      </c>
      <c r="RW144" s="204">
        <f t="shared" si="118"/>
        <v>1</v>
      </c>
      <c r="RX144" s="204">
        <f t="shared" si="169"/>
        <v>61</v>
      </c>
      <c r="RY144" s="205" t="str">
        <f t="shared" si="170"/>
        <v>DARNÉTAL - 8 Sente de la Ravine (Déchetterie)</v>
      </c>
      <c r="RZ144" s="189" t="str">
        <f>IF(OR(RZ143="",RZ143="  &lt;/Document&gt;
&lt;/kml&gt;"),"",
IF(B144="","  &lt;/Document&gt;
&lt;/kml&gt;",
IF(TournéesCAV!Q144=""," ",
"    &lt;Placemark&gt;
      &lt;description&gt;&lt;![CDATA["&amp;B144&amp;"&lt;br&gt;&lt;br&gt;"&amp;RV144&amp;" CAV&lt;br&gt;&lt;br&gt;Présent sur "&amp;RW144&amp;" tournée(s)&lt;br&gt;&lt;br&gt;Taux de remplissage moyen "&amp;TEXT(RU144*1000,"0 %")&amp;"]]&gt;&lt;/description&gt;
      &lt;Style&gt;
        &lt;IconStyle&gt;
          &lt;color&gt;ff"&amp;
          DEC2HEX(0,2)&amp;
          DEC2HEX(
            IF(RU144&lt;=0.5,
               INT(255*(RU144*2)),
               255
            ),2)&amp;
          DEC2HEX(
            IF(RU144&lt;=0.5,
               255,
               INT(255*(1-(RU144-0.5)*2))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&lt;Point&gt;&lt;coordinates&gt;"&amp;R144&amp;","&amp;Q144&amp;",0&lt;/coordinates&gt;&lt;/Point&gt;
    &lt;/Placemark&gt;"
)))</f>
        <v xml:space="preserve">    &lt;Placemark&gt;
      &lt;description&gt;&lt;![CDATA[DARNÉTAL - 8 Sente de la Ravine (Déchetterie)&lt;br&gt;&lt;br&gt;1 CAV&lt;br&gt;&lt;br&gt;Présent sur 1 tournée(s)&lt;br&gt;&lt;br&gt;Taux de remplissage moyen 29%]]&gt;&lt;/description&gt;
      &lt;Style&gt;
        &lt;IconStyle&gt;
          &lt;color&gt;ff0091FF&lt;/color&gt;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&lt;Point&gt;&lt;coordinates&gt;1.160058,49.4450289,0&lt;/coordinates&gt;&lt;/Point&gt;
    &lt;/Placemark&gt;</v>
      </c>
    </row>
    <row r="145" spans="2:494" ht="15" hidden="1" customHeight="1" x14ac:dyDescent="0.35">
      <c r="B145" s="153" t="str">
        <f t="shared" si="123"/>
        <v>ROCQUEMONT - 709 Grande Rue  (Côté Eglise)</v>
      </c>
      <c r="C145" s="154" t="s">
        <v>104</v>
      </c>
      <c r="D145" s="155"/>
      <c r="E145" s="155"/>
      <c r="F145" s="155"/>
      <c r="G145" s="155"/>
      <c r="H145" s="155"/>
      <c r="I145" s="155"/>
      <c r="J145" s="156"/>
      <c r="K145" s="157">
        <f t="shared" si="124"/>
        <v>1</v>
      </c>
      <c r="L145" s="157">
        <f t="shared" si="125"/>
        <v>1</v>
      </c>
      <c r="M145" s="158" t="s">
        <v>813</v>
      </c>
      <c r="N145" s="159" t="s">
        <v>814</v>
      </c>
      <c r="O145" s="159">
        <v>76680</v>
      </c>
      <c r="P145" s="159" t="s">
        <v>815</v>
      </c>
      <c r="Q145" s="159" t="s">
        <v>816</v>
      </c>
      <c r="R145" s="159" t="s">
        <v>817</v>
      </c>
      <c r="S145" s="159"/>
      <c r="T145" s="159" t="s">
        <v>94</v>
      </c>
      <c r="U145" s="159" t="s">
        <v>818</v>
      </c>
      <c r="V145" s="160" t="s">
        <v>96</v>
      </c>
      <c r="W145" s="161"/>
      <c r="X145" s="162"/>
      <c r="Y145" s="163"/>
      <c r="Z145" s="162"/>
      <c r="AA145" s="163"/>
      <c r="AB145" s="162"/>
      <c r="AC145" s="163"/>
      <c r="AD145" s="162"/>
      <c r="AE145" s="163"/>
      <c r="AF145" s="162"/>
      <c r="AG145" s="163"/>
      <c r="AH145" s="163"/>
      <c r="AI145" s="162"/>
      <c r="AJ145" s="163"/>
      <c r="AK145" s="162">
        <v>1</v>
      </c>
      <c r="AL145" s="163"/>
      <c r="AM145" s="162"/>
      <c r="AN145" s="163"/>
      <c r="AO145" s="162"/>
      <c r="AP145" s="164"/>
      <c r="AQ145" s="164"/>
      <c r="AR145" s="164"/>
      <c r="AS145" s="164"/>
      <c r="AT145" s="164"/>
      <c r="AU145" s="164"/>
      <c r="AV145" s="164"/>
      <c r="AW145" s="164"/>
      <c r="AX145" s="164"/>
      <c r="AY145" s="165"/>
      <c r="AZ145" s="41"/>
      <c r="BA145" s="190"/>
      <c r="BB145" s="191"/>
      <c r="BC145" s="191"/>
      <c r="BD145" s="191"/>
      <c r="BE145" s="191"/>
      <c r="BF145" s="191"/>
      <c r="BG145" s="191"/>
      <c r="BH145" s="191"/>
      <c r="BI145" s="191">
        <v>150</v>
      </c>
      <c r="BJ145" s="191"/>
      <c r="BK145" s="191"/>
      <c r="BL145" s="191"/>
      <c r="BM145" s="191"/>
      <c r="BN145" s="191"/>
      <c r="BO145" s="191"/>
      <c r="BP145" s="191"/>
      <c r="BQ145" s="191"/>
      <c r="BR145" s="191"/>
      <c r="BS145" s="191"/>
      <c r="BT145" s="191"/>
      <c r="BU145" s="191"/>
      <c r="BV145" s="191"/>
      <c r="BW145" s="191"/>
      <c r="BX145" s="191"/>
      <c r="BY145" s="191"/>
      <c r="BZ145" s="191"/>
      <c r="CA145" s="191"/>
      <c r="CB145" s="191"/>
      <c r="CC145" s="191"/>
      <c r="CD145" s="191"/>
      <c r="CE145" s="192"/>
      <c r="CF145" s="190"/>
      <c r="CG145" s="191"/>
      <c r="CH145" s="191"/>
      <c r="CI145" s="191"/>
      <c r="CJ145" s="191"/>
      <c r="CK145" s="191">
        <v>100</v>
      </c>
      <c r="CL145" s="191"/>
      <c r="CM145" s="191"/>
      <c r="CN145" s="191"/>
      <c r="CO145" s="191"/>
      <c r="CP145" s="191"/>
      <c r="CQ145" s="191"/>
      <c r="CR145" s="191"/>
      <c r="CS145" s="191"/>
      <c r="CT145" s="191"/>
      <c r="CU145" s="191"/>
      <c r="CV145" s="191"/>
      <c r="CW145" s="191"/>
      <c r="CX145" s="191"/>
      <c r="CY145" s="191"/>
      <c r="CZ145" s="191"/>
      <c r="DA145" s="191"/>
      <c r="DB145" s="191"/>
      <c r="DC145" s="191"/>
      <c r="DD145" s="191"/>
      <c r="DE145" s="191"/>
      <c r="DF145" s="191"/>
      <c r="DG145" s="191"/>
      <c r="DH145" s="193"/>
      <c r="DI145" s="194"/>
      <c r="DJ145" s="191"/>
      <c r="DK145" s="191"/>
      <c r="DL145" s="191"/>
      <c r="DM145" s="191"/>
      <c r="DN145" s="191"/>
      <c r="DO145" s="191"/>
      <c r="DP145" s="191"/>
      <c r="DQ145" s="191"/>
      <c r="DR145" s="191"/>
      <c r="DS145" s="191"/>
      <c r="DT145" s="191"/>
      <c r="DU145" s="191">
        <v>100</v>
      </c>
      <c r="DV145" s="191"/>
      <c r="DW145" s="191"/>
      <c r="DX145" s="191"/>
      <c r="DY145" s="191"/>
      <c r="DZ145" s="191"/>
      <c r="EA145" s="191"/>
      <c r="EB145" s="191"/>
      <c r="EC145" s="191"/>
      <c r="ED145" s="191"/>
      <c r="EE145" s="191"/>
      <c r="EF145" s="191"/>
      <c r="EG145" s="191"/>
      <c r="EH145" s="191"/>
      <c r="EI145" s="191">
        <v>10</v>
      </c>
      <c r="EJ145" s="191"/>
      <c r="EK145" s="191"/>
      <c r="EL145" s="191"/>
      <c r="EM145" s="192"/>
      <c r="EN145" s="190"/>
      <c r="EO145" s="191"/>
      <c r="EP145" s="191"/>
      <c r="EQ145" s="191"/>
      <c r="ER145" s="191"/>
      <c r="ES145" s="191"/>
      <c r="ET145" s="191"/>
      <c r="EU145" s="191"/>
      <c r="EV145" s="191"/>
      <c r="EW145" s="191">
        <v>100</v>
      </c>
      <c r="EX145" s="191"/>
      <c r="EY145" s="191"/>
      <c r="EZ145" s="191"/>
      <c r="FA145" s="191"/>
      <c r="FB145" s="191"/>
      <c r="FC145" s="191"/>
      <c r="FD145" s="191"/>
      <c r="FE145" s="191"/>
      <c r="FF145" s="191"/>
      <c r="FG145" s="191"/>
      <c r="FH145" s="191"/>
      <c r="FI145" s="191"/>
      <c r="FJ145" s="191"/>
      <c r="FK145" s="191"/>
      <c r="FL145" s="191"/>
      <c r="FM145" s="191"/>
      <c r="FN145" s="191"/>
      <c r="FO145" s="191"/>
      <c r="FP145" s="191"/>
      <c r="FQ145" s="193"/>
      <c r="FR145" s="194"/>
      <c r="FS145" s="191"/>
      <c r="FT145" s="191"/>
      <c r="FU145" s="191"/>
      <c r="FV145" s="191"/>
      <c r="FW145" s="191"/>
      <c r="FX145" s="191"/>
      <c r="FY145" s="191"/>
      <c r="FZ145" s="191"/>
      <c r="GA145" s="191"/>
      <c r="GB145" s="191"/>
      <c r="GC145" s="191"/>
      <c r="GD145" s="191"/>
      <c r="GE145" s="191"/>
      <c r="GF145" s="191">
        <v>100</v>
      </c>
      <c r="GG145" s="191"/>
      <c r="GH145" s="191"/>
      <c r="GI145" s="191"/>
      <c r="GJ145" s="191"/>
      <c r="GK145" s="191"/>
      <c r="GL145" s="191"/>
      <c r="GM145" s="191"/>
      <c r="GN145" s="191"/>
      <c r="GO145" s="191"/>
      <c r="GP145" s="191"/>
      <c r="GQ145" s="191"/>
      <c r="GR145" s="191"/>
      <c r="GS145" s="191"/>
      <c r="GT145" s="191"/>
      <c r="GU145" s="191"/>
      <c r="GV145" s="192"/>
      <c r="GW145" s="190"/>
      <c r="GX145" s="191"/>
      <c r="GY145" s="191"/>
      <c r="GZ145" s="191"/>
      <c r="HA145" s="191">
        <v>200</v>
      </c>
      <c r="HB145" s="191"/>
      <c r="HC145" s="191"/>
      <c r="HD145" s="191"/>
      <c r="HE145" s="191"/>
      <c r="HF145" s="191"/>
      <c r="HG145" s="191"/>
      <c r="HH145" s="191"/>
      <c r="HI145" s="191"/>
      <c r="HJ145" s="191"/>
      <c r="HK145" s="191"/>
      <c r="HL145" s="191"/>
      <c r="HM145" s="191"/>
      <c r="HN145" s="191"/>
      <c r="HO145" s="191"/>
      <c r="HP145" s="191"/>
      <c r="HQ145" s="191"/>
      <c r="HR145" s="191"/>
      <c r="HS145" s="191"/>
      <c r="HT145" s="191"/>
      <c r="HU145" s="191"/>
      <c r="HV145" s="191">
        <v>100</v>
      </c>
      <c r="HW145" s="191"/>
      <c r="HX145" s="191"/>
      <c r="HY145" s="191"/>
      <c r="HZ145" s="193"/>
      <c r="IA145" s="194"/>
      <c r="IB145" s="191"/>
      <c r="IC145" s="191">
        <v>10</v>
      </c>
      <c r="ID145" s="191"/>
      <c r="IE145" s="191"/>
      <c r="IF145" s="191"/>
      <c r="IG145" s="191"/>
      <c r="IH145" s="191"/>
      <c r="II145" s="191"/>
      <c r="IJ145" s="191">
        <v>10</v>
      </c>
      <c r="IK145" s="191"/>
      <c r="IL145" s="191"/>
      <c r="IM145" s="191"/>
      <c r="IN145" s="191"/>
      <c r="IO145" s="191"/>
      <c r="IP145" s="191"/>
      <c r="IQ145" s="191"/>
      <c r="IR145" s="191"/>
      <c r="IS145" s="191"/>
      <c r="IT145" s="191"/>
      <c r="IU145" s="191"/>
      <c r="IV145" s="191"/>
      <c r="IW145" s="191"/>
      <c r="IX145" s="191"/>
      <c r="IY145" s="191"/>
      <c r="IZ145" s="191"/>
      <c r="JA145" s="191"/>
      <c r="JB145" s="191"/>
      <c r="JC145" s="191"/>
      <c r="JD145" s="191"/>
      <c r="JE145" s="192"/>
      <c r="JF145" s="190"/>
      <c r="JG145" s="191"/>
      <c r="JH145" s="191"/>
      <c r="JI145" s="191"/>
      <c r="JJ145" s="191"/>
      <c r="JK145" s="191"/>
      <c r="JL145" s="191">
        <v>150</v>
      </c>
      <c r="JM145" s="191"/>
      <c r="JN145" s="191"/>
      <c r="JO145" s="191"/>
      <c r="JP145" s="191"/>
      <c r="JQ145" s="191"/>
      <c r="JR145" s="191"/>
      <c r="JS145" s="191"/>
      <c r="JT145" s="191"/>
      <c r="JU145" s="191"/>
      <c r="JV145" s="191"/>
      <c r="JW145" s="191"/>
      <c r="JX145" s="191"/>
      <c r="JY145" s="191"/>
      <c r="JZ145" s="191">
        <v>10</v>
      </c>
      <c r="KA145" s="191"/>
      <c r="KB145" s="191"/>
      <c r="KC145" s="191"/>
      <c r="KD145" s="191"/>
      <c r="KE145" s="191"/>
      <c r="KF145" s="191"/>
      <c r="KG145" s="191"/>
      <c r="KH145" s="191"/>
      <c r="KI145" s="191"/>
      <c r="KJ145" s="193"/>
      <c r="KK145" s="194"/>
      <c r="KL145" s="191"/>
      <c r="KM145" s="191"/>
      <c r="KN145" s="191">
        <v>10</v>
      </c>
      <c r="KO145" s="191"/>
      <c r="KP145" s="191"/>
      <c r="KQ145" s="191"/>
      <c r="KR145" s="191"/>
      <c r="KS145" s="191"/>
      <c r="KT145" s="191"/>
      <c r="KU145" s="191"/>
      <c r="KV145" s="191"/>
      <c r="KW145" s="191"/>
      <c r="KX145" s="191"/>
      <c r="KY145" s="191"/>
      <c r="KZ145" s="191"/>
      <c r="LA145" s="191"/>
      <c r="LB145" s="191">
        <v>50</v>
      </c>
      <c r="LC145" s="191"/>
      <c r="LD145" s="191"/>
      <c r="LE145" s="191"/>
      <c r="LF145" s="191"/>
      <c r="LG145" s="191"/>
      <c r="LH145" s="191"/>
      <c r="LI145" s="191">
        <v>100</v>
      </c>
      <c r="LJ145" s="191"/>
      <c r="LK145" s="191"/>
      <c r="LL145" s="191"/>
      <c r="LM145" s="191"/>
      <c r="LN145" s="192"/>
      <c r="LO145" s="190"/>
      <c r="LP145" s="191"/>
      <c r="LQ145" s="191"/>
      <c r="LR145" s="191"/>
      <c r="LS145" s="191"/>
      <c r="LT145" s="191"/>
      <c r="LU145" s="191"/>
      <c r="LV145" s="191"/>
      <c r="LW145" s="191">
        <v>150</v>
      </c>
      <c r="LX145" s="191"/>
      <c r="LY145" s="191"/>
      <c r="LZ145" s="191"/>
      <c r="MA145" s="191"/>
      <c r="MB145" s="191"/>
      <c r="MC145" s="191"/>
      <c r="MD145" s="191"/>
      <c r="ME145" s="191"/>
      <c r="MF145" s="191"/>
      <c r="MG145" s="191"/>
      <c r="MH145" s="191"/>
      <c r="MI145" s="191"/>
      <c r="MJ145" s="191"/>
      <c r="MK145" s="191">
        <v>50</v>
      </c>
      <c r="ML145" s="191"/>
      <c r="MM145" s="191"/>
      <c r="MN145" s="191"/>
      <c r="MO145" s="191"/>
      <c r="MP145" s="191"/>
      <c r="MQ145" s="191"/>
      <c r="MR145" s="191"/>
      <c r="MS145" s="193"/>
      <c r="MT145" s="194"/>
      <c r="MU145" s="191"/>
      <c r="MV145" s="191"/>
      <c r="MW145" s="191"/>
      <c r="MX145" s="191"/>
      <c r="MY145" s="191">
        <v>150</v>
      </c>
      <c r="MZ145" s="191"/>
      <c r="NA145" s="191"/>
      <c r="NB145" s="191"/>
      <c r="NC145" s="191"/>
      <c r="ND145" s="191"/>
      <c r="NE145" s="191"/>
      <c r="NF145" s="191"/>
      <c r="NG145" s="191"/>
      <c r="NH145" s="191"/>
      <c r="NI145" s="191"/>
      <c r="NJ145" s="191"/>
      <c r="NK145" s="191"/>
      <c r="NL145" s="191"/>
      <c r="NM145" s="191"/>
      <c r="NN145" s="191"/>
      <c r="NO145" s="191"/>
      <c r="NP145" s="191"/>
      <c r="NQ145" s="191"/>
      <c r="NR145" s="191"/>
      <c r="NS145" s="191"/>
      <c r="NT145" s="191">
        <v>50</v>
      </c>
      <c r="NU145" s="191"/>
      <c r="NV145" s="191"/>
      <c r="NW145" s="192"/>
      <c r="NX145" s="190"/>
      <c r="NY145" s="191"/>
      <c r="NZ145" s="191"/>
      <c r="OA145" s="191"/>
      <c r="OB145" s="191"/>
      <c r="OC145" s="191"/>
      <c r="OD145" s="191"/>
      <c r="OE145" s="191"/>
      <c r="OF145" s="191"/>
      <c r="OG145" s="191"/>
      <c r="OH145" s="191">
        <v>50</v>
      </c>
      <c r="OI145" s="191"/>
      <c r="OJ145" s="191"/>
      <c r="OK145" s="191"/>
      <c r="OL145" s="191"/>
      <c r="OM145" s="191"/>
      <c r="ON145" s="191"/>
      <c r="OO145" s="191"/>
      <c r="OP145" s="191"/>
      <c r="OQ145" s="191"/>
      <c r="OR145" s="191"/>
      <c r="OS145" s="191"/>
      <c r="OT145" s="191"/>
      <c r="OU145" s="191"/>
      <c r="OV145" s="191"/>
      <c r="OW145" s="191"/>
      <c r="OX145" s="191"/>
      <c r="OY145" s="191"/>
      <c r="OZ145" s="191"/>
      <c r="PA145" s="191"/>
      <c r="PB145" s="193"/>
      <c r="PC145" s="47"/>
      <c r="PD145" s="154" t="s">
        <v>98</v>
      </c>
      <c r="PE145" s="155" t="s">
        <v>98</v>
      </c>
      <c r="PF145" s="155" t="s">
        <v>98</v>
      </c>
      <c r="PG145" s="155" t="s">
        <v>98</v>
      </c>
      <c r="PH145" s="155" t="s">
        <v>98</v>
      </c>
      <c r="PI145" s="155" t="s">
        <v>98</v>
      </c>
      <c r="PJ145" s="155" t="s">
        <v>97</v>
      </c>
      <c r="PK145" s="155" t="s">
        <v>98</v>
      </c>
      <c r="PL145" s="155" t="s">
        <v>98</v>
      </c>
      <c r="PM145" s="155" t="s">
        <v>98</v>
      </c>
      <c r="PN145" s="155" t="s">
        <v>98</v>
      </c>
      <c r="PO145" s="156"/>
      <c r="PP145" s="156"/>
      <c r="PQ145" s="156"/>
      <c r="PR145" s="156"/>
      <c r="PS145" s="156"/>
      <c r="PT145" s="156"/>
      <c r="PU145" s="156"/>
      <c r="PV145" s="156"/>
      <c r="PW145" s="156"/>
      <c r="PX145" s="195"/>
      <c r="PY145" s="1"/>
      <c r="PZ145" s="196">
        <f t="shared" si="126"/>
        <v>150</v>
      </c>
      <c r="QA145" s="176">
        <f t="shared" si="127"/>
        <v>1.2513556352715441E-3</v>
      </c>
      <c r="QB145" s="177" t="str">
        <f t="shared" ca="1" si="128"/>
        <v>Attente…</v>
      </c>
      <c r="QC145" s="197">
        <f t="shared" si="129"/>
        <v>100</v>
      </c>
      <c r="QD145" s="179">
        <f t="shared" si="130"/>
        <v>9.3632958801498128E-4</v>
      </c>
      <c r="QE145" s="180" t="str">
        <f t="shared" ca="1" si="131"/>
        <v>Attente…</v>
      </c>
      <c r="QF145" s="196">
        <f t="shared" si="132"/>
        <v>110</v>
      </c>
      <c r="QG145" s="176">
        <f t="shared" si="133"/>
        <v>8.7593565854435424E-4</v>
      </c>
      <c r="QH145" s="177" t="str">
        <f t="shared" ca="1" si="134"/>
        <v>Attente…</v>
      </c>
      <c r="QI145" s="197">
        <f t="shared" si="135"/>
        <v>100</v>
      </c>
      <c r="QJ145" s="179">
        <f t="shared" si="136"/>
        <v>7.0136063964090333E-4</v>
      </c>
      <c r="QK145" s="180" t="str">
        <f t="shared" ca="1" si="137"/>
        <v>Attente…</v>
      </c>
      <c r="QL145" s="196">
        <f t="shared" si="138"/>
        <v>100</v>
      </c>
      <c r="QM145" s="176">
        <f t="shared" si="139"/>
        <v>7.3163593795727241E-4</v>
      </c>
      <c r="QN145" s="177" t="str">
        <f t="shared" ca="1" si="140"/>
        <v>Attente…</v>
      </c>
      <c r="QO145" s="197">
        <f t="shared" si="141"/>
        <v>300</v>
      </c>
      <c r="QP145" s="179">
        <f t="shared" si="142"/>
        <v>2.3487042981288654E-3</v>
      </c>
      <c r="QQ145" s="180" t="str">
        <f t="shared" ca="1" si="143"/>
        <v>Attente…</v>
      </c>
      <c r="QR145" s="196">
        <f t="shared" si="144"/>
        <v>20</v>
      </c>
      <c r="QS145" s="176">
        <f t="shared" si="145"/>
        <v>1.4398329793743927E-4</v>
      </c>
      <c r="QT145" s="177" t="str">
        <f t="shared" ca="1" si="146"/>
        <v>Attente…</v>
      </c>
      <c r="QU145" s="197">
        <f t="shared" si="147"/>
        <v>160</v>
      </c>
      <c r="QV145" s="179">
        <f t="shared" si="148"/>
        <v>1.1031439602868175E-3</v>
      </c>
      <c r="QW145" s="180" t="str">
        <f t="shared" ca="1" si="149"/>
        <v>Attente…</v>
      </c>
      <c r="QX145" s="196">
        <f t="shared" si="150"/>
        <v>160</v>
      </c>
      <c r="QY145" s="176">
        <f t="shared" si="151"/>
        <v>1.1675764032808896E-3</v>
      </c>
      <c r="QZ145" s="177" t="str">
        <f t="shared" ca="1" si="152"/>
        <v>Attente…</v>
      </c>
      <c r="RA145" s="197">
        <f t="shared" si="153"/>
        <v>200</v>
      </c>
      <c r="RB145" s="179">
        <f t="shared" si="154"/>
        <v>1.5648227838197324E-3</v>
      </c>
      <c r="RC145" s="180" t="str">
        <f t="shared" ca="1" si="155"/>
        <v>Attente…</v>
      </c>
      <c r="RD145" s="196">
        <f t="shared" si="156"/>
        <v>200</v>
      </c>
      <c r="RE145" s="176">
        <f t="shared" si="157"/>
        <v>1.9928258270227183E-3</v>
      </c>
      <c r="RF145" s="177" t="str">
        <f t="shared" ca="1" si="158"/>
        <v>Attente…</v>
      </c>
      <c r="RG145" s="197">
        <f t="shared" si="159"/>
        <v>50</v>
      </c>
      <c r="RH145" s="179">
        <f t="shared" si="160"/>
        <v>9.1962479308442156E-4</v>
      </c>
      <c r="RI145" s="198" t="str">
        <f t="shared" ca="1" si="161"/>
        <v>Attente…</v>
      </c>
      <c r="RJ145" s="199">
        <f t="shared" si="162"/>
        <v>360</v>
      </c>
      <c r="RK145" s="200" t="str">
        <f t="shared" ca="1" si="119"/>
        <v>Attente…</v>
      </c>
      <c r="RL145" s="199">
        <f t="shared" si="163"/>
        <v>500</v>
      </c>
      <c r="RM145" s="200" t="str">
        <f t="shared" ca="1" si="164"/>
        <v>Atttente…</v>
      </c>
      <c r="RN145" s="199">
        <f t="shared" si="165"/>
        <v>340</v>
      </c>
      <c r="RO145" s="200" t="str">
        <f t="shared" ca="1" si="120"/>
        <v>Attente…</v>
      </c>
      <c r="RP145" s="199">
        <f t="shared" si="166"/>
        <v>450</v>
      </c>
      <c r="RQ145" s="200" t="str">
        <f t="shared" ca="1" si="121"/>
        <v>Attente…</v>
      </c>
      <c r="RR145" s="201">
        <f t="shared" si="167"/>
        <v>1650</v>
      </c>
      <c r="RS145" s="202" t="str">
        <f t="shared" ca="1" si="122"/>
        <v>Attente…</v>
      </c>
      <c r="RT145" s="103"/>
      <c r="RU145" s="203">
        <f t="shared" si="168"/>
        <v>0.41249999999999998</v>
      </c>
      <c r="RV145" s="204">
        <f t="shared" si="118"/>
        <v>1</v>
      </c>
      <c r="RW145" s="204">
        <f t="shared" si="118"/>
        <v>1</v>
      </c>
      <c r="RX145" s="204">
        <f t="shared" si="169"/>
        <v>20</v>
      </c>
      <c r="RY145" s="205" t="str">
        <f t="shared" si="170"/>
        <v>ROCQUEMONT - 709 Grande Rue  (Côté Eglise)</v>
      </c>
      <c r="RZ145" s="189" t="str">
        <f>IF(OR(RZ144="",RZ144="  &lt;/Document&gt;
&lt;/kml&gt;"),"",
IF(B145="","  &lt;/Document&gt;
&lt;/kml&gt;",
IF(TournéesCAV!Q145=""," ",
"    &lt;Placemark&gt;
      &lt;description&gt;&lt;![CDATA["&amp;B145&amp;"&lt;br&gt;&lt;br&gt;"&amp;RV145&amp;" CAV&lt;br&gt;&lt;br&gt;Présent sur "&amp;RW145&amp;" tournée(s)&lt;br&gt;&lt;br&gt;Taux de remplissage moyen "&amp;TEXT(RU145*1000,"0 %")&amp;"]]&gt;&lt;/description&gt;
      &lt;Style&gt;
        &lt;IconStyle&gt;
          &lt;color&gt;ff"&amp;
          DEC2HEX(0,2)&amp;
          DEC2HEX(
            IF(RU145&lt;=0.5,
               INT(255*(RU145*2)),
               255
            ),2)&amp;
          DEC2HEX(
            IF(RU145&lt;=0.5,
               255,
               INT(255*(1-(RU145-0.5)*2))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&lt;Point&gt;&lt;coordinates&gt;"&amp;R145&amp;","&amp;Q145&amp;",0&lt;/coordinates&gt;&lt;/Point&gt;
    &lt;/Placemark&gt;"
)))</f>
        <v xml:space="preserve">    &lt;Placemark&gt;
      &lt;description&gt;&lt;![CDATA[ROCQUEMONT - 709 Grande Rue  (Côté Eglise)&lt;br&gt;&lt;br&gt;1 CAV&lt;br&gt;&lt;br&gt;Présent sur 1 tournée(s)&lt;br&gt;&lt;br&gt;Taux de remplissage moyen 41%]]&gt;&lt;/description&gt;
      &lt;Style&gt;
        &lt;IconStyle&gt;
          &lt;color&gt;ff00D2FF&lt;/color&gt;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&lt;Point&gt;&lt;coordinates&gt;1.284158,49.603358,0&lt;/coordinates&gt;&lt;/Point&gt;
    &lt;/Placemark&gt;</v>
      </c>
    </row>
    <row r="146" spans="2:494" ht="15" hidden="1" customHeight="1" x14ac:dyDescent="0.35">
      <c r="B146" s="153" t="str">
        <f t="shared" si="123"/>
        <v>MONTEROLIER - 1 Rue du Mesnil (Devant le terrain de tennis)</v>
      </c>
      <c r="C146" s="154" t="s">
        <v>104</v>
      </c>
      <c r="D146" s="155"/>
      <c r="E146" s="155"/>
      <c r="F146" s="155"/>
      <c r="G146" s="155"/>
      <c r="H146" s="155"/>
      <c r="I146" s="155"/>
      <c r="J146" s="156"/>
      <c r="K146" s="157">
        <f t="shared" si="124"/>
        <v>1</v>
      </c>
      <c r="L146" s="157">
        <f t="shared" si="125"/>
        <v>1</v>
      </c>
      <c r="M146" s="158" t="s">
        <v>819</v>
      </c>
      <c r="N146" s="159" t="s">
        <v>820</v>
      </c>
      <c r="O146" s="159">
        <v>76680</v>
      </c>
      <c r="P146" s="159" t="s">
        <v>821</v>
      </c>
      <c r="Q146" s="159" t="s">
        <v>822</v>
      </c>
      <c r="R146" s="159" t="s">
        <v>823</v>
      </c>
      <c r="S146" s="159"/>
      <c r="T146" s="159" t="s">
        <v>94</v>
      </c>
      <c r="U146" s="159" t="s">
        <v>824</v>
      </c>
      <c r="V146" s="160" t="s">
        <v>96</v>
      </c>
      <c r="W146" s="161"/>
      <c r="X146" s="162"/>
      <c r="Y146" s="163"/>
      <c r="Z146" s="162"/>
      <c r="AA146" s="163"/>
      <c r="AB146" s="162"/>
      <c r="AC146" s="163"/>
      <c r="AD146" s="162"/>
      <c r="AE146" s="163"/>
      <c r="AF146" s="162"/>
      <c r="AG146" s="163"/>
      <c r="AH146" s="163"/>
      <c r="AI146" s="162"/>
      <c r="AJ146" s="163"/>
      <c r="AK146" s="162">
        <v>2</v>
      </c>
      <c r="AL146" s="163"/>
      <c r="AM146" s="162"/>
      <c r="AN146" s="163"/>
      <c r="AO146" s="162"/>
      <c r="AP146" s="164"/>
      <c r="AQ146" s="164"/>
      <c r="AR146" s="164"/>
      <c r="AS146" s="164"/>
      <c r="AT146" s="164"/>
      <c r="AU146" s="164"/>
      <c r="AV146" s="164"/>
      <c r="AW146" s="164"/>
      <c r="AX146" s="164"/>
      <c r="AY146" s="165"/>
      <c r="AZ146" s="41"/>
      <c r="BA146" s="190"/>
      <c r="BB146" s="191"/>
      <c r="BC146" s="191"/>
      <c r="BD146" s="191"/>
      <c r="BE146" s="191"/>
      <c r="BF146" s="191"/>
      <c r="BG146" s="191"/>
      <c r="BH146" s="191"/>
      <c r="BI146" s="191">
        <v>150</v>
      </c>
      <c r="BJ146" s="191"/>
      <c r="BK146" s="191"/>
      <c r="BL146" s="191"/>
      <c r="BM146" s="191"/>
      <c r="BN146" s="191"/>
      <c r="BO146" s="191"/>
      <c r="BP146" s="191"/>
      <c r="BQ146" s="191"/>
      <c r="BR146" s="191"/>
      <c r="BS146" s="191"/>
      <c r="BT146" s="191"/>
      <c r="BU146" s="191"/>
      <c r="BV146" s="191"/>
      <c r="BW146" s="191"/>
      <c r="BX146" s="191"/>
      <c r="BY146" s="191"/>
      <c r="BZ146" s="191"/>
      <c r="CA146" s="191"/>
      <c r="CB146" s="191"/>
      <c r="CC146" s="191"/>
      <c r="CD146" s="191"/>
      <c r="CE146" s="192"/>
      <c r="CF146" s="190"/>
      <c r="CG146" s="191"/>
      <c r="CH146" s="191"/>
      <c r="CI146" s="191"/>
      <c r="CJ146" s="191"/>
      <c r="CK146" s="191">
        <v>50</v>
      </c>
      <c r="CL146" s="191"/>
      <c r="CM146" s="191"/>
      <c r="CN146" s="191"/>
      <c r="CO146" s="191"/>
      <c r="CP146" s="191"/>
      <c r="CQ146" s="191"/>
      <c r="CR146" s="191"/>
      <c r="CS146" s="191"/>
      <c r="CT146" s="191"/>
      <c r="CU146" s="191"/>
      <c r="CV146" s="191"/>
      <c r="CW146" s="191"/>
      <c r="CX146" s="191"/>
      <c r="CY146" s="191"/>
      <c r="CZ146" s="191"/>
      <c r="DA146" s="191"/>
      <c r="DB146" s="191"/>
      <c r="DC146" s="191"/>
      <c r="DD146" s="191"/>
      <c r="DE146" s="191"/>
      <c r="DF146" s="191"/>
      <c r="DG146" s="191"/>
      <c r="DH146" s="193"/>
      <c r="DI146" s="194"/>
      <c r="DJ146" s="191"/>
      <c r="DK146" s="191"/>
      <c r="DL146" s="191"/>
      <c r="DM146" s="191"/>
      <c r="DN146" s="191"/>
      <c r="DO146" s="191"/>
      <c r="DP146" s="191"/>
      <c r="DQ146" s="191"/>
      <c r="DR146" s="191"/>
      <c r="DS146" s="191"/>
      <c r="DT146" s="191"/>
      <c r="DU146" s="191">
        <v>150</v>
      </c>
      <c r="DV146" s="191"/>
      <c r="DW146" s="191"/>
      <c r="DX146" s="191"/>
      <c r="DY146" s="191"/>
      <c r="DZ146" s="191"/>
      <c r="EA146" s="191"/>
      <c r="EB146" s="191"/>
      <c r="EC146" s="191"/>
      <c r="ED146" s="191"/>
      <c r="EE146" s="191"/>
      <c r="EF146" s="191"/>
      <c r="EG146" s="191"/>
      <c r="EH146" s="191"/>
      <c r="EI146" s="191">
        <v>50</v>
      </c>
      <c r="EJ146" s="191"/>
      <c r="EK146" s="191"/>
      <c r="EL146" s="191"/>
      <c r="EM146" s="192"/>
      <c r="EN146" s="190"/>
      <c r="EO146" s="191"/>
      <c r="EP146" s="191"/>
      <c r="EQ146" s="191"/>
      <c r="ER146" s="191"/>
      <c r="ES146" s="191"/>
      <c r="ET146" s="191"/>
      <c r="EU146" s="191"/>
      <c r="EV146" s="191"/>
      <c r="EW146" s="191">
        <v>50</v>
      </c>
      <c r="EX146" s="191"/>
      <c r="EY146" s="191"/>
      <c r="EZ146" s="191"/>
      <c r="FA146" s="191"/>
      <c r="FB146" s="191"/>
      <c r="FC146" s="191"/>
      <c r="FD146" s="191"/>
      <c r="FE146" s="191"/>
      <c r="FF146" s="191"/>
      <c r="FG146" s="191"/>
      <c r="FH146" s="191"/>
      <c r="FI146" s="191"/>
      <c r="FJ146" s="191"/>
      <c r="FK146" s="191"/>
      <c r="FL146" s="191"/>
      <c r="FM146" s="191"/>
      <c r="FN146" s="191"/>
      <c r="FO146" s="191"/>
      <c r="FP146" s="191"/>
      <c r="FQ146" s="193"/>
      <c r="FR146" s="194"/>
      <c r="FS146" s="191"/>
      <c r="FT146" s="191"/>
      <c r="FU146" s="191"/>
      <c r="FV146" s="191"/>
      <c r="FW146" s="191"/>
      <c r="FX146" s="191"/>
      <c r="FY146" s="191"/>
      <c r="FZ146" s="191"/>
      <c r="GA146" s="191"/>
      <c r="GB146" s="191"/>
      <c r="GC146" s="191"/>
      <c r="GD146" s="191"/>
      <c r="GE146" s="191"/>
      <c r="GF146" s="191">
        <v>100</v>
      </c>
      <c r="GG146" s="191"/>
      <c r="GH146" s="191"/>
      <c r="GI146" s="191"/>
      <c r="GJ146" s="191"/>
      <c r="GK146" s="191"/>
      <c r="GL146" s="191"/>
      <c r="GM146" s="191"/>
      <c r="GN146" s="191"/>
      <c r="GO146" s="191"/>
      <c r="GP146" s="191"/>
      <c r="GQ146" s="191"/>
      <c r="GR146" s="191"/>
      <c r="GS146" s="191"/>
      <c r="GT146" s="191"/>
      <c r="GU146" s="191"/>
      <c r="GV146" s="192"/>
      <c r="GW146" s="190"/>
      <c r="GX146" s="191"/>
      <c r="GY146" s="191"/>
      <c r="GZ146" s="191"/>
      <c r="HA146" s="191">
        <v>50</v>
      </c>
      <c r="HB146" s="191"/>
      <c r="HC146" s="191"/>
      <c r="HD146" s="191"/>
      <c r="HE146" s="191"/>
      <c r="HF146" s="191"/>
      <c r="HG146" s="191"/>
      <c r="HH146" s="191"/>
      <c r="HI146" s="191"/>
      <c r="HJ146" s="191"/>
      <c r="HK146" s="191"/>
      <c r="HL146" s="191"/>
      <c r="HM146" s="191"/>
      <c r="HN146" s="191"/>
      <c r="HO146" s="191"/>
      <c r="HP146" s="191"/>
      <c r="HQ146" s="191"/>
      <c r="HR146" s="191"/>
      <c r="HS146" s="191"/>
      <c r="HT146" s="191"/>
      <c r="HU146" s="191"/>
      <c r="HV146" s="191">
        <v>50</v>
      </c>
      <c r="HW146" s="191"/>
      <c r="HX146" s="191"/>
      <c r="HY146" s="191"/>
      <c r="HZ146" s="193"/>
      <c r="IA146" s="194"/>
      <c r="IB146" s="191"/>
      <c r="IC146" s="191">
        <v>10</v>
      </c>
      <c r="ID146" s="191"/>
      <c r="IE146" s="191"/>
      <c r="IF146" s="191"/>
      <c r="IG146" s="191"/>
      <c r="IH146" s="191"/>
      <c r="II146" s="191"/>
      <c r="IJ146" s="191">
        <v>50</v>
      </c>
      <c r="IK146" s="191"/>
      <c r="IL146" s="191"/>
      <c r="IM146" s="191"/>
      <c r="IN146" s="191"/>
      <c r="IO146" s="191"/>
      <c r="IP146" s="191"/>
      <c r="IQ146" s="191"/>
      <c r="IR146" s="191"/>
      <c r="IS146" s="191"/>
      <c r="IT146" s="191"/>
      <c r="IU146" s="191"/>
      <c r="IV146" s="191"/>
      <c r="IW146" s="191"/>
      <c r="IX146" s="191"/>
      <c r="IY146" s="191"/>
      <c r="IZ146" s="191"/>
      <c r="JA146" s="191"/>
      <c r="JB146" s="191"/>
      <c r="JC146" s="191"/>
      <c r="JD146" s="191"/>
      <c r="JE146" s="192"/>
      <c r="JF146" s="190"/>
      <c r="JG146" s="191"/>
      <c r="JH146" s="191"/>
      <c r="JI146" s="191"/>
      <c r="JJ146" s="191"/>
      <c r="JK146" s="191"/>
      <c r="JL146" s="191">
        <v>150</v>
      </c>
      <c r="JM146" s="191"/>
      <c r="JN146" s="191"/>
      <c r="JO146" s="191"/>
      <c r="JP146" s="191"/>
      <c r="JQ146" s="191"/>
      <c r="JR146" s="191"/>
      <c r="JS146" s="191"/>
      <c r="JT146" s="191"/>
      <c r="JU146" s="191"/>
      <c r="JV146" s="191"/>
      <c r="JW146" s="191"/>
      <c r="JX146" s="191"/>
      <c r="JY146" s="191"/>
      <c r="JZ146" s="191">
        <v>10</v>
      </c>
      <c r="KA146" s="191"/>
      <c r="KB146" s="191"/>
      <c r="KC146" s="191"/>
      <c r="KD146" s="191"/>
      <c r="KE146" s="191"/>
      <c r="KF146" s="191"/>
      <c r="KG146" s="191"/>
      <c r="KH146" s="191"/>
      <c r="KI146" s="191"/>
      <c r="KJ146" s="193"/>
      <c r="KK146" s="194"/>
      <c r="KL146" s="191"/>
      <c r="KM146" s="191"/>
      <c r="KN146" s="191">
        <v>50</v>
      </c>
      <c r="KO146" s="191"/>
      <c r="KP146" s="191"/>
      <c r="KQ146" s="191"/>
      <c r="KR146" s="191"/>
      <c r="KS146" s="191"/>
      <c r="KT146" s="191"/>
      <c r="KU146" s="191"/>
      <c r="KV146" s="191"/>
      <c r="KW146" s="191"/>
      <c r="KX146" s="191"/>
      <c r="KY146" s="191"/>
      <c r="KZ146" s="191"/>
      <c r="LA146" s="191"/>
      <c r="LB146" s="191">
        <v>50</v>
      </c>
      <c r="LC146" s="191"/>
      <c r="LD146" s="191"/>
      <c r="LE146" s="191"/>
      <c r="LF146" s="191"/>
      <c r="LG146" s="191"/>
      <c r="LH146" s="191"/>
      <c r="LI146" s="191">
        <v>10</v>
      </c>
      <c r="LJ146" s="191"/>
      <c r="LK146" s="191"/>
      <c r="LL146" s="191"/>
      <c r="LM146" s="191"/>
      <c r="LN146" s="192"/>
      <c r="LO146" s="190"/>
      <c r="LP146" s="191"/>
      <c r="LQ146" s="191"/>
      <c r="LR146" s="191"/>
      <c r="LS146" s="191"/>
      <c r="LT146" s="191"/>
      <c r="LU146" s="191"/>
      <c r="LV146" s="191"/>
      <c r="LW146" s="191">
        <v>50</v>
      </c>
      <c r="LX146" s="191"/>
      <c r="LY146" s="191"/>
      <c r="LZ146" s="191"/>
      <c r="MA146" s="191"/>
      <c r="MB146" s="191"/>
      <c r="MC146" s="191"/>
      <c r="MD146" s="191"/>
      <c r="ME146" s="191"/>
      <c r="MF146" s="191"/>
      <c r="MG146" s="191"/>
      <c r="MH146" s="191"/>
      <c r="MI146" s="191"/>
      <c r="MJ146" s="191"/>
      <c r="MK146" s="191">
        <v>50</v>
      </c>
      <c r="ML146" s="191"/>
      <c r="MM146" s="191"/>
      <c r="MN146" s="191"/>
      <c r="MO146" s="191"/>
      <c r="MP146" s="191"/>
      <c r="MQ146" s="191"/>
      <c r="MR146" s="191"/>
      <c r="MS146" s="193"/>
      <c r="MT146" s="194"/>
      <c r="MU146" s="191"/>
      <c r="MV146" s="191"/>
      <c r="MW146" s="191"/>
      <c r="MX146" s="191"/>
      <c r="MY146" s="191">
        <v>50</v>
      </c>
      <c r="MZ146" s="191"/>
      <c r="NA146" s="191"/>
      <c r="NB146" s="191"/>
      <c r="NC146" s="191"/>
      <c r="ND146" s="191"/>
      <c r="NE146" s="191"/>
      <c r="NF146" s="191"/>
      <c r="NG146" s="191"/>
      <c r="NH146" s="191"/>
      <c r="NI146" s="191"/>
      <c r="NJ146" s="191"/>
      <c r="NK146" s="191"/>
      <c r="NL146" s="191"/>
      <c r="NM146" s="191"/>
      <c r="NN146" s="191"/>
      <c r="NO146" s="191"/>
      <c r="NP146" s="191"/>
      <c r="NQ146" s="191"/>
      <c r="NR146" s="191"/>
      <c r="NS146" s="191"/>
      <c r="NT146" s="191">
        <v>50</v>
      </c>
      <c r="NU146" s="191"/>
      <c r="NV146" s="191"/>
      <c r="NW146" s="192"/>
      <c r="NX146" s="190"/>
      <c r="NY146" s="191"/>
      <c r="NZ146" s="191"/>
      <c r="OA146" s="191"/>
      <c r="OB146" s="191"/>
      <c r="OC146" s="191"/>
      <c r="OD146" s="191"/>
      <c r="OE146" s="191"/>
      <c r="OF146" s="191"/>
      <c r="OG146" s="191"/>
      <c r="OH146" s="191">
        <v>50</v>
      </c>
      <c r="OI146" s="191"/>
      <c r="OJ146" s="191"/>
      <c r="OK146" s="191"/>
      <c r="OL146" s="191"/>
      <c r="OM146" s="191"/>
      <c r="ON146" s="191"/>
      <c r="OO146" s="191"/>
      <c r="OP146" s="191"/>
      <c r="OQ146" s="191"/>
      <c r="OR146" s="191"/>
      <c r="OS146" s="191"/>
      <c r="OT146" s="191"/>
      <c r="OU146" s="191"/>
      <c r="OV146" s="191"/>
      <c r="OW146" s="191"/>
      <c r="OX146" s="191"/>
      <c r="OY146" s="191"/>
      <c r="OZ146" s="191"/>
      <c r="PA146" s="191"/>
      <c r="PB146" s="193"/>
      <c r="PC146" s="47"/>
      <c r="PD146" s="154" t="s">
        <v>98</v>
      </c>
      <c r="PE146" s="155" t="s">
        <v>98</v>
      </c>
      <c r="PF146" s="155" t="s">
        <v>98</v>
      </c>
      <c r="PG146" s="155" t="s">
        <v>98</v>
      </c>
      <c r="PH146" s="155" t="s">
        <v>98</v>
      </c>
      <c r="PI146" s="155" t="s">
        <v>98</v>
      </c>
      <c r="PJ146" s="155" t="s">
        <v>97</v>
      </c>
      <c r="PK146" s="155" t="s">
        <v>98</v>
      </c>
      <c r="PL146" s="155" t="s">
        <v>98</v>
      </c>
      <c r="PM146" s="155" t="s">
        <v>98</v>
      </c>
      <c r="PN146" s="155" t="s">
        <v>98</v>
      </c>
      <c r="PO146" s="156"/>
      <c r="PP146" s="156"/>
      <c r="PQ146" s="156"/>
      <c r="PR146" s="156"/>
      <c r="PS146" s="156"/>
      <c r="PT146" s="156"/>
      <c r="PU146" s="156"/>
      <c r="PV146" s="156"/>
      <c r="PW146" s="156"/>
      <c r="PX146" s="195"/>
      <c r="PY146" s="1"/>
      <c r="PZ146" s="196">
        <f t="shared" si="126"/>
        <v>150</v>
      </c>
      <c r="QA146" s="176">
        <f t="shared" si="127"/>
        <v>1.2513556352715441E-3</v>
      </c>
      <c r="QB146" s="177" t="str">
        <f t="shared" ca="1" si="128"/>
        <v>Attente…</v>
      </c>
      <c r="QC146" s="197">
        <f t="shared" si="129"/>
        <v>50</v>
      </c>
      <c r="QD146" s="179">
        <f t="shared" si="130"/>
        <v>4.6816479400749064E-4</v>
      </c>
      <c r="QE146" s="180" t="str">
        <f t="shared" ca="1" si="131"/>
        <v>Attente…</v>
      </c>
      <c r="QF146" s="196">
        <f t="shared" si="132"/>
        <v>200</v>
      </c>
      <c r="QG146" s="176">
        <f t="shared" si="133"/>
        <v>1.5926102882624622E-3</v>
      </c>
      <c r="QH146" s="177" t="str">
        <f t="shared" ca="1" si="134"/>
        <v>Attente…</v>
      </c>
      <c r="QI146" s="197">
        <f t="shared" si="135"/>
        <v>50</v>
      </c>
      <c r="QJ146" s="179">
        <f t="shared" si="136"/>
        <v>3.5068031982045167E-4</v>
      </c>
      <c r="QK146" s="180" t="str">
        <f t="shared" ca="1" si="137"/>
        <v>Attente…</v>
      </c>
      <c r="QL146" s="196">
        <f t="shared" si="138"/>
        <v>100</v>
      </c>
      <c r="QM146" s="176">
        <f t="shared" si="139"/>
        <v>7.3163593795727241E-4</v>
      </c>
      <c r="QN146" s="177" t="str">
        <f t="shared" ca="1" si="140"/>
        <v>Attente…</v>
      </c>
      <c r="QO146" s="197">
        <f t="shared" si="141"/>
        <v>100</v>
      </c>
      <c r="QP146" s="179">
        <f t="shared" si="142"/>
        <v>7.8290143270962184E-4</v>
      </c>
      <c r="QQ146" s="180" t="str">
        <f t="shared" ca="1" si="143"/>
        <v>Attente…</v>
      </c>
      <c r="QR146" s="196">
        <f t="shared" si="144"/>
        <v>60</v>
      </c>
      <c r="QS146" s="176">
        <f t="shared" si="145"/>
        <v>4.3194989381231777E-4</v>
      </c>
      <c r="QT146" s="177" t="str">
        <f t="shared" ca="1" si="146"/>
        <v>Attente…</v>
      </c>
      <c r="QU146" s="197">
        <f t="shared" si="147"/>
        <v>160</v>
      </c>
      <c r="QV146" s="179">
        <f t="shared" si="148"/>
        <v>1.1031439602868175E-3</v>
      </c>
      <c r="QW146" s="180" t="str">
        <f t="shared" ca="1" si="149"/>
        <v>Attente…</v>
      </c>
      <c r="QX146" s="196">
        <f t="shared" si="150"/>
        <v>110</v>
      </c>
      <c r="QY146" s="176">
        <f t="shared" si="151"/>
        <v>8.0270877725561161E-4</v>
      </c>
      <c r="QZ146" s="177" t="str">
        <f t="shared" ca="1" si="152"/>
        <v>Attente…</v>
      </c>
      <c r="RA146" s="197">
        <f t="shared" si="153"/>
        <v>100</v>
      </c>
      <c r="RB146" s="179">
        <f t="shared" si="154"/>
        <v>7.8241139190986621E-4</v>
      </c>
      <c r="RC146" s="180" t="str">
        <f t="shared" ca="1" si="155"/>
        <v>Attente…</v>
      </c>
      <c r="RD146" s="196">
        <f t="shared" si="156"/>
        <v>100</v>
      </c>
      <c r="RE146" s="176">
        <f t="shared" si="157"/>
        <v>9.9641291351135913E-4</v>
      </c>
      <c r="RF146" s="177" t="str">
        <f t="shared" ca="1" si="158"/>
        <v>Attente…</v>
      </c>
      <c r="RG146" s="197">
        <f t="shared" si="159"/>
        <v>50</v>
      </c>
      <c r="RH146" s="179">
        <f t="shared" si="160"/>
        <v>9.1962479308442156E-4</v>
      </c>
      <c r="RI146" s="198" t="str">
        <f t="shared" ca="1" si="161"/>
        <v>Attente…</v>
      </c>
      <c r="RJ146" s="199">
        <f t="shared" si="162"/>
        <v>400</v>
      </c>
      <c r="RK146" s="200" t="str">
        <f t="shared" ca="1" si="119"/>
        <v>Attente…</v>
      </c>
      <c r="RL146" s="199">
        <f t="shared" si="163"/>
        <v>250</v>
      </c>
      <c r="RM146" s="200" t="str">
        <f t="shared" ca="1" si="164"/>
        <v>Atttente…</v>
      </c>
      <c r="RN146" s="199">
        <f t="shared" si="165"/>
        <v>330</v>
      </c>
      <c r="RO146" s="200" t="str">
        <f t="shared" ca="1" si="120"/>
        <v>Attente…</v>
      </c>
      <c r="RP146" s="199">
        <f t="shared" si="166"/>
        <v>250</v>
      </c>
      <c r="RQ146" s="200" t="str">
        <f t="shared" ca="1" si="121"/>
        <v>Attente…</v>
      </c>
      <c r="RR146" s="201">
        <f t="shared" si="167"/>
        <v>1230</v>
      </c>
      <c r="RS146" s="202" t="str">
        <f t="shared" ca="1" si="122"/>
        <v>Attente…</v>
      </c>
      <c r="RT146" s="103"/>
      <c r="RU146" s="203">
        <f t="shared" si="168"/>
        <v>0.3075</v>
      </c>
      <c r="RV146" s="204">
        <f t="shared" si="118"/>
        <v>1</v>
      </c>
      <c r="RW146" s="204">
        <f t="shared" si="118"/>
        <v>1</v>
      </c>
      <c r="RX146" s="204">
        <f t="shared" si="169"/>
        <v>20</v>
      </c>
      <c r="RY146" s="205" t="str">
        <f t="shared" si="170"/>
        <v>MONTEROLIER - 1 Rue du Mesnil (Devant le terrain de tennis)</v>
      </c>
      <c r="RZ146" s="189" t="str">
        <f>IF(OR(RZ145="",RZ145="  &lt;/Document&gt;
&lt;/kml&gt;"),"",
IF(B146="","  &lt;/Document&gt;
&lt;/kml&gt;",
IF(TournéesCAV!Q146=""," ",
"    &lt;Placemark&gt;
      &lt;description&gt;&lt;![CDATA["&amp;B146&amp;"&lt;br&gt;&lt;br&gt;"&amp;RV146&amp;" CAV&lt;br&gt;&lt;br&gt;Présent sur "&amp;RW146&amp;" tournée(s)&lt;br&gt;&lt;br&gt;Taux de remplissage moyen "&amp;TEXT(RU146*1000,"0 %")&amp;"]]&gt;&lt;/description&gt;
      &lt;Style&gt;
        &lt;IconStyle&gt;
          &lt;color&gt;ff"&amp;
          DEC2HEX(0,2)&amp;
          DEC2HEX(
            IF(RU146&lt;=0.5,
               INT(255*(RU146*2)),
               255
            ),2)&amp;
          DEC2HEX(
            IF(RU146&lt;=0.5,
               255,
               INT(255*(1-(RU146-0.5)*2))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&lt;Point&gt;&lt;coordinates&gt;"&amp;R146&amp;","&amp;Q146&amp;",0&lt;/coordinates&gt;&lt;/Point&gt;
    &lt;/Placemark&gt;"
)))</f>
        <v xml:space="preserve">    &lt;Placemark&gt;
      &lt;description&gt;&lt;![CDATA[MONTEROLIER - 1 Rue du Mesnil (Devant le terrain de tennis)&lt;br&gt;&lt;br&gt;1 CAV&lt;br&gt;&lt;br&gt;Présent sur 1 tournée(s)&lt;br&gt;&lt;br&gt;Taux de remplissage moyen 31%]]&gt;&lt;/description&gt;
      &lt;Style&gt;
        &lt;IconStyle&gt;
          &lt;color&gt;ff009CFF&lt;/color&gt;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&lt;Point&gt;&lt;coordinates&gt;1.3446324,49.6276563,0&lt;/coordinates&gt;&lt;/Point&gt;
    &lt;/Placemark&gt;</v>
      </c>
    </row>
    <row r="147" spans="2:494" ht="15" hidden="1" customHeight="1" x14ac:dyDescent="0.35">
      <c r="B147" s="153" t="str">
        <f t="shared" si="123"/>
        <v>SOMMERY - 479 rue de la Gare (Parking Gare)</v>
      </c>
      <c r="C147" s="154" t="s">
        <v>104</v>
      </c>
      <c r="D147" s="155"/>
      <c r="E147" s="155"/>
      <c r="F147" s="155"/>
      <c r="G147" s="155"/>
      <c r="H147" s="155"/>
      <c r="I147" s="155"/>
      <c r="J147" s="156"/>
      <c r="K147" s="157">
        <f t="shared" si="124"/>
        <v>1</v>
      </c>
      <c r="L147" s="157">
        <f t="shared" si="125"/>
        <v>1</v>
      </c>
      <c r="M147" s="158" t="s">
        <v>825</v>
      </c>
      <c r="N147" s="159" t="s">
        <v>826</v>
      </c>
      <c r="O147" s="159">
        <v>76440</v>
      </c>
      <c r="P147" s="159" t="s">
        <v>827</v>
      </c>
      <c r="Q147" s="159" t="s">
        <v>828</v>
      </c>
      <c r="R147" s="159" t="s">
        <v>829</v>
      </c>
      <c r="S147" s="159"/>
      <c r="T147" s="159" t="s">
        <v>94</v>
      </c>
      <c r="U147" s="159" t="s">
        <v>830</v>
      </c>
      <c r="V147" s="160" t="s">
        <v>96</v>
      </c>
      <c r="W147" s="161"/>
      <c r="X147" s="162"/>
      <c r="Y147" s="163"/>
      <c r="Z147" s="162"/>
      <c r="AA147" s="163"/>
      <c r="AB147" s="162"/>
      <c r="AC147" s="163"/>
      <c r="AD147" s="162"/>
      <c r="AE147" s="163"/>
      <c r="AF147" s="162"/>
      <c r="AG147" s="163"/>
      <c r="AH147" s="163"/>
      <c r="AI147" s="162"/>
      <c r="AJ147" s="163"/>
      <c r="AK147" s="162">
        <v>3</v>
      </c>
      <c r="AL147" s="163"/>
      <c r="AM147" s="162"/>
      <c r="AN147" s="163"/>
      <c r="AO147" s="162"/>
      <c r="AP147" s="164"/>
      <c r="AQ147" s="164"/>
      <c r="AR147" s="164"/>
      <c r="AS147" s="164"/>
      <c r="AT147" s="164"/>
      <c r="AU147" s="164"/>
      <c r="AV147" s="164"/>
      <c r="AW147" s="164"/>
      <c r="AX147" s="164"/>
      <c r="AY147" s="165"/>
      <c r="AZ147" s="41"/>
      <c r="BA147" s="190"/>
      <c r="BB147" s="191"/>
      <c r="BC147" s="191"/>
      <c r="BD147" s="191"/>
      <c r="BE147" s="191"/>
      <c r="BF147" s="191"/>
      <c r="BG147" s="191"/>
      <c r="BH147" s="191"/>
      <c r="BI147" s="191"/>
      <c r="BJ147" s="191"/>
      <c r="BK147" s="191"/>
      <c r="BL147" s="191"/>
      <c r="BM147" s="191"/>
      <c r="BN147" s="191"/>
      <c r="BO147" s="191"/>
      <c r="BP147" s="191"/>
      <c r="BQ147" s="191"/>
      <c r="BR147" s="191"/>
      <c r="BS147" s="191"/>
      <c r="BT147" s="191"/>
      <c r="BU147" s="191"/>
      <c r="BV147" s="191"/>
      <c r="BW147" s="191"/>
      <c r="BX147" s="191"/>
      <c r="BY147" s="191"/>
      <c r="BZ147" s="191"/>
      <c r="CA147" s="191"/>
      <c r="CB147" s="191"/>
      <c r="CC147" s="191"/>
      <c r="CD147" s="191"/>
      <c r="CE147" s="192"/>
      <c r="CF147" s="190"/>
      <c r="CG147" s="191"/>
      <c r="CH147" s="191"/>
      <c r="CI147" s="191"/>
      <c r="CJ147" s="191"/>
      <c r="CK147" s="191">
        <v>200</v>
      </c>
      <c r="CL147" s="191"/>
      <c r="CM147" s="191"/>
      <c r="CN147" s="191"/>
      <c r="CO147" s="191"/>
      <c r="CP147" s="191"/>
      <c r="CQ147" s="191"/>
      <c r="CR147" s="191"/>
      <c r="CS147" s="191"/>
      <c r="CT147" s="191"/>
      <c r="CU147" s="191"/>
      <c r="CV147" s="191"/>
      <c r="CW147" s="191"/>
      <c r="CX147" s="191"/>
      <c r="CY147" s="191"/>
      <c r="CZ147" s="191"/>
      <c r="DA147" s="191"/>
      <c r="DB147" s="191"/>
      <c r="DC147" s="191"/>
      <c r="DD147" s="191"/>
      <c r="DE147" s="191"/>
      <c r="DF147" s="191"/>
      <c r="DG147" s="191"/>
      <c r="DH147" s="193"/>
      <c r="DI147" s="194"/>
      <c r="DJ147" s="191"/>
      <c r="DK147" s="191"/>
      <c r="DL147" s="191"/>
      <c r="DM147" s="191"/>
      <c r="DN147" s="191"/>
      <c r="DO147" s="191"/>
      <c r="DP147" s="191"/>
      <c r="DQ147" s="191"/>
      <c r="DR147" s="191"/>
      <c r="DS147" s="191"/>
      <c r="DT147" s="191"/>
      <c r="DU147" s="191">
        <v>150</v>
      </c>
      <c r="DV147" s="191"/>
      <c r="DW147" s="191"/>
      <c r="DX147" s="191"/>
      <c r="DY147" s="191"/>
      <c r="DZ147" s="191"/>
      <c r="EA147" s="191"/>
      <c r="EB147" s="191"/>
      <c r="EC147" s="191"/>
      <c r="ED147" s="191"/>
      <c r="EE147" s="191"/>
      <c r="EF147" s="191"/>
      <c r="EG147" s="191"/>
      <c r="EH147" s="191"/>
      <c r="EI147" s="191">
        <v>200</v>
      </c>
      <c r="EJ147" s="191"/>
      <c r="EK147" s="191"/>
      <c r="EL147" s="191"/>
      <c r="EM147" s="192"/>
      <c r="EN147" s="190"/>
      <c r="EO147" s="191"/>
      <c r="EP147" s="191"/>
      <c r="EQ147" s="191"/>
      <c r="ER147" s="191"/>
      <c r="ES147" s="191"/>
      <c r="ET147" s="191"/>
      <c r="EU147" s="191"/>
      <c r="EV147" s="191"/>
      <c r="EW147" s="191">
        <v>150</v>
      </c>
      <c r="EX147" s="191"/>
      <c r="EY147" s="191"/>
      <c r="EZ147" s="191"/>
      <c r="FA147" s="191"/>
      <c r="FB147" s="191"/>
      <c r="FC147" s="191"/>
      <c r="FD147" s="191"/>
      <c r="FE147" s="191"/>
      <c r="FF147" s="191"/>
      <c r="FG147" s="191"/>
      <c r="FH147" s="191"/>
      <c r="FI147" s="191"/>
      <c r="FJ147" s="191"/>
      <c r="FK147" s="191"/>
      <c r="FL147" s="191"/>
      <c r="FM147" s="191"/>
      <c r="FN147" s="191"/>
      <c r="FO147" s="191"/>
      <c r="FP147" s="191"/>
      <c r="FQ147" s="193"/>
      <c r="FR147" s="194"/>
      <c r="FS147" s="191"/>
      <c r="FT147" s="191"/>
      <c r="FU147" s="191"/>
      <c r="FV147" s="191"/>
      <c r="FW147" s="191"/>
      <c r="FX147" s="191"/>
      <c r="FY147" s="191"/>
      <c r="FZ147" s="191"/>
      <c r="GA147" s="191"/>
      <c r="GB147" s="191"/>
      <c r="GC147" s="191"/>
      <c r="GD147" s="191"/>
      <c r="GE147" s="191"/>
      <c r="GF147" s="191">
        <v>150</v>
      </c>
      <c r="GG147" s="191"/>
      <c r="GH147" s="191"/>
      <c r="GI147" s="191"/>
      <c r="GJ147" s="191"/>
      <c r="GK147" s="191"/>
      <c r="GL147" s="191"/>
      <c r="GM147" s="191"/>
      <c r="GN147" s="191"/>
      <c r="GO147" s="191"/>
      <c r="GP147" s="191"/>
      <c r="GQ147" s="191"/>
      <c r="GR147" s="191"/>
      <c r="GS147" s="191"/>
      <c r="GT147" s="191"/>
      <c r="GU147" s="191"/>
      <c r="GV147" s="192"/>
      <c r="GW147" s="190"/>
      <c r="GX147" s="191"/>
      <c r="GY147" s="191"/>
      <c r="GZ147" s="191"/>
      <c r="HA147" s="191">
        <v>200</v>
      </c>
      <c r="HB147" s="191"/>
      <c r="HC147" s="191"/>
      <c r="HD147" s="191"/>
      <c r="HE147" s="191"/>
      <c r="HF147" s="191"/>
      <c r="HG147" s="191"/>
      <c r="HH147" s="191"/>
      <c r="HI147" s="191"/>
      <c r="HJ147" s="191"/>
      <c r="HK147" s="191"/>
      <c r="HL147" s="191"/>
      <c r="HM147" s="191"/>
      <c r="HN147" s="191"/>
      <c r="HO147" s="191"/>
      <c r="HP147" s="191"/>
      <c r="HQ147" s="191"/>
      <c r="HR147" s="191"/>
      <c r="HS147" s="191"/>
      <c r="HT147" s="191"/>
      <c r="HU147" s="191"/>
      <c r="HV147" s="191">
        <v>200</v>
      </c>
      <c r="HW147" s="191"/>
      <c r="HX147" s="191"/>
      <c r="HY147" s="191"/>
      <c r="HZ147" s="193"/>
      <c r="IA147" s="194"/>
      <c r="IB147" s="191"/>
      <c r="IC147" s="191">
        <v>10</v>
      </c>
      <c r="ID147" s="191"/>
      <c r="IE147" s="191"/>
      <c r="IF147" s="191"/>
      <c r="IG147" s="191"/>
      <c r="IH147" s="191"/>
      <c r="II147" s="191"/>
      <c r="IJ147" s="191">
        <v>10</v>
      </c>
      <c r="IK147" s="191"/>
      <c r="IL147" s="191"/>
      <c r="IM147" s="191"/>
      <c r="IN147" s="191"/>
      <c r="IO147" s="191"/>
      <c r="IP147" s="191"/>
      <c r="IQ147" s="191"/>
      <c r="IR147" s="191"/>
      <c r="IS147" s="191"/>
      <c r="IT147" s="191"/>
      <c r="IU147" s="191"/>
      <c r="IV147" s="191"/>
      <c r="IW147" s="191"/>
      <c r="IX147" s="191"/>
      <c r="IY147" s="191"/>
      <c r="IZ147" s="191"/>
      <c r="JA147" s="191"/>
      <c r="JB147" s="191"/>
      <c r="JC147" s="191"/>
      <c r="JD147" s="191"/>
      <c r="JE147" s="192"/>
      <c r="JF147" s="190"/>
      <c r="JG147" s="191"/>
      <c r="JH147" s="191"/>
      <c r="JI147" s="191"/>
      <c r="JJ147" s="191"/>
      <c r="JK147" s="191"/>
      <c r="JL147" s="191">
        <v>200</v>
      </c>
      <c r="JM147" s="191"/>
      <c r="JN147" s="191"/>
      <c r="JO147" s="191"/>
      <c r="JP147" s="191"/>
      <c r="JQ147" s="191"/>
      <c r="JR147" s="191"/>
      <c r="JS147" s="191"/>
      <c r="JT147" s="191"/>
      <c r="JU147" s="191"/>
      <c r="JV147" s="191"/>
      <c r="JW147" s="191"/>
      <c r="JX147" s="191"/>
      <c r="JY147" s="191"/>
      <c r="JZ147" s="191">
        <v>200</v>
      </c>
      <c r="KA147" s="191"/>
      <c r="KB147" s="191"/>
      <c r="KC147" s="191"/>
      <c r="KD147" s="191"/>
      <c r="KE147" s="191"/>
      <c r="KF147" s="191"/>
      <c r="KG147" s="191"/>
      <c r="KH147" s="191"/>
      <c r="KI147" s="191"/>
      <c r="KJ147" s="193"/>
      <c r="KK147" s="194"/>
      <c r="KL147" s="191"/>
      <c r="KM147" s="191"/>
      <c r="KN147" s="191">
        <v>150</v>
      </c>
      <c r="KO147" s="191"/>
      <c r="KP147" s="191"/>
      <c r="KQ147" s="191"/>
      <c r="KR147" s="191"/>
      <c r="KS147" s="191"/>
      <c r="KT147" s="191"/>
      <c r="KU147" s="191"/>
      <c r="KV147" s="191"/>
      <c r="KW147" s="191"/>
      <c r="KX147" s="191"/>
      <c r="KY147" s="191"/>
      <c r="KZ147" s="191"/>
      <c r="LA147" s="191"/>
      <c r="LB147" s="191">
        <v>150</v>
      </c>
      <c r="LC147" s="191"/>
      <c r="LD147" s="191"/>
      <c r="LE147" s="191"/>
      <c r="LF147" s="191"/>
      <c r="LG147" s="191"/>
      <c r="LH147" s="191"/>
      <c r="LI147" s="191">
        <v>150</v>
      </c>
      <c r="LJ147" s="191"/>
      <c r="LK147" s="191"/>
      <c r="LL147" s="191"/>
      <c r="LM147" s="191"/>
      <c r="LN147" s="192"/>
      <c r="LO147" s="190"/>
      <c r="LP147" s="191"/>
      <c r="LQ147" s="191"/>
      <c r="LR147" s="191"/>
      <c r="LS147" s="191"/>
      <c r="LT147" s="191"/>
      <c r="LU147" s="191"/>
      <c r="LV147" s="191"/>
      <c r="LW147" s="191">
        <v>100</v>
      </c>
      <c r="LX147" s="191"/>
      <c r="LY147" s="191"/>
      <c r="LZ147" s="191"/>
      <c r="MA147" s="191"/>
      <c r="MB147" s="191"/>
      <c r="MC147" s="191"/>
      <c r="MD147" s="191"/>
      <c r="ME147" s="191"/>
      <c r="MF147" s="191"/>
      <c r="MG147" s="191"/>
      <c r="MH147" s="191"/>
      <c r="MI147" s="191"/>
      <c r="MJ147" s="191"/>
      <c r="MK147" s="191">
        <v>50</v>
      </c>
      <c r="ML147" s="191"/>
      <c r="MM147" s="191"/>
      <c r="MN147" s="191"/>
      <c r="MO147" s="191"/>
      <c r="MP147" s="191"/>
      <c r="MQ147" s="191"/>
      <c r="MR147" s="191"/>
      <c r="MS147" s="193"/>
      <c r="MT147" s="194"/>
      <c r="MU147" s="191"/>
      <c r="MV147" s="191"/>
      <c r="MW147" s="191"/>
      <c r="MX147" s="191"/>
      <c r="MY147" s="191">
        <v>150</v>
      </c>
      <c r="MZ147" s="191"/>
      <c r="NA147" s="191"/>
      <c r="NB147" s="191"/>
      <c r="NC147" s="191"/>
      <c r="ND147" s="191"/>
      <c r="NE147" s="191"/>
      <c r="NF147" s="191"/>
      <c r="NG147" s="191"/>
      <c r="NH147" s="191"/>
      <c r="NI147" s="191"/>
      <c r="NJ147" s="191"/>
      <c r="NK147" s="191"/>
      <c r="NL147" s="191"/>
      <c r="NM147" s="191"/>
      <c r="NN147" s="191"/>
      <c r="NO147" s="191"/>
      <c r="NP147" s="191"/>
      <c r="NQ147" s="191"/>
      <c r="NR147" s="191"/>
      <c r="NS147" s="191"/>
      <c r="NT147" s="191">
        <v>50</v>
      </c>
      <c r="NU147" s="191"/>
      <c r="NV147" s="191"/>
      <c r="NW147" s="192"/>
      <c r="NX147" s="190"/>
      <c r="NY147" s="191"/>
      <c r="NZ147" s="191"/>
      <c r="OA147" s="191"/>
      <c r="OB147" s="191"/>
      <c r="OC147" s="191"/>
      <c r="OD147" s="191"/>
      <c r="OE147" s="191"/>
      <c r="OF147" s="191"/>
      <c r="OG147" s="191"/>
      <c r="OH147" s="191">
        <v>50</v>
      </c>
      <c r="OI147" s="191"/>
      <c r="OJ147" s="191"/>
      <c r="OK147" s="191"/>
      <c r="OL147" s="191"/>
      <c r="OM147" s="191"/>
      <c r="ON147" s="191"/>
      <c r="OO147" s="191"/>
      <c r="OP147" s="191"/>
      <c r="OQ147" s="191"/>
      <c r="OR147" s="191"/>
      <c r="OS147" s="191"/>
      <c r="OT147" s="191"/>
      <c r="OU147" s="191"/>
      <c r="OV147" s="191"/>
      <c r="OW147" s="191"/>
      <c r="OX147" s="191"/>
      <c r="OY147" s="191"/>
      <c r="OZ147" s="191"/>
      <c r="PA147" s="191"/>
      <c r="PB147" s="193"/>
      <c r="PC147" s="47"/>
      <c r="PD147" s="154" t="s">
        <v>98</v>
      </c>
      <c r="PE147" s="155" t="s">
        <v>98</v>
      </c>
      <c r="PF147" s="155" t="s">
        <v>98</v>
      </c>
      <c r="PG147" s="155" t="s">
        <v>98</v>
      </c>
      <c r="PH147" s="155" t="s">
        <v>98</v>
      </c>
      <c r="PI147" s="155" t="s">
        <v>98</v>
      </c>
      <c r="PJ147" s="155" t="s">
        <v>97</v>
      </c>
      <c r="PK147" s="155" t="s">
        <v>98</v>
      </c>
      <c r="PL147" s="155" t="s">
        <v>98</v>
      </c>
      <c r="PM147" s="155" t="s">
        <v>98</v>
      </c>
      <c r="PN147" s="155" t="s">
        <v>98</v>
      </c>
      <c r="PO147" s="156"/>
      <c r="PP147" s="156"/>
      <c r="PQ147" s="156"/>
      <c r="PR147" s="156"/>
      <c r="PS147" s="156"/>
      <c r="PT147" s="156"/>
      <c r="PU147" s="156"/>
      <c r="PV147" s="156"/>
      <c r="PW147" s="156"/>
      <c r="PX147" s="195"/>
      <c r="PY147" s="1"/>
      <c r="PZ147" s="196">
        <f t="shared" si="126"/>
        <v>0</v>
      </c>
      <c r="QA147" s="176">
        <f t="shared" si="127"/>
        <v>0</v>
      </c>
      <c r="QB147" s="177" t="str">
        <f t="shared" ca="1" si="128"/>
        <v>Attente…</v>
      </c>
      <c r="QC147" s="197">
        <f t="shared" si="129"/>
        <v>200</v>
      </c>
      <c r="QD147" s="179">
        <f t="shared" si="130"/>
        <v>1.8726591760299626E-3</v>
      </c>
      <c r="QE147" s="180" t="str">
        <f t="shared" ca="1" si="131"/>
        <v>Attente…</v>
      </c>
      <c r="QF147" s="196">
        <f t="shared" si="132"/>
        <v>350</v>
      </c>
      <c r="QG147" s="176">
        <f t="shared" si="133"/>
        <v>2.787068004459309E-3</v>
      </c>
      <c r="QH147" s="177" t="str">
        <f t="shared" ca="1" si="134"/>
        <v>Attente…</v>
      </c>
      <c r="QI147" s="197">
        <f t="shared" si="135"/>
        <v>150</v>
      </c>
      <c r="QJ147" s="179">
        <f t="shared" si="136"/>
        <v>1.0520409594613549E-3</v>
      </c>
      <c r="QK147" s="180" t="str">
        <f t="shared" ca="1" si="137"/>
        <v>Attente…</v>
      </c>
      <c r="QL147" s="196">
        <f t="shared" si="138"/>
        <v>150</v>
      </c>
      <c r="QM147" s="176">
        <f t="shared" si="139"/>
        <v>1.0974539069359087E-3</v>
      </c>
      <c r="QN147" s="177" t="str">
        <f t="shared" ca="1" si="140"/>
        <v>Attente…</v>
      </c>
      <c r="QO147" s="197">
        <f t="shared" si="141"/>
        <v>400</v>
      </c>
      <c r="QP147" s="179">
        <f t="shared" si="142"/>
        <v>3.1316057308384874E-3</v>
      </c>
      <c r="QQ147" s="180" t="str">
        <f t="shared" ca="1" si="143"/>
        <v>Attente…</v>
      </c>
      <c r="QR147" s="196">
        <f t="shared" si="144"/>
        <v>20</v>
      </c>
      <c r="QS147" s="176">
        <f t="shared" si="145"/>
        <v>1.4398329793743927E-4</v>
      </c>
      <c r="QT147" s="177" t="str">
        <f t="shared" ca="1" si="146"/>
        <v>Attente…</v>
      </c>
      <c r="QU147" s="197">
        <f t="shared" si="147"/>
        <v>400</v>
      </c>
      <c r="QV147" s="179">
        <f t="shared" si="148"/>
        <v>2.7578599007170436E-3</v>
      </c>
      <c r="QW147" s="180" t="str">
        <f t="shared" ca="1" si="149"/>
        <v>Attente…</v>
      </c>
      <c r="QX147" s="196">
        <f t="shared" si="150"/>
        <v>450</v>
      </c>
      <c r="QY147" s="176">
        <f t="shared" si="151"/>
        <v>3.2838086342275022E-3</v>
      </c>
      <c r="QZ147" s="177" t="str">
        <f t="shared" ca="1" si="152"/>
        <v>Attente…</v>
      </c>
      <c r="RA147" s="197">
        <f t="shared" si="153"/>
        <v>150</v>
      </c>
      <c r="RB147" s="179">
        <f t="shared" si="154"/>
        <v>1.1736170878647993E-3</v>
      </c>
      <c r="RC147" s="180" t="str">
        <f t="shared" ca="1" si="155"/>
        <v>Attente…</v>
      </c>
      <c r="RD147" s="196">
        <f t="shared" si="156"/>
        <v>200</v>
      </c>
      <c r="RE147" s="176">
        <f t="shared" si="157"/>
        <v>1.9928258270227183E-3</v>
      </c>
      <c r="RF147" s="177" t="str">
        <f t="shared" ca="1" si="158"/>
        <v>Attente…</v>
      </c>
      <c r="RG147" s="197">
        <f t="shared" si="159"/>
        <v>50</v>
      </c>
      <c r="RH147" s="179">
        <f t="shared" si="160"/>
        <v>9.1962479308442156E-4</v>
      </c>
      <c r="RI147" s="198" t="str">
        <f t="shared" ca="1" si="161"/>
        <v>Attente…</v>
      </c>
      <c r="RJ147" s="199">
        <f t="shared" si="162"/>
        <v>550</v>
      </c>
      <c r="RK147" s="200" t="str">
        <f t="shared" ca="1" si="119"/>
        <v>Attente…</v>
      </c>
      <c r="RL147" s="199">
        <f t="shared" si="163"/>
        <v>700</v>
      </c>
      <c r="RM147" s="200" t="str">
        <f t="shared" ca="1" si="164"/>
        <v>Atttente…</v>
      </c>
      <c r="RN147" s="199">
        <f t="shared" si="165"/>
        <v>870</v>
      </c>
      <c r="RO147" s="200" t="str">
        <f t="shared" ca="1" si="120"/>
        <v>Attente…</v>
      </c>
      <c r="RP147" s="199">
        <f t="shared" si="166"/>
        <v>400</v>
      </c>
      <c r="RQ147" s="200" t="str">
        <f t="shared" ca="1" si="121"/>
        <v>Attente…</v>
      </c>
      <c r="RR147" s="201">
        <f t="shared" si="167"/>
        <v>2520</v>
      </c>
      <c r="RS147" s="202" t="str">
        <f t="shared" ca="1" si="122"/>
        <v>Attente…</v>
      </c>
      <c r="RT147" s="103"/>
      <c r="RU147" s="203">
        <f t="shared" si="168"/>
        <v>0.66315789473684206</v>
      </c>
      <c r="RV147" s="204">
        <f t="shared" si="118"/>
        <v>1</v>
      </c>
      <c r="RW147" s="204">
        <f t="shared" si="118"/>
        <v>1</v>
      </c>
      <c r="RX147" s="204">
        <f t="shared" si="169"/>
        <v>19</v>
      </c>
      <c r="RY147" s="205" t="str">
        <f t="shared" si="170"/>
        <v>SOMMERY - 479 rue de la Gare (Parking Gare)</v>
      </c>
      <c r="RZ147" s="189" t="str">
        <f>IF(OR(RZ146="",RZ146="  &lt;/Document&gt;
&lt;/kml&gt;"),"",
IF(B147="","  &lt;/Document&gt;
&lt;/kml&gt;",
IF(TournéesCAV!Q147=""," ",
"    &lt;Placemark&gt;
      &lt;description&gt;&lt;![CDATA["&amp;B147&amp;"&lt;br&gt;&lt;br&gt;"&amp;RV147&amp;" CAV&lt;br&gt;&lt;br&gt;Présent sur "&amp;RW147&amp;" tournée(s)&lt;br&gt;&lt;br&gt;Taux de remplissage moyen "&amp;TEXT(RU147*1000,"0 %")&amp;"]]&gt;&lt;/description&gt;
      &lt;Style&gt;
        &lt;IconStyle&gt;
          &lt;color&gt;ff"&amp;
          DEC2HEX(0,2)&amp;
          DEC2HEX(
            IF(RU147&lt;=0.5,
               INT(255*(RU147*2)),
               255
            ),2)&amp;
          DEC2HEX(
            IF(RU147&lt;=0.5,
               255,
               INT(255*(1-(RU147-0.5)*2))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&lt;Point&gt;&lt;coordinates&gt;"&amp;R147&amp;","&amp;Q147&amp;",0&lt;/coordinates&gt;&lt;/Point&gt;
    &lt;/Placemark&gt;"
)))</f>
        <v xml:space="preserve">    &lt;Placemark&gt;
      &lt;description&gt;&lt;![CDATA[SOMMERY - 479 rue de la Gare (Parking Gare)&lt;br&gt;&lt;br&gt;1 CAV&lt;br&gt;&lt;br&gt;Présent sur 1 tournée(s)&lt;br&gt;&lt;br&gt;Taux de remplissage moyen 66%]]&gt;&lt;/description&gt;
      &lt;Style&gt;
        &lt;IconStyle&gt;
          &lt;color&gt;ff00FFAB&lt;/color&gt;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&lt;Point&gt;&lt;coordinates&gt;1.4354724,49.6298681,0&lt;/coordinates&gt;&lt;/Point&gt;
    &lt;/Placemark&gt;</v>
      </c>
    </row>
    <row r="148" spans="2:494" ht="15" hidden="1" customHeight="1" x14ac:dyDescent="0.35">
      <c r="B148" s="153" t="str">
        <f t="shared" si="123"/>
        <v>NEUFCHATEL-EN-BRAY - 29 Impasse de la Gare (Face crèperie)</v>
      </c>
      <c r="C148" s="154" t="s">
        <v>104</v>
      </c>
      <c r="D148" s="155"/>
      <c r="E148" s="155"/>
      <c r="F148" s="155"/>
      <c r="G148" s="155"/>
      <c r="H148" s="155"/>
      <c r="I148" s="155"/>
      <c r="J148" s="156"/>
      <c r="K148" s="157">
        <f t="shared" si="124"/>
        <v>1</v>
      </c>
      <c r="L148" s="157">
        <f t="shared" si="125"/>
        <v>1</v>
      </c>
      <c r="M148" s="158" t="s">
        <v>831</v>
      </c>
      <c r="N148" s="159" t="s">
        <v>832</v>
      </c>
      <c r="O148" s="159">
        <v>76270</v>
      </c>
      <c r="P148" s="159" t="s">
        <v>833</v>
      </c>
      <c r="Q148" s="159" t="s">
        <v>834</v>
      </c>
      <c r="R148" s="159" t="s">
        <v>835</v>
      </c>
      <c r="S148" s="159"/>
      <c r="T148" s="159" t="s">
        <v>94</v>
      </c>
      <c r="U148" s="159" t="s">
        <v>836</v>
      </c>
      <c r="V148" s="160" t="s">
        <v>96</v>
      </c>
      <c r="W148" s="161"/>
      <c r="X148" s="162"/>
      <c r="Y148" s="163"/>
      <c r="Z148" s="162"/>
      <c r="AA148" s="163"/>
      <c r="AB148" s="162"/>
      <c r="AC148" s="163"/>
      <c r="AD148" s="162"/>
      <c r="AE148" s="163"/>
      <c r="AF148" s="162"/>
      <c r="AG148" s="163"/>
      <c r="AH148" s="163"/>
      <c r="AI148" s="162"/>
      <c r="AJ148" s="163"/>
      <c r="AK148" s="162">
        <v>4</v>
      </c>
      <c r="AL148" s="163"/>
      <c r="AM148" s="162"/>
      <c r="AN148" s="163"/>
      <c r="AO148" s="162"/>
      <c r="AP148" s="164"/>
      <c r="AQ148" s="164"/>
      <c r="AR148" s="164"/>
      <c r="AS148" s="164"/>
      <c r="AT148" s="164"/>
      <c r="AU148" s="164"/>
      <c r="AV148" s="164"/>
      <c r="AW148" s="164"/>
      <c r="AX148" s="164"/>
      <c r="AY148" s="165"/>
      <c r="AZ148" s="41"/>
      <c r="BA148" s="190"/>
      <c r="BB148" s="191"/>
      <c r="BC148" s="191"/>
      <c r="BD148" s="191"/>
      <c r="BE148" s="191"/>
      <c r="BF148" s="191"/>
      <c r="BG148" s="191"/>
      <c r="BH148" s="191"/>
      <c r="BI148" s="191">
        <v>150</v>
      </c>
      <c r="BJ148" s="191"/>
      <c r="BK148" s="191"/>
      <c r="BL148" s="191"/>
      <c r="BM148" s="191"/>
      <c r="BN148" s="191"/>
      <c r="BO148" s="191"/>
      <c r="BP148" s="191"/>
      <c r="BQ148" s="191"/>
      <c r="BR148" s="191"/>
      <c r="BS148" s="191"/>
      <c r="BT148" s="191"/>
      <c r="BU148" s="191"/>
      <c r="BV148" s="191"/>
      <c r="BW148" s="191"/>
      <c r="BX148" s="191"/>
      <c r="BY148" s="191"/>
      <c r="BZ148" s="191"/>
      <c r="CA148" s="191"/>
      <c r="CB148" s="191"/>
      <c r="CC148" s="191"/>
      <c r="CD148" s="191"/>
      <c r="CE148" s="192"/>
      <c r="CF148" s="190"/>
      <c r="CG148" s="191"/>
      <c r="CH148" s="191"/>
      <c r="CI148" s="191"/>
      <c r="CJ148" s="191"/>
      <c r="CK148" s="191">
        <v>200</v>
      </c>
      <c r="CL148" s="191"/>
      <c r="CM148" s="191"/>
      <c r="CN148" s="191"/>
      <c r="CO148" s="191"/>
      <c r="CP148" s="191"/>
      <c r="CQ148" s="191"/>
      <c r="CR148" s="191"/>
      <c r="CS148" s="191"/>
      <c r="CT148" s="191"/>
      <c r="CU148" s="191"/>
      <c r="CV148" s="191"/>
      <c r="CW148" s="191"/>
      <c r="CX148" s="191"/>
      <c r="CY148" s="191"/>
      <c r="CZ148" s="191"/>
      <c r="DA148" s="191"/>
      <c r="DB148" s="191"/>
      <c r="DC148" s="191"/>
      <c r="DD148" s="191"/>
      <c r="DE148" s="191"/>
      <c r="DF148" s="191"/>
      <c r="DG148" s="191"/>
      <c r="DH148" s="193"/>
      <c r="DI148" s="194"/>
      <c r="DJ148" s="191"/>
      <c r="DK148" s="191"/>
      <c r="DL148" s="191"/>
      <c r="DM148" s="191"/>
      <c r="DN148" s="191"/>
      <c r="DO148" s="191"/>
      <c r="DP148" s="191"/>
      <c r="DQ148" s="191"/>
      <c r="DR148" s="191"/>
      <c r="DS148" s="191"/>
      <c r="DT148" s="191"/>
      <c r="DU148" s="191">
        <v>150</v>
      </c>
      <c r="DV148" s="191"/>
      <c r="DW148" s="191"/>
      <c r="DX148" s="191"/>
      <c r="DY148" s="191"/>
      <c r="DZ148" s="191"/>
      <c r="EA148" s="191"/>
      <c r="EB148" s="191"/>
      <c r="EC148" s="191"/>
      <c r="ED148" s="191"/>
      <c r="EE148" s="191"/>
      <c r="EF148" s="191"/>
      <c r="EG148" s="191"/>
      <c r="EH148" s="191"/>
      <c r="EI148" s="191">
        <v>200</v>
      </c>
      <c r="EJ148" s="191"/>
      <c r="EK148" s="191"/>
      <c r="EL148" s="191"/>
      <c r="EM148" s="192"/>
      <c r="EN148" s="190"/>
      <c r="EO148" s="191"/>
      <c r="EP148" s="191"/>
      <c r="EQ148" s="191"/>
      <c r="ER148" s="191"/>
      <c r="ES148" s="191"/>
      <c r="ET148" s="191"/>
      <c r="EU148" s="191"/>
      <c r="EV148" s="191"/>
      <c r="EW148" s="191">
        <v>150</v>
      </c>
      <c r="EX148" s="191"/>
      <c r="EY148" s="191"/>
      <c r="EZ148" s="191"/>
      <c r="FA148" s="191"/>
      <c r="FB148" s="191"/>
      <c r="FC148" s="191"/>
      <c r="FD148" s="191"/>
      <c r="FE148" s="191"/>
      <c r="FF148" s="191"/>
      <c r="FG148" s="191"/>
      <c r="FH148" s="191"/>
      <c r="FI148" s="191"/>
      <c r="FJ148" s="191"/>
      <c r="FK148" s="191"/>
      <c r="FL148" s="191"/>
      <c r="FM148" s="191"/>
      <c r="FN148" s="191"/>
      <c r="FO148" s="191"/>
      <c r="FP148" s="191"/>
      <c r="FQ148" s="193"/>
      <c r="FR148" s="194"/>
      <c r="FS148" s="191"/>
      <c r="FT148" s="191"/>
      <c r="FU148" s="191"/>
      <c r="FV148" s="191"/>
      <c r="FW148" s="191"/>
      <c r="FX148" s="191"/>
      <c r="FY148" s="191"/>
      <c r="FZ148" s="191"/>
      <c r="GA148" s="191"/>
      <c r="GB148" s="191"/>
      <c r="GC148" s="191"/>
      <c r="GD148" s="191"/>
      <c r="GE148" s="191"/>
      <c r="GF148" s="191">
        <v>150</v>
      </c>
      <c r="GG148" s="191"/>
      <c r="GH148" s="191"/>
      <c r="GI148" s="191"/>
      <c r="GJ148" s="191"/>
      <c r="GK148" s="191"/>
      <c r="GL148" s="191"/>
      <c r="GM148" s="191"/>
      <c r="GN148" s="191"/>
      <c r="GO148" s="191"/>
      <c r="GP148" s="191"/>
      <c r="GQ148" s="191"/>
      <c r="GR148" s="191"/>
      <c r="GS148" s="191"/>
      <c r="GT148" s="191"/>
      <c r="GU148" s="191"/>
      <c r="GV148" s="192"/>
      <c r="GW148" s="190"/>
      <c r="GX148" s="191"/>
      <c r="GY148" s="191"/>
      <c r="GZ148" s="191"/>
      <c r="HA148" s="191">
        <v>150</v>
      </c>
      <c r="HB148" s="191"/>
      <c r="HC148" s="191"/>
      <c r="HD148" s="191"/>
      <c r="HE148" s="191"/>
      <c r="HF148" s="191"/>
      <c r="HG148" s="191"/>
      <c r="HH148" s="191"/>
      <c r="HI148" s="191"/>
      <c r="HJ148" s="191"/>
      <c r="HK148" s="191"/>
      <c r="HL148" s="191"/>
      <c r="HM148" s="191"/>
      <c r="HN148" s="191"/>
      <c r="HO148" s="191"/>
      <c r="HP148" s="191"/>
      <c r="HQ148" s="191"/>
      <c r="HR148" s="191"/>
      <c r="HS148" s="191"/>
      <c r="HT148" s="191"/>
      <c r="HU148" s="191"/>
      <c r="HV148" s="191">
        <v>200</v>
      </c>
      <c r="HW148" s="191"/>
      <c r="HX148" s="191"/>
      <c r="HY148" s="191"/>
      <c r="HZ148" s="193"/>
      <c r="IA148" s="194"/>
      <c r="IB148" s="191"/>
      <c r="IC148" s="191">
        <v>50</v>
      </c>
      <c r="ID148" s="191"/>
      <c r="IE148" s="191"/>
      <c r="IF148" s="191"/>
      <c r="IG148" s="191"/>
      <c r="IH148" s="191"/>
      <c r="II148" s="191"/>
      <c r="IJ148" s="191">
        <v>50</v>
      </c>
      <c r="IK148" s="191"/>
      <c r="IL148" s="191"/>
      <c r="IM148" s="191"/>
      <c r="IN148" s="191"/>
      <c r="IO148" s="191"/>
      <c r="IP148" s="191"/>
      <c r="IQ148" s="191"/>
      <c r="IR148" s="191"/>
      <c r="IS148" s="191"/>
      <c r="IT148" s="191"/>
      <c r="IU148" s="191"/>
      <c r="IV148" s="191"/>
      <c r="IW148" s="191"/>
      <c r="IX148" s="191"/>
      <c r="IY148" s="191"/>
      <c r="IZ148" s="191"/>
      <c r="JA148" s="191"/>
      <c r="JB148" s="191"/>
      <c r="JC148" s="191"/>
      <c r="JD148" s="191"/>
      <c r="JE148" s="192"/>
      <c r="JF148" s="190"/>
      <c r="JG148" s="191"/>
      <c r="JH148" s="191"/>
      <c r="JI148" s="191"/>
      <c r="JJ148" s="191"/>
      <c r="JK148" s="191"/>
      <c r="JL148" s="191">
        <v>200</v>
      </c>
      <c r="JM148" s="191"/>
      <c r="JN148" s="191"/>
      <c r="JO148" s="191"/>
      <c r="JP148" s="191"/>
      <c r="JQ148" s="191"/>
      <c r="JR148" s="191"/>
      <c r="JS148" s="191"/>
      <c r="JT148" s="191"/>
      <c r="JU148" s="191"/>
      <c r="JV148" s="191"/>
      <c r="JW148" s="191"/>
      <c r="JX148" s="191"/>
      <c r="JY148" s="191"/>
      <c r="JZ148" s="191">
        <v>200</v>
      </c>
      <c r="KA148" s="191"/>
      <c r="KB148" s="191"/>
      <c r="KC148" s="191"/>
      <c r="KD148" s="191"/>
      <c r="KE148" s="191"/>
      <c r="KF148" s="191"/>
      <c r="KG148" s="191"/>
      <c r="KH148" s="191"/>
      <c r="KI148" s="191"/>
      <c r="KJ148" s="193"/>
      <c r="KK148" s="194"/>
      <c r="KL148" s="191"/>
      <c r="KM148" s="191"/>
      <c r="KN148" s="191">
        <v>200</v>
      </c>
      <c r="KO148" s="191"/>
      <c r="KP148" s="191"/>
      <c r="KQ148" s="191"/>
      <c r="KR148" s="191"/>
      <c r="KS148" s="191"/>
      <c r="KT148" s="191"/>
      <c r="KU148" s="191"/>
      <c r="KV148" s="191"/>
      <c r="KW148" s="191"/>
      <c r="KX148" s="191"/>
      <c r="KY148" s="191"/>
      <c r="KZ148" s="191"/>
      <c r="LA148" s="191"/>
      <c r="LB148" s="191">
        <v>150</v>
      </c>
      <c r="LC148" s="191"/>
      <c r="LD148" s="191"/>
      <c r="LE148" s="191"/>
      <c r="LF148" s="191"/>
      <c r="LG148" s="191"/>
      <c r="LH148" s="191"/>
      <c r="LI148" s="191">
        <v>200</v>
      </c>
      <c r="LJ148" s="191"/>
      <c r="LK148" s="191"/>
      <c r="LL148" s="191"/>
      <c r="LM148" s="191"/>
      <c r="LN148" s="192"/>
      <c r="LO148" s="190"/>
      <c r="LP148" s="191"/>
      <c r="LQ148" s="191"/>
      <c r="LR148" s="191"/>
      <c r="LS148" s="191"/>
      <c r="LT148" s="191"/>
      <c r="LU148" s="191"/>
      <c r="LV148" s="191"/>
      <c r="LW148" s="191">
        <v>100</v>
      </c>
      <c r="LX148" s="191"/>
      <c r="LY148" s="191"/>
      <c r="LZ148" s="191"/>
      <c r="MA148" s="191"/>
      <c r="MB148" s="191"/>
      <c r="MC148" s="191"/>
      <c r="MD148" s="191"/>
      <c r="ME148" s="191"/>
      <c r="MF148" s="191"/>
      <c r="MG148" s="191"/>
      <c r="MH148" s="191"/>
      <c r="MI148" s="191"/>
      <c r="MJ148" s="191"/>
      <c r="MK148" s="191">
        <v>150</v>
      </c>
      <c r="ML148" s="191"/>
      <c r="MM148" s="191"/>
      <c r="MN148" s="191"/>
      <c r="MO148" s="191"/>
      <c r="MP148" s="191"/>
      <c r="MQ148" s="191"/>
      <c r="MR148" s="191"/>
      <c r="MS148" s="193"/>
      <c r="MT148" s="194"/>
      <c r="MU148" s="191"/>
      <c r="MV148" s="191"/>
      <c r="MW148" s="191"/>
      <c r="MX148" s="191"/>
      <c r="MY148" s="191">
        <v>150</v>
      </c>
      <c r="MZ148" s="191"/>
      <c r="NA148" s="191"/>
      <c r="NB148" s="191"/>
      <c r="NC148" s="191"/>
      <c r="ND148" s="191"/>
      <c r="NE148" s="191"/>
      <c r="NF148" s="191"/>
      <c r="NG148" s="191"/>
      <c r="NH148" s="191"/>
      <c r="NI148" s="191"/>
      <c r="NJ148" s="191"/>
      <c r="NK148" s="191"/>
      <c r="NL148" s="191"/>
      <c r="NM148" s="191"/>
      <c r="NN148" s="191"/>
      <c r="NO148" s="191"/>
      <c r="NP148" s="191"/>
      <c r="NQ148" s="191"/>
      <c r="NR148" s="191"/>
      <c r="NS148" s="191"/>
      <c r="NT148" s="191">
        <v>200</v>
      </c>
      <c r="NU148" s="191"/>
      <c r="NV148" s="191"/>
      <c r="NW148" s="192"/>
      <c r="NX148" s="190"/>
      <c r="NY148" s="191"/>
      <c r="NZ148" s="191"/>
      <c r="OA148" s="191"/>
      <c r="OB148" s="191"/>
      <c r="OC148" s="191"/>
      <c r="OD148" s="191"/>
      <c r="OE148" s="191"/>
      <c r="OF148" s="191"/>
      <c r="OG148" s="191"/>
      <c r="OH148" s="191">
        <v>100</v>
      </c>
      <c r="OI148" s="191"/>
      <c r="OJ148" s="191"/>
      <c r="OK148" s="191"/>
      <c r="OL148" s="191"/>
      <c r="OM148" s="191"/>
      <c r="ON148" s="191"/>
      <c r="OO148" s="191"/>
      <c r="OP148" s="191"/>
      <c r="OQ148" s="191"/>
      <c r="OR148" s="191"/>
      <c r="OS148" s="191"/>
      <c r="OT148" s="191"/>
      <c r="OU148" s="191"/>
      <c r="OV148" s="191"/>
      <c r="OW148" s="191"/>
      <c r="OX148" s="191"/>
      <c r="OY148" s="191"/>
      <c r="OZ148" s="191"/>
      <c r="PA148" s="191"/>
      <c r="PB148" s="193"/>
      <c r="PC148" s="47"/>
      <c r="PD148" s="154" t="s">
        <v>98</v>
      </c>
      <c r="PE148" s="155" t="s">
        <v>98</v>
      </c>
      <c r="PF148" s="155" t="s">
        <v>98</v>
      </c>
      <c r="PG148" s="155" t="s">
        <v>98</v>
      </c>
      <c r="PH148" s="155" t="s">
        <v>98</v>
      </c>
      <c r="PI148" s="155" t="s">
        <v>98</v>
      </c>
      <c r="PJ148" s="155" t="s">
        <v>97</v>
      </c>
      <c r="PK148" s="155" t="s">
        <v>98</v>
      </c>
      <c r="PL148" s="155" t="s">
        <v>98</v>
      </c>
      <c r="PM148" s="155" t="s">
        <v>98</v>
      </c>
      <c r="PN148" s="155" t="s">
        <v>98</v>
      </c>
      <c r="PO148" s="156"/>
      <c r="PP148" s="156"/>
      <c r="PQ148" s="156"/>
      <c r="PR148" s="156"/>
      <c r="PS148" s="156"/>
      <c r="PT148" s="156"/>
      <c r="PU148" s="156"/>
      <c r="PV148" s="156"/>
      <c r="PW148" s="156"/>
      <c r="PX148" s="195"/>
      <c r="PY148" s="1"/>
      <c r="PZ148" s="196">
        <f t="shared" si="126"/>
        <v>150</v>
      </c>
      <c r="QA148" s="176">
        <f t="shared" si="127"/>
        <v>1.2513556352715441E-3</v>
      </c>
      <c r="QB148" s="177" t="str">
        <f t="shared" ca="1" si="128"/>
        <v>Attente…</v>
      </c>
      <c r="QC148" s="197">
        <f t="shared" si="129"/>
        <v>200</v>
      </c>
      <c r="QD148" s="179">
        <f t="shared" si="130"/>
        <v>1.8726591760299626E-3</v>
      </c>
      <c r="QE148" s="180" t="str">
        <f t="shared" ca="1" si="131"/>
        <v>Attente…</v>
      </c>
      <c r="QF148" s="196">
        <f t="shared" si="132"/>
        <v>350</v>
      </c>
      <c r="QG148" s="176">
        <f t="shared" si="133"/>
        <v>2.787068004459309E-3</v>
      </c>
      <c r="QH148" s="177" t="str">
        <f t="shared" ca="1" si="134"/>
        <v>Attente…</v>
      </c>
      <c r="QI148" s="197">
        <f t="shared" si="135"/>
        <v>150</v>
      </c>
      <c r="QJ148" s="179">
        <f t="shared" si="136"/>
        <v>1.0520409594613549E-3</v>
      </c>
      <c r="QK148" s="180" t="str">
        <f t="shared" ca="1" si="137"/>
        <v>Attente…</v>
      </c>
      <c r="QL148" s="196">
        <f t="shared" si="138"/>
        <v>150</v>
      </c>
      <c r="QM148" s="176">
        <f t="shared" si="139"/>
        <v>1.0974539069359087E-3</v>
      </c>
      <c r="QN148" s="177" t="str">
        <f t="shared" ca="1" si="140"/>
        <v>Attente…</v>
      </c>
      <c r="QO148" s="197">
        <f t="shared" si="141"/>
        <v>350</v>
      </c>
      <c r="QP148" s="179">
        <f t="shared" si="142"/>
        <v>2.7401550144836766E-3</v>
      </c>
      <c r="QQ148" s="180" t="str">
        <f t="shared" ca="1" si="143"/>
        <v>Attente…</v>
      </c>
      <c r="QR148" s="196">
        <f t="shared" si="144"/>
        <v>100</v>
      </c>
      <c r="QS148" s="176">
        <f t="shared" si="145"/>
        <v>7.1991648968719631E-4</v>
      </c>
      <c r="QT148" s="177" t="str">
        <f t="shared" ca="1" si="146"/>
        <v>Attente…</v>
      </c>
      <c r="QU148" s="197">
        <f t="shared" si="147"/>
        <v>400</v>
      </c>
      <c r="QV148" s="179">
        <f t="shared" si="148"/>
        <v>2.7578599007170436E-3</v>
      </c>
      <c r="QW148" s="180" t="str">
        <f t="shared" ca="1" si="149"/>
        <v>Attente…</v>
      </c>
      <c r="QX148" s="196">
        <f t="shared" si="150"/>
        <v>550</v>
      </c>
      <c r="QY148" s="176">
        <f t="shared" si="151"/>
        <v>4.0135438862780584E-3</v>
      </c>
      <c r="QZ148" s="177" t="str">
        <f t="shared" ca="1" si="152"/>
        <v>Attente…</v>
      </c>
      <c r="RA148" s="197">
        <f t="shared" si="153"/>
        <v>250</v>
      </c>
      <c r="RB148" s="179">
        <f t="shared" si="154"/>
        <v>1.9560284797746656E-3</v>
      </c>
      <c r="RC148" s="180" t="str">
        <f t="shared" ca="1" si="155"/>
        <v>Attente…</v>
      </c>
      <c r="RD148" s="196">
        <f t="shared" si="156"/>
        <v>350</v>
      </c>
      <c r="RE148" s="176">
        <f t="shared" si="157"/>
        <v>3.4874451972897571E-3</v>
      </c>
      <c r="RF148" s="177" t="str">
        <f t="shared" ca="1" si="158"/>
        <v>Attente…</v>
      </c>
      <c r="RG148" s="197">
        <f t="shared" si="159"/>
        <v>100</v>
      </c>
      <c r="RH148" s="179">
        <f t="shared" si="160"/>
        <v>1.8392495861688431E-3</v>
      </c>
      <c r="RI148" s="198" t="str">
        <f t="shared" ca="1" si="161"/>
        <v>Attente…</v>
      </c>
      <c r="RJ148" s="199">
        <f t="shared" si="162"/>
        <v>700</v>
      </c>
      <c r="RK148" s="200" t="str">
        <f t="shared" ca="1" si="119"/>
        <v>Attente…</v>
      </c>
      <c r="RL148" s="199">
        <f t="shared" si="163"/>
        <v>650</v>
      </c>
      <c r="RM148" s="200" t="str">
        <f t="shared" ca="1" si="164"/>
        <v>Atttente…</v>
      </c>
      <c r="RN148" s="199">
        <f t="shared" si="165"/>
        <v>1050</v>
      </c>
      <c r="RO148" s="200" t="str">
        <f t="shared" ca="1" si="120"/>
        <v>Attente…</v>
      </c>
      <c r="RP148" s="199">
        <f t="shared" si="166"/>
        <v>700</v>
      </c>
      <c r="RQ148" s="200" t="str">
        <f t="shared" ca="1" si="121"/>
        <v>Attente…</v>
      </c>
      <c r="RR148" s="201">
        <f t="shared" si="167"/>
        <v>3100</v>
      </c>
      <c r="RS148" s="202" t="str">
        <f t="shared" ca="1" si="122"/>
        <v>Attente…</v>
      </c>
      <c r="RT148" s="103"/>
      <c r="RU148" s="203">
        <f t="shared" si="168"/>
        <v>0.77500000000000002</v>
      </c>
      <c r="RV148" s="204">
        <f t="shared" ref="RV148:RW211" si="171">K148</f>
        <v>1</v>
      </c>
      <c r="RW148" s="204">
        <f t="shared" si="171"/>
        <v>1</v>
      </c>
      <c r="RX148" s="204">
        <f t="shared" si="169"/>
        <v>20</v>
      </c>
      <c r="RY148" s="205" t="str">
        <f t="shared" si="170"/>
        <v>NEUFCHATEL-EN-BRAY - 29 Impasse de la Gare (Face crèperie)</v>
      </c>
      <c r="RZ148" s="189" t="str">
        <f>IF(OR(RZ147="",RZ147="  &lt;/Document&gt;
&lt;/kml&gt;"),"",
IF(B148="","  &lt;/Document&gt;
&lt;/kml&gt;",
IF(TournéesCAV!Q148=""," ",
"    &lt;Placemark&gt;
      &lt;description&gt;&lt;![CDATA["&amp;B148&amp;"&lt;br&gt;&lt;br&gt;"&amp;RV148&amp;" CAV&lt;br&gt;&lt;br&gt;Présent sur "&amp;RW148&amp;" tournée(s)&lt;br&gt;&lt;br&gt;Taux de remplissage moyen "&amp;TEXT(RU148*1000,"0 %")&amp;"]]&gt;&lt;/description&gt;
      &lt;Style&gt;
        &lt;IconStyle&gt;
          &lt;color&gt;ff"&amp;
          DEC2HEX(0,2)&amp;
          DEC2HEX(
            IF(RU148&lt;=0.5,
               INT(255*(RU148*2)),
               255
            ),2)&amp;
          DEC2HEX(
            IF(RU148&lt;=0.5,
               255,
               INT(255*(1-(RU148-0.5)*2))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&lt;Point&gt;&lt;coordinates&gt;"&amp;R148&amp;","&amp;Q148&amp;",0&lt;/coordinates&gt;&lt;/Point&gt;
    &lt;/Placemark&gt;"
)))</f>
        <v xml:space="preserve">    &lt;Placemark&gt;
      &lt;description&gt;&lt;![CDATA[NEUFCHATEL-EN-BRAY - 29 Impasse de la Gare (Face crèperie)&lt;br&gt;&lt;br&gt;1 CAV&lt;br&gt;&lt;br&gt;Présent sur 1 tournée(s)&lt;br&gt;&lt;br&gt;Taux de remplissage moyen 78%]]&gt;&lt;/description&gt;
      &lt;Style&gt;
        &lt;IconStyle&gt;
          &lt;color&gt;ff00FF72&lt;/color&gt;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&lt;Point&gt;&lt;coordinates&gt;1.4359706,49.7334807,0&lt;/coordinates&gt;&lt;/Point&gt;
    &lt;/Placemark&gt;</v>
      </c>
    </row>
    <row r="149" spans="2:494" ht="15" hidden="1" customHeight="1" x14ac:dyDescent="0.35">
      <c r="B149" s="153" t="str">
        <f t="shared" si="123"/>
        <v>SOTTEVILLE-LÈS-ROUEN - 59 Rue Pierre Bérégovoy (A coté de la colonne à verre)</v>
      </c>
      <c r="C149" s="154">
        <v>104</v>
      </c>
      <c r="D149" s="155"/>
      <c r="E149" s="155"/>
      <c r="F149" s="155"/>
      <c r="G149" s="155"/>
      <c r="H149" s="155"/>
      <c r="I149" s="155"/>
      <c r="J149" s="156"/>
      <c r="K149" s="157">
        <f t="shared" si="124"/>
        <v>1</v>
      </c>
      <c r="L149" s="157">
        <f t="shared" si="125"/>
        <v>1</v>
      </c>
      <c r="M149" s="158" t="s">
        <v>837</v>
      </c>
      <c r="N149" s="159" t="s">
        <v>256</v>
      </c>
      <c r="O149" s="159">
        <v>76300</v>
      </c>
      <c r="P149" s="159" t="s">
        <v>275</v>
      </c>
      <c r="Q149" s="159" t="s">
        <v>838</v>
      </c>
      <c r="R149" s="159" t="s">
        <v>839</v>
      </c>
      <c r="S149" s="159" t="s">
        <v>93</v>
      </c>
      <c r="T149" s="159" t="s">
        <v>94</v>
      </c>
      <c r="U149" s="159" t="s">
        <v>840</v>
      </c>
      <c r="V149" s="160" t="s">
        <v>96</v>
      </c>
      <c r="W149" s="161"/>
      <c r="X149" s="162"/>
      <c r="Y149" s="163"/>
      <c r="Z149" s="162"/>
      <c r="AA149" s="163"/>
      <c r="AB149" s="162">
        <v>11</v>
      </c>
      <c r="AC149" s="163"/>
      <c r="AD149" s="162"/>
      <c r="AE149" s="163"/>
      <c r="AF149" s="162"/>
      <c r="AG149" s="163"/>
      <c r="AH149" s="163"/>
      <c r="AI149" s="162"/>
      <c r="AJ149" s="163"/>
      <c r="AK149" s="162"/>
      <c r="AL149" s="163"/>
      <c r="AM149" s="162"/>
      <c r="AN149" s="163"/>
      <c r="AO149" s="162"/>
      <c r="AP149" s="164"/>
      <c r="AQ149" s="164"/>
      <c r="AR149" s="164"/>
      <c r="AS149" s="164"/>
      <c r="AT149" s="164"/>
      <c r="AU149" s="164"/>
      <c r="AV149" s="164"/>
      <c r="AW149" s="164"/>
      <c r="AX149" s="164"/>
      <c r="AY149" s="165"/>
      <c r="AZ149" s="41"/>
      <c r="BA149" s="190"/>
      <c r="BB149" s="191"/>
      <c r="BC149" s="191">
        <v>200</v>
      </c>
      <c r="BD149" s="191"/>
      <c r="BE149" s="191"/>
      <c r="BF149" s="191"/>
      <c r="BG149" s="191"/>
      <c r="BH149" s="191"/>
      <c r="BI149" s="191"/>
      <c r="BJ149" s="191">
        <v>100</v>
      </c>
      <c r="BK149" s="191"/>
      <c r="BL149" s="191"/>
      <c r="BM149" s="191"/>
      <c r="BN149" s="191"/>
      <c r="BO149" s="191"/>
      <c r="BP149" s="191"/>
      <c r="BQ149" s="191">
        <v>50</v>
      </c>
      <c r="BR149" s="191"/>
      <c r="BS149" s="191"/>
      <c r="BT149" s="191"/>
      <c r="BU149" s="191"/>
      <c r="BV149" s="191"/>
      <c r="BW149" s="191"/>
      <c r="BX149" s="191">
        <v>10</v>
      </c>
      <c r="BY149" s="191"/>
      <c r="BZ149" s="191"/>
      <c r="CA149" s="191"/>
      <c r="CB149" s="191"/>
      <c r="CC149" s="191"/>
      <c r="CD149" s="191"/>
      <c r="CE149" s="192">
        <v>150</v>
      </c>
      <c r="CF149" s="190"/>
      <c r="CG149" s="191"/>
      <c r="CH149" s="191"/>
      <c r="CI149" s="191"/>
      <c r="CJ149" s="191"/>
      <c r="CK149" s="191"/>
      <c r="CL149" s="191">
        <v>10</v>
      </c>
      <c r="CM149" s="191"/>
      <c r="CN149" s="191"/>
      <c r="CO149" s="191"/>
      <c r="CP149" s="191"/>
      <c r="CQ149" s="191"/>
      <c r="CR149" s="191"/>
      <c r="CS149" s="191">
        <v>50</v>
      </c>
      <c r="CT149" s="191"/>
      <c r="CU149" s="191"/>
      <c r="CV149" s="191"/>
      <c r="CW149" s="191"/>
      <c r="CX149" s="191"/>
      <c r="CY149" s="191"/>
      <c r="CZ149" s="191">
        <v>50</v>
      </c>
      <c r="DA149" s="191"/>
      <c r="DB149" s="191"/>
      <c r="DC149" s="191"/>
      <c r="DD149" s="191"/>
      <c r="DE149" s="191"/>
      <c r="DF149" s="191"/>
      <c r="DG149" s="191">
        <v>150</v>
      </c>
      <c r="DH149" s="193"/>
      <c r="DI149" s="194"/>
      <c r="DJ149" s="191"/>
      <c r="DK149" s="191"/>
      <c r="DL149" s="191"/>
      <c r="DM149" s="191"/>
      <c r="DN149" s="191"/>
      <c r="DO149" s="191">
        <v>100</v>
      </c>
      <c r="DP149" s="191"/>
      <c r="DQ149" s="191"/>
      <c r="DR149" s="191"/>
      <c r="DS149" s="191"/>
      <c r="DT149" s="191"/>
      <c r="DU149" s="191"/>
      <c r="DV149" s="191">
        <v>100</v>
      </c>
      <c r="DW149" s="191"/>
      <c r="DX149" s="191"/>
      <c r="DY149" s="191"/>
      <c r="DZ149" s="191"/>
      <c r="EA149" s="191"/>
      <c r="EB149" s="191"/>
      <c r="EC149" s="191">
        <v>50</v>
      </c>
      <c r="ED149" s="191"/>
      <c r="EE149" s="191"/>
      <c r="EF149" s="191"/>
      <c r="EG149" s="191"/>
      <c r="EH149" s="191"/>
      <c r="EI149" s="191"/>
      <c r="EJ149" s="191">
        <v>100</v>
      </c>
      <c r="EK149" s="191"/>
      <c r="EL149" s="191"/>
      <c r="EM149" s="192"/>
      <c r="EN149" s="190"/>
      <c r="EO149" s="191"/>
      <c r="EP149" s="191"/>
      <c r="EQ149" s="191">
        <v>150</v>
      </c>
      <c r="ER149" s="191"/>
      <c r="ES149" s="191"/>
      <c r="ET149" s="191"/>
      <c r="EU149" s="191"/>
      <c r="EV149" s="191"/>
      <c r="EW149" s="191"/>
      <c r="EX149" s="191"/>
      <c r="EY149" s="191"/>
      <c r="EZ149" s="191"/>
      <c r="FA149" s="191"/>
      <c r="FB149" s="191"/>
      <c r="FC149" s="191"/>
      <c r="FD149" s="191"/>
      <c r="FE149" s="191">
        <v>200</v>
      </c>
      <c r="FF149" s="191"/>
      <c r="FG149" s="191"/>
      <c r="FH149" s="191"/>
      <c r="FI149" s="191"/>
      <c r="FJ149" s="191"/>
      <c r="FK149" s="191"/>
      <c r="FL149" s="191"/>
      <c r="FM149" s="191"/>
      <c r="FN149" s="191"/>
      <c r="FO149" s="191"/>
      <c r="FP149" s="191"/>
      <c r="FQ149" s="193"/>
      <c r="FR149" s="194"/>
      <c r="FS149" s="191">
        <v>200</v>
      </c>
      <c r="FT149" s="191"/>
      <c r="FU149" s="191"/>
      <c r="FV149" s="191"/>
      <c r="FW149" s="191"/>
      <c r="FX149" s="191"/>
      <c r="FY149" s="191"/>
      <c r="FZ149" s="191">
        <v>10</v>
      </c>
      <c r="GA149" s="191"/>
      <c r="GB149" s="191"/>
      <c r="GC149" s="191"/>
      <c r="GD149" s="191"/>
      <c r="GE149" s="191"/>
      <c r="GF149" s="191"/>
      <c r="GG149" s="191">
        <v>150</v>
      </c>
      <c r="GH149" s="191"/>
      <c r="GI149" s="191"/>
      <c r="GJ149" s="191"/>
      <c r="GK149" s="191"/>
      <c r="GL149" s="191"/>
      <c r="GM149" s="191"/>
      <c r="GN149" s="191">
        <v>150</v>
      </c>
      <c r="GO149" s="191"/>
      <c r="GP149" s="191"/>
      <c r="GQ149" s="191"/>
      <c r="GR149" s="191"/>
      <c r="GS149" s="191"/>
      <c r="GT149" s="191"/>
      <c r="GU149" s="191"/>
      <c r="GV149" s="192"/>
      <c r="GW149" s="190"/>
      <c r="GX149" s="191"/>
      <c r="GY149" s="191"/>
      <c r="GZ149" s="191"/>
      <c r="HA149" s="191"/>
      <c r="HB149" s="191">
        <v>100</v>
      </c>
      <c r="HC149" s="191"/>
      <c r="HD149" s="191"/>
      <c r="HE149" s="191"/>
      <c r="HF149" s="191"/>
      <c r="HG149" s="191"/>
      <c r="HH149" s="191"/>
      <c r="HI149" s="191">
        <v>150</v>
      </c>
      <c r="HJ149" s="191"/>
      <c r="HK149" s="191"/>
      <c r="HL149" s="191"/>
      <c r="HM149" s="191"/>
      <c r="HN149" s="191"/>
      <c r="HO149" s="191"/>
      <c r="HP149" s="191">
        <v>100</v>
      </c>
      <c r="HQ149" s="191"/>
      <c r="HR149" s="191"/>
      <c r="HS149" s="191"/>
      <c r="HT149" s="191"/>
      <c r="HU149" s="191"/>
      <c r="HV149" s="191"/>
      <c r="HW149" s="191">
        <v>50</v>
      </c>
      <c r="HX149" s="191"/>
      <c r="HY149" s="191"/>
      <c r="HZ149" s="193"/>
      <c r="IA149" s="194"/>
      <c r="IB149" s="191"/>
      <c r="IC149" s="191"/>
      <c r="ID149" s="191">
        <v>200</v>
      </c>
      <c r="IE149" s="191"/>
      <c r="IF149" s="191"/>
      <c r="IG149" s="191"/>
      <c r="IH149" s="191"/>
      <c r="II149" s="191"/>
      <c r="IJ149" s="191"/>
      <c r="IK149" s="191">
        <v>100</v>
      </c>
      <c r="IL149" s="191"/>
      <c r="IM149" s="191"/>
      <c r="IN149" s="191"/>
      <c r="IO149" s="191"/>
      <c r="IP149" s="191"/>
      <c r="IQ149" s="191"/>
      <c r="IR149" s="191"/>
      <c r="IS149" s="191"/>
      <c r="IT149" s="191"/>
      <c r="IU149" s="191"/>
      <c r="IV149" s="191"/>
      <c r="IW149" s="191"/>
      <c r="IX149" s="191"/>
      <c r="IY149" s="191"/>
      <c r="IZ149" s="191"/>
      <c r="JA149" s="191"/>
      <c r="JB149" s="191"/>
      <c r="JC149" s="191"/>
      <c r="JD149" s="191"/>
      <c r="JE149" s="192"/>
      <c r="JF149" s="190">
        <v>100</v>
      </c>
      <c r="JG149" s="191"/>
      <c r="JH149" s="191"/>
      <c r="JI149" s="191"/>
      <c r="JJ149" s="191"/>
      <c r="JK149" s="191"/>
      <c r="JL149" s="191"/>
      <c r="JM149" s="191">
        <v>150</v>
      </c>
      <c r="JN149" s="191"/>
      <c r="JO149" s="191"/>
      <c r="JP149" s="191"/>
      <c r="JQ149" s="191"/>
      <c r="JR149" s="191"/>
      <c r="JS149" s="191"/>
      <c r="JT149" s="191"/>
      <c r="JU149" s="191"/>
      <c r="JV149" s="191"/>
      <c r="JW149" s="191"/>
      <c r="JX149" s="191"/>
      <c r="JY149" s="191"/>
      <c r="JZ149" s="191"/>
      <c r="KA149" s="191">
        <v>200</v>
      </c>
      <c r="KB149" s="191"/>
      <c r="KC149" s="191"/>
      <c r="KD149" s="191"/>
      <c r="KE149" s="191"/>
      <c r="KF149" s="191"/>
      <c r="KG149" s="191"/>
      <c r="KH149" s="191">
        <v>150</v>
      </c>
      <c r="KI149" s="191"/>
      <c r="KJ149" s="193"/>
      <c r="KK149" s="194"/>
      <c r="KL149" s="191"/>
      <c r="KM149" s="191"/>
      <c r="KN149" s="191"/>
      <c r="KO149" s="191">
        <v>200</v>
      </c>
      <c r="KP149" s="191"/>
      <c r="KQ149" s="191"/>
      <c r="KR149" s="191"/>
      <c r="KS149" s="191"/>
      <c r="KT149" s="191"/>
      <c r="KU149" s="191"/>
      <c r="KV149" s="191">
        <v>100</v>
      </c>
      <c r="KW149" s="191"/>
      <c r="KX149" s="191"/>
      <c r="KY149" s="191"/>
      <c r="KZ149" s="191"/>
      <c r="LA149" s="191"/>
      <c r="LB149" s="191"/>
      <c r="LC149" s="191"/>
      <c r="LD149" s="191"/>
      <c r="LE149" s="191"/>
      <c r="LF149" s="191"/>
      <c r="LG149" s="191"/>
      <c r="LH149" s="191"/>
      <c r="LI149" s="191"/>
      <c r="LJ149" s="191">
        <v>150</v>
      </c>
      <c r="LK149" s="191"/>
      <c r="LL149" s="191"/>
      <c r="LM149" s="191"/>
      <c r="LN149" s="192"/>
      <c r="LO149" s="190"/>
      <c r="LP149" s="191"/>
      <c r="LQ149" s="191"/>
      <c r="LR149" s="191"/>
      <c r="LS149" s="191"/>
      <c r="LT149" s="191"/>
      <c r="LU149" s="191"/>
      <c r="LV149" s="191"/>
      <c r="LW149" s="191"/>
      <c r="LX149" s="191">
        <v>100</v>
      </c>
      <c r="LY149" s="191"/>
      <c r="LZ149" s="191"/>
      <c r="MA149" s="191"/>
      <c r="MB149" s="191"/>
      <c r="MC149" s="191"/>
      <c r="MD149" s="191"/>
      <c r="ME149" s="191">
        <v>150</v>
      </c>
      <c r="MF149" s="191"/>
      <c r="MG149" s="191"/>
      <c r="MH149" s="191"/>
      <c r="MI149" s="191"/>
      <c r="MJ149" s="191"/>
      <c r="MK149" s="191"/>
      <c r="ML149" s="191">
        <v>100</v>
      </c>
      <c r="MM149" s="191"/>
      <c r="MN149" s="191"/>
      <c r="MO149" s="191"/>
      <c r="MP149" s="191"/>
      <c r="MQ149" s="191"/>
      <c r="MR149" s="191"/>
      <c r="MS149" s="193"/>
      <c r="MT149" s="194"/>
      <c r="MU149" s="191"/>
      <c r="MV149" s="191"/>
      <c r="MW149" s="191"/>
      <c r="MX149" s="191"/>
      <c r="MY149" s="191"/>
      <c r="MZ149" s="191">
        <v>150</v>
      </c>
      <c r="NA149" s="191"/>
      <c r="NB149" s="191"/>
      <c r="NC149" s="191"/>
      <c r="ND149" s="191"/>
      <c r="NE149" s="191"/>
      <c r="NF149" s="191"/>
      <c r="NG149" s="191"/>
      <c r="NH149" s="191"/>
      <c r="NI149" s="191"/>
      <c r="NJ149" s="191"/>
      <c r="NK149" s="191"/>
      <c r="NL149" s="191"/>
      <c r="NM149" s="191"/>
      <c r="NN149" s="191">
        <v>200</v>
      </c>
      <c r="NO149" s="191"/>
      <c r="NP149" s="191"/>
      <c r="NQ149" s="191"/>
      <c r="NR149" s="191"/>
      <c r="NS149" s="191"/>
      <c r="NT149" s="191"/>
      <c r="NU149" s="191">
        <v>50</v>
      </c>
      <c r="NV149" s="191"/>
      <c r="NW149" s="192"/>
      <c r="NX149" s="190"/>
      <c r="NY149" s="191"/>
      <c r="NZ149" s="191"/>
      <c r="OA149" s="191"/>
      <c r="OB149" s="191"/>
      <c r="OC149" s="191"/>
      <c r="OD149" s="191"/>
      <c r="OE149" s="191"/>
      <c r="OF149" s="191"/>
      <c r="OG149" s="191"/>
      <c r="OH149" s="191"/>
      <c r="OI149" s="191">
        <v>150</v>
      </c>
      <c r="OJ149" s="191"/>
      <c r="OK149" s="191"/>
      <c r="OL149" s="191"/>
      <c r="OM149" s="191"/>
      <c r="ON149" s="191"/>
      <c r="OO149" s="191"/>
      <c r="OP149" s="191"/>
      <c r="OQ149" s="191"/>
      <c r="OR149" s="191"/>
      <c r="OS149" s="191"/>
      <c r="OT149" s="191"/>
      <c r="OU149" s="191"/>
      <c r="OV149" s="191"/>
      <c r="OW149" s="191"/>
      <c r="OX149" s="191"/>
      <c r="OY149" s="191"/>
      <c r="OZ149" s="191"/>
      <c r="PA149" s="191"/>
      <c r="PB149" s="193"/>
      <c r="PC149" s="47"/>
      <c r="PD149" s="154" t="s">
        <v>97</v>
      </c>
      <c r="PE149" s="155" t="s">
        <v>98</v>
      </c>
      <c r="PF149" s="155" t="s">
        <v>98</v>
      </c>
      <c r="PG149" s="155" t="s">
        <v>98</v>
      </c>
      <c r="PH149" s="155" t="s">
        <v>98</v>
      </c>
      <c r="PI149" s="155" t="s">
        <v>98</v>
      </c>
      <c r="PJ149" s="155" t="s">
        <v>98</v>
      </c>
      <c r="PK149" s="155" t="s">
        <v>98</v>
      </c>
      <c r="PL149" s="155" t="s">
        <v>98</v>
      </c>
      <c r="PM149" s="155" t="s">
        <v>98</v>
      </c>
      <c r="PN149" s="155" t="s">
        <v>98</v>
      </c>
      <c r="PO149" s="156"/>
      <c r="PP149" s="156"/>
      <c r="PQ149" s="156"/>
      <c r="PR149" s="156"/>
      <c r="PS149" s="156"/>
      <c r="PT149" s="156"/>
      <c r="PU149" s="156"/>
      <c r="PV149" s="156"/>
      <c r="PW149" s="156"/>
      <c r="PX149" s="195"/>
      <c r="PY149" s="1"/>
      <c r="PZ149" s="196">
        <f t="shared" si="126"/>
        <v>510</v>
      </c>
      <c r="QA149" s="176">
        <f t="shared" si="127"/>
        <v>4.2546091599232503E-3</v>
      </c>
      <c r="QB149" s="177" t="str">
        <f t="shared" ca="1" si="128"/>
        <v>Attente…</v>
      </c>
      <c r="QC149" s="197">
        <f t="shared" si="129"/>
        <v>260</v>
      </c>
      <c r="QD149" s="179">
        <f t="shared" si="130"/>
        <v>2.4344569288389513E-3</v>
      </c>
      <c r="QE149" s="180" t="str">
        <f t="shared" ca="1" si="131"/>
        <v>Attente…</v>
      </c>
      <c r="QF149" s="196">
        <f t="shared" si="132"/>
        <v>350</v>
      </c>
      <c r="QG149" s="176">
        <f t="shared" si="133"/>
        <v>2.787068004459309E-3</v>
      </c>
      <c r="QH149" s="177" t="str">
        <f t="shared" ca="1" si="134"/>
        <v>Attente…</v>
      </c>
      <c r="QI149" s="197">
        <f t="shared" si="135"/>
        <v>350</v>
      </c>
      <c r="QJ149" s="179">
        <f t="shared" si="136"/>
        <v>2.4547622387431616E-3</v>
      </c>
      <c r="QK149" s="180" t="str">
        <f t="shared" ca="1" si="137"/>
        <v>Attente…</v>
      </c>
      <c r="QL149" s="196">
        <f t="shared" si="138"/>
        <v>510</v>
      </c>
      <c r="QM149" s="176">
        <f t="shared" si="139"/>
        <v>3.7313432835820895E-3</v>
      </c>
      <c r="QN149" s="177" t="str">
        <f t="shared" ca="1" si="140"/>
        <v>Attente…</v>
      </c>
      <c r="QO149" s="197">
        <f t="shared" si="141"/>
        <v>400</v>
      </c>
      <c r="QP149" s="179">
        <f t="shared" si="142"/>
        <v>3.1316057308384874E-3</v>
      </c>
      <c r="QQ149" s="180" t="str">
        <f t="shared" ca="1" si="143"/>
        <v>Attente…</v>
      </c>
      <c r="QR149" s="196">
        <f t="shared" si="144"/>
        <v>300</v>
      </c>
      <c r="QS149" s="176">
        <f t="shared" si="145"/>
        <v>2.1597494690615889E-3</v>
      </c>
      <c r="QT149" s="177" t="str">
        <f t="shared" ca="1" si="146"/>
        <v>Attente…</v>
      </c>
      <c r="QU149" s="197">
        <f t="shared" si="147"/>
        <v>600</v>
      </c>
      <c r="QV149" s="179">
        <f t="shared" si="148"/>
        <v>4.1367898510755651E-3</v>
      </c>
      <c r="QW149" s="180" t="str">
        <f t="shared" ca="1" si="149"/>
        <v>Attente…</v>
      </c>
      <c r="QX149" s="196">
        <f t="shared" si="150"/>
        <v>450</v>
      </c>
      <c r="QY149" s="176">
        <f t="shared" si="151"/>
        <v>3.2838086342275022E-3</v>
      </c>
      <c r="QZ149" s="177" t="str">
        <f t="shared" ca="1" si="152"/>
        <v>Attente…</v>
      </c>
      <c r="RA149" s="197">
        <f t="shared" si="153"/>
        <v>350</v>
      </c>
      <c r="RB149" s="179">
        <f t="shared" si="154"/>
        <v>2.7384398716845319E-3</v>
      </c>
      <c r="RC149" s="180" t="str">
        <f t="shared" ca="1" si="155"/>
        <v>Attente…</v>
      </c>
      <c r="RD149" s="196">
        <f t="shared" si="156"/>
        <v>400</v>
      </c>
      <c r="RE149" s="176">
        <f t="shared" si="157"/>
        <v>3.9856516540454365E-3</v>
      </c>
      <c r="RF149" s="177" t="str">
        <f t="shared" ca="1" si="158"/>
        <v>Attente…</v>
      </c>
      <c r="RG149" s="197">
        <f t="shared" si="159"/>
        <v>150</v>
      </c>
      <c r="RH149" s="179">
        <f t="shared" si="160"/>
        <v>2.7588743792532648E-3</v>
      </c>
      <c r="RI149" s="198" t="str">
        <f t="shared" ca="1" si="161"/>
        <v>Attente…</v>
      </c>
      <c r="RJ149" s="199">
        <f t="shared" si="162"/>
        <v>1120</v>
      </c>
      <c r="RK149" s="200" t="str">
        <f t="shared" ca="1" si="119"/>
        <v>Attente…</v>
      </c>
      <c r="RL149" s="199">
        <f t="shared" si="163"/>
        <v>1260</v>
      </c>
      <c r="RM149" s="200" t="str">
        <f t="shared" ca="1" si="164"/>
        <v>Atttente…</v>
      </c>
      <c r="RN149" s="199">
        <f t="shared" si="165"/>
        <v>1350</v>
      </c>
      <c r="RO149" s="200" t="str">
        <f t="shared" ca="1" si="120"/>
        <v>Attente…</v>
      </c>
      <c r="RP149" s="199">
        <f t="shared" si="166"/>
        <v>900</v>
      </c>
      <c r="RQ149" s="200" t="str">
        <f t="shared" ca="1" si="121"/>
        <v>Attente…</v>
      </c>
      <c r="RR149" s="201">
        <f t="shared" si="167"/>
        <v>4630</v>
      </c>
      <c r="RS149" s="202" t="str">
        <f t="shared" ca="1" si="122"/>
        <v>Attente…</v>
      </c>
      <c r="RT149" s="103"/>
      <c r="RU149" s="203">
        <f t="shared" si="168"/>
        <v>0.59358974358974359</v>
      </c>
      <c r="RV149" s="204">
        <f t="shared" si="171"/>
        <v>1</v>
      </c>
      <c r="RW149" s="204">
        <f t="shared" si="171"/>
        <v>1</v>
      </c>
      <c r="RX149" s="204">
        <f t="shared" si="169"/>
        <v>39</v>
      </c>
      <c r="RY149" s="205" t="str">
        <f t="shared" si="170"/>
        <v>SOTTEVILLE-LÈS-ROUEN - 59 Rue Pierre Bérégovoy (A coté de la colonne à verre)</v>
      </c>
      <c r="RZ149" s="189" t="str">
        <f>IF(OR(RZ148="",RZ148="  &lt;/Document&gt;
&lt;/kml&gt;"),"",
IF(B149="","  &lt;/Document&gt;
&lt;/kml&gt;",
IF(TournéesCAV!Q149=""," ",
"    &lt;Placemark&gt;
      &lt;description&gt;&lt;![CDATA["&amp;B149&amp;"&lt;br&gt;&lt;br&gt;"&amp;RV149&amp;" CAV&lt;br&gt;&lt;br&gt;Présent sur "&amp;RW149&amp;" tournée(s)&lt;br&gt;&lt;br&gt;Taux de remplissage moyen "&amp;TEXT(RU149*1000,"0 %")&amp;"]]&gt;&lt;/description&gt;
      &lt;Style&gt;
        &lt;IconStyle&gt;
          &lt;color&gt;ff"&amp;
          DEC2HEX(0,2)&amp;
          DEC2HEX(
            IF(RU149&lt;=0.5,
               INT(255*(RU149*2)),
               255
            ),2)&amp;
          DEC2HEX(
            IF(RU149&lt;=0.5,
               255,
               INT(255*(1-(RU149-0.5)*2))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&lt;Point&gt;&lt;coordinates&gt;"&amp;R149&amp;","&amp;Q149&amp;",0&lt;/coordinates&gt;&lt;/Point&gt;
    &lt;/Placemark&gt;"
)))</f>
        <v xml:space="preserve">    &lt;Placemark&gt;
      &lt;description&gt;&lt;![CDATA[SOTTEVILLE-LÈS-ROUEN - 59 Rue Pierre Bérégovoy (A coté de la colonne à verre)&lt;br&gt;&lt;br&gt;1 CAV&lt;br&gt;&lt;br&gt;Présent sur 1 tournée(s)&lt;br&gt;&lt;br&gt;Taux de remplissage moyen 59%]]&gt;&lt;/description&gt;
      &lt;Style&gt;
        &lt;IconStyle&gt;
          &lt;color&gt;ff00FFCF&lt;/color&gt;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&lt;Point&gt;&lt;coordinates&gt;1.08954,49.4226399,0&lt;/coordinates&gt;&lt;/Point&gt;
    &lt;/Placemark&gt;</v>
      </c>
    </row>
    <row r="150" spans="2:494" ht="15" customHeight="1" x14ac:dyDescent="0.35">
      <c r="B150" s="153" t="str">
        <f t="shared" si="123"/>
        <v>ROUEN - 11 Rue Antheaume (Résidence Vallon Saint Hilaire)</v>
      </c>
      <c r="C150" s="154">
        <v>103</v>
      </c>
      <c r="D150" s="155"/>
      <c r="E150" s="155"/>
      <c r="F150" s="155"/>
      <c r="G150" s="155"/>
      <c r="H150" s="155"/>
      <c r="I150" s="155"/>
      <c r="J150" s="156"/>
      <c r="K150" s="157">
        <f t="shared" si="124"/>
        <v>1</v>
      </c>
      <c r="L150" s="157">
        <f t="shared" si="125"/>
        <v>2</v>
      </c>
      <c r="M150" s="158" t="s">
        <v>841</v>
      </c>
      <c r="N150" s="159" t="s">
        <v>842</v>
      </c>
      <c r="O150" s="159">
        <v>76000</v>
      </c>
      <c r="P150" s="159" t="s">
        <v>90</v>
      </c>
      <c r="Q150" s="159" t="s">
        <v>843</v>
      </c>
      <c r="R150" s="159" t="s">
        <v>844</v>
      </c>
      <c r="S150" s="159" t="s">
        <v>93</v>
      </c>
      <c r="T150" s="159" t="s">
        <v>94</v>
      </c>
      <c r="U150" s="159" t="s">
        <v>845</v>
      </c>
      <c r="V150" s="160" t="s">
        <v>96</v>
      </c>
      <c r="W150" s="210">
        <v>10</v>
      </c>
      <c r="X150" s="162">
        <v>10</v>
      </c>
      <c r="Y150" s="162"/>
      <c r="Z150" s="162"/>
      <c r="AA150" s="162"/>
      <c r="AB150" s="162"/>
      <c r="AC150" s="162"/>
      <c r="AD150" s="162"/>
      <c r="AE150" s="162"/>
      <c r="AF150" s="162"/>
      <c r="AG150" s="162"/>
      <c r="AH150" s="162"/>
      <c r="AI150" s="162"/>
      <c r="AJ150" s="162"/>
      <c r="AK150" s="162"/>
      <c r="AL150" s="162"/>
      <c r="AM150" s="162"/>
      <c r="AN150" s="162"/>
      <c r="AO150" s="162"/>
      <c r="AP150" s="164"/>
      <c r="AQ150" s="164"/>
      <c r="AR150" s="164"/>
      <c r="AS150" s="164"/>
      <c r="AT150" s="164"/>
      <c r="AU150" s="164"/>
      <c r="AV150" s="164"/>
      <c r="AW150" s="164"/>
      <c r="AX150" s="164"/>
      <c r="AY150" s="165"/>
      <c r="AZ150" s="41"/>
      <c r="BA150" s="190"/>
      <c r="BB150" s="191"/>
      <c r="BC150" s="191">
        <v>200</v>
      </c>
      <c r="BD150" s="191"/>
      <c r="BE150" s="191"/>
      <c r="BF150" s="191"/>
      <c r="BG150" s="191"/>
      <c r="BH150" s="191"/>
      <c r="BI150" s="191"/>
      <c r="BJ150" s="191">
        <v>150</v>
      </c>
      <c r="BK150" s="191"/>
      <c r="BL150" s="191"/>
      <c r="BM150" s="191">
        <v>100</v>
      </c>
      <c r="BN150" s="191"/>
      <c r="BO150" s="191"/>
      <c r="BP150" s="191"/>
      <c r="BQ150" s="191">
        <v>50</v>
      </c>
      <c r="BR150" s="191"/>
      <c r="BS150" s="191"/>
      <c r="BT150" s="191"/>
      <c r="BU150" s="191"/>
      <c r="BV150" s="191"/>
      <c r="BW150" s="191"/>
      <c r="BX150" s="191">
        <v>50</v>
      </c>
      <c r="BY150" s="191"/>
      <c r="BZ150" s="191"/>
      <c r="CA150" s="191"/>
      <c r="CB150" s="191"/>
      <c r="CC150" s="191"/>
      <c r="CD150" s="191"/>
      <c r="CE150" s="192">
        <v>200</v>
      </c>
      <c r="CF150" s="190"/>
      <c r="CG150" s="191"/>
      <c r="CH150" s="191"/>
      <c r="CI150" s="191"/>
      <c r="CJ150" s="191"/>
      <c r="CK150" s="191"/>
      <c r="CL150" s="191">
        <v>200</v>
      </c>
      <c r="CM150" s="191"/>
      <c r="CN150" s="191"/>
      <c r="CO150" s="191">
        <v>100</v>
      </c>
      <c r="CP150" s="191"/>
      <c r="CQ150" s="191"/>
      <c r="CR150" s="191"/>
      <c r="CS150" s="191">
        <v>100</v>
      </c>
      <c r="CT150" s="191"/>
      <c r="CU150" s="191"/>
      <c r="CV150" s="191">
        <v>100</v>
      </c>
      <c r="CW150" s="191"/>
      <c r="CX150" s="191"/>
      <c r="CY150" s="191"/>
      <c r="CZ150" s="191">
        <v>50</v>
      </c>
      <c r="DA150" s="191"/>
      <c r="DB150" s="191"/>
      <c r="DC150" s="191">
        <v>50</v>
      </c>
      <c r="DD150" s="191"/>
      <c r="DE150" s="191"/>
      <c r="DF150" s="191"/>
      <c r="DG150" s="191">
        <v>50</v>
      </c>
      <c r="DH150" s="193"/>
      <c r="DI150" s="194"/>
      <c r="DJ150" s="191"/>
      <c r="DK150" s="191">
        <v>50</v>
      </c>
      <c r="DL150" s="191"/>
      <c r="DM150" s="191"/>
      <c r="DN150" s="191"/>
      <c r="DO150" s="191"/>
      <c r="DP150" s="191"/>
      <c r="DQ150" s="191"/>
      <c r="DR150" s="191">
        <v>100</v>
      </c>
      <c r="DS150" s="191"/>
      <c r="DT150" s="191"/>
      <c r="DU150" s="191"/>
      <c r="DV150" s="191">
        <v>10</v>
      </c>
      <c r="DW150" s="191"/>
      <c r="DX150" s="191"/>
      <c r="DY150" s="191">
        <v>50</v>
      </c>
      <c r="DZ150" s="191"/>
      <c r="EA150" s="191"/>
      <c r="EB150" s="191"/>
      <c r="EC150" s="191"/>
      <c r="ED150" s="191"/>
      <c r="EE150" s="191"/>
      <c r="EF150" s="191"/>
      <c r="EG150" s="191"/>
      <c r="EH150" s="191"/>
      <c r="EI150" s="191"/>
      <c r="EJ150" s="191">
        <v>50</v>
      </c>
      <c r="EK150" s="191"/>
      <c r="EL150" s="191"/>
      <c r="EM150" s="192">
        <v>100</v>
      </c>
      <c r="EN150" s="190"/>
      <c r="EO150" s="191"/>
      <c r="EP150" s="191"/>
      <c r="EQ150" s="191">
        <v>100</v>
      </c>
      <c r="ER150" s="191"/>
      <c r="ES150" s="191"/>
      <c r="ET150" s="191"/>
      <c r="EU150" s="191"/>
      <c r="EV150" s="191"/>
      <c r="EW150" s="191"/>
      <c r="EX150" s="191">
        <v>100</v>
      </c>
      <c r="EY150" s="191"/>
      <c r="EZ150" s="191"/>
      <c r="FA150" s="191">
        <v>10</v>
      </c>
      <c r="FB150" s="191"/>
      <c r="FC150" s="191"/>
      <c r="FD150" s="191"/>
      <c r="FE150" s="191">
        <v>10</v>
      </c>
      <c r="FF150" s="191"/>
      <c r="FG150" s="191"/>
      <c r="FH150" s="191"/>
      <c r="FI150" s="191"/>
      <c r="FJ150" s="191"/>
      <c r="FK150" s="191">
        <v>50</v>
      </c>
      <c r="FL150" s="191"/>
      <c r="FM150" s="191"/>
      <c r="FN150" s="191"/>
      <c r="FO150" s="191">
        <v>100</v>
      </c>
      <c r="FP150" s="191"/>
      <c r="FQ150" s="193"/>
      <c r="FR150" s="194"/>
      <c r="FS150" s="191"/>
      <c r="FT150" s="191"/>
      <c r="FU150" s="191"/>
      <c r="FV150" s="191">
        <v>50</v>
      </c>
      <c r="FW150" s="191"/>
      <c r="FX150" s="191"/>
      <c r="FY150" s="191"/>
      <c r="FZ150" s="191">
        <v>50</v>
      </c>
      <c r="GA150" s="191"/>
      <c r="GB150" s="191"/>
      <c r="GC150" s="191">
        <v>10</v>
      </c>
      <c r="GD150" s="191"/>
      <c r="GE150" s="191"/>
      <c r="GF150" s="191"/>
      <c r="GG150" s="191">
        <v>50</v>
      </c>
      <c r="GH150" s="191"/>
      <c r="GI150" s="191"/>
      <c r="GJ150" s="191">
        <v>10</v>
      </c>
      <c r="GK150" s="191"/>
      <c r="GL150" s="191"/>
      <c r="GM150" s="191"/>
      <c r="GN150" s="191">
        <v>10</v>
      </c>
      <c r="GO150" s="191"/>
      <c r="GP150" s="191"/>
      <c r="GQ150" s="191">
        <v>50</v>
      </c>
      <c r="GR150" s="191"/>
      <c r="GS150" s="191"/>
      <c r="GT150" s="191"/>
      <c r="GU150" s="191">
        <v>50</v>
      </c>
      <c r="GV150" s="192"/>
      <c r="GW150" s="190"/>
      <c r="GX150" s="191">
        <v>10</v>
      </c>
      <c r="GY150" s="191"/>
      <c r="GZ150" s="191"/>
      <c r="HA150" s="191"/>
      <c r="HB150" s="191">
        <v>50</v>
      </c>
      <c r="HC150" s="191"/>
      <c r="HD150" s="191"/>
      <c r="HE150" s="191"/>
      <c r="HF150" s="191"/>
      <c r="HG150" s="191"/>
      <c r="HH150" s="191"/>
      <c r="HI150" s="191">
        <v>50</v>
      </c>
      <c r="HJ150" s="191"/>
      <c r="HK150" s="191"/>
      <c r="HL150" s="191"/>
      <c r="HM150" s="191"/>
      <c r="HN150" s="191"/>
      <c r="HO150" s="191">
        <v>50</v>
      </c>
      <c r="HP150" s="191"/>
      <c r="HQ150" s="191"/>
      <c r="HR150" s="191"/>
      <c r="HS150" s="191">
        <v>10</v>
      </c>
      <c r="HT150" s="191"/>
      <c r="HU150" s="191"/>
      <c r="HV150" s="191"/>
      <c r="HW150" s="191">
        <v>10</v>
      </c>
      <c r="HX150" s="191"/>
      <c r="HY150" s="191"/>
      <c r="HZ150" s="193">
        <v>10</v>
      </c>
      <c r="IA150" s="194"/>
      <c r="IB150" s="191"/>
      <c r="IC150" s="191"/>
      <c r="ID150" s="191">
        <v>50</v>
      </c>
      <c r="IE150" s="191"/>
      <c r="IF150" s="191"/>
      <c r="IG150" s="191"/>
      <c r="IH150" s="191"/>
      <c r="II150" s="191"/>
      <c r="IJ150" s="191">
        <v>10</v>
      </c>
      <c r="IK150" s="191"/>
      <c r="IL150" s="191"/>
      <c r="IM150" s="191"/>
      <c r="IN150" s="191">
        <v>50</v>
      </c>
      <c r="IO150" s="191"/>
      <c r="IP150" s="191"/>
      <c r="IQ150" s="191"/>
      <c r="IR150" s="191"/>
      <c r="IS150" s="191"/>
      <c r="IT150" s="191"/>
      <c r="IU150" s="191">
        <v>10</v>
      </c>
      <c r="IV150" s="191"/>
      <c r="IW150" s="191"/>
      <c r="IX150" s="191"/>
      <c r="IY150" s="191"/>
      <c r="IZ150" s="191"/>
      <c r="JA150" s="191"/>
      <c r="JB150" s="191">
        <v>50</v>
      </c>
      <c r="JC150" s="191"/>
      <c r="JD150" s="191"/>
      <c r="JE150" s="192"/>
      <c r="JF150" s="190">
        <v>10</v>
      </c>
      <c r="JG150" s="191"/>
      <c r="JH150" s="191"/>
      <c r="JI150" s="191">
        <v>10</v>
      </c>
      <c r="JJ150" s="191"/>
      <c r="JK150" s="191"/>
      <c r="JL150" s="191"/>
      <c r="JM150" s="191">
        <v>10</v>
      </c>
      <c r="JN150" s="191"/>
      <c r="JO150" s="191"/>
      <c r="JP150" s="191">
        <v>10</v>
      </c>
      <c r="JQ150" s="191"/>
      <c r="JR150" s="191"/>
      <c r="JS150" s="191"/>
      <c r="JT150" s="191"/>
      <c r="JU150" s="191"/>
      <c r="JV150" s="191"/>
      <c r="JW150" s="191">
        <v>10</v>
      </c>
      <c r="JX150" s="191"/>
      <c r="JY150" s="191"/>
      <c r="JZ150" s="191"/>
      <c r="KA150" s="191">
        <v>10</v>
      </c>
      <c r="KB150" s="191"/>
      <c r="KC150" s="191"/>
      <c r="KD150" s="191">
        <v>10</v>
      </c>
      <c r="KE150" s="191"/>
      <c r="KF150" s="191"/>
      <c r="KG150" s="191"/>
      <c r="KH150" s="191">
        <v>50</v>
      </c>
      <c r="KI150" s="191"/>
      <c r="KJ150" s="193"/>
      <c r="KK150" s="194">
        <v>10</v>
      </c>
      <c r="KL150" s="191"/>
      <c r="KM150" s="191"/>
      <c r="KN150" s="191"/>
      <c r="KO150" s="191"/>
      <c r="KP150" s="191"/>
      <c r="KQ150" s="191"/>
      <c r="KR150" s="191">
        <v>50</v>
      </c>
      <c r="KS150" s="191"/>
      <c r="KT150" s="191"/>
      <c r="KU150" s="191"/>
      <c r="KV150" s="191">
        <v>10</v>
      </c>
      <c r="KW150" s="191"/>
      <c r="KX150" s="191"/>
      <c r="KY150" s="191"/>
      <c r="KZ150" s="191"/>
      <c r="LA150" s="191"/>
      <c r="LB150" s="191"/>
      <c r="LC150" s="191">
        <v>50</v>
      </c>
      <c r="LD150" s="191"/>
      <c r="LE150" s="191"/>
      <c r="LF150" s="191">
        <v>10</v>
      </c>
      <c r="LG150" s="191"/>
      <c r="LH150" s="191"/>
      <c r="LI150" s="191"/>
      <c r="LJ150" s="191">
        <v>50</v>
      </c>
      <c r="LK150" s="191"/>
      <c r="LL150" s="191"/>
      <c r="LM150" s="191">
        <v>10</v>
      </c>
      <c r="LN150" s="192"/>
      <c r="LO150" s="190"/>
      <c r="LP150" s="191"/>
      <c r="LQ150" s="191"/>
      <c r="LR150" s="191"/>
      <c r="LS150" s="191"/>
      <c r="LT150" s="191">
        <v>100</v>
      </c>
      <c r="LU150" s="191"/>
      <c r="LV150" s="191"/>
      <c r="LW150" s="191"/>
      <c r="LX150" s="191">
        <v>50</v>
      </c>
      <c r="LY150" s="191"/>
      <c r="LZ150" s="191"/>
      <c r="MA150" s="191">
        <v>10</v>
      </c>
      <c r="MB150" s="191"/>
      <c r="MC150" s="191"/>
      <c r="MD150" s="191"/>
      <c r="ME150" s="191">
        <v>50</v>
      </c>
      <c r="MF150" s="191"/>
      <c r="MG150" s="191"/>
      <c r="MH150" s="191">
        <v>10</v>
      </c>
      <c r="MI150" s="191"/>
      <c r="MJ150" s="191"/>
      <c r="MK150" s="191"/>
      <c r="ML150" s="191">
        <v>10</v>
      </c>
      <c r="MM150" s="191"/>
      <c r="MN150" s="191"/>
      <c r="MO150" s="191">
        <v>10</v>
      </c>
      <c r="MP150" s="191"/>
      <c r="MQ150" s="191"/>
      <c r="MR150" s="191"/>
      <c r="MS150" s="193">
        <v>10</v>
      </c>
      <c r="MT150" s="194"/>
      <c r="MU150" s="191"/>
      <c r="MV150" s="191">
        <v>50</v>
      </c>
      <c r="MW150" s="191"/>
      <c r="MX150" s="191"/>
      <c r="MY150" s="191"/>
      <c r="MZ150" s="191">
        <v>10</v>
      </c>
      <c r="NA150" s="191"/>
      <c r="NB150" s="191"/>
      <c r="NC150" s="191">
        <v>10</v>
      </c>
      <c r="ND150" s="191"/>
      <c r="NE150" s="191"/>
      <c r="NF150" s="191"/>
      <c r="NG150" s="191">
        <v>10</v>
      </c>
      <c r="NH150" s="191"/>
      <c r="NI150" s="191"/>
      <c r="NJ150" s="191">
        <v>50</v>
      </c>
      <c r="NK150" s="191"/>
      <c r="NL150" s="191"/>
      <c r="NM150" s="191"/>
      <c r="NN150" s="191">
        <v>10</v>
      </c>
      <c r="NO150" s="191"/>
      <c r="NP150" s="191"/>
      <c r="NQ150" s="191">
        <v>100</v>
      </c>
      <c r="NR150" s="191"/>
      <c r="NS150" s="191"/>
      <c r="NT150" s="191"/>
      <c r="NU150" s="191">
        <v>10</v>
      </c>
      <c r="NV150" s="191"/>
      <c r="NW150" s="192"/>
      <c r="NX150" s="190">
        <v>10</v>
      </c>
      <c r="NY150" s="191"/>
      <c r="NZ150" s="191"/>
      <c r="OA150" s="191"/>
      <c r="OB150" s="191">
        <v>50</v>
      </c>
      <c r="OC150" s="191"/>
      <c r="OD150" s="191"/>
      <c r="OE150" s="191">
        <v>10</v>
      </c>
      <c r="OF150" s="191"/>
      <c r="OG150" s="191"/>
      <c r="OH150" s="191"/>
      <c r="OI150" s="191">
        <v>10</v>
      </c>
      <c r="OJ150" s="191"/>
      <c r="OK150" s="191"/>
      <c r="OL150" s="191"/>
      <c r="OM150" s="191"/>
      <c r="ON150" s="191"/>
      <c r="OO150" s="191"/>
      <c r="OP150" s="191"/>
      <c r="OQ150" s="191"/>
      <c r="OR150" s="191"/>
      <c r="OS150" s="191"/>
      <c r="OT150" s="191"/>
      <c r="OU150" s="191"/>
      <c r="OV150" s="191"/>
      <c r="OW150" s="191"/>
      <c r="OX150" s="191"/>
      <c r="OY150" s="191"/>
      <c r="OZ150" s="191"/>
      <c r="PA150" s="191"/>
      <c r="PB150" s="193"/>
      <c r="PC150" s="47"/>
      <c r="PD150" s="154" t="s">
        <v>97</v>
      </c>
      <c r="PE150" s="155" t="s">
        <v>98</v>
      </c>
      <c r="PF150" s="155" t="s">
        <v>98</v>
      </c>
      <c r="PG150" s="155" t="s">
        <v>98</v>
      </c>
      <c r="PH150" s="155" t="s">
        <v>98</v>
      </c>
      <c r="PI150" s="155" t="s">
        <v>98</v>
      </c>
      <c r="PJ150" s="155" t="s">
        <v>98</v>
      </c>
      <c r="PK150" s="155" t="s">
        <v>98</v>
      </c>
      <c r="PL150" s="155" t="s">
        <v>98</v>
      </c>
      <c r="PM150" s="155" t="s">
        <v>98</v>
      </c>
      <c r="PN150" s="155" t="s">
        <v>98</v>
      </c>
      <c r="PO150" s="156"/>
      <c r="PP150" s="156"/>
      <c r="PQ150" s="156"/>
      <c r="PR150" s="156"/>
      <c r="PS150" s="156"/>
      <c r="PT150" s="156"/>
      <c r="PU150" s="156"/>
      <c r="PV150" s="156"/>
      <c r="PW150" s="156"/>
      <c r="PX150" s="195"/>
      <c r="PY150" s="1"/>
      <c r="PZ150" s="196">
        <f t="shared" si="126"/>
        <v>750</v>
      </c>
      <c r="QA150" s="176">
        <f t="shared" si="127"/>
        <v>6.2567781763577211E-3</v>
      </c>
      <c r="QB150" s="177" t="str">
        <f t="shared" ca="1" si="128"/>
        <v>Attente…</v>
      </c>
      <c r="QC150" s="197">
        <f t="shared" si="129"/>
        <v>650</v>
      </c>
      <c r="QD150" s="179">
        <f t="shared" si="130"/>
        <v>6.0861423220973784E-3</v>
      </c>
      <c r="QE150" s="180" t="str">
        <f t="shared" ca="1" si="131"/>
        <v>Attente…</v>
      </c>
      <c r="QF150" s="196">
        <f t="shared" si="132"/>
        <v>360</v>
      </c>
      <c r="QG150" s="176">
        <f t="shared" si="133"/>
        <v>2.866698518872432E-3</v>
      </c>
      <c r="QH150" s="177" t="str">
        <f t="shared" ca="1" si="134"/>
        <v>Attente…</v>
      </c>
      <c r="QI150" s="197">
        <f t="shared" si="135"/>
        <v>370</v>
      </c>
      <c r="QJ150" s="179">
        <f t="shared" si="136"/>
        <v>2.5950343666713426E-3</v>
      </c>
      <c r="QK150" s="180" t="str">
        <f t="shared" ca="1" si="137"/>
        <v>Attente…</v>
      </c>
      <c r="QL150" s="196">
        <f t="shared" si="138"/>
        <v>280</v>
      </c>
      <c r="QM150" s="176">
        <f t="shared" si="139"/>
        <v>2.048580626280363E-3</v>
      </c>
      <c r="QN150" s="177" t="str">
        <f t="shared" ca="1" si="140"/>
        <v>Attente…</v>
      </c>
      <c r="QO150" s="197">
        <f t="shared" si="141"/>
        <v>190</v>
      </c>
      <c r="QP150" s="179">
        <f t="shared" si="142"/>
        <v>1.4875127221482816E-3</v>
      </c>
      <c r="QQ150" s="180" t="str">
        <f t="shared" ca="1" si="143"/>
        <v>Attente…</v>
      </c>
      <c r="QR150" s="196">
        <f t="shared" si="144"/>
        <v>170</v>
      </c>
      <c r="QS150" s="176">
        <f t="shared" si="145"/>
        <v>1.2238580324682336E-3</v>
      </c>
      <c r="QT150" s="177" t="str">
        <f t="shared" ca="1" si="146"/>
        <v>Attente…</v>
      </c>
      <c r="QU150" s="197">
        <f t="shared" si="147"/>
        <v>120</v>
      </c>
      <c r="QV150" s="179">
        <f t="shared" si="148"/>
        <v>8.2735797021511303E-4</v>
      </c>
      <c r="QW150" s="180" t="str">
        <f t="shared" ca="1" si="149"/>
        <v>Attente…</v>
      </c>
      <c r="QX150" s="196">
        <f t="shared" si="150"/>
        <v>190</v>
      </c>
      <c r="QY150" s="176">
        <f t="shared" si="151"/>
        <v>1.3864969788960565E-3</v>
      </c>
      <c r="QZ150" s="177" t="str">
        <f t="shared" ca="1" si="152"/>
        <v>Attente…</v>
      </c>
      <c r="RA150" s="197">
        <f t="shared" si="153"/>
        <v>250</v>
      </c>
      <c r="RB150" s="179">
        <f t="shared" si="154"/>
        <v>1.9560284797746656E-3</v>
      </c>
      <c r="RC150" s="180" t="str">
        <f t="shared" ca="1" si="155"/>
        <v>Attente…</v>
      </c>
      <c r="RD150" s="196">
        <f t="shared" si="156"/>
        <v>250</v>
      </c>
      <c r="RE150" s="176">
        <f t="shared" si="157"/>
        <v>2.4910322837783977E-3</v>
      </c>
      <c r="RF150" s="177" t="str">
        <f t="shared" ca="1" si="158"/>
        <v>Attente…</v>
      </c>
      <c r="RG150" s="197">
        <f t="shared" si="159"/>
        <v>80</v>
      </c>
      <c r="RH150" s="179">
        <f t="shared" si="160"/>
        <v>1.4713996689350744E-3</v>
      </c>
      <c r="RI150" s="198" t="str">
        <f t="shared" ca="1" si="161"/>
        <v>Attente…</v>
      </c>
      <c r="RJ150" s="199">
        <f t="shared" si="162"/>
        <v>1760</v>
      </c>
      <c r="RK150" s="200" t="str">
        <f t="shared" ca="1" si="119"/>
        <v>Attente…</v>
      </c>
      <c r="RL150" s="199">
        <f t="shared" si="163"/>
        <v>840</v>
      </c>
      <c r="RM150" s="200" t="str">
        <f t="shared" ca="1" si="164"/>
        <v>Atttente…</v>
      </c>
      <c r="RN150" s="199">
        <f t="shared" si="165"/>
        <v>480</v>
      </c>
      <c r="RO150" s="200" t="str">
        <f t="shared" ca="1" si="120"/>
        <v>Attente…</v>
      </c>
      <c r="RP150" s="199">
        <f t="shared" si="166"/>
        <v>580</v>
      </c>
      <c r="RQ150" s="200" t="str">
        <f t="shared" ca="1" si="121"/>
        <v>Attente…</v>
      </c>
      <c r="RR150" s="201">
        <f t="shared" si="167"/>
        <v>3660</v>
      </c>
      <c r="RS150" s="202" t="str">
        <f t="shared" ca="1" si="122"/>
        <v>Attente…</v>
      </c>
      <c r="RT150" s="103"/>
      <c r="RU150" s="203">
        <f t="shared" si="168"/>
        <v>0.22875000000000001</v>
      </c>
      <c r="RV150" s="204">
        <f t="shared" si="171"/>
        <v>1</v>
      </c>
      <c r="RW150" s="204">
        <f t="shared" si="171"/>
        <v>2</v>
      </c>
      <c r="RX150" s="204">
        <f t="shared" si="169"/>
        <v>80</v>
      </c>
      <c r="RY150" s="205" t="str">
        <f t="shared" si="170"/>
        <v>ROUEN - 11 Rue Antheaume (Résidence Vallon Saint Hilaire)</v>
      </c>
      <c r="RZ150" s="189" t="str">
        <f>IF(OR(RZ149="",RZ149="  &lt;/Document&gt;
&lt;/kml&gt;"),"",
IF(B150="","  &lt;/Document&gt;
&lt;/kml&gt;",
IF(TournéesCAV!Q150=""," ",
"    &lt;Placemark&gt;
      &lt;description&gt;&lt;![CDATA["&amp;B150&amp;"&lt;br&gt;&lt;br&gt;"&amp;RV150&amp;" CAV&lt;br&gt;&lt;br&gt;Présent sur "&amp;RW150&amp;" tournée(s)&lt;br&gt;&lt;br&gt;Taux de remplissage moyen "&amp;TEXT(RU150*1000,"0 %")&amp;"]]&gt;&lt;/description&gt;
      &lt;Style&gt;
        &lt;IconStyle&gt;
          &lt;color&gt;ff"&amp;
          DEC2HEX(0,2)&amp;
          DEC2HEX(
            IF(RU150&lt;=0.5,
               INT(255*(RU150*2)),
               255
            ),2)&amp;
          DEC2HEX(
            IF(RU150&lt;=0.5,
               255,
               INT(255*(1-(RU150-0.5)*2))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&lt;Point&gt;&lt;coordinates&gt;"&amp;R150&amp;","&amp;Q150&amp;",0&lt;/coordinates&gt;&lt;/Point&gt;
    &lt;/Placemark&gt;"
)))</f>
        <v xml:space="preserve">    &lt;Placemark&gt;
      &lt;description&gt;&lt;![CDATA[ROUEN - 11 Rue Antheaume (Résidence Vallon Saint Hilaire)&lt;br&gt;&lt;br&gt;1 CAV&lt;br&gt;&lt;br&gt;Présent sur 2 tournée(s)&lt;br&gt;&lt;br&gt;Taux de remplissage moyen 23%]]&gt;&lt;/description&gt;
      &lt;Style&gt;
        &lt;IconStyle&gt;
          &lt;color&gt;ff0074FF&lt;/color&gt;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&lt;Point&gt;&lt;coordinates&gt;1.1168911,49.4448577,0&lt;/coordinates&gt;&lt;/Point&gt;
    &lt;/Placemark&gt;</v>
      </c>
    </row>
    <row r="151" spans="2:494" ht="15" hidden="1" customHeight="1" x14ac:dyDescent="0.35">
      <c r="B151" s="153" t="str">
        <f t="shared" si="123"/>
        <v>BOOS - Rue des Canadiens (Déchetterie Boos - D91 vers Saint-Aubin-Celloville)</v>
      </c>
      <c r="C151" s="154">
        <v>110</v>
      </c>
      <c r="D151" s="155"/>
      <c r="E151" s="155"/>
      <c r="F151" s="155"/>
      <c r="G151" s="155"/>
      <c r="H151" s="155"/>
      <c r="I151" s="155"/>
      <c r="J151" s="156"/>
      <c r="K151" s="157">
        <f t="shared" si="124"/>
        <v>1</v>
      </c>
      <c r="L151" s="157">
        <f t="shared" si="125"/>
        <v>1</v>
      </c>
      <c r="M151" s="158" t="s">
        <v>846</v>
      </c>
      <c r="N151" s="159" t="s">
        <v>847</v>
      </c>
      <c r="O151" s="159">
        <v>76520</v>
      </c>
      <c r="P151" s="159" t="s">
        <v>263</v>
      </c>
      <c r="Q151" s="159" t="s">
        <v>848</v>
      </c>
      <c r="R151" s="159" t="s">
        <v>849</v>
      </c>
      <c r="S151" s="159" t="s">
        <v>93</v>
      </c>
      <c r="T151" s="159" t="s">
        <v>159</v>
      </c>
      <c r="U151" s="159" t="s">
        <v>850</v>
      </c>
      <c r="V151" s="160" t="s">
        <v>96</v>
      </c>
      <c r="W151" s="161"/>
      <c r="X151" s="162"/>
      <c r="Y151" s="163"/>
      <c r="Z151" s="162"/>
      <c r="AA151" s="163"/>
      <c r="AB151" s="162"/>
      <c r="AC151" s="163"/>
      <c r="AD151" s="162"/>
      <c r="AE151" s="163"/>
      <c r="AF151" s="162"/>
      <c r="AG151" s="163"/>
      <c r="AH151" s="163"/>
      <c r="AI151" s="162"/>
      <c r="AJ151" s="163"/>
      <c r="AK151" s="162"/>
      <c r="AL151" s="163">
        <v>13</v>
      </c>
      <c r="AM151" s="162"/>
      <c r="AN151" s="163"/>
      <c r="AO151" s="162"/>
      <c r="AP151" s="164"/>
      <c r="AQ151" s="164"/>
      <c r="AR151" s="164"/>
      <c r="AS151" s="164"/>
      <c r="AT151" s="164"/>
      <c r="AU151" s="164"/>
      <c r="AV151" s="164"/>
      <c r="AW151" s="164"/>
      <c r="AX151" s="164"/>
      <c r="AY151" s="165"/>
      <c r="AZ151" s="41"/>
      <c r="BA151" s="190"/>
      <c r="BB151" s="191"/>
      <c r="BC151" s="191"/>
      <c r="BD151" s="191"/>
      <c r="BE151" s="191"/>
      <c r="BF151" s="191"/>
      <c r="BG151" s="191"/>
      <c r="BH151" s="191"/>
      <c r="BI151" s="191"/>
      <c r="BJ151" s="191"/>
      <c r="BK151" s="191"/>
      <c r="BL151" s="191"/>
      <c r="BM151" s="191"/>
      <c r="BN151" s="191"/>
      <c r="BO151" s="191"/>
      <c r="BP151" s="191"/>
      <c r="BQ151" s="191"/>
      <c r="BR151" s="191"/>
      <c r="BS151" s="191"/>
      <c r="BT151" s="191"/>
      <c r="BU151" s="191"/>
      <c r="BV151" s="191">
        <v>200</v>
      </c>
      <c r="BW151" s="191"/>
      <c r="BX151" s="191"/>
      <c r="BY151" s="191"/>
      <c r="BZ151" s="191"/>
      <c r="CA151" s="191"/>
      <c r="CB151" s="191"/>
      <c r="CC151" s="191">
        <v>100</v>
      </c>
      <c r="CD151" s="191"/>
      <c r="CE151" s="192"/>
      <c r="CF151" s="190"/>
      <c r="CG151" s="191"/>
      <c r="CH151" s="191"/>
      <c r="CI151" s="191"/>
      <c r="CJ151" s="191">
        <v>150</v>
      </c>
      <c r="CK151" s="191"/>
      <c r="CL151" s="191"/>
      <c r="CM151" s="191"/>
      <c r="CN151" s="191"/>
      <c r="CO151" s="191"/>
      <c r="CP151" s="191"/>
      <c r="CQ151" s="191">
        <v>200</v>
      </c>
      <c r="CR151" s="191"/>
      <c r="CS151" s="191"/>
      <c r="CT151" s="191"/>
      <c r="CU151" s="191"/>
      <c r="CV151" s="191"/>
      <c r="CW151" s="191"/>
      <c r="CX151" s="191"/>
      <c r="CY151" s="191"/>
      <c r="CZ151" s="191"/>
      <c r="DA151" s="191"/>
      <c r="DB151" s="191"/>
      <c r="DC151" s="191"/>
      <c r="DD151" s="191"/>
      <c r="DE151" s="191">
        <v>150</v>
      </c>
      <c r="DF151" s="191"/>
      <c r="DG151" s="191"/>
      <c r="DH151" s="193"/>
      <c r="DI151" s="194"/>
      <c r="DJ151" s="191"/>
      <c r="DK151" s="191"/>
      <c r="DL151" s="191"/>
      <c r="DM151" s="191">
        <v>200</v>
      </c>
      <c r="DN151" s="191"/>
      <c r="DO151" s="191"/>
      <c r="DP151" s="191"/>
      <c r="DQ151" s="191"/>
      <c r="DR151" s="191"/>
      <c r="DS151" s="191"/>
      <c r="DT151" s="191">
        <v>200</v>
      </c>
      <c r="DU151" s="191"/>
      <c r="DV151" s="191"/>
      <c r="DW151" s="191"/>
      <c r="DX151" s="191"/>
      <c r="DY151" s="191"/>
      <c r="DZ151" s="191"/>
      <c r="EA151" s="191"/>
      <c r="EB151" s="191"/>
      <c r="EC151" s="191"/>
      <c r="ED151" s="191"/>
      <c r="EE151" s="191"/>
      <c r="EF151" s="191"/>
      <c r="EG151" s="191"/>
      <c r="EH151" s="191">
        <v>150</v>
      </c>
      <c r="EI151" s="191"/>
      <c r="EJ151" s="191"/>
      <c r="EK151" s="191"/>
      <c r="EL151" s="191"/>
      <c r="EM151" s="192"/>
      <c r="EN151" s="190"/>
      <c r="EO151" s="191">
        <v>200</v>
      </c>
      <c r="EP151" s="191"/>
      <c r="EQ151" s="191"/>
      <c r="ER151" s="191"/>
      <c r="ES151" s="191"/>
      <c r="ET151" s="191"/>
      <c r="EU151" s="191"/>
      <c r="EV151" s="191"/>
      <c r="EW151" s="191"/>
      <c r="EX151" s="191"/>
      <c r="EY151" s="191"/>
      <c r="EZ151" s="191"/>
      <c r="FA151" s="191"/>
      <c r="FB151" s="191"/>
      <c r="FC151" s="191"/>
      <c r="FD151" s="191">
        <v>200</v>
      </c>
      <c r="FE151" s="191"/>
      <c r="FF151" s="191"/>
      <c r="FG151" s="191"/>
      <c r="FH151" s="191"/>
      <c r="FI151" s="191"/>
      <c r="FJ151" s="191"/>
      <c r="FK151" s="191"/>
      <c r="FL151" s="191">
        <v>200</v>
      </c>
      <c r="FM151" s="191"/>
      <c r="FN151" s="191"/>
      <c r="FO151" s="191"/>
      <c r="FP151" s="191"/>
      <c r="FQ151" s="193"/>
      <c r="FR151" s="194"/>
      <c r="FS151" s="191"/>
      <c r="FT151" s="191"/>
      <c r="FU151" s="191"/>
      <c r="FV151" s="191"/>
      <c r="FW151" s="191"/>
      <c r="FX151" s="191">
        <v>200</v>
      </c>
      <c r="FY151" s="191"/>
      <c r="FZ151" s="191"/>
      <c r="GA151" s="191"/>
      <c r="GB151" s="191"/>
      <c r="GC151" s="191"/>
      <c r="GD151" s="191"/>
      <c r="GE151" s="191"/>
      <c r="GF151" s="191"/>
      <c r="GG151" s="191"/>
      <c r="GH151" s="191"/>
      <c r="GI151" s="191"/>
      <c r="GJ151" s="191"/>
      <c r="GK151" s="191"/>
      <c r="GL151" s="191">
        <v>200</v>
      </c>
      <c r="GM151" s="191"/>
      <c r="GN151" s="191"/>
      <c r="GO151" s="191"/>
      <c r="GP151" s="191"/>
      <c r="GQ151" s="191"/>
      <c r="GR151" s="191"/>
      <c r="GS151" s="191"/>
      <c r="GT151" s="191"/>
      <c r="GU151" s="191"/>
      <c r="GV151" s="192"/>
      <c r="GW151" s="190"/>
      <c r="GX151" s="191"/>
      <c r="GY151" s="191"/>
      <c r="GZ151" s="191">
        <v>200</v>
      </c>
      <c r="HA151" s="191"/>
      <c r="HB151" s="191"/>
      <c r="HC151" s="191"/>
      <c r="HD151" s="191"/>
      <c r="HE151" s="191"/>
      <c r="HF151" s="191"/>
      <c r="HG151" s="191"/>
      <c r="HH151" s="191"/>
      <c r="HI151" s="191"/>
      <c r="HJ151" s="191"/>
      <c r="HK151" s="191"/>
      <c r="HL151" s="191"/>
      <c r="HM151" s="191"/>
      <c r="HN151" s="191"/>
      <c r="HO151" s="191"/>
      <c r="HP151" s="191"/>
      <c r="HQ151" s="191"/>
      <c r="HR151" s="191"/>
      <c r="HS151" s="191"/>
      <c r="HT151" s="191"/>
      <c r="HU151" s="191">
        <v>200</v>
      </c>
      <c r="HV151" s="191"/>
      <c r="HW151" s="191"/>
      <c r="HX151" s="191"/>
      <c r="HY151" s="191"/>
      <c r="HZ151" s="193"/>
      <c r="IA151" s="194"/>
      <c r="IB151" s="191"/>
      <c r="IC151" s="191"/>
      <c r="ID151" s="191"/>
      <c r="IE151" s="191"/>
      <c r="IF151" s="191"/>
      <c r="IG151" s="191"/>
      <c r="IH151" s="191"/>
      <c r="II151" s="191">
        <v>200</v>
      </c>
      <c r="IJ151" s="191"/>
      <c r="IK151" s="191"/>
      <c r="IL151" s="191"/>
      <c r="IM151" s="191"/>
      <c r="IN151" s="191"/>
      <c r="IO151" s="191"/>
      <c r="IP151" s="191"/>
      <c r="IQ151" s="191"/>
      <c r="IR151" s="191"/>
      <c r="IS151" s="191"/>
      <c r="IT151" s="191"/>
      <c r="IU151" s="191"/>
      <c r="IV151" s="191"/>
      <c r="IW151" s="191">
        <v>150</v>
      </c>
      <c r="IX151" s="191"/>
      <c r="IY151" s="191"/>
      <c r="IZ151" s="191"/>
      <c r="JA151" s="191"/>
      <c r="JB151" s="191"/>
      <c r="JC151" s="191"/>
      <c r="JD151" s="191"/>
      <c r="JE151" s="192"/>
      <c r="JF151" s="190"/>
      <c r="JG151" s="191"/>
      <c r="JH151" s="191"/>
      <c r="JI151" s="191"/>
      <c r="JJ151" s="191"/>
      <c r="JK151" s="191">
        <v>200</v>
      </c>
      <c r="JL151" s="191"/>
      <c r="JM151" s="191"/>
      <c r="JN151" s="191"/>
      <c r="JO151" s="191"/>
      <c r="JP151" s="191"/>
      <c r="JQ151" s="191"/>
      <c r="JR151" s="191">
        <v>150</v>
      </c>
      <c r="JS151" s="191"/>
      <c r="JT151" s="191"/>
      <c r="JU151" s="191"/>
      <c r="JV151" s="191"/>
      <c r="JW151" s="191"/>
      <c r="JX151" s="191"/>
      <c r="JY151" s="191">
        <v>150</v>
      </c>
      <c r="JZ151" s="191"/>
      <c r="KA151" s="191"/>
      <c r="KB151" s="191"/>
      <c r="KC151" s="191"/>
      <c r="KD151" s="191"/>
      <c r="KE151" s="191"/>
      <c r="KF151" s="191">
        <v>200</v>
      </c>
      <c r="KG151" s="191"/>
      <c r="KH151" s="191"/>
      <c r="KI151" s="191"/>
      <c r="KJ151" s="193"/>
      <c r="KK151" s="194"/>
      <c r="KL151" s="191"/>
      <c r="KM151" s="191">
        <v>200</v>
      </c>
      <c r="KN151" s="191"/>
      <c r="KO151" s="191"/>
      <c r="KP151" s="191"/>
      <c r="KQ151" s="191"/>
      <c r="KR151" s="191"/>
      <c r="KS151" s="191"/>
      <c r="KT151" s="191"/>
      <c r="KU151" s="191">
        <v>200</v>
      </c>
      <c r="KV151" s="191"/>
      <c r="KW151" s="191"/>
      <c r="KX151" s="191"/>
      <c r="KY151" s="191"/>
      <c r="KZ151" s="191"/>
      <c r="LA151" s="191"/>
      <c r="LB151" s="191"/>
      <c r="LC151" s="191"/>
      <c r="LD151" s="191"/>
      <c r="LE151" s="191"/>
      <c r="LF151" s="191"/>
      <c r="LG151" s="191"/>
      <c r="LH151" s="191">
        <v>10</v>
      </c>
      <c r="LI151" s="191"/>
      <c r="LJ151" s="191"/>
      <c r="LK151" s="191"/>
      <c r="LL151" s="191"/>
      <c r="LM151" s="191"/>
      <c r="LN151" s="192"/>
      <c r="LO151" s="190"/>
      <c r="LP151" s="191"/>
      <c r="LQ151" s="191"/>
      <c r="LR151" s="191"/>
      <c r="LS151" s="191"/>
      <c r="LT151" s="191"/>
      <c r="LU151" s="191"/>
      <c r="LV151" s="191">
        <v>150</v>
      </c>
      <c r="LW151" s="191"/>
      <c r="LX151" s="191"/>
      <c r="LY151" s="191"/>
      <c r="LZ151" s="191"/>
      <c r="MA151" s="191"/>
      <c r="MB151" s="191"/>
      <c r="MC151" s="191">
        <v>200</v>
      </c>
      <c r="MD151" s="191"/>
      <c r="ME151" s="191"/>
      <c r="MF151" s="191"/>
      <c r="MG151" s="191"/>
      <c r="MH151" s="191"/>
      <c r="MI151" s="191"/>
      <c r="MJ151" s="191">
        <v>200</v>
      </c>
      <c r="MK151" s="191"/>
      <c r="ML151" s="191"/>
      <c r="MM151" s="191"/>
      <c r="MN151" s="191"/>
      <c r="MO151" s="191"/>
      <c r="MP151" s="191"/>
      <c r="MQ151" s="191">
        <v>200</v>
      </c>
      <c r="MR151" s="191"/>
      <c r="MS151" s="193"/>
      <c r="MT151" s="194"/>
      <c r="MU151" s="191"/>
      <c r="MV151" s="191"/>
      <c r="MW151" s="191"/>
      <c r="MX151" s="191">
        <v>150</v>
      </c>
      <c r="MY151" s="191"/>
      <c r="MZ151" s="191"/>
      <c r="NA151" s="191"/>
      <c r="NB151" s="191"/>
      <c r="NC151" s="191"/>
      <c r="ND151" s="191"/>
      <c r="NE151" s="191"/>
      <c r="NF151" s="191"/>
      <c r="NG151" s="191"/>
      <c r="NH151" s="191"/>
      <c r="NI151" s="191"/>
      <c r="NJ151" s="191"/>
      <c r="NK151" s="191"/>
      <c r="NL151" s="191"/>
      <c r="NM151" s="191"/>
      <c r="NN151" s="191"/>
      <c r="NO151" s="191"/>
      <c r="NP151" s="191"/>
      <c r="NQ151" s="191"/>
      <c r="NR151" s="191"/>
      <c r="NS151" s="191">
        <v>10</v>
      </c>
      <c r="NT151" s="191"/>
      <c r="NU151" s="191"/>
      <c r="NV151" s="191"/>
      <c r="NW151" s="192"/>
      <c r="NX151" s="190"/>
      <c r="NY151" s="191"/>
      <c r="NZ151" s="191">
        <v>150</v>
      </c>
      <c r="OA151" s="191"/>
      <c r="OB151" s="191"/>
      <c r="OC151" s="191"/>
      <c r="OD151" s="191"/>
      <c r="OE151" s="191"/>
      <c r="OF151" s="191"/>
      <c r="OG151" s="191">
        <v>200</v>
      </c>
      <c r="OH151" s="191"/>
      <c r="OI151" s="191"/>
      <c r="OJ151" s="191"/>
      <c r="OK151" s="191"/>
      <c r="OL151" s="191"/>
      <c r="OM151" s="191"/>
      <c r="ON151" s="191"/>
      <c r="OO151" s="191"/>
      <c r="OP151" s="191"/>
      <c r="OQ151" s="191"/>
      <c r="OR151" s="191"/>
      <c r="OS151" s="191"/>
      <c r="OT151" s="191"/>
      <c r="OU151" s="191"/>
      <c r="OV151" s="191"/>
      <c r="OW151" s="191"/>
      <c r="OX151" s="191"/>
      <c r="OY151" s="191"/>
      <c r="OZ151" s="191"/>
      <c r="PA151" s="191"/>
      <c r="PB151" s="193"/>
      <c r="PC151" s="47"/>
      <c r="PD151" s="154" t="s">
        <v>97</v>
      </c>
      <c r="PE151" s="155" t="s">
        <v>97</v>
      </c>
      <c r="PF151" s="155" t="s">
        <v>98</v>
      </c>
      <c r="PG151" s="155" t="s">
        <v>98</v>
      </c>
      <c r="PH151" s="155" t="s">
        <v>98</v>
      </c>
      <c r="PI151" s="155" t="s">
        <v>98</v>
      </c>
      <c r="PJ151" s="155" t="s">
        <v>98</v>
      </c>
      <c r="PK151" s="155" t="s">
        <v>98</v>
      </c>
      <c r="PL151" s="155" t="s">
        <v>98</v>
      </c>
      <c r="PM151" s="155" t="s">
        <v>98</v>
      </c>
      <c r="PN151" s="155" t="s">
        <v>98</v>
      </c>
      <c r="PO151" s="156"/>
      <c r="PP151" s="156"/>
      <c r="PQ151" s="156"/>
      <c r="PR151" s="156"/>
      <c r="PS151" s="156"/>
      <c r="PT151" s="156"/>
      <c r="PU151" s="156"/>
      <c r="PV151" s="156"/>
      <c r="PW151" s="156"/>
      <c r="PX151" s="195"/>
      <c r="PY151" s="1"/>
      <c r="PZ151" s="196">
        <f t="shared" si="126"/>
        <v>300</v>
      </c>
      <c r="QA151" s="176">
        <f t="shared" si="127"/>
        <v>2.5027112705430883E-3</v>
      </c>
      <c r="QB151" s="177" t="str">
        <f t="shared" ca="1" si="128"/>
        <v>Attente…</v>
      </c>
      <c r="QC151" s="197">
        <f t="shared" si="129"/>
        <v>500</v>
      </c>
      <c r="QD151" s="179">
        <f t="shared" si="130"/>
        <v>4.6816479400749065E-3</v>
      </c>
      <c r="QE151" s="180" t="str">
        <f t="shared" ca="1" si="131"/>
        <v>Attente…</v>
      </c>
      <c r="QF151" s="196">
        <f t="shared" si="132"/>
        <v>550</v>
      </c>
      <c r="QG151" s="176">
        <f t="shared" si="133"/>
        <v>4.379678292721771E-3</v>
      </c>
      <c r="QH151" s="177" t="str">
        <f t="shared" ca="1" si="134"/>
        <v>Attente…</v>
      </c>
      <c r="QI151" s="197">
        <f t="shared" si="135"/>
        <v>600</v>
      </c>
      <c r="QJ151" s="179">
        <f t="shared" si="136"/>
        <v>4.2081638378454198E-3</v>
      </c>
      <c r="QK151" s="180" t="str">
        <f t="shared" ca="1" si="137"/>
        <v>Attente…</v>
      </c>
      <c r="QL151" s="196">
        <f t="shared" si="138"/>
        <v>400</v>
      </c>
      <c r="QM151" s="176">
        <f t="shared" si="139"/>
        <v>2.9265437518290896E-3</v>
      </c>
      <c r="QN151" s="177" t="str">
        <f t="shared" ca="1" si="140"/>
        <v>Attente…</v>
      </c>
      <c r="QO151" s="197">
        <f t="shared" si="141"/>
        <v>400</v>
      </c>
      <c r="QP151" s="179">
        <f t="shared" si="142"/>
        <v>3.1316057308384874E-3</v>
      </c>
      <c r="QQ151" s="180" t="str">
        <f t="shared" ca="1" si="143"/>
        <v>Attente…</v>
      </c>
      <c r="QR151" s="196">
        <f t="shared" si="144"/>
        <v>350</v>
      </c>
      <c r="QS151" s="176">
        <f t="shared" si="145"/>
        <v>2.5197077139051871E-3</v>
      </c>
      <c r="QT151" s="177" t="str">
        <f t="shared" ca="1" si="146"/>
        <v>Attente…</v>
      </c>
      <c r="QU151" s="197">
        <f t="shared" si="147"/>
        <v>700</v>
      </c>
      <c r="QV151" s="179">
        <f t="shared" si="148"/>
        <v>4.8262548262548262E-3</v>
      </c>
      <c r="QW151" s="180" t="str">
        <f t="shared" ca="1" si="149"/>
        <v>Attente…</v>
      </c>
      <c r="QX151" s="196">
        <f t="shared" si="150"/>
        <v>410</v>
      </c>
      <c r="QY151" s="176">
        <f t="shared" si="151"/>
        <v>2.9919145334072797E-3</v>
      </c>
      <c r="QZ151" s="177" t="str">
        <f t="shared" ca="1" si="152"/>
        <v>Attente…</v>
      </c>
      <c r="RA151" s="197">
        <f t="shared" si="153"/>
        <v>750</v>
      </c>
      <c r="RB151" s="179">
        <f t="shared" si="154"/>
        <v>5.8680854393239968E-3</v>
      </c>
      <c r="RC151" s="180" t="str">
        <f t="shared" ca="1" si="155"/>
        <v>Attente…</v>
      </c>
      <c r="RD151" s="196">
        <f t="shared" si="156"/>
        <v>160</v>
      </c>
      <c r="RE151" s="176">
        <f t="shared" si="157"/>
        <v>1.5942606616181746E-3</v>
      </c>
      <c r="RF151" s="177" t="str">
        <f t="shared" ca="1" si="158"/>
        <v>Attente…</v>
      </c>
      <c r="RG151" s="197">
        <f t="shared" si="159"/>
        <v>350</v>
      </c>
      <c r="RH151" s="179">
        <f t="shared" si="160"/>
        <v>6.4373735515909506E-3</v>
      </c>
      <c r="RI151" s="198" t="str">
        <f t="shared" ca="1" si="161"/>
        <v>Attente…</v>
      </c>
      <c r="RJ151" s="199">
        <f t="shared" si="162"/>
        <v>1350</v>
      </c>
      <c r="RK151" s="200" t="str">
        <f t="shared" ca="1" si="119"/>
        <v>Attente…</v>
      </c>
      <c r="RL151" s="199">
        <f t="shared" si="163"/>
        <v>1400</v>
      </c>
      <c r="RM151" s="200" t="str">
        <f t="shared" ca="1" si="164"/>
        <v>Atttente…</v>
      </c>
      <c r="RN151" s="199">
        <f t="shared" si="165"/>
        <v>1460</v>
      </c>
      <c r="RO151" s="200" t="str">
        <f t="shared" ca="1" si="120"/>
        <v>Attente…</v>
      </c>
      <c r="RP151" s="199">
        <f t="shared" si="166"/>
        <v>1260</v>
      </c>
      <c r="RQ151" s="200" t="str">
        <f t="shared" ca="1" si="121"/>
        <v>Attente…</v>
      </c>
      <c r="RR151" s="201">
        <f t="shared" si="167"/>
        <v>5470</v>
      </c>
      <c r="RS151" s="202" t="str">
        <f t="shared" ca="1" si="122"/>
        <v>Attente…</v>
      </c>
      <c r="RT151" s="103"/>
      <c r="RU151" s="203">
        <f t="shared" si="168"/>
        <v>0.85468750000000004</v>
      </c>
      <c r="RV151" s="204">
        <f t="shared" si="171"/>
        <v>1</v>
      </c>
      <c r="RW151" s="204">
        <f t="shared" si="171"/>
        <v>1</v>
      </c>
      <c r="RX151" s="204">
        <f t="shared" si="169"/>
        <v>32</v>
      </c>
      <c r="RY151" s="205" t="str">
        <f t="shared" si="170"/>
        <v>BOOS - Rue des Canadiens (Déchetterie Boos - D91 vers Saint-Aubin-Celloville)</v>
      </c>
      <c r="RZ151" s="189" t="str">
        <f>IF(OR(RZ150="",RZ150="  &lt;/Document&gt;
&lt;/kml&gt;"),"",
IF(B151="","  &lt;/Document&gt;
&lt;/kml&gt;",
IF(TournéesCAV!Q151=""," ",
"    &lt;Placemark&gt;
      &lt;description&gt;&lt;![CDATA["&amp;B151&amp;"&lt;br&gt;&lt;br&gt;"&amp;RV151&amp;" CAV&lt;br&gt;&lt;br&gt;Présent sur "&amp;RW151&amp;" tournée(s)&lt;br&gt;&lt;br&gt;Taux de remplissage moyen "&amp;TEXT(RU151*1000,"0 %")&amp;"]]&gt;&lt;/description&gt;
      &lt;Style&gt;
        &lt;IconStyle&gt;
          &lt;color&gt;ff"&amp;
          DEC2HEX(0,2)&amp;
          DEC2HEX(
            IF(RU151&lt;=0.5,
               INT(255*(RU151*2)),
               255
            ),2)&amp;
          DEC2HEX(
            IF(RU151&lt;=0.5,
               255,
               INT(255*(1-(RU151-0.5)*2))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&lt;Point&gt;&lt;coordinates&gt;"&amp;R151&amp;","&amp;Q151&amp;",0&lt;/coordinates&gt;&lt;/Point&gt;
    &lt;/Placemark&gt;"
)))</f>
        <v xml:space="preserve">    &lt;Placemark&gt;
      &lt;description&gt;&lt;![CDATA[BOOS - Rue des Canadiens (Déchetterie Boos - D91 vers Saint-Aubin-Celloville)&lt;br&gt;&lt;br&gt;1 CAV&lt;br&gt;&lt;br&gt;Présent sur 1 tournée(s)&lt;br&gt;&lt;br&gt;Taux de remplissage moyen 85%]]&gt;&lt;/description&gt;
      &lt;Style&gt;
        &lt;IconStyle&gt;
          &lt;color&gt;ff00FF4A&lt;/color&gt;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&lt;Point&gt;&lt;coordinates&gt;1.18180979092406,49.3757041412845,0&lt;/coordinates&gt;&lt;/Point&gt;
    &lt;/Placemark&gt;</v>
      </c>
    </row>
    <row r="152" spans="2:494" ht="15" hidden="1" customHeight="1" x14ac:dyDescent="0.35">
      <c r="B152" s="153" t="str">
        <f t="shared" si="123"/>
        <v>BELBEUF - 8 rue des canadiens (Parking Salle Jacques Anquetil)</v>
      </c>
      <c r="C152" s="154">
        <v>8</v>
      </c>
      <c r="D152" s="155"/>
      <c r="E152" s="155"/>
      <c r="F152" s="155"/>
      <c r="G152" s="155"/>
      <c r="H152" s="155"/>
      <c r="I152" s="155"/>
      <c r="J152" s="156"/>
      <c r="K152" s="157">
        <f t="shared" si="124"/>
        <v>1</v>
      </c>
      <c r="L152" s="157">
        <f t="shared" si="125"/>
        <v>1</v>
      </c>
      <c r="M152" s="158" t="s">
        <v>851</v>
      </c>
      <c r="N152" s="159" t="s">
        <v>852</v>
      </c>
      <c r="O152" s="159">
        <v>76240</v>
      </c>
      <c r="P152" s="159" t="s">
        <v>853</v>
      </c>
      <c r="Q152" s="159" t="s">
        <v>854</v>
      </c>
      <c r="R152" s="159" t="s">
        <v>855</v>
      </c>
      <c r="S152" s="159" t="s">
        <v>93</v>
      </c>
      <c r="T152" s="159" t="s">
        <v>94</v>
      </c>
      <c r="U152" s="159" t="s">
        <v>856</v>
      </c>
      <c r="V152" s="160" t="s">
        <v>96</v>
      </c>
      <c r="W152" s="161"/>
      <c r="X152" s="162"/>
      <c r="Y152" s="163"/>
      <c r="Z152" s="162"/>
      <c r="AA152" s="163"/>
      <c r="AB152" s="162"/>
      <c r="AC152" s="163"/>
      <c r="AD152" s="162"/>
      <c r="AE152" s="163"/>
      <c r="AF152" s="162"/>
      <c r="AG152" s="163"/>
      <c r="AH152" s="163"/>
      <c r="AI152" s="162"/>
      <c r="AJ152" s="163"/>
      <c r="AK152" s="162"/>
      <c r="AL152" s="163">
        <v>14</v>
      </c>
      <c r="AM152" s="162"/>
      <c r="AN152" s="163"/>
      <c r="AO152" s="162"/>
      <c r="AP152" s="164"/>
      <c r="AQ152" s="164"/>
      <c r="AR152" s="164"/>
      <c r="AS152" s="164"/>
      <c r="AT152" s="164"/>
      <c r="AU152" s="164"/>
      <c r="AV152" s="164"/>
      <c r="AW152" s="164"/>
      <c r="AX152" s="164"/>
      <c r="AY152" s="165"/>
      <c r="AZ152" s="41"/>
      <c r="BA152" s="190"/>
      <c r="BB152" s="191"/>
      <c r="BC152" s="191"/>
      <c r="BD152" s="191"/>
      <c r="BE152" s="191"/>
      <c r="BF152" s="191"/>
      <c r="BG152" s="191"/>
      <c r="BH152" s="191">
        <v>150</v>
      </c>
      <c r="BI152" s="191"/>
      <c r="BJ152" s="191"/>
      <c r="BK152" s="191"/>
      <c r="BL152" s="191"/>
      <c r="BM152" s="191"/>
      <c r="BN152" s="191"/>
      <c r="BO152" s="191"/>
      <c r="BP152" s="191"/>
      <c r="BQ152" s="191"/>
      <c r="BR152" s="191"/>
      <c r="BS152" s="191"/>
      <c r="BT152" s="191"/>
      <c r="BU152" s="191"/>
      <c r="BV152" s="191">
        <v>150</v>
      </c>
      <c r="BW152" s="191"/>
      <c r="BX152" s="191"/>
      <c r="BY152" s="191"/>
      <c r="BZ152" s="191"/>
      <c r="CA152" s="191"/>
      <c r="CB152" s="191"/>
      <c r="CC152" s="191">
        <v>200</v>
      </c>
      <c r="CD152" s="191"/>
      <c r="CE152" s="192"/>
      <c r="CF152" s="190"/>
      <c r="CG152" s="191"/>
      <c r="CH152" s="191"/>
      <c r="CI152" s="191"/>
      <c r="CJ152" s="191">
        <v>50</v>
      </c>
      <c r="CK152" s="191"/>
      <c r="CL152" s="191"/>
      <c r="CM152" s="191"/>
      <c r="CN152" s="191"/>
      <c r="CO152" s="191"/>
      <c r="CP152" s="191"/>
      <c r="CQ152" s="191">
        <v>50</v>
      </c>
      <c r="CR152" s="191"/>
      <c r="CS152" s="191"/>
      <c r="CT152" s="191"/>
      <c r="CU152" s="191"/>
      <c r="CV152" s="191"/>
      <c r="CW152" s="191"/>
      <c r="CX152" s="191">
        <v>50</v>
      </c>
      <c r="CY152" s="191"/>
      <c r="CZ152" s="191"/>
      <c r="DA152" s="191"/>
      <c r="DB152" s="191"/>
      <c r="DC152" s="191"/>
      <c r="DD152" s="191"/>
      <c r="DE152" s="191">
        <v>100</v>
      </c>
      <c r="DF152" s="191"/>
      <c r="DG152" s="191"/>
      <c r="DH152" s="193"/>
      <c r="DI152" s="194"/>
      <c r="DJ152" s="191"/>
      <c r="DK152" s="191"/>
      <c r="DL152" s="191"/>
      <c r="DM152" s="191">
        <v>150</v>
      </c>
      <c r="DN152" s="191"/>
      <c r="DO152" s="191"/>
      <c r="DP152" s="191"/>
      <c r="DQ152" s="191"/>
      <c r="DR152" s="191"/>
      <c r="DS152" s="191"/>
      <c r="DT152" s="191">
        <v>100</v>
      </c>
      <c r="DU152" s="191"/>
      <c r="DV152" s="191"/>
      <c r="DW152" s="191"/>
      <c r="DX152" s="191"/>
      <c r="DY152" s="191"/>
      <c r="DZ152" s="191"/>
      <c r="EA152" s="191"/>
      <c r="EB152" s="191"/>
      <c r="EC152" s="191"/>
      <c r="ED152" s="191"/>
      <c r="EE152" s="191"/>
      <c r="EF152" s="191"/>
      <c r="EG152" s="191"/>
      <c r="EH152" s="191">
        <v>100</v>
      </c>
      <c r="EI152" s="191"/>
      <c r="EJ152" s="191"/>
      <c r="EK152" s="191"/>
      <c r="EL152" s="191"/>
      <c r="EM152" s="192"/>
      <c r="EN152" s="190"/>
      <c r="EO152" s="191">
        <v>50</v>
      </c>
      <c r="EP152" s="191"/>
      <c r="EQ152" s="191"/>
      <c r="ER152" s="191"/>
      <c r="ES152" s="191"/>
      <c r="ET152" s="191"/>
      <c r="EU152" s="191"/>
      <c r="EV152" s="191"/>
      <c r="EW152" s="191"/>
      <c r="EX152" s="191"/>
      <c r="EY152" s="191"/>
      <c r="EZ152" s="191"/>
      <c r="FA152" s="191"/>
      <c r="FB152" s="191"/>
      <c r="FC152" s="191"/>
      <c r="FD152" s="191"/>
      <c r="FE152" s="191"/>
      <c r="FF152" s="191"/>
      <c r="FG152" s="191"/>
      <c r="FH152" s="191"/>
      <c r="FI152" s="191"/>
      <c r="FJ152" s="191"/>
      <c r="FK152" s="191"/>
      <c r="FL152" s="191">
        <v>200</v>
      </c>
      <c r="FM152" s="191"/>
      <c r="FN152" s="191"/>
      <c r="FO152" s="191"/>
      <c r="FP152" s="191"/>
      <c r="FQ152" s="193"/>
      <c r="FR152" s="194"/>
      <c r="FS152" s="191"/>
      <c r="FT152" s="191"/>
      <c r="FU152" s="191"/>
      <c r="FV152" s="191"/>
      <c r="FW152" s="191"/>
      <c r="FX152" s="191">
        <v>200</v>
      </c>
      <c r="FY152" s="191"/>
      <c r="FZ152" s="191"/>
      <c r="GA152" s="191"/>
      <c r="GB152" s="191"/>
      <c r="GC152" s="191"/>
      <c r="GD152" s="191"/>
      <c r="GE152" s="191"/>
      <c r="GF152" s="191"/>
      <c r="GG152" s="191"/>
      <c r="GH152" s="191"/>
      <c r="GI152" s="191"/>
      <c r="GJ152" s="191"/>
      <c r="GK152" s="191"/>
      <c r="GL152" s="191">
        <v>200</v>
      </c>
      <c r="GM152" s="191"/>
      <c r="GN152" s="191"/>
      <c r="GO152" s="191"/>
      <c r="GP152" s="191"/>
      <c r="GQ152" s="191"/>
      <c r="GR152" s="191"/>
      <c r="GS152" s="191"/>
      <c r="GT152" s="191"/>
      <c r="GU152" s="191"/>
      <c r="GV152" s="192"/>
      <c r="GW152" s="190"/>
      <c r="GX152" s="191"/>
      <c r="GY152" s="191"/>
      <c r="GZ152" s="191">
        <v>50</v>
      </c>
      <c r="HA152" s="191"/>
      <c r="HB152" s="191"/>
      <c r="HC152" s="191"/>
      <c r="HD152" s="191"/>
      <c r="HE152" s="191"/>
      <c r="HF152" s="191"/>
      <c r="HG152" s="191"/>
      <c r="HH152" s="191"/>
      <c r="HI152" s="191"/>
      <c r="HJ152" s="191"/>
      <c r="HK152" s="191"/>
      <c r="HL152" s="191"/>
      <c r="HM152" s="191"/>
      <c r="HN152" s="191"/>
      <c r="HO152" s="191"/>
      <c r="HP152" s="191"/>
      <c r="HQ152" s="191"/>
      <c r="HR152" s="191"/>
      <c r="HS152" s="191"/>
      <c r="HT152" s="191"/>
      <c r="HU152" s="191">
        <v>50</v>
      </c>
      <c r="HV152" s="191"/>
      <c r="HW152" s="191"/>
      <c r="HX152" s="191"/>
      <c r="HY152" s="191"/>
      <c r="HZ152" s="193"/>
      <c r="IA152" s="194"/>
      <c r="IB152" s="191">
        <v>200</v>
      </c>
      <c r="IC152" s="191"/>
      <c r="ID152" s="191"/>
      <c r="IE152" s="191"/>
      <c r="IF152" s="191"/>
      <c r="IG152" s="191"/>
      <c r="IH152" s="191"/>
      <c r="II152" s="191">
        <v>100</v>
      </c>
      <c r="IJ152" s="191"/>
      <c r="IK152" s="191"/>
      <c r="IL152" s="191"/>
      <c r="IM152" s="191"/>
      <c r="IN152" s="191"/>
      <c r="IO152" s="191"/>
      <c r="IP152" s="191"/>
      <c r="IQ152" s="191">
        <v>200</v>
      </c>
      <c r="IR152" s="191"/>
      <c r="IS152" s="191"/>
      <c r="IT152" s="191"/>
      <c r="IU152" s="191"/>
      <c r="IV152" s="191"/>
      <c r="IW152" s="191">
        <v>150</v>
      </c>
      <c r="IX152" s="191"/>
      <c r="IY152" s="191"/>
      <c r="IZ152" s="191"/>
      <c r="JA152" s="191"/>
      <c r="JB152" s="191"/>
      <c r="JC152" s="191"/>
      <c r="JD152" s="191"/>
      <c r="JE152" s="192"/>
      <c r="JF152" s="190"/>
      <c r="JG152" s="191"/>
      <c r="JH152" s="191"/>
      <c r="JI152" s="191"/>
      <c r="JJ152" s="191"/>
      <c r="JK152" s="191">
        <v>200</v>
      </c>
      <c r="JL152" s="191"/>
      <c r="JM152" s="191"/>
      <c r="JN152" s="191"/>
      <c r="JO152" s="191"/>
      <c r="JP152" s="191"/>
      <c r="JQ152" s="191"/>
      <c r="JR152" s="191">
        <v>100</v>
      </c>
      <c r="JS152" s="191"/>
      <c r="JT152" s="191"/>
      <c r="JU152" s="191"/>
      <c r="JV152" s="191"/>
      <c r="JW152" s="191"/>
      <c r="JX152" s="191"/>
      <c r="JY152" s="191"/>
      <c r="JZ152" s="191"/>
      <c r="KA152" s="191"/>
      <c r="KB152" s="191"/>
      <c r="KC152" s="191"/>
      <c r="KD152" s="191"/>
      <c r="KE152" s="191"/>
      <c r="KF152" s="191">
        <v>200</v>
      </c>
      <c r="KG152" s="191"/>
      <c r="KH152" s="191"/>
      <c r="KI152" s="191"/>
      <c r="KJ152" s="193"/>
      <c r="KK152" s="194"/>
      <c r="KL152" s="191"/>
      <c r="KM152" s="191">
        <v>150</v>
      </c>
      <c r="KN152" s="191"/>
      <c r="KO152" s="191"/>
      <c r="KP152" s="191"/>
      <c r="KQ152" s="191"/>
      <c r="KR152" s="191"/>
      <c r="KS152" s="191"/>
      <c r="KT152" s="191"/>
      <c r="KU152" s="191">
        <v>150</v>
      </c>
      <c r="KV152" s="191"/>
      <c r="KW152" s="191"/>
      <c r="KX152" s="191"/>
      <c r="KY152" s="191"/>
      <c r="KZ152" s="191"/>
      <c r="LA152" s="191"/>
      <c r="LB152" s="191"/>
      <c r="LC152" s="191"/>
      <c r="LD152" s="191"/>
      <c r="LE152" s="191"/>
      <c r="LF152" s="191"/>
      <c r="LG152" s="191"/>
      <c r="LH152" s="191">
        <v>200</v>
      </c>
      <c r="LI152" s="191"/>
      <c r="LJ152" s="191"/>
      <c r="LK152" s="191"/>
      <c r="LL152" s="191"/>
      <c r="LM152" s="191"/>
      <c r="LN152" s="192"/>
      <c r="LO152" s="190"/>
      <c r="LP152" s="191">
        <v>100</v>
      </c>
      <c r="LQ152" s="191"/>
      <c r="LR152" s="191"/>
      <c r="LS152" s="191"/>
      <c r="LT152" s="191"/>
      <c r="LU152" s="191"/>
      <c r="LV152" s="191">
        <v>100</v>
      </c>
      <c r="LW152" s="191"/>
      <c r="LX152" s="191"/>
      <c r="LY152" s="191"/>
      <c r="LZ152" s="191"/>
      <c r="MA152" s="191"/>
      <c r="MB152" s="191"/>
      <c r="MC152" s="191">
        <v>200</v>
      </c>
      <c r="MD152" s="191"/>
      <c r="ME152" s="191"/>
      <c r="MF152" s="191"/>
      <c r="MG152" s="191"/>
      <c r="MH152" s="191"/>
      <c r="MI152" s="191"/>
      <c r="MJ152" s="191">
        <v>150</v>
      </c>
      <c r="MK152" s="191"/>
      <c r="ML152" s="191"/>
      <c r="MM152" s="191"/>
      <c r="MN152" s="191"/>
      <c r="MO152" s="191"/>
      <c r="MP152" s="191"/>
      <c r="MQ152" s="191">
        <v>150</v>
      </c>
      <c r="MR152" s="191"/>
      <c r="MS152" s="193"/>
      <c r="MT152" s="194"/>
      <c r="MU152" s="191"/>
      <c r="MV152" s="191"/>
      <c r="MW152" s="191"/>
      <c r="MX152" s="191">
        <v>100</v>
      </c>
      <c r="MY152" s="191"/>
      <c r="MZ152" s="191"/>
      <c r="NA152" s="191"/>
      <c r="NB152" s="191"/>
      <c r="NC152" s="191"/>
      <c r="ND152" s="191"/>
      <c r="NE152" s="191"/>
      <c r="NF152" s="191"/>
      <c r="NG152" s="191"/>
      <c r="NH152" s="191"/>
      <c r="NI152" s="191"/>
      <c r="NJ152" s="191"/>
      <c r="NK152" s="191"/>
      <c r="NL152" s="191"/>
      <c r="NM152" s="191"/>
      <c r="NN152" s="191"/>
      <c r="NO152" s="191"/>
      <c r="NP152" s="191"/>
      <c r="NQ152" s="191"/>
      <c r="NR152" s="191"/>
      <c r="NS152" s="191">
        <v>100</v>
      </c>
      <c r="NT152" s="191"/>
      <c r="NU152" s="191"/>
      <c r="NV152" s="191"/>
      <c r="NW152" s="192"/>
      <c r="NX152" s="190"/>
      <c r="NY152" s="191"/>
      <c r="NZ152" s="191">
        <v>100</v>
      </c>
      <c r="OA152" s="191"/>
      <c r="OB152" s="191"/>
      <c r="OC152" s="191"/>
      <c r="OD152" s="191"/>
      <c r="OE152" s="191"/>
      <c r="OF152" s="191"/>
      <c r="OG152" s="191">
        <v>150</v>
      </c>
      <c r="OH152" s="191"/>
      <c r="OI152" s="191"/>
      <c r="OJ152" s="191"/>
      <c r="OK152" s="191"/>
      <c r="OL152" s="191"/>
      <c r="OM152" s="191"/>
      <c r="ON152" s="191">
        <v>50</v>
      </c>
      <c r="OO152" s="191"/>
      <c r="OP152" s="191"/>
      <c r="OQ152" s="191"/>
      <c r="OR152" s="191"/>
      <c r="OS152" s="191"/>
      <c r="OT152" s="191"/>
      <c r="OU152" s="191"/>
      <c r="OV152" s="191"/>
      <c r="OW152" s="191"/>
      <c r="OX152" s="191"/>
      <c r="OY152" s="191"/>
      <c r="OZ152" s="191"/>
      <c r="PA152" s="191"/>
      <c r="PB152" s="193"/>
      <c r="PC152" s="47"/>
      <c r="PD152" s="154" t="s">
        <v>97</v>
      </c>
      <c r="PE152" s="155" t="s">
        <v>98</v>
      </c>
      <c r="PF152" s="155" t="s">
        <v>98</v>
      </c>
      <c r="PG152" s="155" t="s">
        <v>98</v>
      </c>
      <c r="PH152" s="155" t="s">
        <v>98</v>
      </c>
      <c r="PI152" s="155" t="s">
        <v>98</v>
      </c>
      <c r="PJ152" s="155" t="s">
        <v>98</v>
      </c>
      <c r="PK152" s="155" t="s">
        <v>98</v>
      </c>
      <c r="PL152" s="155" t="s">
        <v>98</v>
      </c>
      <c r="PM152" s="155" t="s">
        <v>98</v>
      </c>
      <c r="PN152" s="155" t="s">
        <v>98</v>
      </c>
      <c r="PO152" s="156"/>
      <c r="PP152" s="156"/>
      <c r="PQ152" s="156"/>
      <c r="PR152" s="156"/>
      <c r="PS152" s="156"/>
      <c r="PT152" s="156"/>
      <c r="PU152" s="156"/>
      <c r="PV152" s="156"/>
      <c r="PW152" s="156"/>
      <c r="PX152" s="195"/>
      <c r="PY152" s="1"/>
      <c r="PZ152" s="196">
        <f t="shared" si="126"/>
        <v>500</v>
      </c>
      <c r="QA152" s="176">
        <f t="shared" si="127"/>
        <v>4.1711854509051474E-3</v>
      </c>
      <c r="QB152" s="177" t="str">
        <f t="shared" ca="1" si="128"/>
        <v>Attente…</v>
      </c>
      <c r="QC152" s="197">
        <f t="shared" si="129"/>
        <v>250</v>
      </c>
      <c r="QD152" s="179">
        <f t="shared" si="130"/>
        <v>2.3408239700374533E-3</v>
      </c>
      <c r="QE152" s="180" t="str">
        <f t="shared" ca="1" si="131"/>
        <v>Attente…</v>
      </c>
      <c r="QF152" s="196">
        <f t="shared" si="132"/>
        <v>350</v>
      </c>
      <c r="QG152" s="176">
        <f t="shared" si="133"/>
        <v>2.787068004459309E-3</v>
      </c>
      <c r="QH152" s="177" t="str">
        <f t="shared" ca="1" si="134"/>
        <v>Attente…</v>
      </c>
      <c r="QI152" s="197">
        <f t="shared" si="135"/>
        <v>250</v>
      </c>
      <c r="QJ152" s="179">
        <f t="shared" si="136"/>
        <v>1.7534015991022584E-3</v>
      </c>
      <c r="QK152" s="180" t="str">
        <f t="shared" ca="1" si="137"/>
        <v>Attente…</v>
      </c>
      <c r="QL152" s="196">
        <f t="shared" si="138"/>
        <v>400</v>
      </c>
      <c r="QM152" s="176">
        <f t="shared" si="139"/>
        <v>2.9265437518290896E-3</v>
      </c>
      <c r="QN152" s="177" t="str">
        <f t="shared" ca="1" si="140"/>
        <v>Attente…</v>
      </c>
      <c r="QO152" s="197">
        <f t="shared" si="141"/>
        <v>100</v>
      </c>
      <c r="QP152" s="179">
        <f t="shared" si="142"/>
        <v>7.8290143270962184E-4</v>
      </c>
      <c r="QQ152" s="180" t="str">
        <f t="shared" ca="1" si="143"/>
        <v>Attente…</v>
      </c>
      <c r="QR152" s="196">
        <f t="shared" si="144"/>
        <v>650</v>
      </c>
      <c r="QS152" s="176">
        <f t="shared" si="145"/>
        <v>4.679457182966776E-3</v>
      </c>
      <c r="QT152" s="177" t="str">
        <f t="shared" ca="1" si="146"/>
        <v>Attente…</v>
      </c>
      <c r="QU152" s="197">
        <f t="shared" si="147"/>
        <v>500</v>
      </c>
      <c r="QV152" s="179">
        <f t="shared" si="148"/>
        <v>3.4473248758963046E-3</v>
      </c>
      <c r="QW152" s="180" t="str">
        <f t="shared" ca="1" si="149"/>
        <v>Attente…</v>
      </c>
      <c r="QX152" s="196">
        <f t="shared" si="150"/>
        <v>500</v>
      </c>
      <c r="QY152" s="176">
        <f t="shared" si="151"/>
        <v>3.6486762602527803E-3</v>
      </c>
      <c r="QZ152" s="177" t="str">
        <f t="shared" ca="1" si="152"/>
        <v>Attente…</v>
      </c>
      <c r="RA152" s="197">
        <f t="shared" si="153"/>
        <v>700</v>
      </c>
      <c r="RB152" s="179">
        <f t="shared" si="154"/>
        <v>5.4768797433690638E-3</v>
      </c>
      <c r="RC152" s="180" t="str">
        <f t="shared" ca="1" si="155"/>
        <v>Attente…</v>
      </c>
      <c r="RD152" s="196">
        <f t="shared" si="156"/>
        <v>200</v>
      </c>
      <c r="RE152" s="176">
        <f t="shared" si="157"/>
        <v>1.9928258270227183E-3</v>
      </c>
      <c r="RF152" s="177" t="str">
        <f t="shared" ca="1" si="158"/>
        <v>Attente…</v>
      </c>
      <c r="RG152" s="197">
        <f t="shared" si="159"/>
        <v>300</v>
      </c>
      <c r="RH152" s="179">
        <f t="shared" si="160"/>
        <v>5.5177487585065296E-3</v>
      </c>
      <c r="RI152" s="198" t="str">
        <f t="shared" ca="1" si="161"/>
        <v>Attente…</v>
      </c>
      <c r="RJ152" s="199">
        <f t="shared" si="162"/>
        <v>1100</v>
      </c>
      <c r="RK152" s="200" t="str">
        <f t="shared" ca="1" si="119"/>
        <v>Attente…</v>
      </c>
      <c r="RL152" s="199">
        <f t="shared" si="163"/>
        <v>750</v>
      </c>
      <c r="RM152" s="200" t="str">
        <f t="shared" ca="1" si="164"/>
        <v>Atttente…</v>
      </c>
      <c r="RN152" s="199">
        <f t="shared" si="165"/>
        <v>1650</v>
      </c>
      <c r="RO152" s="200" t="str">
        <f t="shared" ca="1" si="120"/>
        <v>Attente…</v>
      </c>
      <c r="RP152" s="199">
        <f t="shared" si="166"/>
        <v>1200</v>
      </c>
      <c r="RQ152" s="200" t="str">
        <f t="shared" ca="1" si="121"/>
        <v>Attente…</v>
      </c>
      <c r="RR152" s="201">
        <f t="shared" si="167"/>
        <v>4700</v>
      </c>
      <c r="RS152" s="202" t="str">
        <f t="shared" ca="1" si="122"/>
        <v>Attente…</v>
      </c>
      <c r="RT152" s="103"/>
      <c r="RU152" s="203">
        <f t="shared" si="168"/>
        <v>0.65277777777777768</v>
      </c>
      <c r="RV152" s="204">
        <f t="shared" si="171"/>
        <v>1</v>
      </c>
      <c r="RW152" s="204">
        <f t="shared" si="171"/>
        <v>1</v>
      </c>
      <c r="RX152" s="204">
        <f t="shared" si="169"/>
        <v>36</v>
      </c>
      <c r="RY152" s="205" t="str">
        <f t="shared" si="170"/>
        <v>BELBEUF - 8 rue des canadiens (Parking Salle Jacques Anquetil)</v>
      </c>
      <c r="RZ152" s="189" t="str">
        <f>IF(OR(RZ151="",RZ151="  &lt;/Document&gt;
&lt;/kml&gt;"),"",
IF(B152="","  &lt;/Document&gt;
&lt;/kml&gt;",
IF(TournéesCAV!Q152=""," ",
"    &lt;Placemark&gt;
      &lt;description&gt;&lt;![CDATA["&amp;B152&amp;"&lt;br&gt;&lt;br&gt;"&amp;RV152&amp;" CAV&lt;br&gt;&lt;br&gt;Présent sur "&amp;RW152&amp;" tournée(s)&lt;br&gt;&lt;br&gt;Taux de remplissage moyen "&amp;TEXT(RU152*1000,"0 %")&amp;"]]&gt;&lt;/description&gt;
      &lt;Style&gt;
        &lt;IconStyle&gt;
          &lt;color&gt;ff"&amp;
          DEC2HEX(0,2)&amp;
          DEC2HEX(
            IF(RU152&lt;=0.5,
               INT(255*(RU152*2)),
               255
            ),2)&amp;
          DEC2HEX(
            IF(RU152&lt;=0.5,
               255,
               INT(255*(1-(RU152-0.5)*2))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&lt;Point&gt;&lt;coordinates&gt;"&amp;R152&amp;","&amp;Q152&amp;",0&lt;/coordinates&gt;&lt;/Point&gt;
    &lt;/Placemark&gt;"
)))</f>
        <v xml:space="preserve">    &lt;Placemark&gt;
      &lt;description&gt;&lt;![CDATA[BELBEUF - 8 rue des canadiens (Parking Salle Jacques Anquetil)&lt;br&gt;&lt;br&gt;1 CAV&lt;br&gt;&lt;br&gt;Présent sur 1 tournée(s)&lt;br&gt;&lt;br&gt;Taux de remplissage moyen 65%]]&gt;&lt;/description&gt;
      &lt;Style&gt;
        &lt;IconStyle&gt;
          &lt;color&gt;ff00FFB1&lt;/color&gt;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&lt;Point&gt;&lt;coordinates&gt;1.140556,49.388972,0&lt;/coordinates&gt;&lt;/Point&gt;
    &lt;/Placemark&gt;</v>
      </c>
    </row>
    <row r="153" spans="2:494" ht="15" hidden="1" customHeight="1" x14ac:dyDescent="0.35">
      <c r="B153" s="153" t="str">
        <f t="shared" si="123"/>
        <v>DARNÉTAL - 10 rue aux Juifs</v>
      </c>
      <c r="C153" s="154">
        <v>194</v>
      </c>
      <c r="D153" s="155"/>
      <c r="E153" s="155"/>
      <c r="F153" s="155"/>
      <c r="G153" s="155"/>
      <c r="H153" s="155"/>
      <c r="I153" s="155"/>
      <c r="J153" s="156"/>
      <c r="K153" s="157">
        <f t="shared" si="124"/>
        <v>1</v>
      </c>
      <c r="L153" s="157">
        <f t="shared" si="125"/>
        <v>1</v>
      </c>
      <c r="M153" s="158" t="s">
        <v>857</v>
      </c>
      <c r="N153" s="159"/>
      <c r="O153" s="159">
        <v>76160</v>
      </c>
      <c r="P153" s="159" t="s">
        <v>15</v>
      </c>
      <c r="Q153" s="159" t="s">
        <v>858</v>
      </c>
      <c r="R153" s="159" t="s">
        <v>859</v>
      </c>
      <c r="S153" s="159" t="s">
        <v>93</v>
      </c>
      <c r="T153" s="159" t="s">
        <v>94</v>
      </c>
      <c r="U153" s="159" t="s">
        <v>860</v>
      </c>
      <c r="V153" s="160" t="s">
        <v>96</v>
      </c>
      <c r="W153" s="161"/>
      <c r="X153" s="162"/>
      <c r="Y153" s="163"/>
      <c r="Z153" s="162"/>
      <c r="AA153" s="163"/>
      <c r="AB153" s="162"/>
      <c r="AC153" s="163"/>
      <c r="AD153" s="162"/>
      <c r="AE153" s="163">
        <v>17</v>
      </c>
      <c r="AF153" s="162"/>
      <c r="AG153" s="163"/>
      <c r="AH153" s="163"/>
      <c r="AI153" s="162"/>
      <c r="AJ153" s="163"/>
      <c r="AK153" s="162"/>
      <c r="AL153" s="163"/>
      <c r="AM153" s="162"/>
      <c r="AN153" s="163"/>
      <c r="AO153" s="162"/>
      <c r="AP153" s="164"/>
      <c r="AQ153" s="164"/>
      <c r="AR153" s="164"/>
      <c r="AS153" s="164"/>
      <c r="AT153" s="164"/>
      <c r="AU153" s="164"/>
      <c r="AV153" s="164"/>
      <c r="AW153" s="164"/>
      <c r="AX153" s="164"/>
      <c r="AY153" s="165"/>
      <c r="AZ153" s="41"/>
      <c r="BA153" s="190"/>
      <c r="BB153" s="191"/>
      <c r="BC153" s="191">
        <v>150</v>
      </c>
      <c r="BD153" s="191"/>
      <c r="BE153" s="191"/>
      <c r="BF153" s="191"/>
      <c r="BG153" s="191"/>
      <c r="BH153" s="191"/>
      <c r="BI153" s="191"/>
      <c r="BJ153" s="191">
        <v>50</v>
      </c>
      <c r="BK153" s="191"/>
      <c r="BL153" s="191"/>
      <c r="BM153" s="191"/>
      <c r="BN153" s="191"/>
      <c r="BO153" s="191"/>
      <c r="BP153" s="191"/>
      <c r="BQ153" s="191"/>
      <c r="BR153" s="191"/>
      <c r="BS153" s="191"/>
      <c r="BT153" s="191"/>
      <c r="BU153" s="191"/>
      <c r="BV153" s="191"/>
      <c r="BW153" s="191"/>
      <c r="BX153" s="191">
        <v>150</v>
      </c>
      <c r="BY153" s="191"/>
      <c r="BZ153" s="191"/>
      <c r="CA153" s="191"/>
      <c r="CB153" s="191"/>
      <c r="CC153" s="191"/>
      <c r="CD153" s="191"/>
      <c r="CE153" s="192">
        <v>150</v>
      </c>
      <c r="CF153" s="190"/>
      <c r="CG153" s="191"/>
      <c r="CH153" s="191"/>
      <c r="CI153" s="191"/>
      <c r="CJ153" s="191"/>
      <c r="CK153" s="191"/>
      <c r="CL153" s="191">
        <v>50</v>
      </c>
      <c r="CM153" s="191"/>
      <c r="CN153" s="191"/>
      <c r="CO153" s="191"/>
      <c r="CP153" s="191"/>
      <c r="CQ153" s="191"/>
      <c r="CR153" s="191"/>
      <c r="CS153" s="191">
        <v>200</v>
      </c>
      <c r="CT153" s="191"/>
      <c r="CU153" s="191"/>
      <c r="CV153" s="191"/>
      <c r="CW153" s="191"/>
      <c r="CX153" s="191"/>
      <c r="CY153" s="191"/>
      <c r="CZ153" s="191">
        <v>150</v>
      </c>
      <c r="DA153" s="191"/>
      <c r="DB153" s="191"/>
      <c r="DC153" s="191"/>
      <c r="DD153" s="191"/>
      <c r="DE153" s="191"/>
      <c r="DF153" s="191"/>
      <c r="DG153" s="191">
        <v>50</v>
      </c>
      <c r="DH153" s="193"/>
      <c r="DI153" s="194"/>
      <c r="DJ153" s="191"/>
      <c r="DK153" s="191"/>
      <c r="DL153" s="191"/>
      <c r="DM153" s="191"/>
      <c r="DN153" s="191"/>
      <c r="DO153" s="191">
        <v>150</v>
      </c>
      <c r="DP153" s="191"/>
      <c r="DQ153" s="191"/>
      <c r="DR153" s="191"/>
      <c r="DS153" s="191"/>
      <c r="DT153" s="191"/>
      <c r="DU153" s="191"/>
      <c r="DV153" s="191">
        <v>100</v>
      </c>
      <c r="DW153" s="191"/>
      <c r="DX153" s="191"/>
      <c r="DY153" s="191"/>
      <c r="DZ153" s="191"/>
      <c r="EA153" s="191"/>
      <c r="EB153" s="191"/>
      <c r="EC153" s="191">
        <v>150</v>
      </c>
      <c r="ED153" s="191"/>
      <c r="EE153" s="191"/>
      <c r="EF153" s="191"/>
      <c r="EG153" s="191"/>
      <c r="EH153" s="191"/>
      <c r="EI153" s="191"/>
      <c r="EJ153" s="191">
        <v>50</v>
      </c>
      <c r="EK153" s="191"/>
      <c r="EL153" s="191"/>
      <c r="EM153" s="192"/>
      <c r="EN153" s="190"/>
      <c r="EO153" s="191"/>
      <c r="EP153" s="191"/>
      <c r="EQ153" s="191">
        <v>100</v>
      </c>
      <c r="ER153" s="191"/>
      <c r="ES153" s="191"/>
      <c r="ET153" s="191"/>
      <c r="EU153" s="191"/>
      <c r="EV153" s="191"/>
      <c r="EW153" s="191"/>
      <c r="EX153" s="191">
        <v>50</v>
      </c>
      <c r="EY153" s="191"/>
      <c r="EZ153" s="191"/>
      <c r="FA153" s="191"/>
      <c r="FB153" s="191"/>
      <c r="FC153" s="191"/>
      <c r="FD153" s="191"/>
      <c r="FE153" s="191">
        <v>150</v>
      </c>
      <c r="FF153" s="191"/>
      <c r="FG153" s="191"/>
      <c r="FH153" s="191"/>
      <c r="FI153" s="191"/>
      <c r="FJ153" s="191"/>
      <c r="FK153" s="191"/>
      <c r="FL153" s="191">
        <v>50</v>
      </c>
      <c r="FM153" s="191"/>
      <c r="FN153" s="191"/>
      <c r="FO153" s="191"/>
      <c r="FP153" s="191"/>
      <c r="FQ153" s="193"/>
      <c r="FR153" s="194"/>
      <c r="FS153" s="191">
        <v>100</v>
      </c>
      <c r="FT153" s="191"/>
      <c r="FU153" s="191"/>
      <c r="FV153" s="191"/>
      <c r="FW153" s="191"/>
      <c r="FX153" s="191"/>
      <c r="FY153" s="191"/>
      <c r="FZ153" s="191">
        <v>50</v>
      </c>
      <c r="GA153" s="191"/>
      <c r="GB153" s="191"/>
      <c r="GC153" s="191"/>
      <c r="GD153" s="191"/>
      <c r="GE153" s="191"/>
      <c r="GF153" s="191"/>
      <c r="GG153" s="191">
        <v>100</v>
      </c>
      <c r="GH153" s="191"/>
      <c r="GI153" s="191"/>
      <c r="GJ153" s="191"/>
      <c r="GK153" s="191"/>
      <c r="GL153" s="191"/>
      <c r="GM153" s="191"/>
      <c r="GN153" s="191">
        <v>150</v>
      </c>
      <c r="GO153" s="191"/>
      <c r="GP153" s="191"/>
      <c r="GQ153" s="191"/>
      <c r="GR153" s="191"/>
      <c r="GS153" s="191"/>
      <c r="GT153" s="191"/>
      <c r="GU153" s="191">
        <v>100</v>
      </c>
      <c r="GV153" s="192"/>
      <c r="GW153" s="190"/>
      <c r="GX153" s="191"/>
      <c r="GY153" s="191"/>
      <c r="GZ153" s="191"/>
      <c r="HA153" s="191"/>
      <c r="HB153" s="191">
        <v>100</v>
      </c>
      <c r="HC153" s="191"/>
      <c r="HD153" s="191"/>
      <c r="HE153" s="191"/>
      <c r="HF153" s="191"/>
      <c r="HG153" s="191"/>
      <c r="HH153" s="191"/>
      <c r="HI153" s="191">
        <v>50</v>
      </c>
      <c r="HJ153" s="191"/>
      <c r="HK153" s="191"/>
      <c r="HL153" s="191"/>
      <c r="HM153" s="191"/>
      <c r="HN153" s="191"/>
      <c r="HO153" s="191"/>
      <c r="HP153" s="191">
        <v>100</v>
      </c>
      <c r="HQ153" s="191"/>
      <c r="HR153" s="191"/>
      <c r="HS153" s="191"/>
      <c r="HT153" s="191"/>
      <c r="HU153" s="191"/>
      <c r="HV153" s="191"/>
      <c r="HW153" s="191">
        <v>100</v>
      </c>
      <c r="HX153" s="191"/>
      <c r="HY153" s="191"/>
      <c r="HZ153" s="193"/>
      <c r="IA153" s="194"/>
      <c r="IB153" s="191"/>
      <c r="IC153" s="191"/>
      <c r="ID153" s="191">
        <v>50</v>
      </c>
      <c r="IE153" s="191"/>
      <c r="IF153" s="191"/>
      <c r="IG153" s="191"/>
      <c r="IH153" s="191"/>
      <c r="II153" s="191"/>
      <c r="IJ153" s="191"/>
      <c r="IK153" s="191">
        <v>10</v>
      </c>
      <c r="IL153" s="191"/>
      <c r="IM153" s="191"/>
      <c r="IN153" s="191"/>
      <c r="IO153" s="191"/>
      <c r="IP153" s="191"/>
      <c r="IQ153" s="191"/>
      <c r="IR153" s="191">
        <v>50</v>
      </c>
      <c r="IS153" s="191"/>
      <c r="IT153" s="191"/>
      <c r="IU153" s="191"/>
      <c r="IV153" s="191"/>
      <c r="IW153" s="191"/>
      <c r="IX153" s="191"/>
      <c r="IY153" s="191">
        <v>150</v>
      </c>
      <c r="IZ153" s="191"/>
      <c r="JA153" s="191"/>
      <c r="JB153" s="191"/>
      <c r="JC153" s="191"/>
      <c r="JD153" s="191"/>
      <c r="JE153" s="192"/>
      <c r="JF153" s="190">
        <v>150</v>
      </c>
      <c r="JG153" s="191"/>
      <c r="JH153" s="191"/>
      <c r="JI153" s="191"/>
      <c r="JJ153" s="191"/>
      <c r="JK153" s="191"/>
      <c r="JL153" s="191"/>
      <c r="JM153" s="191">
        <v>150</v>
      </c>
      <c r="JN153" s="191"/>
      <c r="JO153" s="191"/>
      <c r="JP153" s="191"/>
      <c r="JQ153" s="191"/>
      <c r="JR153" s="191"/>
      <c r="JS153" s="191"/>
      <c r="JT153" s="191">
        <v>100</v>
      </c>
      <c r="JU153" s="191"/>
      <c r="JV153" s="191"/>
      <c r="JW153" s="191"/>
      <c r="JX153" s="191"/>
      <c r="JY153" s="191"/>
      <c r="JZ153" s="191">
        <v>100</v>
      </c>
      <c r="KA153" s="191"/>
      <c r="KB153" s="191"/>
      <c r="KC153" s="191"/>
      <c r="KD153" s="191"/>
      <c r="KE153" s="191"/>
      <c r="KF153" s="191"/>
      <c r="KG153" s="191"/>
      <c r="KH153" s="191">
        <v>50</v>
      </c>
      <c r="KI153" s="191"/>
      <c r="KJ153" s="193"/>
      <c r="KK153" s="194"/>
      <c r="KL153" s="191"/>
      <c r="KM153" s="191"/>
      <c r="KN153" s="191"/>
      <c r="KO153" s="191"/>
      <c r="KP153" s="191"/>
      <c r="KQ153" s="191"/>
      <c r="KR153" s="191"/>
      <c r="KS153" s="191"/>
      <c r="KT153" s="191"/>
      <c r="KU153" s="191"/>
      <c r="KV153" s="191">
        <v>100</v>
      </c>
      <c r="KW153" s="191"/>
      <c r="KX153" s="191"/>
      <c r="KY153" s="191"/>
      <c r="KZ153" s="191"/>
      <c r="LA153" s="191"/>
      <c r="LB153" s="191"/>
      <c r="LC153" s="191">
        <v>60</v>
      </c>
      <c r="LD153" s="191"/>
      <c r="LE153" s="191"/>
      <c r="LF153" s="191"/>
      <c r="LG153" s="191"/>
      <c r="LH153" s="191"/>
      <c r="LI153" s="191"/>
      <c r="LJ153" s="191">
        <v>200</v>
      </c>
      <c r="LK153" s="191"/>
      <c r="LL153" s="191"/>
      <c r="LM153" s="191"/>
      <c r="LN153" s="192"/>
      <c r="LO153" s="190"/>
      <c r="LP153" s="191"/>
      <c r="LQ153" s="191">
        <v>50</v>
      </c>
      <c r="LR153" s="191"/>
      <c r="LS153" s="191"/>
      <c r="LT153" s="191"/>
      <c r="LU153" s="191"/>
      <c r="LV153" s="191"/>
      <c r="LW153" s="191"/>
      <c r="LX153" s="191">
        <v>50</v>
      </c>
      <c r="LY153" s="191"/>
      <c r="LZ153" s="191"/>
      <c r="MA153" s="191"/>
      <c r="MB153" s="191"/>
      <c r="MC153" s="191"/>
      <c r="MD153" s="191"/>
      <c r="ME153" s="191">
        <v>150</v>
      </c>
      <c r="MF153" s="191"/>
      <c r="MG153" s="191"/>
      <c r="MH153" s="191"/>
      <c r="MI153" s="191"/>
      <c r="MJ153" s="191"/>
      <c r="MK153" s="191"/>
      <c r="ML153" s="191">
        <v>200</v>
      </c>
      <c r="MM153" s="191"/>
      <c r="MN153" s="191"/>
      <c r="MO153" s="191"/>
      <c r="MP153" s="191"/>
      <c r="MQ153" s="191"/>
      <c r="MR153" s="191"/>
      <c r="MS153" s="193">
        <v>50</v>
      </c>
      <c r="MT153" s="194"/>
      <c r="MU153" s="191"/>
      <c r="MV153" s="191"/>
      <c r="MW153" s="191"/>
      <c r="MX153" s="191"/>
      <c r="MY153" s="191"/>
      <c r="MZ153" s="191">
        <v>150</v>
      </c>
      <c r="NA153" s="191"/>
      <c r="NB153" s="191"/>
      <c r="NC153" s="191"/>
      <c r="ND153" s="191"/>
      <c r="NE153" s="191"/>
      <c r="NF153" s="191"/>
      <c r="NG153" s="191">
        <v>50</v>
      </c>
      <c r="NH153" s="191"/>
      <c r="NI153" s="191"/>
      <c r="NJ153" s="191"/>
      <c r="NK153" s="191"/>
      <c r="NL153" s="191"/>
      <c r="NM153" s="191"/>
      <c r="NN153" s="191">
        <v>50</v>
      </c>
      <c r="NO153" s="191"/>
      <c r="NP153" s="191"/>
      <c r="NQ153" s="191"/>
      <c r="NR153" s="191"/>
      <c r="NS153" s="191"/>
      <c r="NT153" s="191"/>
      <c r="NU153" s="191">
        <v>50</v>
      </c>
      <c r="NV153" s="191"/>
      <c r="NW153" s="192"/>
      <c r="NX153" s="190"/>
      <c r="NY153" s="191"/>
      <c r="NZ153" s="191"/>
      <c r="OA153" s="191"/>
      <c r="OB153" s="191">
        <v>50</v>
      </c>
      <c r="OC153" s="191"/>
      <c r="OD153" s="191"/>
      <c r="OE153" s="191"/>
      <c r="OF153" s="191"/>
      <c r="OG153" s="191"/>
      <c r="OH153" s="191"/>
      <c r="OI153" s="191">
        <v>10</v>
      </c>
      <c r="OJ153" s="191"/>
      <c r="OK153" s="191"/>
      <c r="OL153" s="191"/>
      <c r="OM153" s="191"/>
      <c r="ON153" s="191"/>
      <c r="OO153" s="191"/>
      <c r="OP153" s="191"/>
      <c r="OQ153" s="191"/>
      <c r="OR153" s="191"/>
      <c r="OS153" s="191"/>
      <c r="OT153" s="191"/>
      <c r="OU153" s="191"/>
      <c r="OV153" s="191"/>
      <c r="OW153" s="191"/>
      <c r="OX153" s="191"/>
      <c r="OY153" s="191"/>
      <c r="OZ153" s="191"/>
      <c r="PA153" s="191"/>
      <c r="PB153" s="193"/>
      <c r="PC153" s="47"/>
      <c r="PD153" s="154" t="s">
        <v>97</v>
      </c>
      <c r="PE153" s="155" t="s">
        <v>98</v>
      </c>
      <c r="PF153" s="155" t="s">
        <v>98</v>
      </c>
      <c r="PG153" s="155" t="s">
        <v>98</v>
      </c>
      <c r="PH153" s="155" t="s">
        <v>98</v>
      </c>
      <c r="PI153" s="155" t="s">
        <v>98</v>
      </c>
      <c r="PJ153" s="155" t="s">
        <v>98</v>
      </c>
      <c r="PK153" s="155" t="s">
        <v>98</v>
      </c>
      <c r="PL153" s="155" t="s">
        <v>98</v>
      </c>
      <c r="PM153" s="155" t="s">
        <v>98</v>
      </c>
      <c r="PN153" s="155" t="s">
        <v>98</v>
      </c>
      <c r="PO153" s="156"/>
      <c r="PP153" s="156"/>
      <c r="PQ153" s="156"/>
      <c r="PR153" s="156"/>
      <c r="PS153" s="156"/>
      <c r="PT153" s="156"/>
      <c r="PU153" s="156"/>
      <c r="PV153" s="156"/>
      <c r="PW153" s="156"/>
      <c r="PX153" s="195"/>
      <c r="PY153" s="1"/>
      <c r="PZ153" s="196">
        <f t="shared" si="126"/>
        <v>500</v>
      </c>
      <c r="QA153" s="176">
        <f t="shared" si="127"/>
        <v>4.1711854509051474E-3</v>
      </c>
      <c r="QB153" s="177" t="str">
        <f t="shared" ca="1" si="128"/>
        <v>Attente…</v>
      </c>
      <c r="QC153" s="197">
        <f t="shared" si="129"/>
        <v>450</v>
      </c>
      <c r="QD153" s="179">
        <f t="shared" si="130"/>
        <v>4.2134831460674156E-3</v>
      </c>
      <c r="QE153" s="180" t="str">
        <f t="shared" ca="1" si="131"/>
        <v>Attente…</v>
      </c>
      <c r="QF153" s="196">
        <f t="shared" si="132"/>
        <v>450</v>
      </c>
      <c r="QG153" s="176">
        <f t="shared" si="133"/>
        <v>3.58337314859054E-3</v>
      </c>
      <c r="QH153" s="177" t="str">
        <f t="shared" ca="1" si="134"/>
        <v>Attente…</v>
      </c>
      <c r="QI153" s="197">
        <f t="shared" si="135"/>
        <v>350</v>
      </c>
      <c r="QJ153" s="179">
        <f t="shared" si="136"/>
        <v>2.4547622387431616E-3</v>
      </c>
      <c r="QK153" s="180" t="str">
        <f t="shared" ca="1" si="137"/>
        <v>Attente…</v>
      </c>
      <c r="QL153" s="196">
        <f t="shared" si="138"/>
        <v>500</v>
      </c>
      <c r="QM153" s="176">
        <f t="shared" si="139"/>
        <v>3.6581796897863623E-3</v>
      </c>
      <c r="QN153" s="177" t="str">
        <f t="shared" ca="1" si="140"/>
        <v>Attente…</v>
      </c>
      <c r="QO153" s="197">
        <f t="shared" si="141"/>
        <v>350</v>
      </c>
      <c r="QP153" s="179">
        <f t="shared" si="142"/>
        <v>2.7401550144836766E-3</v>
      </c>
      <c r="QQ153" s="180" t="str">
        <f t="shared" ca="1" si="143"/>
        <v>Attente…</v>
      </c>
      <c r="QR153" s="196">
        <f t="shared" si="144"/>
        <v>260</v>
      </c>
      <c r="QS153" s="176">
        <f t="shared" si="145"/>
        <v>1.8717828731867104E-3</v>
      </c>
      <c r="QT153" s="177" t="str">
        <f t="shared" ca="1" si="146"/>
        <v>Attente…</v>
      </c>
      <c r="QU153" s="197">
        <f t="shared" si="147"/>
        <v>550</v>
      </c>
      <c r="QV153" s="179">
        <f t="shared" si="148"/>
        <v>3.7920573634859351E-3</v>
      </c>
      <c r="QW153" s="180" t="str">
        <f t="shared" ca="1" si="149"/>
        <v>Attente…</v>
      </c>
      <c r="QX153" s="196">
        <f t="shared" si="150"/>
        <v>360</v>
      </c>
      <c r="QY153" s="176">
        <f t="shared" si="151"/>
        <v>2.6270469073820016E-3</v>
      </c>
      <c r="QZ153" s="177" t="str">
        <f t="shared" ca="1" si="152"/>
        <v>Attente…</v>
      </c>
      <c r="RA153" s="197">
        <f t="shared" si="153"/>
        <v>500</v>
      </c>
      <c r="RB153" s="179">
        <f t="shared" si="154"/>
        <v>3.9120569595493312E-3</v>
      </c>
      <c r="RC153" s="180" t="str">
        <f t="shared" ca="1" si="155"/>
        <v>Attente…</v>
      </c>
      <c r="RD153" s="196">
        <f t="shared" si="156"/>
        <v>300</v>
      </c>
      <c r="RE153" s="176">
        <f t="shared" si="157"/>
        <v>2.9892387405340772E-3</v>
      </c>
      <c r="RF153" s="177" t="str">
        <f t="shared" ca="1" si="158"/>
        <v>Attente…</v>
      </c>
      <c r="RG153" s="197">
        <f t="shared" si="159"/>
        <v>60</v>
      </c>
      <c r="RH153" s="179">
        <f t="shared" si="160"/>
        <v>1.1035497517013059E-3</v>
      </c>
      <c r="RI153" s="198" t="str">
        <f t="shared" ca="1" si="161"/>
        <v>Attente…</v>
      </c>
      <c r="RJ153" s="199">
        <f t="shared" si="162"/>
        <v>1400</v>
      </c>
      <c r="RK153" s="200" t="str">
        <f t="shared" ca="1" si="119"/>
        <v>Attente…</v>
      </c>
      <c r="RL153" s="199">
        <f t="shared" si="163"/>
        <v>1200</v>
      </c>
      <c r="RM153" s="200" t="str">
        <f t="shared" ca="1" si="164"/>
        <v>Atttente…</v>
      </c>
      <c r="RN153" s="199">
        <f t="shared" si="165"/>
        <v>1170</v>
      </c>
      <c r="RO153" s="200" t="str">
        <f t="shared" ca="1" si="120"/>
        <v>Attente…</v>
      </c>
      <c r="RP153" s="199">
        <f t="shared" si="166"/>
        <v>860</v>
      </c>
      <c r="RQ153" s="200" t="str">
        <f t="shared" ca="1" si="121"/>
        <v>Attente…</v>
      </c>
      <c r="RR153" s="201">
        <f t="shared" si="167"/>
        <v>4630</v>
      </c>
      <c r="RS153" s="202" t="str">
        <f t="shared" ca="1" si="122"/>
        <v>Attente…</v>
      </c>
      <c r="RT153" s="103"/>
      <c r="RU153" s="203">
        <f t="shared" si="168"/>
        <v>0.48229166666666662</v>
      </c>
      <c r="RV153" s="204">
        <f t="shared" si="171"/>
        <v>1</v>
      </c>
      <c r="RW153" s="204">
        <f t="shared" si="171"/>
        <v>1</v>
      </c>
      <c r="RX153" s="204">
        <f t="shared" si="169"/>
        <v>48</v>
      </c>
      <c r="RY153" s="205" t="str">
        <f t="shared" si="170"/>
        <v>DARNÉTAL - 10 rue aux Juifs</v>
      </c>
      <c r="RZ153" s="189" t="str">
        <f>IF(OR(RZ152="",RZ152="  &lt;/Document&gt;
&lt;/kml&gt;"),"",
IF(B153="","  &lt;/Document&gt;
&lt;/kml&gt;",
IF(TournéesCAV!Q153=""," ",
"    &lt;Placemark&gt;
      &lt;description&gt;&lt;![CDATA["&amp;B153&amp;"&lt;br&gt;&lt;br&gt;"&amp;RV153&amp;" CAV&lt;br&gt;&lt;br&gt;Présent sur "&amp;RW153&amp;" tournée(s)&lt;br&gt;&lt;br&gt;Taux de remplissage moyen "&amp;TEXT(RU153*1000,"0 %")&amp;"]]&gt;&lt;/description&gt;
      &lt;Style&gt;
        &lt;IconStyle&gt;
          &lt;color&gt;ff"&amp;
          DEC2HEX(0,2)&amp;
          DEC2HEX(
            IF(RU153&lt;=0.5,
               INT(255*(RU153*2)),
               255
            ),2)&amp;
          DEC2HEX(
            IF(RU153&lt;=0.5,
               255,
               INT(255*(1-(RU153-0.5)*2))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&lt;Point&gt;&lt;coordinates&gt;"&amp;R153&amp;","&amp;Q153&amp;",0&lt;/coordinates&gt;&lt;/Point&gt;
    &lt;/Placemark&gt;"
)))</f>
        <v xml:space="preserve">    &lt;Placemark&gt;
      &lt;description&gt;&lt;![CDATA[DARNÉTAL - 10 rue aux Juifs&lt;br&gt;&lt;br&gt;1 CAV&lt;br&gt;&lt;br&gt;Présent sur 1 tournée(s)&lt;br&gt;&lt;br&gt;Taux de remplissage moyen 48%]]&gt;&lt;/description&gt;
      &lt;Style&gt;
        &lt;IconStyle&gt;
          &lt;color&gt;ff00F5FF&lt;/color&gt;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&lt;Point&gt;&lt;coordinates&gt;1.1484635,49.4373767,0&lt;/coordinates&gt;&lt;/Point&gt;
    &lt;/Placemark&gt;</v>
      </c>
    </row>
    <row r="154" spans="2:494" ht="15" customHeight="1" x14ac:dyDescent="0.35">
      <c r="B154" s="153" t="str">
        <f t="shared" si="123"/>
        <v>ROUEN - 137 Route de Darnétal</v>
      </c>
      <c r="C154" s="154">
        <v>28</v>
      </c>
      <c r="D154" s="155"/>
      <c r="E154" s="155"/>
      <c r="F154" s="155"/>
      <c r="G154" s="155"/>
      <c r="H154" s="155"/>
      <c r="I154" s="155"/>
      <c r="J154" s="156"/>
      <c r="K154" s="157">
        <f t="shared" si="124"/>
        <v>1</v>
      </c>
      <c r="L154" s="157">
        <f t="shared" si="125"/>
        <v>2</v>
      </c>
      <c r="M154" s="158" t="s">
        <v>861</v>
      </c>
      <c r="N154" s="159"/>
      <c r="O154" s="159">
        <v>76000</v>
      </c>
      <c r="P154" s="159" t="s">
        <v>90</v>
      </c>
      <c r="Q154" s="159" t="s">
        <v>862</v>
      </c>
      <c r="R154" s="159" t="s">
        <v>863</v>
      </c>
      <c r="S154" s="159" t="s">
        <v>93</v>
      </c>
      <c r="T154" s="159" t="s">
        <v>94</v>
      </c>
      <c r="U154" s="159" t="s">
        <v>864</v>
      </c>
      <c r="V154" s="160" t="s">
        <v>96</v>
      </c>
      <c r="W154" s="210">
        <v>11</v>
      </c>
      <c r="X154" s="162">
        <v>11</v>
      </c>
      <c r="Y154" s="162"/>
      <c r="Z154" s="162"/>
      <c r="AA154" s="162"/>
      <c r="AB154" s="162"/>
      <c r="AC154" s="162"/>
      <c r="AD154" s="162"/>
      <c r="AE154" s="162"/>
      <c r="AF154" s="162"/>
      <c r="AG154" s="162"/>
      <c r="AH154" s="162"/>
      <c r="AI154" s="162"/>
      <c r="AJ154" s="162"/>
      <c r="AK154" s="162"/>
      <c r="AL154" s="162"/>
      <c r="AM154" s="162"/>
      <c r="AN154" s="162"/>
      <c r="AO154" s="162"/>
      <c r="AP154" s="164"/>
      <c r="AQ154" s="164"/>
      <c r="AR154" s="164"/>
      <c r="AS154" s="164"/>
      <c r="AT154" s="164"/>
      <c r="AU154" s="164"/>
      <c r="AV154" s="164"/>
      <c r="AW154" s="164"/>
      <c r="AX154" s="164"/>
      <c r="AY154" s="165"/>
      <c r="AZ154" s="41"/>
      <c r="BA154" s="190"/>
      <c r="BB154" s="191"/>
      <c r="BC154" s="191">
        <v>100</v>
      </c>
      <c r="BD154" s="191"/>
      <c r="BE154" s="191"/>
      <c r="BF154" s="191"/>
      <c r="BG154" s="191"/>
      <c r="BH154" s="191"/>
      <c r="BI154" s="191"/>
      <c r="BJ154" s="191"/>
      <c r="BK154" s="191"/>
      <c r="BL154" s="191"/>
      <c r="BM154" s="191">
        <v>100</v>
      </c>
      <c r="BN154" s="191"/>
      <c r="BO154" s="191"/>
      <c r="BP154" s="191"/>
      <c r="BQ154" s="191">
        <v>10</v>
      </c>
      <c r="BR154" s="191"/>
      <c r="BS154" s="191"/>
      <c r="BT154" s="191"/>
      <c r="BU154" s="191"/>
      <c r="BV154" s="191"/>
      <c r="BW154" s="191"/>
      <c r="BX154" s="191">
        <v>50</v>
      </c>
      <c r="BY154" s="191"/>
      <c r="BZ154" s="191"/>
      <c r="CA154" s="191"/>
      <c r="CB154" s="191"/>
      <c r="CC154" s="191"/>
      <c r="CD154" s="191"/>
      <c r="CE154" s="192">
        <v>100</v>
      </c>
      <c r="CF154" s="190"/>
      <c r="CG154" s="191"/>
      <c r="CH154" s="191"/>
      <c r="CI154" s="191"/>
      <c r="CJ154" s="191"/>
      <c r="CK154" s="191"/>
      <c r="CL154" s="191">
        <v>50</v>
      </c>
      <c r="CM154" s="191"/>
      <c r="CN154" s="191"/>
      <c r="CO154" s="191">
        <v>50</v>
      </c>
      <c r="CP154" s="191"/>
      <c r="CQ154" s="191"/>
      <c r="CR154" s="191"/>
      <c r="CS154" s="191">
        <v>10</v>
      </c>
      <c r="CT154" s="191"/>
      <c r="CU154" s="191"/>
      <c r="CV154" s="191">
        <v>10</v>
      </c>
      <c r="CW154" s="191"/>
      <c r="CX154" s="191"/>
      <c r="CY154" s="191"/>
      <c r="CZ154" s="191">
        <v>10</v>
      </c>
      <c r="DA154" s="191"/>
      <c r="DB154" s="191"/>
      <c r="DC154" s="191">
        <v>50</v>
      </c>
      <c r="DD154" s="191"/>
      <c r="DE154" s="191"/>
      <c r="DF154" s="191"/>
      <c r="DG154" s="191">
        <v>100</v>
      </c>
      <c r="DH154" s="193"/>
      <c r="DI154" s="194"/>
      <c r="DJ154" s="191"/>
      <c r="DK154" s="191">
        <v>50</v>
      </c>
      <c r="DL154" s="191"/>
      <c r="DM154" s="191"/>
      <c r="DN154" s="191"/>
      <c r="DO154" s="191"/>
      <c r="DP154" s="191"/>
      <c r="DQ154" s="191"/>
      <c r="DR154" s="191">
        <v>100</v>
      </c>
      <c r="DS154" s="191"/>
      <c r="DT154" s="191"/>
      <c r="DU154" s="191"/>
      <c r="DV154" s="191">
        <v>10</v>
      </c>
      <c r="DW154" s="191"/>
      <c r="DX154" s="191"/>
      <c r="DY154" s="191">
        <v>50</v>
      </c>
      <c r="DZ154" s="191"/>
      <c r="EA154" s="191"/>
      <c r="EB154" s="191"/>
      <c r="EC154" s="191">
        <v>10</v>
      </c>
      <c r="ED154" s="191"/>
      <c r="EE154" s="191"/>
      <c r="EF154" s="191">
        <v>10</v>
      </c>
      <c r="EG154" s="191"/>
      <c r="EH154" s="191"/>
      <c r="EI154" s="191"/>
      <c r="EJ154" s="191">
        <v>100</v>
      </c>
      <c r="EK154" s="191"/>
      <c r="EL154" s="191"/>
      <c r="EM154" s="192">
        <v>50</v>
      </c>
      <c r="EN154" s="190"/>
      <c r="EO154" s="191"/>
      <c r="EP154" s="191"/>
      <c r="EQ154" s="191">
        <v>10</v>
      </c>
      <c r="ER154" s="191"/>
      <c r="ES154" s="191"/>
      <c r="ET154" s="191">
        <v>100</v>
      </c>
      <c r="EU154" s="191"/>
      <c r="EV154" s="191"/>
      <c r="EW154" s="191"/>
      <c r="EX154" s="191">
        <v>10</v>
      </c>
      <c r="EY154" s="191"/>
      <c r="EZ154" s="191"/>
      <c r="FA154" s="191">
        <v>10</v>
      </c>
      <c r="FB154" s="191"/>
      <c r="FC154" s="191"/>
      <c r="FD154" s="191"/>
      <c r="FE154" s="191">
        <v>10</v>
      </c>
      <c r="FF154" s="191"/>
      <c r="FG154" s="191"/>
      <c r="FH154" s="191"/>
      <c r="FI154" s="191"/>
      <c r="FJ154" s="191"/>
      <c r="FK154" s="191">
        <v>200</v>
      </c>
      <c r="FL154" s="191"/>
      <c r="FM154" s="191"/>
      <c r="FN154" s="191"/>
      <c r="FO154" s="191">
        <v>100</v>
      </c>
      <c r="FP154" s="191"/>
      <c r="FQ154" s="193"/>
      <c r="FR154" s="194"/>
      <c r="FS154" s="191"/>
      <c r="FT154" s="191"/>
      <c r="FU154" s="191"/>
      <c r="FV154" s="191">
        <v>200</v>
      </c>
      <c r="FW154" s="191"/>
      <c r="FX154" s="191"/>
      <c r="FY154" s="191"/>
      <c r="FZ154" s="191">
        <v>50</v>
      </c>
      <c r="GA154" s="191"/>
      <c r="GB154" s="191"/>
      <c r="GC154" s="191">
        <v>50</v>
      </c>
      <c r="GD154" s="191"/>
      <c r="GE154" s="191"/>
      <c r="GF154" s="191"/>
      <c r="GG154" s="191">
        <v>10</v>
      </c>
      <c r="GH154" s="191"/>
      <c r="GI154" s="191"/>
      <c r="GJ154" s="191">
        <v>100</v>
      </c>
      <c r="GK154" s="191"/>
      <c r="GL154" s="191"/>
      <c r="GM154" s="191"/>
      <c r="GN154" s="191">
        <v>10</v>
      </c>
      <c r="GO154" s="191"/>
      <c r="GP154" s="191"/>
      <c r="GQ154" s="191">
        <v>50</v>
      </c>
      <c r="GR154" s="191"/>
      <c r="GS154" s="191"/>
      <c r="GT154" s="191"/>
      <c r="GU154" s="191">
        <v>50</v>
      </c>
      <c r="GV154" s="192"/>
      <c r="GW154" s="190"/>
      <c r="GX154" s="191">
        <v>150</v>
      </c>
      <c r="GY154" s="191"/>
      <c r="GZ154" s="191"/>
      <c r="HA154" s="191"/>
      <c r="HB154" s="191">
        <v>50</v>
      </c>
      <c r="HC154" s="191"/>
      <c r="HD154" s="191"/>
      <c r="HE154" s="191"/>
      <c r="HF154" s="191"/>
      <c r="HG154" s="191"/>
      <c r="HH154" s="191"/>
      <c r="HI154" s="191">
        <v>100</v>
      </c>
      <c r="HJ154" s="191"/>
      <c r="HK154" s="191"/>
      <c r="HL154" s="191"/>
      <c r="HM154" s="191"/>
      <c r="HN154" s="191"/>
      <c r="HO154" s="191"/>
      <c r="HP154" s="191"/>
      <c r="HQ154" s="191"/>
      <c r="HR154" s="191"/>
      <c r="HS154" s="191">
        <v>50</v>
      </c>
      <c r="HT154" s="191"/>
      <c r="HU154" s="191"/>
      <c r="HV154" s="191"/>
      <c r="HW154" s="191">
        <v>10</v>
      </c>
      <c r="HX154" s="191"/>
      <c r="HY154" s="191"/>
      <c r="HZ154" s="193">
        <v>50</v>
      </c>
      <c r="IA154" s="194"/>
      <c r="IB154" s="191"/>
      <c r="IC154" s="191"/>
      <c r="ID154" s="191">
        <v>50</v>
      </c>
      <c r="IE154" s="191"/>
      <c r="IF154" s="191"/>
      <c r="IG154" s="191"/>
      <c r="IH154" s="191"/>
      <c r="II154" s="191"/>
      <c r="IJ154" s="191">
        <v>100</v>
      </c>
      <c r="IK154" s="191"/>
      <c r="IL154" s="191"/>
      <c r="IM154" s="191"/>
      <c r="IN154" s="191">
        <v>100</v>
      </c>
      <c r="IO154" s="191"/>
      <c r="IP154" s="191"/>
      <c r="IQ154" s="191"/>
      <c r="IR154" s="191"/>
      <c r="IS154" s="191"/>
      <c r="IT154" s="191"/>
      <c r="IU154" s="191">
        <v>150</v>
      </c>
      <c r="IV154" s="191"/>
      <c r="IW154" s="191"/>
      <c r="IX154" s="191"/>
      <c r="IY154" s="191"/>
      <c r="IZ154" s="191"/>
      <c r="JA154" s="191"/>
      <c r="JB154" s="191">
        <v>100</v>
      </c>
      <c r="JC154" s="191"/>
      <c r="JD154" s="191"/>
      <c r="JE154" s="192"/>
      <c r="JF154" s="190">
        <v>10</v>
      </c>
      <c r="JG154" s="191"/>
      <c r="JH154" s="191"/>
      <c r="JI154" s="191">
        <v>10</v>
      </c>
      <c r="JJ154" s="191"/>
      <c r="JK154" s="191"/>
      <c r="JL154" s="191"/>
      <c r="JM154" s="191">
        <v>50</v>
      </c>
      <c r="JN154" s="191"/>
      <c r="JO154" s="191"/>
      <c r="JP154" s="191">
        <v>50</v>
      </c>
      <c r="JQ154" s="191"/>
      <c r="JR154" s="191"/>
      <c r="JS154" s="191"/>
      <c r="JT154" s="191"/>
      <c r="JU154" s="191"/>
      <c r="JV154" s="191"/>
      <c r="JW154" s="191">
        <v>100</v>
      </c>
      <c r="JX154" s="191"/>
      <c r="JY154" s="191"/>
      <c r="JZ154" s="191"/>
      <c r="KA154" s="191">
        <v>50</v>
      </c>
      <c r="KB154" s="191"/>
      <c r="KC154" s="191"/>
      <c r="KD154" s="191">
        <v>50</v>
      </c>
      <c r="KE154" s="191"/>
      <c r="KF154" s="191"/>
      <c r="KG154" s="191"/>
      <c r="KH154" s="191">
        <v>50</v>
      </c>
      <c r="KI154" s="191"/>
      <c r="KJ154" s="193"/>
      <c r="KK154" s="194">
        <v>50</v>
      </c>
      <c r="KL154" s="191"/>
      <c r="KM154" s="191"/>
      <c r="KN154" s="191"/>
      <c r="KO154" s="191"/>
      <c r="KP154" s="191"/>
      <c r="KQ154" s="191"/>
      <c r="KR154" s="191">
        <v>50</v>
      </c>
      <c r="KS154" s="191"/>
      <c r="KT154" s="191"/>
      <c r="KU154" s="191"/>
      <c r="KV154" s="191">
        <v>10</v>
      </c>
      <c r="KW154" s="191"/>
      <c r="KX154" s="191"/>
      <c r="KY154" s="191">
        <v>100</v>
      </c>
      <c r="KZ154" s="191"/>
      <c r="LA154" s="191"/>
      <c r="LB154" s="191"/>
      <c r="LC154" s="191">
        <v>50</v>
      </c>
      <c r="LD154" s="191"/>
      <c r="LE154" s="191"/>
      <c r="LF154" s="191">
        <v>1</v>
      </c>
      <c r="LG154" s="191"/>
      <c r="LH154" s="191"/>
      <c r="LI154" s="191"/>
      <c r="LJ154" s="191">
        <v>50</v>
      </c>
      <c r="LK154" s="191"/>
      <c r="LL154" s="191"/>
      <c r="LM154" s="191">
        <v>50</v>
      </c>
      <c r="LN154" s="192"/>
      <c r="LO154" s="190"/>
      <c r="LP154" s="191"/>
      <c r="LQ154" s="191"/>
      <c r="LR154" s="191"/>
      <c r="LS154" s="191"/>
      <c r="LT154" s="191">
        <v>100</v>
      </c>
      <c r="LU154" s="191"/>
      <c r="LV154" s="191"/>
      <c r="LW154" s="191"/>
      <c r="LX154" s="191">
        <v>10</v>
      </c>
      <c r="LY154" s="191"/>
      <c r="LZ154" s="191"/>
      <c r="MA154" s="191">
        <v>10</v>
      </c>
      <c r="MB154" s="191"/>
      <c r="MC154" s="191"/>
      <c r="MD154" s="191"/>
      <c r="ME154" s="191">
        <v>50</v>
      </c>
      <c r="MF154" s="191"/>
      <c r="MG154" s="191"/>
      <c r="MH154" s="191">
        <v>10</v>
      </c>
      <c r="MI154" s="191"/>
      <c r="MJ154" s="191"/>
      <c r="MK154" s="191"/>
      <c r="ML154" s="191">
        <v>10</v>
      </c>
      <c r="MM154" s="191"/>
      <c r="MN154" s="191"/>
      <c r="MO154" s="191">
        <v>10</v>
      </c>
      <c r="MP154" s="191"/>
      <c r="MQ154" s="191"/>
      <c r="MR154" s="191"/>
      <c r="MS154" s="193">
        <v>10</v>
      </c>
      <c r="MT154" s="194"/>
      <c r="MU154" s="191"/>
      <c r="MV154" s="191">
        <v>10</v>
      </c>
      <c r="MW154" s="191"/>
      <c r="MX154" s="191"/>
      <c r="MY154" s="191"/>
      <c r="MZ154" s="191">
        <v>10</v>
      </c>
      <c r="NA154" s="191"/>
      <c r="NB154" s="191"/>
      <c r="NC154" s="191">
        <v>50</v>
      </c>
      <c r="ND154" s="191"/>
      <c r="NE154" s="191"/>
      <c r="NF154" s="191"/>
      <c r="NG154" s="191">
        <v>50</v>
      </c>
      <c r="NH154" s="191"/>
      <c r="NI154" s="191"/>
      <c r="NJ154" s="191">
        <v>10</v>
      </c>
      <c r="NK154" s="191"/>
      <c r="NL154" s="191"/>
      <c r="NM154" s="191"/>
      <c r="NN154" s="191">
        <v>100</v>
      </c>
      <c r="NO154" s="191"/>
      <c r="NP154" s="191"/>
      <c r="NQ154" s="191">
        <v>50</v>
      </c>
      <c r="NR154" s="191"/>
      <c r="NS154" s="191"/>
      <c r="NT154" s="191"/>
      <c r="NU154" s="191">
        <v>50</v>
      </c>
      <c r="NV154" s="191"/>
      <c r="NW154" s="192"/>
      <c r="NX154" s="190">
        <v>10</v>
      </c>
      <c r="NY154" s="191"/>
      <c r="NZ154" s="191"/>
      <c r="OA154" s="191"/>
      <c r="OB154" s="191">
        <v>10</v>
      </c>
      <c r="OC154" s="191"/>
      <c r="OD154" s="191"/>
      <c r="OE154" s="191">
        <v>10</v>
      </c>
      <c r="OF154" s="191"/>
      <c r="OG154" s="191"/>
      <c r="OH154" s="191"/>
      <c r="OI154" s="191">
        <v>10</v>
      </c>
      <c r="OJ154" s="191"/>
      <c r="OK154" s="191"/>
      <c r="OL154" s="191">
        <v>10</v>
      </c>
      <c r="OM154" s="191"/>
      <c r="ON154" s="191"/>
      <c r="OO154" s="191"/>
      <c r="OP154" s="191"/>
      <c r="OQ154" s="191"/>
      <c r="OR154" s="191"/>
      <c r="OS154" s="191"/>
      <c r="OT154" s="191"/>
      <c r="OU154" s="191"/>
      <c r="OV154" s="191"/>
      <c r="OW154" s="191"/>
      <c r="OX154" s="191"/>
      <c r="OY154" s="191"/>
      <c r="OZ154" s="191"/>
      <c r="PA154" s="191"/>
      <c r="PB154" s="193"/>
      <c r="PC154" s="47"/>
      <c r="PD154" s="154" t="s">
        <v>97</v>
      </c>
      <c r="PE154" s="155" t="s">
        <v>98</v>
      </c>
      <c r="PF154" s="155" t="s">
        <v>98</v>
      </c>
      <c r="PG154" s="155" t="s">
        <v>98</v>
      </c>
      <c r="PH154" s="155" t="s">
        <v>98</v>
      </c>
      <c r="PI154" s="155" t="s">
        <v>98</v>
      </c>
      <c r="PJ154" s="155" t="s">
        <v>98</v>
      </c>
      <c r="PK154" s="155" t="s">
        <v>98</v>
      </c>
      <c r="PL154" s="155" t="s">
        <v>98</v>
      </c>
      <c r="PM154" s="155" t="s">
        <v>98</v>
      </c>
      <c r="PN154" s="155" t="s">
        <v>98</v>
      </c>
      <c r="PO154" s="156"/>
      <c r="PP154" s="156"/>
      <c r="PQ154" s="156"/>
      <c r="PR154" s="156"/>
      <c r="PS154" s="156"/>
      <c r="PT154" s="156"/>
      <c r="PU154" s="156"/>
      <c r="PV154" s="156"/>
      <c r="PW154" s="156"/>
      <c r="PX154" s="195"/>
      <c r="PY154" s="1"/>
      <c r="PZ154" s="196">
        <f t="shared" si="126"/>
        <v>360</v>
      </c>
      <c r="QA154" s="176">
        <f t="shared" si="127"/>
        <v>3.0032535246517062E-3</v>
      </c>
      <c r="QB154" s="177" t="str">
        <f t="shared" ca="1" si="128"/>
        <v>Attente…</v>
      </c>
      <c r="QC154" s="197">
        <f t="shared" si="129"/>
        <v>280</v>
      </c>
      <c r="QD154" s="179">
        <f t="shared" si="130"/>
        <v>2.6217228464419477E-3</v>
      </c>
      <c r="QE154" s="180" t="str">
        <f t="shared" ca="1" si="131"/>
        <v>Attente…</v>
      </c>
      <c r="QF154" s="196">
        <f t="shared" si="132"/>
        <v>380</v>
      </c>
      <c r="QG154" s="176">
        <f t="shared" si="133"/>
        <v>3.025959547698678E-3</v>
      </c>
      <c r="QH154" s="177" t="str">
        <f t="shared" ca="1" si="134"/>
        <v>Attente…</v>
      </c>
      <c r="QI154" s="197">
        <f t="shared" si="135"/>
        <v>440</v>
      </c>
      <c r="QJ154" s="179">
        <f t="shared" si="136"/>
        <v>3.0859868144199748E-3</v>
      </c>
      <c r="QK154" s="180" t="str">
        <f t="shared" ca="1" si="137"/>
        <v>Attente…</v>
      </c>
      <c r="QL154" s="196">
        <f t="shared" si="138"/>
        <v>520</v>
      </c>
      <c r="QM154" s="176">
        <f t="shared" si="139"/>
        <v>3.8045068773778167E-3</v>
      </c>
      <c r="QN154" s="177" t="str">
        <f t="shared" ca="1" si="140"/>
        <v>Attente…</v>
      </c>
      <c r="QO154" s="197">
        <f t="shared" si="141"/>
        <v>410</v>
      </c>
      <c r="QP154" s="179">
        <f t="shared" si="142"/>
        <v>3.2098958741094497E-3</v>
      </c>
      <c r="QQ154" s="180" t="str">
        <f t="shared" ca="1" si="143"/>
        <v>Attente…</v>
      </c>
      <c r="QR154" s="196">
        <f t="shared" si="144"/>
        <v>500</v>
      </c>
      <c r="QS154" s="176">
        <f t="shared" si="145"/>
        <v>3.5995824484359815E-3</v>
      </c>
      <c r="QT154" s="177" t="str">
        <f t="shared" ca="1" si="146"/>
        <v>Attente…</v>
      </c>
      <c r="QU154" s="197">
        <f t="shared" si="147"/>
        <v>370</v>
      </c>
      <c r="QV154" s="179">
        <f t="shared" si="148"/>
        <v>2.5510204081632651E-3</v>
      </c>
      <c r="QW154" s="180" t="str">
        <f t="shared" ca="1" si="149"/>
        <v>Attente…</v>
      </c>
      <c r="QX154" s="196">
        <f t="shared" si="150"/>
        <v>361</v>
      </c>
      <c r="QY154" s="176">
        <f t="shared" si="151"/>
        <v>2.6343442599025073E-3</v>
      </c>
      <c r="QZ154" s="177" t="str">
        <f t="shared" ca="1" si="152"/>
        <v>Attente…</v>
      </c>
      <c r="RA154" s="197">
        <f t="shared" si="153"/>
        <v>210</v>
      </c>
      <c r="RB154" s="179">
        <f t="shared" si="154"/>
        <v>1.643063923010719E-3</v>
      </c>
      <c r="RC154" s="180" t="str">
        <f t="shared" ca="1" si="155"/>
        <v>Attente…</v>
      </c>
      <c r="RD154" s="196">
        <f t="shared" si="156"/>
        <v>330</v>
      </c>
      <c r="RE154" s="176">
        <f t="shared" si="157"/>
        <v>3.2881626145874849E-3</v>
      </c>
      <c r="RF154" s="177" t="str">
        <f t="shared" ca="1" si="158"/>
        <v>Attente…</v>
      </c>
      <c r="RG154" s="197">
        <f t="shared" si="159"/>
        <v>50</v>
      </c>
      <c r="RH154" s="179">
        <f t="shared" si="160"/>
        <v>9.1962479308442156E-4</v>
      </c>
      <c r="RI154" s="198" t="str">
        <f t="shared" ca="1" si="161"/>
        <v>Attente…</v>
      </c>
      <c r="RJ154" s="199">
        <f t="shared" si="162"/>
        <v>1020</v>
      </c>
      <c r="RK154" s="200" t="str">
        <f t="shared" ca="1" si="119"/>
        <v>Attente…</v>
      </c>
      <c r="RL154" s="199">
        <f t="shared" si="163"/>
        <v>1370</v>
      </c>
      <c r="RM154" s="200" t="str">
        <f t="shared" ca="1" si="164"/>
        <v>Atttente…</v>
      </c>
      <c r="RN154" s="199">
        <f t="shared" si="165"/>
        <v>1231</v>
      </c>
      <c r="RO154" s="200" t="str">
        <f t="shared" ca="1" si="120"/>
        <v>Attente…</v>
      </c>
      <c r="RP154" s="199">
        <f t="shared" si="166"/>
        <v>590</v>
      </c>
      <c r="RQ154" s="200" t="str">
        <f t="shared" ca="1" si="121"/>
        <v>Attente…</v>
      </c>
      <c r="RR154" s="201">
        <f t="shared" si="167"/>
        <v>4211</v>
      </c>
      <c r="RS154" s="202" t="str">
        <f t="shared" ca="1" si="122"/>
        <v>Attente…</v>
      </c>
      <c r="RT154" s="103"/>
      <c r="RU154" s="203">
        <f t="shared" si="168"/>
        <v>0.25367469879518073</v>
      </c>
      <c r="RV154" s="204">
        <f t="shared" si="171"/>
        <v>1</v>
      </c>
      <c r="RW154" s="204">
        <f t="shared" si="171"/>
        <v>2</v>
      </c>
      <c r="RX154" s="204">
        <f t="shared" si="169"/>
        <v>83</v>
      </c>
      <c r="RY154" s="205" t="str">
        <f t="shared" si="170"/>
        <v>ROUEN - 137 Route de Darnétal</v>
      </c>
      <c r="RZ154" s="189" t="str">
        <f>IF(OR(RZ153="",RZ153="  &lt;/Document&gt;
&lt;/kml&gt;"),"",
IF(B154="","  &lt;/Document&gt;
&lt;/kml&gt;",
IF(TournéesCAV!Q154=""," ",
"    &lt;Placemark&gt;
      &lt;description&gt;&lt;![CDATA["&amp;B154&amp;"&lt;br&gt;&lt;br&gt;"&amp;RV154&amp;" CAV&lt;br&gt;&lt;br&gt;Présent sur "&amp;RW154&amp;" tournée(s)&lt;br&gt;&lt;br&gt;Taux de remplissage moyen "&amp;TEXT(RU154*1000,"0 %")&amp;"]]&gt;&lt;/description&gt;
      &lt;Style&gt;
        &lt;IconStyle&gt;
          &lt;color&gt;ff"&amp;
          DEC2HEX(0,2)&amp;
          DEC2HEX(
            IF(RU154&lt;=0.5,
               INT(255*(RU154*2)),
               255
            ),2)&amp;
          DEC2HEX(
            IF(RU154&lt;=0.5,
               255,
               INT(255*(1-(RU154-0.5)*2))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&lt;Point&gt;&lt;coordinates&gt;"&amp;R154&amp;","&amp;Q154&amp;",0&lt;/coordinates&gt;&lt;/Point&gt;
    &lt;/Placemark&gt;"
)))</f>
        <v xml:space="preserve">    &lt;Placemark&gt;
      &lt;description&gt;&lt;![CDATA[ROUEN - 137 Route de Darnétal&lt;br&gt;&lt;br&gt;1 CAV&lt;br&gt;&lt;br&gt;Présent sur 2 tournée(s)&lt;br&gt;&lt;br&gt;Taux de remplissage moyen 25%]]&gt;&lt;/description&gt;
      &lt;Style&gt;
        &lt;IconStyle&gt;
          &lt;color&gt;ff0081FF&lt;/color&gt;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&lt;Point&gt;&lt;coordinates&gt;1.1264055,49.440485,0&lt;/coordinates&gt;&lt;/Point&gt;
    &lt;/Placemark&gt;</v>
      </c>
    </row>
    <row r="155" spans="2:494" ht="15" hidden="1" customHeight="1" x14ac:dyDescent="0.35">
      <c r="B155" s="153" t="str">
        <f t="shared" si="123"/>
        <v>SOTTEVILLE-LÈS-ROUEN - 4 Rue Paul Eluard (Hôpital Psychiatrique)</v>
      </c>
      <c r="C155" s="154" t="s">
        <v>104</v>
      </c>
      <c r="D155" s="155"/>
      <c r="E155" s="155"/>
      <c r="F155" s="155"/>
      <c r="G155" s="155"/>
      <c r="H155" s="155"/>
      <c r="I155" s="155"/>
      <c r="J155" s="156"/>
      <c r="K155" s="157">
        <f t="shared" si="124"/>
        <v>1</v>
      </c>
      <c r="L155" s="157">
        <f t="shared" si="125"/>
        <v>1</v>
      </c>
      <c r="M155" s="158" t="s">
        <v>865</v>
      </c>
      <c r="N155" s="159" t="s">
        <v>866</v>
      </c>
      <c r="O155" s="159">
        <v>76300</v>
      </c>
      <c r="P155" s="159" t="s">
        <v>275</v>
      </c>
      <c r="Q155" s="159" t="s">
        <v>867</v>
      </c>
      <c r="R155" s="159" t="s">
        <v>868</v>
      </c>
      <c r="S155" s="159" t="s">
        <v>93</v>
      </c>
      <c r="T155" s="159" t="s">
        <v>620</v>
      </c>
      <c r="U155" s="159" t="s">
        <v>869</v>
      </c>
      <c r="V155" s="160" t="s">
        <v>96</v>
      </c>
      <c r="W155" s="161"/>
      <c r="X155" s="162"/>
      <c r="Y155" s="163"/>
      <c r="Z155" s="162"/>
      <c r="AA155" s="163"/>
      <c r="AB155" s="162">
        <v>12</v>
      </c>
      <c r="AC155" s="163"/>
      <c r="AD155" s="162"/>
      <c r="AE155" s="163"/>
      <c r="AF155" s="162"/>
      <c r="AG155" s="163"/>
      <c r="AH155" s="163"/>
      <c r="AI155" s="162"/>
      <c r="AJ155" s="163"/>
      <c r="AK155" s="162"/>
      <c r="AL155" s="163"/>
      <c r="AM155" s="162"/>
      <c r="AN155" s="163"/>
      <c r="AO155" s="162"/>
      <c r="AP155" s="164"/>
      <c r="AQ155" s="164"/>
      <c r="AR155" s="164"/>
      <c r="AS155" s="164"/>
      <c r="AT155" s="164"/>
      <c r="AU155" s="164"/>
      <c r="AV155" s="164"/>
      <c r="AW155" s="164"/>
      <c r="AX155" s="164"/>
      <c r="AY155" s="165"/>
      <c r="AZ155" s="41"/>
      <c r="BA155" s="190"/>
      <c r="BB155" s="191"/>
      <c r="BC155" s="191">
        <v>150</v>
      </c>
      <c r="BD155" s="191"/>
      <c r="BE155" s="191"/>
      <c r="BF155" s="191"/>
      <c r="BG155" s="191"/>
      <c r="BH155" s="191"/>
      <c r="BI155" s="191"/>
      <c r="BJ155" s="191">
        <v>150</v>
      </c>
      <c r="BK155" s="191"/>
      <c r="BL155" s="191"/>
      <c r="BM155" s="191"/>
      <c r="BN155" s="191"/>
      <c r="BO155" s="191"/>
      <c r="BP155" s="191"/>
      <c r="BQ155" s="191">
        <v>100</v>
      </c>
      <c r="BR155" s="191"/>
      <c r="BS155" s="191"/>
      <c r="BT155" s="191"/>
      <c r="BU155" s="191"/>
      <c r="BV155" s="191"/>
      <c r="BW155" s="191"/>
      <c r="BX155" s="191">
        <v>200</v>
      </c>
      <c r="BY155" s="191"/>
      <c r="BZ155" s="191"/>
      <c r="CA155" s="191"/>
      <c r="CB155" s="191"/>
      <c r="CC155" s="191"/>
      <c r="CD155" s="191"/>
      <c r="CE155" s="192">
        <v>10</v>
      </c>
      <c r="CF155" s="190"/>
      <c r="CG155" s="191"/>
      <c r="CH155" s="191"/>
      <c r="CI155" s="191"/>
      <c r="CJ155" s="191"/>
      <c r="CK155" s="191"/>
      <c r="CL155" s="191">
        <v>50</v>
      </c>
      <c r="CM155" s="191"/>
      <c r="CN155" s="191"/>
      <c r="CO155" s="191"/>
      <c r="CP155" s="191"/>
      <c r="CQ155" s="191"/>
      <c r="CR155" s="191"/>
      <c r="CS155" s="191">
        <v>50</v>
      </c>
      <c r="CT155" s="191"/>
      <c r="CU155" s="191"/>
      <c r="CV155" s="191"/>
      <c r="CW155" s="191"/>
      <c r="CX155" s="191"/>
      <c r="CY155" s="191"/>
      <c r="CZ155" s="191">
        <v>150</v>
      </c>
      <c r="DA155" s="191"/>
      <c r="DB155" s="191"/>
      <c r="DC155" s="191"/>
      <c r="DD155" s="191"/>
      <c r="DE155" s="191"/>
      <c r="DF155" s="191"/>
      <c r="DG155" s="191">
        <v>150</v>
      </c>
      <c r="DH155" s="193"/>
      <c r="DI155" s="194"/>
      <c r="DJ155" s="191"/>
      <c r="DK155" s="191"/>
      <c r="DL155" s="191"/>
      <c r="DM155" s="191"/>
      <c r="DN155" s="191"/>
      <c r="DO155" s="191">
        <v>50</v>
      </c>
      <c r="DP155" s="191"/>
      <c r="DQ155" s="191"/>
      <c r="DR155" s="191"/>
      <c r="DS155" s="191"/>
      <c r="DT155" s="191"/>
      <c r="DU155" s="191"/>
      <c r="DV155" s="191">
        <v>150</v>
      </c>
      <c r="DW155" s="191"/>
      <c r="DX155" s="191"/>
      <c r="DY155" s="191"/>
      <c r="DZ155" s="191"/>
      <c r="EA155" s="191"/>
      <c r="EB155" s="191"/>
      <c r="EC155" s="191">
        <v>100</v>
      </c>
      <c r="ED155" s="191"/>
      <c r="EE155" s="191"/>
      <c r="EF155" s="191"/>
      <c r="EG155" s="191"/>
      <c r="EH155" s="191"/>
      <c r="EI155" s="191"/>
      <c r="EJ155" s="191">
        <v>100</v>
      </c>
      <c r="EK155" s="191"/>
      <c r="EL155" s="191"/>
      <c r="EM155" s="192"/>
      <c r="EN155" s="190"/>
      <c r="EO155" s="191"/>
      <c r="EP155" s="191"/>
      <c r="EQ155" s="191">
        <v>10</v>
      </c>
      <c r="ER155" s="191"/>
      <c r="ES155" s="191"/>
      <c r="ET155" s="191"/>
      <c r="EU155" s="191"/>
      <c r="EV155" s="191"/>
      <c r="EW155" s="191"/>
      <c r="EX155" s="191">
        <v>150</v>
      </c>
      <c r="EY155" s="191"/>
      <c r="EZ155" s="191"/>
      <c r="FA155" s="191"/>
      <c r="FB155" s="191"/>
      <c r="FC155" s="191"/>
      <c r="FD155" s="191"/>
      <c r="FE155" s="191">
        <v>150</v>
      </c>
      <c r="FF155" s="191"/>
      <c r="FG155" s="191"/>
      <c r="FH155" s="191"/>
      <c r="FI155" s="191"/>
      <c r="FJ155" s="191"/>
      <c r="FK155" s="191"/>
      <c r="FL155" s="191"/>
      <c r="FM155" s="191"/>
      <c r="FN155" s="191"/>
      <c r="FO155" s="191"/>
      <c r="FP155" s="191"/>
      <c r="FQ155" s="193"/>
      <c r="FR155" s="194"/>
      <c r="FS155" s="191">
        <v>150</v>
      </c>
      <c r="FT155" s="191"/>
      <c r="FU155" s="191"/>
      <c r="FV155" s="191"/>
      <c r="FW155" s="191"/>
      <c r="FX155" s="191"/>
      <c r="FY155" s="191"/>
      <c r="FZ155" s="191">
        <v>50</v>
      </c>
      <c r="GA155" s="191"/>
      <c r="GB155" s="191"/>
      <c r="GC155" s="191"/>
      <c r="GD155" s="191"/>
      <c r="GE155" s="191"/>
      <c r="GF155" s="191"/>
      <c r="GG155" s="191">
        <v>50</v>
      </c>
      <c r="GH155" s="191"/>
      <c r="GI155" s="191"/>
      <c r="GJ155" s="191"/>
      <c r="GK155" s="191"/>
      <c r="GL155" s="191"/>
      <c r="GM155" s="191"/>
      <c r="GN155" s="191">
        <v>50</v>
      </c>
      <c r="GO155" s="191"/>
      <c r="GP155" s="191"/>
      <c r="GQ155" s="191"/>
      <c r="GR155" s="191"/>
      <c r="GS155" s="191"/>
      <c r="GT155" s="191"/>
      <c r="GU155" s="191">
        <v>50</v>
      </c>
      <c r="GV155" s="192"/>
      <c r="GW155" s="190"/>
      <c r="GX155" s="191"/>
      <c r="GY155" s="191"/>
      <c r="GZ155" s="191"/>
      <c r="HA155" s="191"/>
      <c r="HB155" s="191">
        <v>100</v>
      </c>
      <c r="HC155" s="191"/>
      <c r="HD155" s="191"/>
      <c r="HE155" s="191"/>
      <c r="HF155" s="191"/>
      <c r="HG155" s="191"/>
      <c r="HH155" s="191"/>
      <c r="HI155" s="191">
        <v>10</v>
      </c>
      <c r="HJ155" s="191"/>
      <c r="HK155" s="191"/>
      <c r="HL155" s="191"/>
      <c r="HM155" s="191"/>
      <c r="HN155" s="191"/>
      <c r="HO155" s="191"/>
      <c r="HP155" s="191">
        <v>100</v>
      </c>
      <c r="HQ155" s="191"/>
      <c r="HR155" s="191"/>
      <c r="HS155" s="191"/>
      <c r="HT155" s="191"/>
      <c r="HU155" s="191"/>
      <c r="HV155" s="191"/>
      <c r="HW155" s="191">
        <v>50</v>
      </c>
      <c r="HX155" s="191"/>
      <c r="HY155" s="191"/>
      <c r="HZ155" s="193"/>
      <c r="IA155" s="194"/>
      <c r="IB155" s="191"/>
      <c r="IC155" s="191"/>
      <c r="ID155" s="191">
        <v>100</v>
      </c>
      <c r="IE155" s="191"/>
      <c r="IF155" s="191"/>
      <c r="IG155" s="191"/>
      <c r="IH155" s="191"/>
      <c r="II155" s="191"/>
      <c r="IJ155" s="191"/>
      <c r="IK155" s="191">
        <v>50</v>
      </c>
      <c r="IL155" s="191"/>
      <c r="IM155" s="191"/>
      <c r="IN155" s="191"/>
      <c r="IO155" s="191"/>
      <c r="IP155" s="191"/>
      <c r="IQ155" s="191"/>
      <c r="IR155" s="191"/>
      <c r="IS155" s="191"/>
      <c r="IT155" s="191"/>
      <c r="IU155" s="191"/>
      <c r="IV155" s="191"/>
      <c r="IW155" s="191"/>
      <c r="IX155" s="191"/>
      <c r="IY155" s="191"/>
      <c r="IZ155" s="191"/>
      <c r="JA155" s="191"/>
      <c r="JB155" s="191"/>
      <c r="JC155" s="191"/>
      <c r="JD155" s="191"/>
      <c r="JE155" s="192"/>
      <c r="JF155" s="190">
        <v>200</v>
      </c>
      <c r="JG155" s="191"/>
      <c r="JH155" s="191"/>
      <c r="JI155" s="191"/>
      <c r="JJ155" s="191"/>
      <c r="JK155" s="191"/>
      <c r="JL155" s="191"/>
      <c r="JM155" s="191">
        <v>50</v>
      </c>
      <c r="JN155" s="191"/>
      <c r="JO155" s="191"/>
      <c r="JP155" s="191"/>
      <c r="JQ155" s="191"/>
      <c r="JR155" s="191"/>
      <c r="JS155" s="191"/>
      <c r="JT155" s="191"/>
      <c r="JU155" s="191"/>
      <c r="JV155" s="191"/>
      <c r="JW155" s="191"/>
      <c r="JX155" s="191"/>
      <c r="JY155" s="191"/>
      <c r="JZ155" s="191"/>
      <c r="KA155" s="191"/>
      <c r="KB155" s="191"/>
      <c r="KC155" s="191"/>
      <c r="KD155" s="191"/>
      <c r="KE155" s="191"/>
      <c r="KF155" s="191"/>
      <c r="KG155" s="191"/>
      <c r="KH155" s="191">
        <v>150</v>
      </c>
      <c r="KI155" s="191"/>
      <c r="KJ155" s="193"/>
      <c r="KK155" s="194"/>
      <c r="KL155" s="191"/>
      <c r="KM155" s="191"/>
      <c r="KN155" s="191"/>
      <c r="KO155" s="191">
        <v>100</v>
      </c>
      <c r="KP155" s="191"/>
      <c r="KQ155" s="191"/>
      <c r="KR155" s="191"/>
      <c r="KS155" s="191"/>
      <c r="KT155" s="191"/>
      <c r="KU155" s="191"/>
      <c r="KV155" s="191">
        <v>50</v>
      </c>
      <c r="KW155" s="191"/>
      <c r="KX155" s="191"/>
      <c r="KY155" s="191"/>
      <c r="KZ155" s="191"/>
      <c r="LA155" s="191"/>
      <c r="LB155" s="191"/>
      <c r="LC155" s="191"/>
      <c r="LD155" s="191"/>
      <c r="LE155" s="191"/>
      <c r="LF155" s="191"/>
      <c r="LG155" s="191"/>
      <c r="LH155" s="191"/>
      <c r="LI155" s="191"/>
      <c r="LJ155" s="191">
        <v>150</v>
      </c>
      <c r="LK155" s="191"/>
      <c r="LL155" s="191"/>
      <c r="LM155" s="191"/>
      <c r="LN155" s="192"/>
      <c r="LO155" s="190"/>
      <c r="LP155" s="191"/>
      <c r="LQ155" s="191"/>
      <c r="LR155" s="191"/>
      <c r="LS155" s="191"/>
      <c r="LT155" s="191"/>
      <c r="LU155" s="191"/>
      <c r="LV155" s="191"/>
      <c r="LW155" s="191"/>
      <c r="LX155" s="191">
        <v>100</v>
      </c>
      <c r="LY155" s="191"/>
      <c r="LZ155" s="191"/>
      <c r="MA155" s="191"/>
      <c r="MB155" s="191"/>
      <c r="MC155" s="191"/>
      <c r="MD155" s="191"/>
      <c r="ME155" s="191">
        <v>10</v>
      </c>
      <c r="MF155" s="191"/>
      <c r="MG155" s="191"/>
      <c r="MH155" s="191"/>
      <c r="MI155" s="191"/>
      <c r="MJ155" s="191"/>
      <c r="MK155" s="191"/>
      <c r="ML155" s="191">
        <v>50</v>
      </c>
      <c r="MM155" s="191"/>
      <c r="MN155" s="191"/>
      <c r="MO155" s="191"/>
      <c r="MP155" s="191"/>
      <c r="MQ155" s="191"/>
      <c r="MR155" s="191"/>
      <c r="MS155" s="193"/>
      <c r="MT155" s="194"/>
      <c r="MU155" s="191"/>
      <c r="MV155" s="191"/>
      <c r="MW155" s="191"/>
      <c r="MX155" s="191"/>
      <c r="MY155" s="191"/>
      <c r="MZ155" s="191">
        <v>200</v>
      </c>
      <c r="NA155" s="191"/>
      <c r="NB155" s="191"/>
      <c r="NC155" s="191"/>
      <c r="ND155" s="191"/>
      <c r="NE155" s="191"/>
      <c r="NF155" s="191"/>
      <c r="NG155" s="191">
        <v>150</v>
      </c>
      <c r="NH155" s="191"/>
      <c r="NI155" s="191"/>
      <c r="NJ155" s="191"/>
      <c r="NK155" s="191"/>
      <c r="NL155" s="191"/>
      <c r="NM155" s="191"/>
      <c r="NN155" s="191">
        <v>50</v>
      </c>
      <c r="NO155" s="191"/>
      <c r="NP155" s="191"/>
      <c r="NQ155" s="191"/>
      <c r="NR155" s="191"/>
      <c r="NS155" s="191"/>
      <c r="NT155" s="191"/>
      <c r="NU155" s="191">
        <v>150</v>
      </c>
      <c r="NV155" s="191"/>
      <c r="NW155" s="192"/>
      <c r="NX155" s="190"/>
      <c r="NY155" s="191"/>
      <c r="NZ155" s="191"/>
      <c r="OA155" s="191"/>
      <c r="OB155" s="191"/>
      <c r="OC155" s="191"/>
      <c r="OD155" s="191"/>
      <c r="OE155" s="191"/>
      <c r="OF155" s="191"/>
      <c r="OG155" s="191"/>
      <c r="OH155" s="191"/>
      <c r="OI155" s="191">
        <v>150</v>
      </c>
      <c r="OJ155" s="191"/>
      <c r="OK155" s="191"/>
      <c r="OL155" s="191"/>
      <c r="OM155" s="191"/>
      <c r="ON155" s="191"/>
      <c r="OO155" s="191"/>
      <c r="OP155" s="191"/>
      <c r="OQ155" s="191"/>
      <c r="OR155" s="191"/>
      <c r="OS155" s="191"/>
      <c r="OT155" s="191"/>
      <c r="OU155" s="191"/>
      <c r="OV155" s="191"/>
      <c r="OW155" s="191"/>
      <c r="OX155" s="191"/>
      <c r="OY155" s="191"/>
      <c r="OZ155" s="191"/>
      <c r="PA155" s="191"/>
      <c r="PB155" s="193"/>
      <c r="PC155" s="47"/>
      <c r="PD155" s="154" t="s">
        <v>97</v>
      </c>
      <c r="PE155" s="155" t="s">
        <v>98</v>
      </c>
      <c r="PF155" s="155" t="s">
        <v>98</v>
      </c>
      <c r="PG155" s="155" t="s">
        <v>98</v>
      </c>
      <c r="PH155" s="155" t="s">
        <v>98</v>
      </c>
      <c r="PI155" s="155" t="s">
        <v>98</v>
      </c>
      <c r="PJ155" s="155" t="s">
        <v>98</v>
      </c>
      <c r="PK155" s="155" t="s">
        <v>98</v>
      </c>
      <c r="PL155" s="155" t="s">
        <v>98</v>
      </c>
      <c r="PM155" s="155" t="s">
        <v>98</v>
      </c>
      <c r="PN155" s="155" t="s">
        <v>98</v>
      </c>
      <c r="PO155" s="156"/>
      <c r="PP155" s="156"/>
      <c r="PQ155" s="156"/>
      <c r="PR155" s="156"/>
      <c r="PS155" s="156"/>
      <c r="PT155" s="156"/>
      <c r="PU155" s="156"/>
      <c r="PV155" s="156"/>
      <c r="PW155" s="156"/>
      <c r="PX155" s="195"/>
      <c r="PY155" s="1"/>
      <c r="PZ155" s="196">
        <f t="shared" si="126"/>
        <v>610</v>
      </c>
      <c r="QA155" s="176">
        <f t="shared" si="127"/>
        <v>5.0888462501042795E-3</v>
      </c>
      <c r="QB155" s="177" t="str">
        <f t="shared" ca="1" si="128"/>
        <v>Attente…</v>
      </c>
      <c r="QC155" s="197">
        <f t="shared" si="129"/>
        <v>400</v>
      </c>
      <c r="QD155" s="179">
        <f t="shared" si="130"/>
        <v>3.7453183520599251E-3</v>
      </c>
      <c r="QE155" s="180" t="str">
        <f t="shared" ca="1" si="131"/>
        <v>Attente…</v>
      </c>
      <c r="QF155" s="196">
        <f t="shared" si="132"/>
        <v>400</v>
      </c>
      <c r="QG155" s="176">
        <f t="shared" si="133"/>
        <v>3.1852205765249245E-3</v>
      </c>
      <c r="QH155" s="177" t="str">
        <f t="shared" ca="1" si="134"/>
        <v>Attente…</v>
      </c>
      <c r="QI155" s="197">
        <f t="shared" si="135"/>
        <v>310</v>
      </c>
      <c r="QJ155" s="179">
        <f t="shared" si="136"/>
        <v>2.1742179828868006E-3</v>
      </c>
      <c r="QK155" s="180" t="str">
        <f t="shared" ca="1" si="137"/>
        <v>Attente…</v>
      </c>
      <c r="QL155" s="196">
        <f t="shared" si="138"/>
        <v>350</v>
      </c>
      <c r="QM155" s="176">
        <f t="shared" si="139"/>
        <v>2.5607257828504535E-3</v>
      </c>
      <c r="QN155" s="177" t="str">
        <f t="shared" ca="1" si="140"/>
        <v>Attente…</v>
      </c>
      <c r="QO155" s="197">
        <f t="shared" si="141"/>
        <v>260</v>
      </c>
      <c r="QP155" s="179">
        <f t="shared" si="142"/>
        <v>2.035543725045017E-3</v>
      </c>
      <c r="QQ155" s="180" t="str">
        <f t="shared" ca="1" si="143"/>
        <v>Attente…</v>
      </c>
      <c r="QR155" s="196">
        <f t="shared" si="144"/>
        <v>150</v>
      </c>
      <c r="QS155" s="176">
        <f t="shared" si="145"/>
        <v>1.0798747345307945E-3</v>
      </c>
      <c r="QT155" s="177" t="str">
        <f t="shared" ca="1" si="146"/>
        <v>Attente…</v>
      </c>
      <c r="QU155" s="197">
        <f t="shared" si="147"/>
        <v>400</v>
      </c>
      <c r="QV155" s="179">
        <f t="shared" si="148"/>
        <v>2.7578599007170436E-3</v>
      </c>
      <c r="QW155" s="180" t="str">
        <f t="shared" ca="1" si="149"/>
        <v>Attente…</v>
      </c>
      <c r="QX155" s="196">
        <f t="shared" si="150"/>
        <v>300</v>
      </c>
      <c r="QY155" s="176">
        <f t="shared" si="151"/>
        <v>2.1892057561516682E-3</v>
      </c>
      <c r="QZ155" s="177" t="str">
        <f t="shared" ca="1" si="152"/>
        <v>Attente…</v>
      </c>
      <c r="RA155" s="197">
        <f t="shared" si="153"/>
        <v>160</v>
      </c>
      <c r="RB155" s="179">
        <f t="shared" si="154"/>
        <v>1.2518582270557859E-3</v>
      </c>
      <c r="RC155" s="180" t="str">
        <f t="shared" ca="1" si="155"/>
        <v>Attente…</v>
      </c>
      <c r="RD155" s="196">
        <f t="shared" si="156"/>
        <v>550</v>
      </c>
      <c r="RE155" s="176">
        <f t="shared" si="157"/>
        <v>5.4802710243124749E-3</v>
      </c>
      <c r="RF155" s="177" t="str">
        <f t="shared" ca="1" si="158"/>
        <v>Attente…</v>
      </c>
      <c r="RG155" s="197">
        <f t="shared" si="159"/>
        <v>150</v>
      </c>
      <c r="RH155" s="179">
        <f t="shared" si="160"/>
        <v>2.7588743792532648E-3</v>
      </c>
      <c r="RI155" s="198" t="str">
        <f t="shared" ca="1" si="161"/>
        <v>Attente…</v>
      </c>
      <c r="RJ155" s="199">
        <f t="shared" si="162"/>
        <v>1410</v>
      </c>
      <c r="RK155" s="200" t="str">
        <f t="shared" ca="1" si="119"/>
        <v>Attente…</v>
      </c>
      <c r="RL155" s="199">
        <f t="shared" si="163"/>
        <v>920</v>
      </c>
      <c r="RM155" s="200" t="str">
        <f t="shared" ca="1" si="164"/>
        <v>Atttente…</v>
      </c>
      <c r="RN155" s="199">
        <f t="shared" si="165"/>
        <v>850</v>
      </c>
      <c r="RO155" s="200" t="str">
        <f t="shared" ca="1" si="120"/>
        <v>Attente…</v>
      </c>
      <c r="RP155" s="199">
        <f t="shared" si="166"/>
        <v>860</v>
      </c>
      <c r="RQ155" s="200" t="str">
        <f t="shared" ca="1" si="121"/>
        <v>Attente…</v>
      </c>
      <c r="RR155" s="201">
        <f t="shared" si="167"/>
        <v>4040</v>
      </c>
      <c r="RS155" s="202" t="str">
        <f t="shared" ca="1" si="122"/>
        <v>Attente…</v>
      </c>
      <c r="RT155" s="103"/>
      <c r="RU155" s="203">
        <f t="shared" si="168"/>
        <v>0.49268292682926829</v>
      </c>
      <c r="RV155" s="204">
        <f t="shared" si="171"/>
        <v>1</v>
      </c>
      <c r="RW155" s="204">
        <f t="shared" si="171"/>
        <v>1</v>
      </c>
      <c r="RX155" s="204">
        <f t="shared" si="169"/>
        <v>41</v>
      </c>
      <c r="RY155" s="205" t="str">
        <f t="shared" si="170"/>
        <v>SOTTEVILLE-LÈS-ROUEN - 4 Rue Paul Eluard (Hôpital Psychiatrique)</v>
      </c>
      <c r="RZ155" s="189" t="str">
        <f>IF(OR(RZ154="",RZ154="  &lt;/Document&gt;
&lt;/kml&gt;"),"",
IF(B155="","  &lt;/Document&gt;
&lt;/kml&gt;",
IF(TournéesCAV!Q155=""," ",
"    &lt;Placemark&gt;
      &lt;description&gt;&lt;![CDATA["&amp;B155&amp;"&lt;br&gt;&lt;br&gt;"&amp;RV155&amp;" CAV&lt;br&gt;&lt;br&gt;Présent sur "&amp;RW155&amp;" tournée(s)&lt;br&gt;&lt;br&gt;Taux de remplissage moyen "&amp;TEXT(RU155*1000,"0 %")&amp;"]]&gt;&lt;/description&gt;
      &lt;Style&gt;
        &lt;IconStyle&gt;
          &lt;color&gt;ff"&amp;
          DEC2HEX(0,2)&amp;
          DEC2HEX(
            IF(RU155&lt;=0.5,
               INT(255*(RU155*2)),
               255
            ),2)&amp;
          DEC2HEX(
            IF(RU155&lt;=0.5,
               255,
               INT(255*(1-(RU155-0.5)*2))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&lt;Point&gt;&lt;coordinates&gt;"&amp;R155&amp;","&amp;Q155&amp;",0&lt;/coordinates&gt;&lt;/Point&gt;
    &lt;/Placemark&gt;"
)))</f>
        <v xml:space="preserve">    &lt;Placemark&gt;
      &lt;description&gt;&lt;![CDATA[SOTTEVILLE-LÈS-ROUEN - 4 Rue Paul Eluard (Hôpital Psychiatrique)&lt;br&gt;&lt;br&gt;1 CAV&lt;br&gt;&lt;br&gt;Présent sur 1 tournée(s)&lt;br&gt;&lt;br&gt;Taux de remplissage moyen 49%]]&gt;&lt;/description&gt;
      &lt;Style&gt;
        &lt;IconStyle&gt;
          &lt;color&gt;ff00FBFF&lt;/color&gt;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&lt;Point&gt;&lt;coordinates&gt;1.0941487999694788,49.39488192605717,0&lt;/coordinates&gt;&lt;/Point&gt;
    &lt;/Placemark&gt;</v>
      </c>
    </row>
    <row r="156" spans="2:494" ht="15" hidden="1" customHeight="1" x14ac:dyDescent="0.35">
      <c r="B156" s="153" t="str">
        <f t="shared" si="123"/>
        <v>DARNÉTAL - 33 Rue du Roule</v>
      </c>
      <c r="C156" s="154">
        <v>194</v>
      </c>
      <c r="D156" s="155"/>
      <c r="E156" s="155"/>
      <c r="F156" s="155"/>
      <c r="G156" s="155"/>
      <c r="H156" s="155"/>
      <c r="I156" s="155"/>
      <c r="J156" s="156"/>
      <c r="K156" s="157">
        <f t="shared" si="124"/>
        <v>1</v>
      </c>
      <c r="L156" s="157">
        <f t="shared" si="125"/>
        <v>1</v>
      </c>
      <c r="M156" s="158" t="s">
        <v>870</v>
      </c>
      <c r="N156" s="159"/>
      <c r="O156" s="159">
        <v>76160</v>
      </c>
      <c r="P156" s="159" t="s">
        <v>15</v>
      </c>
      <c r="Q156" s="159" t="s">
        <v>871</v>
      </c>
      <c r="R156" s="159" t="s">
        <v>872</v>
      </c>
      <c r="S156" s="159" t="s">
        <v>93</v>
      </c>
      <c r="T156" s="159" t="s">
        <v>94</v>
      </c>
      <c r="U156" s="159" t="s">
        <v>873</v>
      </c>
      <c r="V156" s="160" t="s">
        <v>96</v>
      </c>
      <c r="W156" s="161"/>
      <c r="X156" s="162"/>
      <c r="Y156" s="163"/>
      <c r="Z156" s="162"/>
      <c r="AA156" s="163"/>
      <c r="AB156" s="162"/>
      <c r="AC156" s="163"/>
      <c r="AD156" s="162">
        <v>16</v>
      </c>
      <c r="AE156" s="163"/>
      <c r="AF156" s="162"/>
      <c r="AG156" s="163"/>
      <c r="AH156" s="163"/>
      <c r="AI156" s="162"/>
      <c r="AJ156" s="163"/>
      <c r="AK156" s="162"/>
      <c r="AL156" s="163"/>
      <c r="AM156" s="162"/>
      <c r="AN156" s="163"/>
      <c r="AO156" s="162"/>
      <c r="AP156" s="164"/>
      <c r="AQ156" s="164"/>
      <c r="AR156" s="164"/>
      <c r="AS156" s="164"/>
      <c r="AT156" s="164"/>
      <c r="AU156" s="164"/>
      <c r="AV156" s="164"/>
      <c r="AW156" s="164"/>
      <c r="AX156" s="164"/>
      <c r="AY156" s="165"/>
      <c r="AZ156" s="41"/>
      <c r="BA156" s="190"/>
      <c r="BB156" s="191"/>
      <c r="BC156" s="191"/>
      <c r="BD156" s="191"/>
      <c r="BE156" s="191"/>
      <c r="BF156" s="191"/>
      <c r="BG156" s="191"/>
      <c r="BH156" s="191"/>
      <c r="BI156" s="191"/>
      <c r="BJ156" s="191"/>
      <c r="BK156" s="191"/>
      <c r="BL156" s="191"/>
      <c r="BM156" s="191">
        <v>100</v>
      </c>
      <c r="BN156" s="191"/>
      <c r="BO156" s="191"/>
      <c r="BP156" s="191"/>
      <c r="BQ156" s="191"/>
      <c r="BR156" s="191"/>
      <c r="BS156" s="191"/>
      <c r="BT156" s="191">
        <v>50</v>
      </c>
      <c r="BU156" s="191"/>
      <c r="BV156" s="191"/>
      <c r="BW156" s="191"/>
      <c r="BX156" s="191"/>
      <c r="BY156" s="191"/>
      <c r="BZ156" s="191"/>
      <c r="CA156" s="191">
        <v>100</v>
      </c>
      <c r="CB156" s="191"/>
      <c r="CC156" s="191"/>
      <c r="CD156" s="191"/>
      <c r="CE156" s="192"/>
      <c r="CF156" s="190"/>
      <c r="CG156" s="191"/>
      <c r="CH156" s="191">
        <v>50</v>
      </c>
      <c r="CI156" s="191"/>
      <c r="CJ156" s="191"/>
      <c r="CK156" s="191"/>
      <c r="CL156" s="191"/>
      <c r="CM156" s="191"/>
      <c r="CN156" s="191"/>
      <c r="CO156" s="191">
        <v>50</v>
      </c>
      <c r="CP156" s="191"/>
      <c r="CQ156" s="191"/>
      <c r="CR156" s="191"/>
      <c r="CS156" s="191"/>
      <c r="CT156" s="191"/>
      <c r="CU156" s="191"/>
      <c r="CV156" s="191">
        <v>50</v>
      </c>
      <c r="CW156" s="191"/>
      <c r="CX156" s="191"/>
      <c r="CY156" s="191"/>
      <c r="CZ156" s="191"/>
      <c r="DA156" s="191"/>
      <c r="DB156" s="191"/>
      <c r="DC156" s="191">
        <v>10</v>
      </c>
      <c r="DD156" s="191"/>
      <c r="DE156" s="191"/>
      <c r="DF156" s="191"/>
      <c r="DG156" s="191"/>
      <c r="DH156" s="193"/>
      <c r="DI156" s="194"/>
      <c r="DJ156" s="191"/>
      <c r="DK156" s="191">
        <v>50</v>
      </c>
      <c r="DL156" s="191"/>
      <c r="DM156" s="191"/>
      <c r="DN156" s="191"/>
      <c r="DO156" s="191"/>
      <c r="DP156" s="191"/>
      <c r="DQ156" s="191"/>
      <c r="DR156" s="191">
        <v>100</v>
      </c>
      <c r="DS156" s="191"/>
      <c r="DT156" s="191"/>
      <c r="DU156" s="191"/>
      <c r="DV156" s="191"/>
      <c r="DW156" s="191"/>
      <c r="DX156" s="191"/>
      <c r="DY156" s="191">
        <v>100</v>
      </c>
      <c r="DZ156" s="191"/>
      <c r="EA156" s="191"/>
      <c r="EB156" s="191"/>
      <c r="EC156" s="191"/>
      <c r="ED156" s="191"/>
      <c r="EE156" s="191"/>
      <c r="EF156" s="191">
        <v>50</v>
      </c>
      <c r="EG156" s="191"/>
      <c r="EH156" s="191"/>
      <c r="EI156" s="191"/>
      <c r="EJ156" s="191"/>
      <c r="EK156" s="191"/>
      <c r="EL156" s="191"/>
      <c r="EM156" s="192">
        <v>150</v>
      </c>
      <c r="EN156" s="190"/>
      <c r="EO156" s="191"/>
      <c r="EP156" s="191"/>
      <c r="EQ156" s="191"/>
      <c r="ER156" s="191"/>
      <c r="ES156" s="191"/>
      <c r="ET156" s="191">
        <v>200</v>
      </c>
      <c r="EU156" s="191"/>
      <c r="EV156" s="191"/>
      <c r="EW156" s="191"/>
      <c r="EX156" s="191"/>
      <c r="EY156" s="191"/>
      <c r="EZ156" s="191"/>
      <c r="FA156" s="191">
        <v>100</v>
      </c>
      <c r="FB156" s="191"/>
      <c r="FC156" s="191"/>
      <c r="FD156" s="191">
        <v>300</v>
      </c>
      <c r="FE156" s="191"/>
      <c r="FF156" s="191"/>
      <c r="FG156" s="191"/>
      <c r="FH156" s="191"/>
      <c r="FI156" s="191">
        <v>150</v>
      </c>
      <c r="FJ156" s="191"/>
      <c r="FK156" s="191"/>
      <c r="FL156" s="191"/>
      <c r="FM156" s="191"/>
      <c r="FN156" s="191"/>
      <c r="FO156" s="191">
        <v>100</v>
      </c>
      <c r="FP156" s="191"/>
      <c r="FQ156" s="193"/>
      <c r="FR156" s="194"/>
      <c r="FS156" s="191"/>
      <c r="FT156" s="191"/>
      <c r="FU156" s="191"/>
      <c r="FV156" s="191">
        <v>100</v>
      </c>
      <c r="FW156" s="191"/>
      <c r="FX156" s="191"/>
      <c r="FY156" s="191"/>
      <c r="FZ156" s="191"/>
      <c r="GA156" s="191"/>
      <c r="GB156" s="191"/>
      <c r="GC156" s="191">
        <v>150</v>
      </c>
      <c r="GD156" s="191"/>
      <c r="GE156" s="191"/>
      <c r="GF156" s="191"/>
      <c r="GG156" s="191"/>
      <c r="GH156" s="191"/>
      <c r="GI156" s="191"/>
      <c r="GJ156" s="191">
        <v>50</v>
      </c>
      <c r="GK156" s="191"/>
      <c r="GL156" s="191"/>
      <c r="GM156" s="191"/>
      <c r="GN156" s="191"/>
      <c r="GO156" s="191"/>
      <c r="GP156" s="191"/>
      <c r="GQ156" s="191">
        <v>150</v>
      </c>
      <c r="GR156" s="191"/>
      <c r="GS156" s="191"/>
      <c r="GT156" s="191"/>
      <c r="GU156" s="191"/>
      <c r="GV156" s="192"/>
      <c r="GW156" s="190"/>
      <c r="GX156" s="191">
        <v>50</v>
      </c>
      <c r="GY156" s="191"/>
      <c r="GZ156" s="191"/>
      <c r="HA156" s="191">
        <v>50</v>
      </c>
      <c r="HB156" s="191"/>
      <c r="HC156" s="191"/>
      <c r="HD156" s="191"/>
      <c r="HE156" s="191"/>
      <c r="HF156" s="191">
        <v>100</v>
      </c>
      <c r="HG156" s="191"/>
      <c r="HH156" s="191"/>
      <c r="HI156" s="191"/>
      <c r="HJ156" s="191"/>
      <c r="HK156" s="191"/>
      <c r="HL156" s="191">
        <v>100</v>
      </c>
      <c r="HM156" s="191"/>
      <c r="HN156" s="191"/>
      <c r="HO156" s="191"/>
      <c r="HP156" s="191"/>
      <c r="HQ156" s="191"/>
      <c r="HR156" s="191"/>
      <c r="HS156" s="191">
        <v>10</v>
      </c>
      <c r="HT156" s="191"/>
      <c r="HU156" s="191"/>
      <c r="HV156" s="191"/>
      <c r="HW156" s="191"/>
      <c r="HX156" s="191"/>
      <c r="HY156" s="191"/>
      <c r="HZ156" s="193"/>
      <c r="IA156" s="194"/>
      <c r="IB156" s="191"/>
      <c r="IC156" s="191"/>
      <c r="ID156" s="191"/>
      <c r="IE156" s="191"/>
      <c r="IF156" s="191"/>
      <c r="IG156" s="191">
        <v>100</v>
      </c>
      <c r="IH156" s="191"/>
      <c r="II156" s="191"/>
      <c r="IJ156" s="191"/>
      <c r="IK156" s="191"/>
      <c r="IL156" s="191"/>
      <c r="IM156" s="191"/>
      <c r="IN156" s="191">
        <v>100</v>
      </c>
      <c r="IO156" s="191"/>
      <c r="IP156" s="191"/>
      <c r="IQ156" s="191"/>
      <c r="IR156" s="191"/>
      <c r="IS156" s="191"/>
      <c r="IT156" s="191"/>
      <c r="IU156" s="191">
        <v>50</v>
      </c>
      <c r="IV156" s="191"/>
      <c r="IW156" s="191"/>
      <c r="IX156" s="191"/>
      <c r="IY156" s="191"/>
      <c r="IZ156" s="191"/>
      <c r="JA156" s="191"/>
      <c r="JB156" s="191">
        <v>150</v>
      </c>
      <c r="JC156" s="191"/>
      <c r="JD156" s="191"/>
      <c r="JE156" s="192"/>
      <c r="JF156" s="190"/>
      <c r="JG156" s="191"/>
      <c r="JH156" s="191"/>
      <c r="JI156" s="191">
        <v>100</v>
      </c>
      <c r="JJ156" s="191"/>
      <c r="JK156" s="191"/>
      <c r="JL156" s="191"/>
      <c r="JM156" s="191"/>
      <c r="JN156" s="191"/>
      <c r="JO156" s="191"/>
      <c r="JP156" s="191">
        <v>100</v>
      </c>
      <c r="JQ156" s="191"/>
      <c r="JR156" s="191"/>
      <c r="JS156" s="191"/>
      <c r="JT156" s="191">
        <v>100</v>
      </c>
      <c r="JU156" s="191"/>
      <c r="JV156" s="191"/>
      <c r="JW156" s="191"/>
      <c r="JX156" s="191">
        <v>50</v>
      </c>
      <c r="JY156" s="191"/>
      <c r="JZ156" s="191"/>
      <c r="KA156" s="191"/>
      <c r="KB156" s="191"/>
      <c r="KC156" s="191"/>
      <c r="KD156" s="191">
        <v>50</v>
      </c>
      <c r="KE156" s="191"/>
      <c r="KF156" s="191"/>
      <c r="KG156" s="191"/>
      <c r="KH156" s="191"/>
      <c r="KI156" s="191"/>
      <c r="KJ156" s="193"/>
      <c r="KK156" s="194">
        <v>50</v>
      </c>
      <c r="KL156" s="191"/>
      <c r="KM156" s="191"/>
      <c r="KN156" s="191"/>
      <c r="KO156" s="191"/>
      <c r="KP156" s="191"/>
      <c r="KQ156" s="191"/>
      <c r="KR156" s="191">
        <v>100</v>
      </c>
      <c r="KS156" s="191"/>
      <c r="KT156" s="191"/>
      <c r="KU156" s="191"/>
      <c r="KV156" s="191"/>
      <c r="KW156" s="191"/>
      <c r="KX156" s="191"/>
      <c r="KY156" s="191"/>
      <c r="KZ156" s="191"/>
      <c r="LA156" s="191"/>
      <c r="LB156" s="191"/>
      <c r="LC156" s="191"/>
      <c r="LD156" s="191"/>
      <c r="LE156" s="191"/>
      <c r="LF156" s="191">
        <v>50</v>
      </c>
      <c r="LG156" s="191"/>
      <c r="LH156" s="191"/>
      <c r="LI156" s="191"/>
      <c r="LJ156" s="191"/>
      <c r="LK156" s="191"/>
      <c r="LL156" s="191"/>
      <c r="LM156" s="191">
        <v>200</v>
      </c>
      <c r="LN156" s="192"/>
      <c r="LO156" s="190"/>
      <c r="LP156" s="191"/>
      <c r="LQ156" s="191"/>
      <c r="LR156" s="191"/>
      <c r="LS156" s="191"/>
      <c r="LT156" s="191">
        <v>150</v>
      </c>
      <c r="LU156" s="191"/>
      <c r="LV156" s="191"/>
      <c r="LW156" s="191"/>
      <c r="LX156" s="191"/>
      <c r="LY156" s="191"/>
      <c r="LZ156" s="191"/>
      <c r="MA156" s="191">
        <v>100</v>
      </c>
      <c r="MB156" s="191"/>
      <c r="MC156" s="191"/>
      <c r="MD156" s="191"/>
      <c r="ME156" s="191"/>
      <c r="MF156" s="191"/>
      <c r="MG156" s="191"/>
      <c r="MH156" s="191">
        <v>50</v>
      </c>
      <c r="MI156" s="191"/>
      <c r="MJ156" s="191"/>
      <c r="MK156" s="191"/>
      <c r="ML156" s="191"/>
      <c r="MM156" s="191"/>
      <c r="MN156" s="191"/>
      <c r="MO156" s="191">
        <v>100</v>
      </c>
      <c r="MP156" s="191"/>
      <c r="MQ156" s="191"/>
      <c r="MR156" s="191"/>
      <c r="MS156" s="193"/>
      <c r="MT156" s="194"/>
      <c r="MU156" s="191"/>
      <c r="MV156" s="191"/>
      <c r="MW156" s="191"/>
      <c r="MX156" s="191"/>
      <c r="MY156" s="191"/>
      <c r="MZ156" s="191"/>
      <c r="NA156" s="191"/>
      <c r="NB156" s="191"/>
      <c r="NC156" s="191">
        <v>50</v>
      </c>
      <c r="ND156" s="191"/>
      <c r="NE156" s="191"/>
      <c r="NF156" s="191"/>
      <c r="NG156" s="191"/>
      <c r="NH156" s="191"/>
      <c r="NI156" s="191"/>
      <c r="NJ156" s="191">
        <v>100</v>
      </c>
      <c r="NK156" s="191"/>
      <c r="NL156" s="191"/>
      <c r="NM156" s="191"/>
      <c r="NN156" s="191"/>
      <c r="NO156" s="191"/>
      <c r="NP156" s="191"/>
      <c r="NQ156" s="191">
        <v>150</v>
      </c>
      <c r="NR156" s="191"/>
      <c r="NS156" s="191"/>
      <c r="NT156" s="191"/>
      <c r="NU156" s="191"/>
      <c r="NV156" s="191"/>
      <c r="NW156" s="192"/>
      <c r="NX156" s="190">
        <v>10</v>
      </c>
      <c r="NY156" s="191"/>
      <c r="NZ156" s="191"/>
      <c r="OA156" s="191"/>
      <c r="OB156" s="191"/>
      <c r="OC156" s="191"/>
      <c r="OD156" s="191"/>
      <c r="OE156" s="191">
        <v>10</v>
      </c>
      <c r="OF156" s="191"/>
      <c r="OG156" s="191"/>
      <c r="OH156" s="191"/>
      <c r="OI156" s="191"/>
      <c r="OJ156" s="191"/>
      <c r="OK156" s="191"/>
      <c r="OL156" s="191"/>
      <c r="OM156" s="191"/>
      <c r="ON156" s="191"/>
      <c r="OO156" s="191"/>
      <c r="OP156" s="191"/>
      <c r="OQ156" s="191"/>
      <c r="OR156" s="191"/>
      <c r="OS156" s="191"/>
      <c r="OT156" s="191"/>
      <c r="OU156" s="191"/>
      <c r="OV156" s="191"/>
      <c r="OW156" s="191"/>
      <c r="OX156" s="191"/>
      <c r="OY156" s="191"/>
      <c r="OZ156" s="191"/>
      <c r="PA156" s="191"/>
      <c r="PB156" s="193"/>
      <c r="PC156" s="47"/>
      <c r="PD156" s="154" t="s">
        <v>97</v>
      </c>
      <c r="PE156" s="155" t="s">
        <v>98</v>
      </c>
      <c r="PF156" s="155" t="s">
        <v>98</v>
      </c>
      <c r="PG156" s="155" t="s">
        <v>98</v>
      </c>
      <c r="PH156" s="155" t="s">
        <v>98</v>
      </c>
      <c r="PI156" s="155" t="s">
        <v>98</v>
      </c>
      <c r="PJ156" s="155" t="s">
        <v>98</v>
      </c>
      <c r="PK156" s="155" t="s">
        <v>98</v>
      </c>
      <c r="PL156" s="155" t="s">
        <v>98</v>
      </c>
      <c r="PM156" s="155" t="s">
        <v>98</v>
      </c>
      <c r="PN156" s="155" t="s">
        <v>98</v>
      </c>
      <c r="PO156" s="156"/>
      <c r="PP156" s="156"/>
      <c r="PQ156" s="156"/>
      <c r="PR156" s="156"/>
      <c r="PS156" s="156"/>
      <c r="PT156" s="156"/>
      <c r="PU156" s="156"/>
      <c r="PV156" s="156"/>
      <c r="PW156" s="156"/>
      <c r="PX156" s="195"/>
      <c r="PY156" s="1"/>
      <c r="PZ156" s="196">
        <f t="shared" si="126"/>
        <v>250</v>
      </c>
      <c r="QA156" s="176">
        <f t="shared" si="127"/>
        <v>2.0855927254525737E-3</v>
      </c>
      <c r="QB156" s="177" t="str">
        <f t="shared" ca="1" si="128"/>
        <v>Attente…</v>
      </c>
      <c r="QC156" s="197">
        <f t="shared" si="129"/>
        <v>160</v>
      </c>
      <c r="QD156" s="179">
        <f t="shared" si="130"/>
        <v>1.4981273408239701E-3</v>
      </c>
      <c r="QE156" s="180" t="str">
        <f t="shared" ca="1" si="131"/>
        <v>Attente…</v>
      </c>
      <c r="QF156" s="196">
        <f t="shared" si="132"/>
        <v>450</v>
      </c>
      <c r="QG156" s="176">
        <f t="shared" si="133"/>
        <v>3.58337314859054E-3</v>
      </c>
      <c r="QH156" s="177" t="str">
        <f t="shared" ca="1" si="134"/>
        <v>Attente…</v>
      </c>
      <c r="QI156" s="197">
        <f t="shared" si="135"/>
        <v>850</v>
      </c>
      <c r="QJ156" s="179">
        <f t="shared" si="136"/>
        <v>5.9615654369476788E-3</v>
      </c>
      <c r="QK156" s="180" t="str">
        <f t="shared" ca="1" si="137"/>
        <v>Attente…</v>
      </c>
      <c r="QL156" s="196">
        <f t="shared" si="138"/>
        <v>450</v>
      </c>
      <c r="QM156" s="176">
        <f t="shared" si="139"/>
        <v>3.2923617208077262E-3</v>
      </c>
      <c r="QN156" s="177" t="str">
        <f t="shared" ca="1" si="140"/>
        <v>Attente…</v>
      </c>
      <c r="QO156" s="197">
        <f t="shared" si="141"/>
        <v>310</v>
      </c>
      <c r="QP156" s="179">
        <f t="shared" si="142"/>
        <v>2.4269944413998277E-3</v>
      </c>
      <c r="QQ156" s="180" t="str">
        <f t="shared" ca="1" si="143"/>
        <v>Attente…</v>
      </c>
      <c r="QR156" s="196">
        <f t="shared" si="144"/>
        <v>400</v>
      </c>
      <c r="QS156" s="176">
        <f t="shared" si="145"/>
        <v>2.8796659587487852E-3</v>
      </c>
      <c r="QT156" s="177" t="str">
        <f t="shared" ca="1" si="146"/>
        <v>Attente…</v>
      </c>
      <c r="QU156" s="197">
        <f t="shared" si="147"/>
        <v>400</v>
      </c>
      <c r="QV156" s="179">
        <f t="shared" si="148"/>
        <v>2.7578599007170436E-3</v>
      </c>
      <c r="QW156" s="180" t="str">
        <f t="shared" ca="1" si="149"/>
        <v>Attente…</v>
      </c>
      <c r="QX156" s="196">
        <f t="shared" si="150"/>
        <v>400</v>
      </c>
      <c r="QY156" s="176">
        <f t="shared" si="151"/>
        <v>2.918941008202224E-3</v>
      </c>
      <c r="QZ156" s="177" t="str">
        <f t="shared" ca="1" si="152"/>
        <v>Attente…</v>
      </c>
      <c r="RA156" s="197">
        <f t="shared" si="153"/>
        <v>400</v>
      </c>
      <c r="RB156" s="179">
        <f t="shared" si="154"/>
        <v>3.1296455676394649E-3</v>
      </c>
      <c r="RC156" s="180" t="str">
        <f t="shared" ca="1" si="155"/>
        <v>Attente…</v>
      </c>
      <c r="RD156" s="196">
        <f t="shared" si="156"/>
        <v>300</v>
      </c>
      <c r="RE156" s="176">
        <f t="shared" si="157"/>
        <v>2.9892387405340772E-3</v>
      </c>
      <c r="RF156" s="177" t="str">
        <f t="shared" ca="1" si="158"/>
        <v>Attente…</v>
      </c>
      <c r="RG156" s="197">
        <f t="shared" si="159"/>
        <v>20</v>
      </c>
      <c r="RH156" s="179">
        <f t="shared" si="160"/>
        <v>3.678499172337686E-4</v>
      </c>
      <c r="RI156" s="198" t="str">
        <f t="shared" ca="1" si="161"/>
        <v>Attente…</v>
      </c>
      <c r="RJ156" s="199">
        <f t="shared" si="162"/>
        <v>860</v>
      </c>
      <c r="RK156" s="200" t="str">
        <f t="shared" ca="1" si="119"/>
        <v>Attente…</v>
      </c>
      <c r="RL156" s="199">
        <f t="shared" si="163"/>
        <v>1610</v>
      </c>
      <c r="RM156" s="200" t="str">
        <f t="shared" ca="1" si="164"/>
        <v>Atttente…</v>
      </c>
      <c r="RN156" s="199">
        <f t="shared" si="165"/>
        <v>1200</v>
      </c>
      <c r="RO156" s="200" t="str">
        <f t="shared" ca="1" si="120"/>
        <v>Attente…</v>
      </c>
      <c r="RP156" s="199">
        <f t="shared" si="166"/>
        <v>720</v>
      </c>
      <c r="RQ156" s="200" t="str">
        <f t="shared" ca="1" si="121"/>
        <v>Attente…</v>
      </c>
      <c r="RR156" s="201">
        <f t="shared" si="167"/>
        <v>4390</v>
      </c>
      <c r="RS156" s="202" t="str">
        <f t="shared" ca="1" si="122"/>
        <v>Attente…</v>
      </c>
      <c r="RT156" s="103"/>
      <c r="RU156" s="203">
        <f t="shared" si="168"/>
        <v>0.45729166666666665</v>
      </c>
      <c r="RV156" s="204">
        <f t="shared" si="171"/>
        <v>1</v>
      </c>
      <c r="RW156" s="204">
        <f t="shared" si="171"/>
        <v>1</v>
      </c>
      <c r="RX156" s="204">
        <f t="shared" si="169"/>
        <v>48</v>
      </c>
      <c r="RY156" s="205" t="str">
        <f t="shared" si="170"/>
        <v>DARNÉTAL - 33 Rue du Roule</v>
      </c>
      <c r="RZ156" s="189" t="str">
        <f>IF(OR(RZ155="",RZ155="  &lt;/Document&gt;
&lt;/kml&gt;"),"",
IF(B156="","  &lt;/Document&gt;
&lt;/kml&gt;",
IF(TournéesCAV!Q156=""," ",
"    &lt;Placemark&gt;
      &lt;description&gt;&lt;![CDATA["&amp;B156&amp;"&lt;br&gt;&lt;br&gt;"&amp;RV156&amp;" CAV&lt;br&gt;&lt;br&gt;Présent sur "&amp;RW156&amp;" tournée(s)&lt;br&gt;&lt;br&gt;Taux de remplissage moyen "&amp;TEXT(RU156*1000,"0 %")&amp;"]]&gt;&lt;/description&gt;
      &lt;Style&gt;
        &lt;IconStyle&gt;
          &lt;color&gt;ff"&amp;
          DEC2HEX(0,2)&amp;
          DEC2HEX(
            IF(RU156&lt;=0.5,
               INT(255*(RU156*2)),
               255
            ),2)&amp;
          DEC2HEX(
            IF(RU156&lt;=0.5,
               255,
               INT(255*(1-(RU156-0.5)*2))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&lt;Point&gt;&lt;coordinates&gt;"&amp;R156&amp;","&amp;Q156&amp;",0&lt;/coordinates&gt;&lt;/Point&gt;
    &lt;/Placemark&gt;"
)))</f>
        <v xml:space="preserve">    &lt;Placemark&gt;
      &lt;description&gt;&lt;![CDATA[DARNÉTAL - 33 Rue du Roule&lt;br&gt;&lt;br&gt;1 CAV&lt;br&gt;&lt;br&gt;Présent sur 1 tournée(s)&lt;br&gt;&lt;br&gt;Taux de remplissage moyen 46%]]&gt;&lt;/description&gt;
      &lt;Style&gt;
        &lt;IconStyle&gt;
          &lt;color&gt;ff00E9FF&lt;/color&gt;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&lt;Point&gt;&lt;coordinates&gt;1.1668016,49.438313,0&lt;/coordinates&gt;&lt;/Point&gt;
    &lt;/Placemark&gt;</v>
      </c>
    </row>
    <row r="157" spans="2:494" ht="15" hidden="1" customHeight="1" x14ac:dyDescent="0.35">
      <c r="B157" s="153" t="str">
        <f t="shared" si="123"/>
        <v>SAINT-ÉTIENNE-DU-ROUVRAY - 47 Rue de Seine (Déchetterie - 9h / 12h - 14h / 17h)</v>
      </c>
      <c r="C157" s="154">
        <v>16</v>
      </c>
      <c r="D157" s="155" t="s">
        <v>104</v>
      </c>
      <c r="E157" s="155"/>
      <c r="F157" s="155"/>
      <c r="G157" s="155"/>
      <c r="H157" s="155"/>
      <c r="I157" s="155"/>
      <c r="J157" s="156"/>
      <c r="K157" s="157">
        <f t="shared" si="124"/>
        <v>2</v>
      </c>
      <c r="L157" s="157">
        <f t="shared" si="125"/>
        <v>1</v>
      </c>
      <c r="M157" s="158" t="s">
        <v>874</v>
      </c>
      <c r="N157" s="159" t="s">
        <v>875</v>
      </c>
      <c r="O157" s="159">
        <v>76800</v>
      </c>
      <c r="P157" s="159" t="s">
        <v>876</v>
      </c>
      <c r="Q157" s="159" t="s">
        <v>877</v>
      </c>
      <c r="R157" s="159" t="s">
        <v>878</v>
      </c>
      <c r="S157" s="159" t="s">
        <v>93</v>
      </c>
      <c r="T157" s="159" t="s">
        <v>159</v>
      </c>
      <c r="U157" s="159" t="s">
        <v>879</v>
      </c>
      <c r="V157" s="160" t="s">
        <v>96</v>
      </c>
      <c r="W157" s="161"/>
      <c r="X157" s="162"/>
      <c r="Y157" s="163"/>
      <c r="Z157" s="162"/>
      <c r="AA157" s="163"/>
      <c r="AB157" s="162">
        <v>13</v>
      </c>
      <c r="AC157" s="163"/>
      <c r="AD157" s="162"/>
      <c r="AE157" s="163"/>
      <c r="AF157" s="162"/>
      <c r="AG157" s="163"/>
      <c r="AH157" s="163"/>
      <c r="AI157" s="162"/>
      <c r="AJ157" s="163"/>
      <c r="AK157" s="162"/>
      <c r="AL157" s="163"/>
      <c r="AM157" s="162"/>
      <c r="AN157" s="163"/>
      <c r="AO157" s="162"/>
      <c r="AP157" s="164"/>
      <c r="AQ157" s="164"/>
      <c r="AR157" s="164"/>
      <c r="AS157" s="164"/>
      <c r="AT157" s="164"/>
      <c r="AU157" s="164"/>
      <c r="AV157" s="164"/>
      <c r="AW157" s="164"/>
      <c r="AX157" s="164"/>
      <c r="AY157" s="165"/>
      <c r="AZ157" s="41"/>
      <c r="BA157" s="190"/>
      <c r="BB157" s="191"/>
      <c r="BC157" s="191"/>
      <c r="BD157" s="191"/>
      <c r="BE157" s="191"/>
      <c r="BF157" s="191"/>
      <c r="BG157" s="191"/>
      <c r="BH157" s="191"/>
      <c r="BI157" s="191"/>
      <c r="BJ157" s="191">
        <v>400</v>
      </c>
      <c r="BK157" s="191"/>
      <c r="BL157" s="191"/>
      <c r="BM157" s="191"/>
      <c r="BN157" s="191"/>
      <c r="BO157" s="191"/>
      <c r="BP157" s="191"/>
      <c r="BQ157" s="191">
        <v>300</v>
      </c>
      <c r="BR157" s="191"/>
      <c r="BS157" s="191"/>
      <c r="BT157" s="191"/>
      <c r="BU157" s="191"/>
      <c r="BV157" s="191"/>
      <c r="BW157" s="191"/>
      <c r="BX157" s="191">
        <v>300</v>
      </c>
      <c r="BY157" s="191"/>
      <c r="BZ157" s="191"/>
      <c r="CA157" s="191"/>
      <c r="CB157" s="191"/>
      <c r="CC157" s="191"/>
      <c r="CD157" s="191"/>
      <c r="CE157" s="192">
        <v>300</v>
      </c>
      <c r="CF157" s="190"/>
      <c r="CG157" s="191"/>
      <c r="CH157" s="191"/>
      <c r="CI157" s="191"/>
      <c r="CJ157" s="191"/>
      <c r="CK157" s="191"/>
      <c r="CL157" s="191">
        <v>250</v>
      </c>
      <c r="CM157" s="191"/>
      <c r="CN157" s="191"/>
      <c r="CO157" s="191"/>
      <c r="CP157" s="191"/>
      <c r="CQ157" s="191"/>
      <c r="CR157" s="191"/>
      <c r="CS157" s="191">
        <v>300</v>
      </c>
      <c r="CT157" s="191"/>
      <c r="CU157" s="191"/>
      <c r="CV157" s="191"/>
      <c r="CW157" s="191"/>
      <c r="CX157" s="191"/>
      <c r="CY157" s="191"/>
      <c r="CZ157" s="191">
        <v>250</v>
      </c>
      <c r="DA157" s="191"/>
      <c r="DB157" s="191"/>
      <c r="DC157" s="191"/>
      <c r="DD157" s="191"/>
      <c r="DE157" s="191"/>
      <c r="DF157" s="191"/>
      <c r="DG157" s="191">
        <v>200</v>
      </c>
      <c r="DH157" s="193"/>
      <c r="DI157" s="194"/>
      <c r="DJ157" s="191"/>
      <c r="DK157" s="191"/>
      <c r="DL157" s="191"/>
      <c r="DM157" s="191"/>
      <c r="DN157" s="191"/>
      <c r="DO157" s="191">
        <v>200</v>
      </c>
      <c r="DP157" s="191"/>
      <c r="DQ157" s="191"/>
      <c r="DR157" s="191"/>
      <c r="DS157" s="191"/>
      <c r="DT157" s="191"/>
      <c r="DU157" s="191"/>
      <c r="DV157" s="191">
        <v>150</v>
      </c>
      <c r="DW157" s="191"/>
      <c r="DX157" s="191"/>
      <c r="DY157" s="191"/>
      <c r="DZ157" s="191"/>
      <c r="EA157" s="191"/>
      <c r="EB157" s="191"/>
      <c r="EC157" s="191">
        <v>200</v>
      </c>
      <c r="ED157" s="191"/>
      <c r="EE157" s="191"/>
      <c r="EF157" s="191"/>
      <c r="EG157" s="191"/>
      <c r="EH157" s="191"/>
      <c r="EI157" s="191"/>
      <c r="EJ157" s="191">
        <v>150</v>
      </c>
      <c r="EK157" s="191"/>
      <c r="EL157" s="191"/>
      <c r="EM157" s="192"/>
      <c r="EN157" s="190"/>
      <c r="EO157" s="191"/>
      <c r="EP157" s="191"/>
      <c r="EQ157" s="191">
        <v>200</v>
      </c>
      <c r="ER157" s="191"/>
      <c r="ES157" s="191"/>
      <c r="ET157" s="191"/>
      <c r="EU157" s="191"/>
      <c r="EV157" s="191"/>
      <c r="EW157" s="191"/>
      <c r="EX157" s="191">
        <v>100</v>
      </c>
      <c r="EY157" s="191"/>
      <c r="EZ157" s="191"/>
      <c r="FA157" s="191"/>
      <c r="FB157" s="191"/>
      <c r="FC157" s="191"/>
      <c r="FD157" s="191"/>
      <c r="FE157" s="191"/>
      <c r="FF157" s="191"/>
      <c r="FG157" s="191"/>
      <c r="FH157" s="191"/>
      <c r="FI157" s="191"/>
      <c r="FJ157" s="191"/>
      <c r="FK157" s="191"/>
      <c r="FL157" s="191"/>
      <c r="FM157" s="191"/>
      <c r="FN157" s="191"/>
      <c r="FO157" s="191"/>
      <c r="FP157" s="191"/>
      <c r="FQ157" s="193"/>
      <c r="FR157" s="194"/>
      <c r="FS157" s="191">
        <v>250</v>
      </c>
      <c r="FT157" s="191"/>
      <c r="FU157" s="191"/>
      <c r="FV157" s="191"/>
      <c r="FW157" s="191"/>
      <c r="FX157" s="191"/>
      <c r="FY157" s="191"/>
      <c r="FZ157" s="191">
        <v>400</v>
      </c>
      <c r="GA157" s="191"/>
      <c r="GB157" s="191"/>
      <c r="GC157" s="191"/>
      <c r="GD157" s="191"/>
      <c r="GE157" s="191"/>
      <c r="GF157" s="191"/>
      <c r="GG157" s="191">
        <v>350</v>
      </c>
      <c r="GH157" s="191"/>
      <c r="GI157" s="191"/>
      <c r="GJ157" s="191"/>
      <c r="GK157" s="191"/>
      <c r="GL157" s="191"/>
      <c r="GM157" s="191"/>
      <c r="GN157" s="191">
        <v>400</v>
      </c>
      <c r="GO157" s="191"/>
      <c r="GP157" s="191"/>
      <c r="GQ157" s="191"/>
      <c r="GR157" s="191"/>
      <c r="GS157" s="191"/>
      <c r="GT157" s="191"/>
      <c r="GU157" s="191">
        <v>400</v>
      </c>
      <c r="GV157" s="192"/>
      <c r="GW157" s="190"/>
      <c r="GX157" s="191"/>
      <c r="GY157" s="191"/>
      <c r="GZ157" s="191"/>
      <c r="HA157" s="191"/>
      <c r="HB157" s="191">
        <v>400</v>
      </c>
      <c r="HC157" s="191"/>
      <c r="HD157" s="191"/>
      <c r="HE157" s="191"/>
      <c r="HF157" s="191"/>
      <c r="HG157" s="191"/>
      <c r="HH157" s="191"/>
      <c r="HI157" s="191">
        <v>150</v>
      </c>
      <c r="HJ157" s="191"/>
      <c r="HK157" s="191"/>
      <c r="HL157" s="191"/>
      <c r="HM157" s="191"/>
      <c r="HN157" s="191"/>
      <c r="HO157" s="191"/>
      <c r="HP157" s="191">
        <v>300</v>
      </c>
      <c r="HQ157" s="191"/>
      <c r="HR157" s="191"/>
      <c r="HS157" s="191"/>
      <c r="HT157" s="191"/>
      <c r="HU157" s="191"/>
      <c r="HV157" s="191"/>
      <c r="HW157" s="191">
        <v>250</v>
      </c>
      <c r="HX157" s="191"/>
      <c r="HY157" s="191"/>
      <c r="HZ157" s="193"/>
      <c r="IA157" s="194"/>
      <c r="IB157" s="191"/>
      <c r="IC157" s="191"/>
      <c r="ID157" s="191"/>
      <c r="IE157" s="191"/>
      <c r="IF157" s="191"/>
      <c r="IG157" s="191"/>
      <c r="IH157" s="191"/>
      <c r="II157" s="191"/>
      <c r="IJ157" s="191"/>
      <c r="IK157" s="191">
        <v>400</v>
      </c>
      <c r="IL157" s="191"/>
      <c r="IM157" s="191"/>
      <c r="IN157" s="191"/>
      <c r="IO157" s="191"/>
      <c r="IP157" s="191"/>
      <c r="IQ157" s="191"/>
      <c r="IR157" s="191"/>
      <c r="IS157" s="191"/>
      <c r="IT157" s="191"/>
      <c r="IU157" s="191"/>
      <c r="IV157" s="191"/>
      <c r="IW157" s="191"/>
      <c r="IX157" s="191"/>
      <c r="IY157" s="191"/>
      <c r="IZ157" s="191"/>
      <c r="JA157" s="191"/>
      <c r="JB157" s="191"/>
      <c r="JC157" s="191"/>
      <c r="JD157" s="191"/>
      <c r="JE157" s="192"/>
      <c r="JF157" s="190">
        <v>250</v>
      </c>
      <c r="JG157" s="191"/>
      <c r="JH157" s="191"/>
      <c r="JI157" s="191"/>
      <c r="JJ157" s="191"/>
      <c r="JK157" s="191"/>
      <c r="JL157" s="191"/>
      <c r="JM157" s="191">
        <v>400</v>
      </c>
      <c r="JN157" s="191"/>
      <c r="JO157" s="191"/>
      <c r="JP157" s="191"/>
      <c r="JQ157" s="191"/>
      <c r="JR157" s="191"/>
      <c r="JS157" s="191"/>
      <c r="JT157" s="191"/>
      <c r="JU157" s="191"/>
      <c r="JV157" s="191"/>
      <c r="JW157" s="191"/>
      <c r="JX157" s="191"/>
      <c r="JY157" s="191"/>
      <c r="JZ157" s="191"/>
      <c r="KA157" s="191"/>
      <c r="KB157" s="191"/>
      <c r="KC157" s="191"/>
      <c r="KD157" s="191"/>
      <c r="KE157" s="191"/>
      <c r="KF157" s="191"/>
      <c r="KG157" s="191"/>
      <c r="KH157" s="191">
        <v>400</v>
      </c>
      <c r="KI157" s="191"/>
      <c r="KJ157" s="193"/>
      <c r="KK157" s="194"/>
      <c r="KL157" s="191"/>
      <c r="KM157" s="191"/>
      <c r="KN157" s="191"/>
      <c r="KO157" s="191">
        <v>350</v>
      </c>
      <c r="KP157" s="191"/>
      <c r="KQ157" s="191"/>
      <c r="KR157" s="191"/>
      <c r="KS157" s="191"/>
      <c r="KT157" s="191"/>
      <c r="KU157" s="191"/>
      <c r="KV157" s="191">
        <v>350</v>
      </c>
      <c r="KW157" s="191"/>
      <c r="KX157" s="191"/>
      <c r="KY157" s="191"/>
      <c r="KZ157" s="191"/>
      <c r="LA157" s="191"/>
      <c r="LB157" s="191"/>
      <c r="LC157" s="191"/>
      <c r="LD157" s="191"/>
      <c r="LE157" s="191"/>
      <c r="LF157" s="191"/>
      <c r="LG157" s="191"/>
      <c r="LH157" s="191"/>
      <c r="LI157" s="191"/>
      <c r="LJ157" s="191">
        <v>400</v>
      </c>
      <c r="LK157" s="191"/>
      <c r="LL157" s="191"/>
      <c r="LM157" s="191"/>
      <c r="LN157" s="192"/>
      <c r="LO157" s="190"/>
      <c r="LP157" s="191"/>
      <c r="LQ157" s="191"/>
      <c r="LR157" s="191"/>
      <c r="LS157" s="191"/>
      <c r="LT157" s="191"/>
      <c r="LU157" s="191"/>
      <c r="LV157" s="191"/>
      <c r="LW157" s="191"/>
      <c r="LX157" s="191">
        <v>400</v>
      </c>
      <c r="LY157" s="191"/>
      <c r="LZ157" s="191"/>
      <c r="MA157" s="191"/>
      <c r="MB157" s="191"/>
      <c r="MC157" s="191"/>
      <c r="MD157" s="191"/>
      <c r="ME157" s="191">
        <v>350</v>
      </c>
      <c r="MF157" s="191"/>
      <c r="MG157" s="191"/>
      <c r="MH157" s="191"/>
      <c r="MI157" s="191"/>
      <c r="MJ157" s="191"/>
      <c r="MK157" s="191"/>
      <c r="ML157" s="191">
        <v>350</v>
      </c>
      <c r="MM157" s="191"/>
      <c r="MN157" s="191"/>
      <c r="MO157" s="191"/>
      <c r="MP157" s="191"/>
      <c r="MQ157" s="191"/>
      <c r="MR157" s="191"/>
      <c r="MS157" s="193"/>
      <c r="MT157" s="194"/>
      <c r="MU157" s="191"/>
      <c r="MV157" s="191"/>
      <c r="MW157" s="191"/>
      <c r="MX157" s="191"/>
      <c r="MY157" s="191"/>
      <c r="MZ157" s="191">
        <v>400</v>
      </c>
      <c r="NA157" s="191"/>
      <c r="NB157" s="191"/>
      <c r="NC157" s="191"/>
      <c r="ND157" s="191"/>
      <c r="NE157" s="191"/>
      <c r="NF157" s="191"/>
      <c r="NG157" s="191">
        <v>250</v>
      </c>
      <c r="NH157" s="191"/>
      <c r="NI157" s="191"/>
      <c r="NJ157" s="191"/>
      <c r="NK157" s="191"/>
      <c r="NL157" s="191"/>
      <c r="NM157" s="191"/>
      <c r="NN157" s="191"/>
      <c r="NO157" s="191"/>
      <c r="NP157" s="191"/>
      <c r="NQ157" s="191"/>
      <c r="NR157" s="191"/>
      <c r="NS157" s="191"/>
      <c r="NT157" s="191"/>
      <c r="NU157" s="191">
        <v>300</v>
      </c>
      <c r="NV157" s="191"/>
      <c r="NW157" s="192"/>
      <c r="NX157" s="190"/>
      <c r="NY157" s="191"/>
      <c r="NZ157" s="191"/>
      <c r="OA157" s="191"/>
      <c r="OB157" s="191"/>
      <c r="OC157" s="191"/>
      <c r="OD157" s="191"/>
      <c r="OE157" s="191"/>
      <c r="OF157" s="191"/>
      <c r="OG157" s="191"/>
      <c r="OH157" s="191"/>
      <c r="OI157" s="191">
        <v>300</v>
      </c>
      <c r="OJ157" s="191"/>
      <c r="OK157" s="191"/>
      <c r="OL157" s="191"/>
      <c r="OM157" s="191"/>
      <c r="ON157" s="191"/>
      <c r="OO157" s="191"/>
      <c r="OP157" s="191"/>
      <c r="OQ157" s="191"/>
      <c r="OR157" s="191"/>
      <c r="OS157" s="191"/>
      <c r="OT157" s="191"/>
      <c r="OU157" s="191"/>
      <c r="OV157" s="191"/>
      <c r="OW157" s="191"/>
      <c r="OX157" s="191"/>
      <c r="OY157" s="191"/>
      <c r="OZ157" s="191"/>
      <c r="PA157" s="191"/>
      <c r="PB157" s="193"/>
      <c r="PC157" s="47"/>
      <c r="PD157" s="154" t="s">
        <v>97</v>
      </c>
      <c r="PE157" s="155" t="s">
        <v>97</v>
      </c>
      <c r="PF157" s="155" t="s">
        <v>98</v>
      </c>
      <c r="PG157" s="155" t="s">
        <v>98</v>
      </c>
      <c r="PH157" s="155" t="s">
        <v>98</v>
      </c>
      <c r="PI157" s="155" t="s">
        <v>98</v>
      </c>
      <c r="PJ157" s="155" t="s">
        <v>98</v>
      </c>
      <c r="PK157" s="155" t="s">
        <v>98</v>
      </c>
      <c r="PL157" s="155" t="s">
        <v>98</v>
      </c>
      <c r="PM157" s="155" t="s">
        <v>98</v>
      </c>
      <c r="PN157" s="155" t="s">
        <v>98</v>
      </c>
      <c r="PO157" s="156"/>
      <c r="PP157" s="156"/>
      <c r="PQ157" s="156"/>
      <c r="PR157" s="156"/>
      <c r="PS157" s="156"/>
      <c r="PT157" s="156"/>
      <c r="PU157" s="156"/>
      <c r="PV157" s="156"/>
      <c r="PW157" s="156"/>
      <c r="PX157" s="195"/>
      <c r="PY157" s="1"/>
      <c r="PZ157" s="196">
        <f t="shared" si="126"/>
        <v>1300</v>
      </c>
      <c r="QA157" s="176">
        <f t="shared" si="127"/>
        <v>1.0845082172353382E-2</v>
      </c>
      <c r="QB157" s="177" t="str">
        <f t="shared" ca="1" si="128"/>
        <v>Attente…</v>
      </c>
      <c r="QC157" s="197">
        <f t="shared" si="129"/>
        <v>1000</v>
      </c>
      <c r="QD157" s="179">
        <f t="shared" si="130"/>
        <v>9.3632958801498131E-3</v>
      </c>
      <c r="QE157" s="180" t="str">
        <f t="shared" ca="1" si="131"/>
        <v>Attente…</v>
      </c>
      <c r="QF157" s="196">
        <f t="shared" si="132"/>
        <v>700</v>
      </c>
      <c r="QG157" s="176">
        <f t="shared" si="133"/>
        <v>5.5741360089186179E-3</v>
      </c>
      <c r="QH157" s="177" t="str">
        <f t="shared" ca="1" si="134"/>
        <v>Attente…</v>
      </c>
      <c r="QI157" s="197">
        <f t="shared" si="135"/>
        <v>300</v>
      </c>
      <c r="QJ157" s="179">
        <f t="shared" si="136"/>
        <v>2.1040819189227099E-3</v>
      </c>
      <c r="QK157" s="180" t="str">
        <f t="shared" ca="1" si="137"/>
        <v>Attente…</v>
      </c>
      <c r="QL157" s="196">
        <f t="shared" si="138"/>
        <v>1800</v>
      </c>
      <c r="QM157" s="176">
        <f t="shared" si="139"/>
        <v>1.3169446883230905E-2</v>
      </c>
      <c r="QN157" s="177" t="str">
        <f t="shared" ca="1" si="140"/>
        <v>Attente…</v>
      </c>
      <c r="QO157" s="197">
        <f t="shared" si="141"/>
        <v>1100</v>
      </c>
      <c r="QP157" s="179">
        <f t="shared" si="142"/>
        <v>8.611915759805841E-3</v>
      </c>
      <c r="QQ157" s="180" t="str">
        <f t="shared" ca="1" si="143"/>
        <v>Attente…</v>
      </c>
      <c r="QR157" s="196">
        <f t="shared" si="144"/>
        <v>400</v>
      </c>
      <c r="QS157" s="176">
        <f t="shared" si="145"/>
        <v>2.8796659587487852E-3</v>
      </c>
      <c r="QT157" s="177" t="str">
        <f t="shared" ca="1" si="146"/>
        <v>Attente…</v>
      </c>
      <c r="QU157" s="197">
        <f t="shared" si="147"/>
        <v>1050</v>
      </c>
      <c r="QV157" s="179">
        <f t="shared" si="148"/>
        <v>7.2393822393822397E-3</v>
      </c>
      <c r="QW157" s="180" t="str">
        <f t="shared" ca="1" si="149"/>
        <v>Attente…</v>
      </c>
      <c r="QX157" s="196">
        <f t="shared" si="150"/>
        <v>1100</v>
      </c>
      <c r="QY157" s="176">
        <f t="shared" si="151"/>
        <v>8.0270877725561168E-3</v>
      </c>
      <c r="QZ157" s="177" t="str">
        <f t="shared" ca="1" si="152"/>
        <v>Attente…</v>
      </c>
      <c r="RA157" s="197">
        <f t="shared" si="153"/>
        <v>1100</v>
      </c>
      <c r="RB157" s="179">
        <f t="shared" si="154"/>
        <v>8.6065253110085282E-3</v>
      </c>
      <c r="RC157" s="180" t="str">
        <f t="shared" ca="1" si="155"/>
        <v>Attente…</v>
      </c>
      <c r="RD157" s="196">
        <f t="shared" si="156"/>
        <v>950</v>
      </c>
      <c r="RE157" s="176">
        <f t="shared" si="157"/>
        <v>9.4659226783579114E-3</v>
      </c>
      <c r="RF157" s="177" t="str">
        <f t="shared" ca="1" si="158"/>
        <v>Attente…</v>
      </c>
      <c r="RG157" s="197">
        <f t="shared" si="159"/>
        <v>300</v>
      </c>
      <c r="RH157" s="179">
        <f t="shared" si="160"/>
        <v>5.5177487585065296E-3</v>
      </c>
      <c r="RI157" s="198" t="str">
        <f t="shared" ca="1" si="161"/>
        <v>Attente…</v>
      </c>
      <c r="RJ157" s="199">
        <f t="shared" si="162"/>
        <v>3000</v>
      </c>
      <c r="RK157" s="200" t="str">
        <f t="shared" ca="1" si="119"/>
        <v>Attente…</v>
      </c>
      <c r="RL157" s="199">
        <f t="shared" si="163"/>
        <v>3200</v>
      </c>
      <c r="RM157" s="200" t="str">
        <f t="shared" ca="1" si="164"/>
        <v>Atttente…</v>
      </c>
      <c r="RN157" s="199">
        <f t="shared" si="165"/>
        <v>2550</v>
      </c>
      <c r="RO157" s="200" t="str">
        <f t="shared" ca="1" si="120"/>
        <v>Attente…</v>
      </c>
      <c r="RP157" s="199">
        <f t="shared" si="166"/>
        <v>2350</v>
      </c>
      <c r="RQ157" s="200" t="str">
        <f t="shared" ca="1" si="121"/>
        <v>Attente…</v>
      </c>
      <c r="RR157" s="201">
        <f t="shared" si="167"/>
        <v>11100</v>
      </c>
      <c r="RS157" s="202" t="str">
        <f t="shared" ca="1" si="122"/>
        <v>Attente…</v>
      </c>
      <c r="RT157" s="103"/>
      <c r="RU157" s="203">
        <f t="shared" si="168"/>
        <v>0.75</v>
      </c>
      <c r="RV157" s="204">
        <f t="shared" si="171"/>
        <v>2</v>
      </c>
      <c r="RW157" s="204">
        <f t="shared" si="171"/>
        <v>1</v>
      </c>
      <c r="RX157" s="204">
        <f t="shared" si="169"/>
        <v>37</v>
      </c>
      <c r="RY157" s="205" t="str">
        <f t="shared" si="170"/>
        <v>SAINT-ÉTIENNE-DU-ROUVRAY - 47 Rue de Seine (Déchetterie - 9h / 12h - 14h / 17h)</v>
      </c>
      <c r="RZ157" s="189" t="str">
        <f>IF(OR(RZ156="",RZ156="  &lt;/Document&gt;
&lt;/kml&gt;"),"",
IF(B157="","  &lt;/Document&gt;
&lt;/kml&gt;",
IF(TournéesCAV!Q157=""," ",
"    &lt;Placemark&gt;
      &lt;description&gt;&lt;![CDATA["&amp;B157&amp;"&lt;br&gt;&lt;br&gt;"&amp;RV157&amp;" CAV&lt;br&gt;&lt;br&gt;Présent sur "&amp;RW157&amp;" tournée(s)&lt;br&gt;&lt;br&gt;Taux de remplissage moyen "&amp;TEXT(RU157*1000,"0 %")&amp;"]]&gt;&lt;/description&gt;
      &lt;Style&gt;
        &lt;IconStyle&gt;
          &lt;color&gt;ff"&amp;
          DEC2HEX(0,2)&amp;
          DEC2HEX(
            IF(RU157&lt;=0.5,
               INT(255*(RU157*2)),
               255
            ),2)&amp;
          DEC2HEX(
            IF(RU157&lt;=0.5,
               255,
               INT(255*(1-(RU157-0.5)*2))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&lt;Point&gt;&lt;coordinates&gt;"&amp;R157&amp;","&amp;Q157&amp;",0&lt;/coordinates&gt;&lt;/Point&gt;
    &lt;/Placemark&gt;"
)))</f>
        <v xml:space="preserve">    &lt;Placemark&gt;
      &lt;description&gt;&lt;![CDATA[SAINT-ÉTIENNE-DU-ROUVRAY - 47 Rue de Seine (Déchetterie - 9h / 12h - 14h / 17h)&lt;br&gt;&lt;br&gt;2 CAV&lt;br&gt;&lt;br&gt;Présent sur 1 tournée(s)&lt;br&gt;&lt;br&gt;Taux de remplissage moyen 75%]]&gt;&lt;/description&gt;
      &lt;Style&gt;
        &lt;IconStyle&gt;
          &lt;color&gt;ff00FF7F&lt;/color&gt;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&lt;Point&gt;&lt;coordinates&gt;1.1109495,49.3703846,0&lt;/coordinates&gt;&lt;/Point&gt;
    &lt;/Placemark&gt;</v>
      </c>
    </row>
    <row r="158" spans="2:494" ht="15" hidden="1" customHeight="1" x14ac:dyDescent="0.35">
      <c r="B158" s="153" t="str">
        <f t="shared" si="123"/>
        <v>MONT-SAINT-AIGNAN - 27 Boulevard André Siegfried</v>
      </c>
      <c r="C158" s="154">
        <v>65</v>
      </c>
      <c r="D158" s="155"/>
      <c r="E158" s="155"/>
      <c r="F158" s="155"/>
      <c r="G158" s="155"/>
      <c r="H158" s="155"/>
      <c r="I158" s="155"/>
      <c r="J158" s="156"/>
      <c r="K158" s="157">
        <f t="shared" si="124"/>
        <v>1</v>
      </c>
      <c r="L158" s="157">
        <f t="shared" si="125"/>
        <v>1</v>
      </c>
      <c r="M158" s="158" t="s">
        <v>880</v>
      </c>
      <c r="N158" s="159"/>
      <c r="O158" s="159">
        <v>76130</v>
      </c>
      <c r="P158" s="159" t="s">
        <v>107</v>
      </c>
      <c r="Q158" s="159" t="s">
        <v>881</v>
      </c>
      <c r="R158" s="159" t="s">
        <v>882</v>
      </c>
      <c r="S158" s="159" t="s">
        <v>93</v>
      </c>
      <c r="T158" s="159" t="s">
        <v>620</v>
      </c>
      <c r="U158" s="159" t="s">
        <v>883</v>
      </c>
      <c r="V158" s="160" t="s">
        <v>96</v>
      </c>
      <c r="W158" s="161"/>
      <c r="X158" s="162"/>
      <c r="Y158" s="163"/>
      <c r="Z158" s="162"/>
      <c r="AA158" s="163"/>
      <c r="AB158" s="162"/>
      <c r="AC158" s="163"/>
      <c r="AD158" s="162"/>
      <c r="AE158" s="163"/>
      <c r="AF158" s="162">
        <v>15</v>
      </c>
      <c r="AG158" s="163"/>
      <c r="AH158" s="163"/>
      <c r="AI158" s="162"/>
      <c r="AJ158" s="163"/>
      <c r="AK158" s="162"/>
      <c r="AL158" s="163"/>
      <c r="AM158" s="162"/>
      <c r="AN158" s="163"/>
      <c r="AO158" s="162"/>
      <c r="AP158" s="164"/>
      <c r="AQ158" s="164"/>
      <c r="AR158" s="164"/>
      <c r="AS158" s="164"/>
      <c r="AT158" s="164"/>
      <c r="AU158" s="164"/>
      <c r="AV158" s="164"/>
      <c r="AW158" s="164"/>
      <c r="AX158" s="164"/>
      <c r="AY158" s="165"/>
      <c r="AZ158" s="41"/>
      <c r="BA158" s="190"/>
      <c r="BB158" s="191"/>
      <c r="BC158" s="191"/>
      <c r="BD158" s="191"/>
      <c r="BE158" s="191"/>
      <c r="BF158" s="191"/>
      <c r="BG158" s="191"/>
      <c r="BH158" s="191"/>
      <c r="BI158" s="191"/>
      <c r="BJ158" s="191"/>
      <c r="BK158" s="191"/>
      <c r="BL158" s="191"/>
      <c r="BM158" s="191"/>
      <c r="BN158" s="191"/>
      <c r="BO158" s="191"/>
      <c r="BP158" s="191"/>
      <c r="BQ158" s="191"/>
      <c r="BR158" s="191"/>
      <c r="BS158" s="191"/>
      <c r="BT158" s="191"/>
      <c r="BU158" s="191"/>
      <c r="BV158" s="191"/>
      <c r="BW158" s="191">
        <v>200</v>
      </c>
      <c r="BX158" s="191"/>
      <c r="BY158" s="191"/>
      <c r="BZ158" s="191"/>
      <c r="CA158" s="191"/>
      <c r="CB158" s="191"/>
      <c r="CC158" s="191"/>
      <c r="CD158" s="191"/>
      <c r="CE158" s="192"/>
      <c r="CF158" s="190"/>
      <c r="CG158" s="191"/>
      <c r="CH158" s="191"/>
      <c r="CI158" s="191"/>
      <c r="CJ158" s="191"/>
      <c r="CK158" s="191"/>
      <c r="CL158" s="191"/>
      <c r="CM158" s="191"/>
      <c r="CN158" s="191"/>
      <c r="CO158" s="191"/>
      <c r="CP158" s="191"/>
      <c r="CQ158" s="191"/>
      <c r="CR158" s="191"/>
      <c r="CS158" s="191"/>
      <c r="CT158" s="191"/>
      <c r="CU158" s="191"/>
      <c r="CV158" s="191"/>
      <c r="CW158" s="191"/>
      <c r="CX158" s="191"/>
      <c r="CY158" s="191"/>
      <c r="CZ158" s="191"/>
      <c r="DA158" s="191"/>
      <c r="DB158" s="191"/>
      <c r="DC158" s="191"/>
      <c r="DD158" s="191"/>
      <c r="DE158" s="191"/>
      <c r="DF158" s="191"/>
      <c r="DG158" s="191"/>
      <c r="DH158" s="193"/>
      <c r="DI158" s="194"/>
      <c r="DJ158" s="191"/>
      <c r="DK158" s="191"/>
      <c r="DL158" s="191"/>
      <c r="DM158" s="191"/>
      <c r="DN158" s="191"/>
      <c r="DO158" s="191"/>
      <c r="DP158" s="191"/>
      <c r="DQ158" s="191"/>
      <c r="DR158" s="191"/>
      <c r="DS158" s="191"/>
      <c r="DT158" s="191"/>
      <c r="DU158" s="191"/>
      <c r="DV158" s="191"/>
      <c r="DW158" s="191"/>
      <c r="DX158" s="191"/>
      <c r="DY158" s="191">
        <v>200</v>
      </c>
      <c r="DZ158" s="191"/>
      <c r="EA158" s="191">
        <v>150</v>
      </c>
      <c r="EB158" s="191"/>
      <c r="EC158" s="191"/>
      <c r="ED158" s="191"/>
      <c r="EE158" s="191"/>
      <c r="EF158" s="191"/>
      <c r="EG158" s="191"/>
      <c r="EH158" s="191">
        <v>50</v>
      </c>
      <c r="EI158" s="191"/>
      <c r="EJ158" s="191"/>
      <c r="EK158" s="191"/>
      <c r="EL158" s="191"/>
      <c r="EM158" s="192"/>
      <c r="EN158" s="190"/>
      <c r="EO158" s="191">
        <v>60</v>
      </c>
      <c r="EP158" s="191"/>
      <c r="EQ158" s="191"/>
      <c r="ER158" s="191"/>
      <c r="ES158" s="191"/>
      <c r="ET158" s="191"/>
      <c r="EU158" s="191"/>
      <c r="EV158" s="191">
        <v>100</v>
      </c>
      <c r="EW158" s="191"/>
      <c r="EX158" s="191"/>
      <c r="EY158" s="191"/>
      <c r="EZ158" s="191"/>
      <c r="FA158" s="191"/>
      <c r="FB158" s="191"/>
      <c r="FC158" s="191">
        <v>100</v>
      </c>
      <c r="FD158" s="191"/>
      <c r="FE158" s="191"/>
      <c r="FF158" s="191"/>
      <c r="FG158" s="191"/>
      <c r="FH158" s="191"/>
      <c r="FI158" s="191"/>
      <c r="FJ158" s="191"/>
      <c r="FK158" s="191">
        <v>50</v>
      </c>
      <c r="FL158" s="191"/>
      <c r="FM158" s="191"/>
      <c r="FN158" s="191"/>
      <c r="FO158" s="191"/>
      <c r="FP158" s="191"/>
      <c r="FQ158" s="193">
        <v>200</v>
      </c>
      <c r="FR158" s="194"/>
      <c r="FS158" s="191"/>
      <c r="FT158" s="191"/>
      <c r="FU158" s="191"/>
      <c r="FV158" s="191"/>
      <c r="FW158" s="191"/>
      <c r="FX158" s="191">
        <v>100</v>
      </c>
      <c r="FY158" s="191"/>
      <c r="FZ158" s="191"/>
      <c r="GA158" s="191"/>
      <c r="GB158" s="191"/>
      <c r="GC158" s="191"/>
      <c r="GD158" s="191"/>
      <c r="GE158" s="191">
        <v>100</v>
      </c>
      <c r="GF158" s="191"/>
      <c r="GG158" s="191"/>
      <c r="GH158" s="191"/>
      <c r="GI158" s="191"/>
      <c r="GJ158" s="191"/>
      <c r="GK158" s="191"/>
      <c r="GL158" s="191">
        <v>100</v>
      </c>
      <c r="GM158" s="191"/>
      <c r="GN158" s="191"/>
      <c r="GO158" s="191"/>
      <c r="GP158" s="191"/>
      <c r="GQ158" s="191"/>
      <c r="GR158" s="191"/>
      <c r="GS158" s="191"/>
      <c r="GT158" s="191"/>
      <c r="GU158" s="191"/>
      <c r="GV158" s="192"/>
      <c r="GW158" s="190"/>
      <c r="GX158" s="191"/>
      <c r="GY158" s="191"/>
      <c r="GZ158" s="191"/>
      <c r="HA158" s="191">
        <v>150</v>
      </c>
      <c r="HB158" s="191"/>
      <c r="HC158" s="191"/>
      <c r="HD158" s="191"/>
      <c r="HE158" s="191"/>
      <c r="HF158" s="191"/>
      <c r="HG158" s="191"/>
      <c r="HH158" s="191">
        <v>100</v>
      </c>
      <c r="HI158" s="191"/>
      <c r="HJ158" s="191"/>
      <c r="HK158" s="191"/>
      <c r="HL158" s="191"/>
      <c r="HM158" s="191"/>
      <c r="HN158" s="191">
        <v>50</v>
      </c>
      <c r="HO158" s="191"/>
      <c r="HP158" s="191"/>
      <c r="HQ158" s="191"/>
      <c r="HR158" s="191"/>
      <c r="HS158" s="191"/>
      <c r="HT158" s="191"/>
      <c r="HU158" s="191"/>
      <c r="HV158" s="191"/>
      <c r="HW158" s="191"/>
      <c r="HX158" s="191"/>
      <c r="HY158" s="191"/>
      <c r="HZ158" s="193"/>
      <c r="IA158" s="194"/>
      <c r="IB158" s="191"/>
      <c r="IC158" s="191"/>
      <c r="ID158" s="191"/>
      <c r="IE158" s="191"/>
      <c r="IF158" s="191"/>
      <c r="IG158" s="191"/>
      <c r="IH158" s="191"/>
      <c r="II158" s="191">
        <v>200</v>
      </c>
      <c r="IJ158" s="191"/>
      <c r="IK158" s="191"/>
      <c r="IL158" s="191"/>
      <c r="IM158" s="191"/>
      <c r="IN158" s="191"/>
      <c r="IO158" s="191"/>
      <c r="IP158" s="191"/>
      <c r="IQ158" s="191"/>
      <c r="IR158" s="191"/>
      <c r="IS158" s="191"/>
      <c r="IT158" s="191"/>
      <c r="IU158" s="191"/>
      <c r="IV158" s="191"/>
      <c r="IW158" s="191">
        <v>100</v>
      </c>
      <c r="IX158" s="191"/>
      <c r="IY158" s="191"/>
      <c r="IZ158" s="191"/>
      <c r="JA158" s="191"/>
      <c r="JB158" s="191"/>
      <c r="JC158" s="191"/>
      <c r="JD158" s="191">
        <v>100</v>
      </c>
      <c r="JE158" s="192"/>
      <c r="JF158" s="190"/>
      <c r="JG158" s="191"/>
      <c r="JH158" s="191"/>
      <c r="JI158" s="191"/>
      <c r="JJ158" s="191"/>
      <c r="JK158" s="191">
        <v>100</v>
      </c>
      <c r="JL158" s="191"/>
      <c r="JM158" s="191"/>
      <c r="JN158" s="191"/>
      <c r="JO158" s="191"/>
      <c r="JP158" s="191"/>
      <c r="JQ158" s="191"/>
      <c r="JR158" s="191">
        <v>50</v>
      </c>
      <c r="JS158" s="191"/>
      <c r="JT158" s="191"/>
      <c r="JU158" s="191"/>
      <c r="JV158" s="191"/>
      <c r="JW158" s="191"/>
      <c r="JX158" s="191"/>
      <c r="JY158" s="191">
        <v>10</v>
      </c>
      <c r="JZ158" s="191"/>
      <c r="KA158" s="191"/>
      <c r="KB158" s="191"/>
      <c r="KC158" s="191"/>
      <c r="KD158" s="191"/>
      <c r="KE158" s="191"/>
      <c r="KF158" s="191">
        <v>100</v>
      </c>
      <c r="KG158" s="191">
        <v>150</v>
      </c>
      <c r="KH158" s="191"/>
      <c r="KI158" s="191"/>
      <c r="KJ158" s="193"/>
      <c r="KK158" s="194"/>
      <c r="KL158" s="191"/>
      <c r="KM158" s="191">
        <v>10</v>
      </c>
      <c r="KN158" s="191"/>
      <c r="KO158" s="191"/>
      <c r="KP158" s="191"/>
      <c r="KQ158" s="191"/>
      <c r="KR158" s="191"/>
      <c r="KS158" s="191"/>
      <c r="KT158" s="191"/>
      <c r="KU158" s="191"/>
      <c r="KV158" s="191"/>
      <c r="KW158" s="191"/>
      <c r="KX158" s="191"/>
      <c r="KY158" s="191"/>
      <c r="KZ158" s="191"/>
      <c r="LA158" s="191"/>
      <c r="LB158" s="191"/>
      <c r="LC158" s="191"/>
      <c r="LD158" s="191"/>
      <c r="LE158" s="191"/>
      <c r="LF158" s="191"/>
      <c r="LG158" s="191"/>
      <c r="LH158" s="191">
        <v>100</v>
      </c>
      <c r="LI158" s="191"/>
      <c r="LJ158" s="191"/>
      <c r="LK158" s="191"/>
      <c r="LL158" s="191"/>
      <c r="LM158" s="191"/>
      <c r="LN158" s="192"/>
      <c r="LO158" s="190">
        <v>100</v>
      </c>
      <c r="LP158" s="191"/>
      <c r="LQ158" s="191"/>
      <c r="LR158" s="191"/>
      <c r="LS158" s="191"/>
      <c r="LT158" s="191"/>
      <c r="LU158" s="191"/>
      <c r="LV158" s="191">
        <v>10</v>
      </c>
      <c r="LW158" s="191"/>
      <c r="LX158" s="191"/>
      <c r="LY158" s="191"/>
      <c r="LZ158" s="191"/>
      <c r="MA158" s="191"/>
      <c r="MB158" s="191"/>
      <c r="MC158" s="191">
        <v>50</v>
      </c>
      <c r="MD158" s="191"/>
      <c r="ME158" s="191"/>
      <c r="MF158" s="191"/>
      <c r="MG158" s="191"/>
      <c r="MH158" s="191"/>
      <c r="MI158" s="191"/>
      <c r="MJ158" s="191">
        <v>50</v>
      </c>
      <c r="MK158" s="191"/>
      <c r="ML158" s="191"/>
      <c r="MM158" s="191"/>
      <c r="MN158" s="191"/>
      <c r="MO158" s="191"/>
      <c r="MP158" s="191"/>
      <c r="MQ158" s="191"/>
      <c r="MR158" s="191"/>
      <c r="MS158" s="193"/>
      <c r="MT158" s="194"/>
      <c r="MU158" s="191"/>
      <c r="MV158" s="191"/>
      <c r="MW158" s="191"/>
      <c r="MX158" s="191">
        <v>50</v>
      </c>
      <c r="MY158" s="191"/>
      <c r="MZ158" s="191"/>
      <c r="NA158" s="191"/>
      <c r="NB158" s="191"/>
      <c r="NC158" s="191"/>
      <c r="ND158" s="191"/>
      <c r="NE158" s="191"/>
      <c r="NF158" s="191">
        <v>50</v>
      </c>
      <c r="NG158" s="191"/>
      <c r="NH158" s="191"/>
      <c r="NI158" s="191"/>
      <c r="NJ158" s="191"/>
      <c r="NK158" s="191"/>
      <c r="NL158" s="191">
        <v>50</v>
      </c>
      <c r="NM158" s="191"/>
      <c r="NN158" s="191"/>
      <c r="NO158" s="191"/>
      <c r="NP158" s="191"/>
      <c r="NQ158" s="191"/>
      <c r="NR158" s="191"/>
      <c r="NS158" s="191"/>
      <c r="NT158" s="191"/>
      <c r="NU158" s="191"/>
      <c r="NV158" s="191"/>
      <c r="NW158" s="192"/>
      <c r="NX158" s="190"/>
      <c r="NY158" s="191"/>
      <c r="NZ158" s="191">
        <v>50</v>
      </c>
      <c r="OA158" s="191"/>
      <c r="OB158" s="191"/>
      <c r="OC158" s="191"/>
      <c r="OD158" s="191"/>
      <c r="OE158" s="191"/>
      <c r="OF158" s="191"/>
      <c r="OG158" s="191">
        <v>10</v>
      </c>
      <c r="OH158" s="191"/>
      <c r="OI158" s="191"/>
      <c r="OJ158" s="191"/>
      <c r="OK158" s="191"/>
      <c r="OL158" s="191"/>
      <c r="OM158" s="191"/>
      <c r="ON158" s="191"/>
      <c r="OO158" s="191"/>
      <c r="OP158" s="191"/>
      <c r="OQ158" s="191"/>
      <c r="OR158" s="191"/>
      <c r="OS158" s="191"/>
      <c r="OT158" s="191"/>
      <c r="OU158" s="191"/>
      <c r="OV158" s="191"/>
      <c r="OW158" s="191"/>
      <c r="OX158" s="191"/>
      <c r="OY158" s="191"/>
      <c r="OZ158" s="191"/>
      <c r="PA158" s="191"/>
      <c r="PB158" s="193"/>
      <c r="PC158" s="47"/>
      <c r="PD158" s="154" t="s">
        <v>97</v>
      </c>
      <c r="PE158" s="155" t="s">
        <v>98</v>
      </c>
      <c r="PF158" s="155" t="s">
        <v>98</v>
      </c>
      <c r="PG158" s="155" t="s">
        <v>98</v>
      </c>
      <c r="PH158" s="155" t="s">
        <v>98</v>
      </c>
      <c r="PI158" s="155" t="s">
        <v>98</v>
      </c>
      <c r="PJ158" s="155" t="s">
        <v>98</v>
      </c>
      <c r="PK158" s="155" t="s">
        <v>98</v>
      </c>
      <c r="PL158" s="155" t="s">
        <v>98</v>
      </c>
      <c r="PM158" s="155" t="s">
        <v>98</v>
      </c>
      <c r="PN158" s="155" t="s">
        <v>98</v>
      </c>
      <c r="PO158" s="156"/>
      <c r="PP158" s="156"/>
      <c r="PQ158" s="156"/>
      <c r="PR158" s="156"/>
      <c r="PS158" s="156"/>
      <c r="PT158" s="156"/>
      <c r="PU158" s="156"/>
      <c r="PV158" s="156"/>
      <c r="PW158" s="156"/>
      <c r="PX158" s="195"/>
      <c r="PY158" s="1"/>
      <c r="PZ158" s="196">
        <f t="shared" si="126"/>
        <v>200</v>
      </c>
      <c r="QA158" s="176">
        <f t="shared" si="127"/>
        <v>1.6684741803620589E-3</v>
      </c>
      <c r="QB158" s="177" t="str">
        <f t="shared" ca="1" si="128"/>
        <v>Attente…</v>
      </c>
      <c r="QC158" s="197">
        <f t="shared" si="129"/>
        <v>0</v>
      </c>
      <c r="QD158" s="179">
        <f t="shared" si="130"/>
        <v>0</v>
      </c>
      <c r="QE158" s="180" t="str">
        <f t="shared" ca="1" si="131"/>
        <v>Attente…</v>
      </c>
      <c r="QF158" s="196">
        <f t="shared" si="132"/>
        <v>400</v>
      </c>
      <c r="QG158" s="176">
        <f t="shared" si="133"/>
        <v>3.1852205765249245E-3</v>
      </c>
      <c r="QH158" s="177" t="str">
        <f t="shared" ca="1" si="134"/>
        <v>Attente…</v>
      </c>
      <c r="QI158" s="197">
        <f t="shared" si="135"/>
        <v>510</v>
      </c>
      <c r="QJ158" s="179">
        <f t="shared" si="136"/>
        <v>3.576939262168607E-3</v>
      </c>
      <c r="QK158" s="180" t="str">
        <f t="shared" ca="1" si="137"/>
        <v>Attente…</v>
      </c>
      <c r="QL158" s="196">
        <f t="shared" si="138"/>
        <v>300</v>
      </c>
      <c r="QM158" s="176">
        <f t="shared" si="139"/>
        <v>2.1949078138718174E-3</v>
      </c>
      <c r="QN158" s="177" t="str">
        <f t="shared" ca="1" si="140"/>
        <v>Attente…</v>
      </c>
      <c r="QO158" s="197">
        <f t="shared" si="141"/>
        <v>300</v>
      </c>
      <c r="QP158" s="179">
        <f t="shared" si="142"/>
        <v>2.3487042981288654E-3</v>
      </c>
      <c r="QQ158" s="180" t="str">
        <f t="shared" ca="1" si="143"/>
        <v>Attente…</v>
      </c>
      <c r="QR158" s="196">
        <f t="shared" si="144"/>
        <v>400</v>
      </c>
      <c r="QS158" s="176">
        <f t="shared" si="145"/>
        <v>2.8796659587487852E-3</v>
      </c>
      <c r="QT158" s="177" t="str">
        <f t="shared" ca="1" si="146"/>
        <v>Attente…</v>
      </c>
      <c r="QU158" s="197">
        <f t="shared" si="147"/>
        <v>410</v>
      </c>
      <c r="QV158" s="179">
        <f t="shared" si="148"/>
        <v>2.8268063982349696E-3</v>
      </c>
      <c r="QW158" s="180" t="str">
        <f t="shared" ca="1" si="149"/>
        <v>Attente…</v>
      </c>
      <c r="QX158" s="196">
        <f t="shared" si="150"/>
        <v>110</v>
      </c>
      <c r="QY158" s="176">
        <f t="shared" si="151"/>
        <v>8.0270877725561161E-4</v>
      </c>
      <c r="QZ158" s="177" t="str">
        <f t="shared" ca="1" si="152"/>
        <v>Attente…</v>
      </c>
      <c r="RA158" s="197">
        <f t="shared" si="153"/>
        <v>210</v>
      </c>
      <c r="RB158" s="179">
        <f t="shared" si="154"/>
        <v>1.643063923010719E-3</v>
      </c>
      <c r="RC158" s="180" t="str">
        <f t="shared" ca="1" si="155"/>
        <v>Attente…</v>
      </c>
      <c r="RD158" s="196">
        <f t="shared" si="156"/>
        <v>150</v>
      </c>
      <c r="RE158" s="176">
        <f t="shared" si="157"/>
        <v>1.4946193702670386E-3</v>
      </c>
      <c r="RF158" s="177" t="str">
        <f t="shared" ca="1" si="158"/>
        <v>Attente…</v>
      </c>
      <c r="RG158" s="197">
        <f t="shared" si="159"/>
        <v>60</v>
      </c>
      <c r="RH158" s="179">
        <f t="shared" si="160"/>
        <v>1.1035497517013059E-3</v>
      </c>
      <c r="RI158" s="198" t="str">
        <f t="shared" ca="1" si="161"/>
        <v>Attente…</v>
      </c>
      <c r="RJ158" s="199">
        <f t="shared" si="162"/>
        <v>600</v>
      </c>
      <c r="RK158" s="200" t="str">
        <f t="shared" ca="1" si="119"/>
        <v>Attente…</v>
      </c>
      <c r="RL158" s="199">
        <f t="shared" si="163"/>
        <v>1110</v>
      </c>
      <c r="RM158" s="200" t="str">
        <f t="shared" ca="1" si="164"/>
        <v>Atttente…</v>
      </c>
      <c r="RN158" s="199">
        <f t="shared" si="165"/>
        <v>920</v>
      </c>
      <c r="RO158" s="200" t="str">
        <f t="shared" ca="1" si="120"/>
        <v>Attente…</v>
      </c>
      <c r="RP158" s="199">
        <f t="shared" si="166"/>
        <v>420</v>
      </c>
      <c r="RQ158" s="200" t="str">
        <f t="shared" ca="1" si="121"/>
        <v>Attente…</v>
      </c>
      <c r="RR158" s="201">
        <f t="shared" si="167"/>
        <v>3050</v>
      </c>
      <c r="RS158" s="202" t="str">
        <f t="shared" ca="1" si="122"/>
        <v>Attente…</v>
      </c>
      <c r="RT158" s="103"/>
      <c r="RU158" s="203">
        <f t="shared" si="168"/>
        <v>0.44852941176470584</v>
      </c>
      <c r="RV158" s="204">
        <f t="shared" si="171"/>
        <v>1</v>
      </c>
      <c r="RW158" s="204">
        <f t="shared" si="171"/>
        <v>1</v>
      </c>
      <c r="RX158" s="204">
        <f t="shared" si="169"/>
        <v>34</v>
      </c>
      <c r="RY158" s="205" t="str">
        <f t="shared" si="170"/>
        <v>MONT-SAINT-AIGNAN - 27 Boulevard André Siegfried</v>
      </c>
      <c r="RZ158" s="189" t="str">
        <f>IF(OR(RZ157="",RZ157="  &lt;/Document&gt;
&lt;/kml&gt;"),"",
IF(B158="","  &lt;/Document&gt;
&lt;/kml&gt;",
IF(TournéesCAV!Q158=""," ",
"    &lt;Placemark&gt;
      &lt;description&gt;&lt;![CDATA["&amp;B158&amp;"&lt;br&gt;&lt;br&gt;"&amp;RV158&amp;" CAV&lt;br&gt;&lt;br&gt;Présent sur "&amp;RW158&amp;" tournée(s)&lt;br&gt;&lt;br&gt;Taux de remplissage moyen "&amp;TEXT(RU158*1000,"0 %")&amp;"]]&gt;&lt;/description&gt;
      &lt;Style&gt;
        &lt;IconStyle&gt;
          &lt;color&gt;ff"&amp;
          DEC2HEX(0,2)&amp;
          DEC2HEX(
            IF(RU158&lt;=0.5,
               INT(255*(RU158*2)),
               255
            ),2)&amp;
          DEC2HEX(
            IF(RU158&lt;=0.5,
               255,
               INT(255*(1-(RU158-0.5)*2))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&lt;Point&gt;&lt;coordinates&gt;"&amp;R158&amp;","&amp;Q158&amp;",0&lt;/coordinates&gt;&lt;/Point&gt;
    &lt;/Placemark&gt;"
)))</f>
        <v xml:space="preserve">    &lt;Placemark&gt;
      &lt;description&gt;&lt;![CDATA[MONT-SAINT-AIGNAN - 27 Boulevard André Siegfried&lt;br&gt;&lt;br&gt;1 CAV&lt;br&gt;&lt;br&gt;Présent sur 1 tournée(s)&lt;br&gt;&lt;br&gt;Taux de remplissage moyen 45%]]&gt;&lt;/description&gt;
      &lt;Style&gt;
        &lt;IconStyle&gt;
          &lt;color&gt;ff00E4FF&lt;/color&gt;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&lt;Point&gt;&lt;coordinates&gt;1.0640513,49.4574649,0&lt;/coordinates&gt;&lt;/Point&gt;
    &lt;/Placemark&gt;</v>
      </c>
    </row>
    <row r="159" spans="2:494" ht="15" hidden="1" customHeight="1" x14ac:dyDescent="0.35">
      <c r="B159" s="153" t="str">
        <f t="shared" si="123"/>
        <v>LE GRAND-QUEVILLY - 26 Rue Michel Corroy (Place Du Québec)</v>
      </c>
      <c r="C159" s="154">
        <v>92</v>
      </c>
      <c r="D159" s="155"/>
      <c r="E159" s="155"/>
      <c r="F159" s="155"/>
      <c r="G159" s="155"/>
      <c r="H159" s="155"/>
      <c r="I159" s="155"/>
      <c r="J159" s="156"/>
      <c r="K159" s="157">
        <f t="shared" si="124"/>
        <v>1</v>
      </c>
      <c r="L159" s="157">
        <f t="shared" si="125"/>
        <v>3</v>
      </c>
      <c r="M159" s="158" t="s">
        <v>884</v>
      </c>
      <c r="N159" s="159" t="s">
        <v>885</v>
      </c>
      <c r="O159" s="159">
        <v>76120</v>
      </c>
      <c r="P159" s="159" t="s">
        <v>709</v>
      </c>
      <c r="Q159" s="159" t="s">
        <v>886</v>
      </c>
      <c r="R159" s="159" t="s">
        <v>887</v>
      </c>
      <c r="S159" s="159" t="s">
        <v>93</v>
      </c>
      <c r="T159" s="159" t="s">
        <v>94</v>
      </c>
      <c r="U159" s="159" t="s">
        <v>888</v>
      </c>
      <c r="V159" s="160" t="s">
        <v>96</v>
      </c>
      <c r="W159" s="161"/>
      <c r="X159" s="162"/>
      <c r="Y159" s="163">
        <v>14</v>
      </c>
      <c r="Z159" s="162"/>
      <c r="AA159" s="163"/>
      <c r="AB159" s="162">
        <v>14</v>
      </c>
      <c r="AC159" s="163"/>
      <c r="AD159" s="162"/>
      <c r="AE159" s="163"/>
      <c r="AF159" s="162"/>
      <c r="AG159" s="207">
        <v>9</v>
      </c>
      <c r="AH159" s="163"/>
      <c r="AI159" s="162"/>
      <c r="AJ159" s="163"/>
      <c r="AK159" s="162"/>
      <c r="AL159" s="163"/>
      <c r="AM159" s="162"/>
      <c r="AN159" s="163"/>
      <c r="AO159" s="162"/>
      <c r="AP159" s="164"/>
      <c r="AQ159" s="164"/>
      <c r="AR159" s="164"/>
      <c r="AS159" s="164"/>
      <c r="AT159" s="164"/>
      <c r="AU159" s="164"/>
      <c r="AV159" s="164"/>
      <c r="AW159" s="164"/>
      <c r="AX159" s="164"/>
      <c r="AY159" s="165"/>
      <c r="AZ159" s="41"/>
      <c r="BA159" s="190"/>
      <c r="BB159" s="191"/>
      <c r="BC159" s="191"/>
      <c r="BD159" s="191"/>
      <c r="BE159" s="191"/>
      <c r="BF159" s="191">
        <v>100</v>
      </c>
      <c r="BG159" s="191"/>
      <c r="BH159" s="191">
        <v>50</v>
      </c>
      <c r="BI159" s="191"/>
      <c r="BJ159" s="191">
        <v>100</v>
      </c>
      <c r="BK159" s="191"/>
      <c r="BL159" s="191"/>
      <c r="BM159" s="191">
        <v>200</v>
      </c>
      <c r="BN159" s="191"/>
      <c r="BO159" s="191">
        <v>50</v>
      </c>
      <c r="BP159" s="191"/>
      <c r="BQ159" s="191">
        <v>150</v>
      </c>
      <c r="BR159" s="191"/>
      <c r="BS159" s="191"/>
      <c r="BT159" s="191">
        <v>100</v>
      </c>
      <c r="BU159" s="191"/>
      <c r="BV159" s="191">
        <v>100</v>
      </c>
      <c r="BW159" s="191"/>
      <c r="BX159" s="191">
        <v>100</v>
      </c>
      <c r="BY159" s="191"/>
      <c r="BZ159" s="191"/>
      <c r="CA159" s="191"/>
      <c r="CB159" s="191"/>
      <c r="CC159" s="191">
        <v>200</v>
      </c>
      <c r="CD159" s="191"/>
      <c r="CE159" s="192">
        <v>50</v>
      </c>
      <c r="CF159" s="190"/>
      <c r="CG159" s="191"/>
      <c r="CH159" s="191">
        <v>200</v>
      </c>
      <c r="CI159" s="191"/>
      <c r="CJ159" s="191">
        <v>100</v>
      </c>
      <c r="CK159" s="191"/>
      <c r="CL159" s="191"/>
      <c r="CM159" s="191"/>
      <c r="CN159" s="191"/>
      <c r="CO159" s="191">
        <v>150</v>
      </c>
      <c r="CP159" s="191"/>
      <c r="CQ159" s="191">
        <v>100</v>
      </c>
      <c r="CR159" s="191"/>
      <c r="CS159" s="191">
        <v>50</v>
      </c>
      <c r="CT159" s="191"/>
      <c r="CU159" s="191"/>
      <c r="CV159" s="191">
        <v>150</v>
      </c>
      <c r="CW159" s="191"/>
      <c r="CX159" s="191">
        <v>100</v>
      </c>
      <c r="CY159" s="191"/>
      <c r="CZ159" s="191">
        <v>50</v>
      </c>
      <c r="DA159" s="191"/>
      <c r="DB159" s="191"/>
      <c r="DC159" s="191">
        <v>150</v>
      </c>
      <c r="DD159" s="191"/>
      <c r="DE159" s="191">
        <v>50</v>
      </c>
      <c r="DF159" s="191"/>
      <c r="DG159" s="191">
        <v>150</v>
      </c>
      <c r="DH159" s="193"/>
      <c r="DI159" s="194"/>
      <c r="DJ159" s="191"/>
      <c r="DK159" s="191">
        <v>150</v>
      </c>
      <c r="DL159" s="191"/>
      <c r="DM159" s="191">
        <v>150</v>
      </c>
      <c r="DN159" s="191"/>
      <c r="DO159" s="191">
        <v>10</v>
      </c>
      <c r="DP159" s="191"/>
      <c r="DQ159" s="191"/>
      <c r="DR159" s="191">
        <v>150</v>
      </c>
      <c r="DS159" s="191"/>
      <c r="DT159" s="191">
        <v>50</v>
      </c>
      <c r="DU159" s="191"/>
      <c r="DV159" s="191">
        <v>100</v>
      </c>
      <c r="DW159" s="191"/>
      <c r="DX159" s="191"/>
      <c r="DY159" s="191">
        <v>100</v>
      </c>
      <c r="DZ159" s="191"/>
      <c r="EA159" s="191">
        <v>100</v>
      </c>
      <c r="EB159" s="191"/>
      <c r="EC159" s="191">
        <v>100</v>
      </c>
      <c r="ED159" s="191"/>
      <c r="EE159" s="191"/>
      <c r="EF159" s="191">
        <v>100</v>
      </c>
      <c r="EG159" s="191"/>
      <c r="EH159" s="191">
        <v>150</v>
      </c>
      <c r="EI159" s="191"/>
      <c r="EJ159" s="191">
        <v>100</v>
      </c>
      <c r="EK159" s="191"/>
      <c r="EL159" s="191"/>
      <c r="EM159" s="192">
        <v>200</v>
      </c>
      <c r="EN159" s="190"/>
      <c r="EO159" s="191">
        <v>100</v>
      </c>
      <c r="EP159" s="191"/>
      <c r="EQ159" s="191">
        <v>150</v>
      </c>
      <c r="ER159" s="191"/>
      <c r="ES159" s="191"/>
      <c r="ET159" s="191">
        <v>150</v>
      </c>
      <c r="EU159" s="191"/>
      <c r="EV159" s="191">
        <v>200</v>
      </c>
      <c r="EW159" s="191"/>
      <c r="EX159" s="191">
        <v>150</v>
      </c>
      <c r="EY159" s="191"/>
      <c r="EZ159" s="191"/>
      <c r="FA159" s="191">
        <v>150</v>
      </c>
      <c r="FB159" s="191"/>
      <c r="FC159" s="191">
        <v>200</v>
      </c>
      <c r="FD159" s="191"/>
      <c r="FE159" s="191">
        <v>150</v>
      </c>
      <c r="FF159" s="191"/>
      <c r="FG159" s="191"/>
      <c r="FH159" s="191"/>
      <c r="FI159" s="191">
        <v>200</v>
      </c>
      <c r="FJ159" s="191">
        <v>50</v>
      </c>
      <c r="FK159" s="191"/>
      <c r="FL159" s="191"/>
      <c r="FM159" s="191"/>
      <c r="FN159" s="191"/>
      <c r="FO159" s="191"/>
      <c r="FP159" s="191"/>
      <c r="FQ159" s="193">
        <v>200</v>
      </c>
      <c r="FR159" s="194"/>
      <c r="FS159" s="191">
        <v>200</v>
      </c>
      <c r="FT159" s="191"/>
      <c r="FU159" s="191"/>
      <c r="FV159" s="191">
        <v>200</v>
      </c>
      <c r="FW159" s="191"/>
      <c r="FX159" s="191">
        <v>100</v>
      </c>
      <c r="FY159" s="191"/>
      <c r="FZ159" s="191">
        <v>150</v>
      </c>
      <c r="GA159" s="191"/>
      <c r="GB159" s="191"/>
      <c r="GC159" s="191">
        <v>50</v>
      </c>
      <c r="GD159" s="191"/>
      <c r="GE159" s="191">
        <v>100</v>
      </c>
      <c r="GF159" s="191"/>
      <c r="GG159" s="191">
        <v>100</v>
      </c>
      <c r="GH159" s="191"/>
      <c r="GI159" s="191"/>
      <c r="GJ159" s="191">
        <v>100</v>
      </c>
      <c r="GK159" s="191"/>
      <c r="GL159" s="191">
        <v>100</v>
      </c>
      <c r="GM159" s="191"/>
      <c r="GN159" s="191">
        <v>100</v>
      </c>
      <c r="GO159" s="191"/>
      <c r="GP159" s="191"/>
      <c r="GQ159" s="191">
        <v>50</v>
      </c>
      <c r="GR159" s="191"/>
      <c r="GS159" s="191">
        <v>150</v>
      </c>
      <c r="GT159" s="191"/>
      <c r="GU159" s="191">
        <v>150</v>
      </c>
      <c r="GV159" s="192"/>
      <c r="GW159" s="190"/>
      <c r="GX159" s="191">
        <v>150</v>
      </c>
      <c r="GY159" s="191"/>
      <c r="GZ159" s="191">
        <v>150</v>
      </c>
      <c r="HA159" s="191"/>
      <c r="HB159" s="191">
        <v>50</v>
      </c>
      <c r="HC159" s="191"/>
      <c r="HD159" s="191"/>
      <c r="HE159" s="191"/>
      <c r="HF159" s="191"/>
      <c r="HG159" s="191">
        <v>200</v>
      </c>
      <c r="HH159" s="191"/>
      <c r="HI159" s="191">
        <v>100</v>
      </c>
      <c r="HJ159" s="191"/>
      <c r="HK159" s="191"/>
      <c r="HL159" s="191">
        <v>150</v>
      </c>
      <c r="HM159" s="191"/>
      <c r="HN159" s="191">
        <v>100</v>
      </c>
      <c r="HO159" s="191"/>
      <c r="HP159" s="191">
        <v>150</v>
      </c>
      <c r="HQ159" s="191"/>
      <c r="HR159" s="191"/>
      <c r="HS159" s="191"/>
      <c r="HT159" s="191"/>
      <c r="HU159" s="191">
        <v>200</v>
      </c>
      <c r="HV159" s="191">
        <v>50</v>
      </c>
      <c r="HW159" s="191">
        <v>50</v>
      </c>
      <c r="HX159" s="191"/>
      <c r="HY159" s="191"/>
      <c r="HZ159" s="193">
        <v>200</v>
      </c>
      <c r="IA159" s="194"/>
      <c r="IB159" s="191">
        <v>100</v>
      </c>
      <c r="IC159" s="191"/>
      <c r="ID159" s="191">
        <v>100</v>
      </c>
      <c r="IE159" s="191"/>
      <c r="IF159" s="191"/>
      <c r="IG159" s="191">
        <v>100</v>
      </c>
      <c r="IH159" s="191"/>
      <c r="II159" s="191">
        <v>100</v>
      </c>
      <c r="IJ159" s="191"/>
      <c r="IK159" s="191">
        <v>50</v>
      </c>
      <c r="IL159" s="191"/>
      <c r="IM159" s="191"/>
      <c r="IN159" s="191">
        <v>200</v>
      </c>
      <c r="IO159" s="191"/>
      <c r="IP159" s="191"/>
      <c r="IQ159" s="191"/>
      <c r="IR159" s="191">
        <v>100</v>
      </c>
      <c r="IS159" s="191"/>
      <c r="IT159" s="191"/>
      <c r="IU159" s="191">
        <v>200</v>
      </c>
      <c r="IV159" s="191"/>
      <c r="IW159" s="191">
        <v>150</v>
      </c>
      <c r="IX159" s="191"/>
      <c r="IY159" s="191"/>
      <c r="IZ159" s="191"/>
      <c r="JA159" s="191"/>
      <c r="JB159" s="191">
        <v>200</v>
      </c>
      <c r="JC159" s="191"/>
      <c r="JD159" s="191">
        <v>100</v>
      </c>
      <c r="JE159" s="192"/>
      <c r="JF159" s="190"/>
      <c r="JG159" s="191"/>
      <c r="JH159" s="191"/>
      <c r="JI159" s="191">
        <v>200</v>
      </c>
      <c r="JJ159" s="191"/>
      <c r="JK159" s="191">
        <v>50</v>
      </c>
      <c r="JL159" s="191"/>
      <c r="JM159" s="191">
        <v>50</v>
      </c>
      <c r="JN159" s="191"/>
      <c r="JO159" s="191"/>
      <c r="JP159" s="191"/>
      <c r="JQ159" s="191"/>
      <c r="JR159" s="191">
        <v>200</v>
      </c>
      <c r="JS159" s="191"/>
      <c r="JT159" s="191"/>
      <c r="JU159" s="191"/>
      <c r="JV159" s="191"/>
      <c r="JW159" s="191">
        <v>200</v>
      </c>
      <c r="JX159" s="191"/>
      <c r="JY159" s="191"/>
      <c r="JZ159" s="191">
        <v>200</v>
      </c>
      <c r="KA159" s="191"/>
      <c r="KB159" s="191"/>
      <c r="KC159" s="191"/>
      <c r="KD159" s="191"/>
      <c r="KE159" s="191"/>
      <c r="KF159" s="191">
        <v>200</v>
      </c>
      <c r="KG159" s="191"/>
      <c r="KH159" s="191"/>
      <c r="KI159" s="191"/>
      <c r="KJ159" s="193"/>
      <c r="KK159" s="194"/>
      <c r="KL159" s="191"/>
      <c r="KM159" s="191">
        <v>200</v>
      </c>
      <c r="KN159" s="191"/>
      <c r="KO159" s="191">
        <v>50</v>
      </c>
      <c r="KP159" s="191"/>
      <c r="KQ159" s="191"/>
      <c r="KR159" s="191"/>
      <c r="KS159" s="191"/>
      <c r="KT159" s="191"/>
      <c r="KU159" s="191">
        <v>200</v>
      </c>
      <c r="KV159" s="191">
        <v>50</v>
      </c>
      <c r="KW159" s="191"/>
      <c r="KX159" s="191"/>
      <c r="KY159" s="191">
        <v>200</v>
      </c>
      <c r="KZ159" s="191"/>
      <c r="LA159" s="191">
        <v>100</v>
      </c>
      <c r="LB159" s="191"/>
      <c r="LC159" s="191"/>
      <c r="LD159" s="191"/>
      <c r="LE159" s="191"/>
      <c r="LF159" s="191">
        <v>200</v>
      </c>
      <c r="LG159" s="191"/>
      <c r="LH159" s="191">
        <v>100</v>
      </c>
      <c r="LI159" s="191"/>
      <c r="LJ159" s="191">
        <v>100</v>
      </c>
      <c r="LK159" s="191"/>
      <c r="LL159" s="191"/>
      <c r="LM159" s="191">
        <v>150</v>
      </c>
      <c r="LN159" s="192"/>
      <c r="LO159" s="190">
        <v>200</v>
      </c>
      <c r="LP159" s="191"/>
      <c r="LQ159" s="191"/>
      <c r="LR159" s="191"/>
      <c r="LS159" s="191"/>
      <c r="LT159" s="191">
        <v>150</v>
      </c>
      <c r="LU159" s="191"/>
      <c r="LV159" s="191">
        <v>100</v>
      </c>
      <c r="LW159" s="191"/>
      <c r="LX159" s="191">
        <v>150</v>
      </c>
      <c r="LY159" s="191"/>
      <c r="LZ159" s="191"/>
      <c r="MA159" s="191">
        <v>150</v>
      </c>
      <c r="MB159" s="191"/>
      <c r="MC159" s="191">
        <v>10</v>
      </c>
      <c r="MD159" s="191"/>
      <c r="ME159" s="191">
        <v>50</v>
      </c>
      <c r="MF159" s="191"/>
      <c r="MG159" s="191"/>
      <c r="MH159" s="191">
        <v>150</v>
      </c>
      <c r="MI159" s="191"/>
      <c r="MJ159" s="191">
        <v>50</v>
      </c>
      <c r="MK159" s="191"/>
      <c r="ML159" s="191">
        <v>150</v>
      </c>
      <c r="MM159" s="191"/>
      <c r="MN159" s="191"/>
      <c r="MO159" s="191">
        <v>200</v>
      </c>
      <c r="MP159" s="191"/>
      <c r="MQ159" s="191">
        <v>100</v>
      </c>
      <c r="MR159" s="191"/>
      <c r="MS159" s="193"/>
      <c r="MT159" s="194"/>
      <c r="MU159" s="191"/>
      <c r="MV159" s="191">
        <v>200</v>
      </c>
      <c r="MW159" s="191"/>
      <c r="MX159" s="191">
        <v>100</v>
      </c>
      <c r="MY159" s="191"/>
      <c r="MZ159" s="191">
        <v>50</v>
      </c>
      <c r="NA159" s="191"/>
      <c r="NB159" s="191"/>
      <c r="NC159" s="191">
        <v>100</v>
      </c>
      <c r="ND159" s="191"/>
      <c r="NE159" s="191"/>
      <c r="NF159" s="191">
        <v>200</v>
      </c>
      <c r="NG159" s="191">
        <v>10</v>
      </c>
      <c r="NH159" s="191"/>
      <c r="NI159" s="191"/>
      <c r="NJ159" s="191">
        <v>100</v>
      </c>
      <c r="NK159" s="191"/>
      <c r="NL159" s="191">
        <v>150</v>
      </c>
      <c r="NM159" s="191"/>
      <c r="NN159" s="191"/>
      <c r="NO159" s="191"/>
      <c r="NP159" s="191"/>
      <c r="NQ159" s="191">
        <v>150</v>
      </c>
      <c r="NR159" s="191"/>
      <c r="NS159" s="191">
        <v>50</v>
      </c>
      <c r="NT159" s="191"/>
      <c r="NU159" s="191">
        <v>100</v>
      </c>
      <c r="NV159" s="191"/>
      <c r="NW159" s="192"/>
      <c r="NX159" s="190">
        <v>100</v>
      </c>
      <c r="NY159" s="191"/>
      <c r="NZ159" s="191">
        <v>50</v>
      </c>
      <c r="OA159" s="191"/>
      <c r="OB159" s="191"/>
      <c r="OC159" s="191"/>
      <c r="OD159" s="191"/>
      <c r="OE159" s="191">
        <v>150</v>
      </c>
      <c r="OF159" s="191"/>
      <c r="OG159" s="191">
        <v>50</v>
      </c>
      <c r="OH159" s="191"/>
      <c r="OI159" s="191">
        <v>50</v>
      </c>
      <c r="OJ159" s="191"/>
      <c r="OK159" s="191"/>
      <c r="OL159" s="191">
        <v>100</v>
      </c>
      <c r="OM159" s="191"/>
      <c r="ON159" s="191">
        <v>50</v>
      </c>
      <c r="OO159" s="191"/>
      <c r="OP159" s="191"/>
      <c r="OQ159" s="191"/>
      <c r="OR159" s="191"/>
      <c r="OS159" s="191"/>
      <c r="OT159" s="191"/>
      <c r="OU159" s="191"/>
      <c r="OV159" s="191"/>
      <c r="OW159" s="191"/>
      <c r="OX159" s="191"/>
      <c r="OY159" s="191"/>
      <c r="OZ159" s="191"/>
      <c r="PA159" s="191"/>
      <c r="PB159" s="193"/>
      <c r="PC159" s="47"/>
      <c r="PD159" s="154" t="s">
        <v>97</v>
      </c>
      <c r="PE159" s="155" t="s">
        <v>98</v>
      </c>
      <c r="PF159" s="155" t="s">
        <v>98</v>
      </c>
      <c r="PG159" s="155" t="s">
        <v>98</v>
      </c>
      <c r="PH159" s="155" t="s">
        <v>98</v>
      </c>
      <c r="PI159" s="155" t="s">
        <v>98</v>
      </c>
      <c r="PJ159" s="155" t="s">
        <v>98</v>
      </c>
      <c r="PK159" s="155" t="s">
        <v>98</v>
      </c>
      <c r="PL159" s="155" t="s">
        <v>98</v>
      </c>
      <c r="PM159" s="155" t="s">
        <v>98</v>
      </c>
      <c r="PN159" s="155" t="s">
        <v>98</v>
      </c>
      <c r="PO159" s="156"/>
      <c r="PP159" s="156"/>
      <c r="PQ159" s="156"/>
      <c r="PR159" s="156"/>
      <c r="PS159" s="156"/>
      <c r="PT159" s="156"/>
      <c r="PU159" s="156"/>
      <c r="PV159" s="156"/>
      <c r="PW159" s="156"/>
      <c r="PX159" s="195"/>
      <c r="PY159" s="1"/>
      <c r="PZ159" s="196">
        <f t="shared" si="126"/>
        <v>1200</v>
      </c>
      <c r="QA159" s="176">
        <f t="shared" si="127"/>
        <v>1.0010845082172353E-2</v>
      </c>
      <c r="QB159" s="177" t="str">
        <f t="shared" ca="1" si="128"/>
        <v>Attente…</v>
      </c>
      <c r="QC159" s="197">
        <f t="shared" si="129"/>
        <v>1250</v>
      </c>
      <c r="QD159" s="179">
        <f t="shared" si="130"/>
        <v>1.1704119850187267E-2</v>
      </c>
      <c r="QE159" s="180" t="str">
        <f t="shared" ca="1" si="131"/>
        <v>Attente…</v>
      </c>
      <c r="QF159" s="196">
        <f t="shared" si="132"/>
        <v>1460</v>
      </c>
      <c r="QG159" s="176">
        <f t="shared" si="133"/>
        <v>1.1626055104315974E-2</v>
      </c>
      <c r="QH159" s="177" t="str">
        <f t="shared" ca="1" si="134"/>
        <v>Attente…</v>
      </c>
      <c r="QI159" s="197">
        <f t="shared" si="135"/>
        <v>1700</v>
      </c>
      <c r="QJ159" s="179">
        <f t="shared" si="136"/>
        <v>1.1923130873895358E-2</v>
      </c>
      <c r="QK159" s="180" t="str">
        <f t="shared" ca="1" si="137"/>
        <v>Attente…</v>
      </c>
      <c r="QL159" s="196">
        <f t="shared" si="138"/>
        <v>1550</v>
      </c>
      <c r="QM159" s="176">
        <f t="shared" si="139"/>
        <v>1.1340357038337722E-2</v>
      </c>
      <c r="QN159" s="177" t="str">
        <f t="shared" ca="1" si="140"/>
        <v>Attente…</v>
      </c>
      <c r="QO159" s="197">
        <f t="shared" si="141"/>
        <v>1550</v>
      </c>
      <c r="QP159" s="179">
        <f t="shared" si="142"/>
        <v>1.2134972206999139E-2</v>
      </c>
      <c r="QQ159" s="180" t="str">
        <f t="shared" ca="1" si="143"/>
        <v>Attente…</v>
      </c>
      <c r="QR159" s="196">
        <f t="shared" si="144"/>
        <v>1400</v>
      </c>
      <c r="QS159" s="176">
        <f t="shared" si="145"/>
        <v>1.0078830855620748E-2</v>
      </c>
      <c r="QT159" s="177" t="str">
        <f t="shared" ca="1" si="146"/>
        <v>Attente…</v>
      </c>
      <c r="QU159" s="197">
        <f t="shared" si="147"/>
        <v>1100</v>
      </c>
      <c r="QV159" s="179">
        <f t="shared" si="148"/>
        <v>7.5841147269718702E-3</v>
      </c>
      <c r="QW159" s="180" t="str">
        <f t="shared" ca="1" si="149"/>
        <v>Attente…</v>
      </c>
      <c r="QX159" s="196">
        <f t="shared" si="150"/>
        <v>1350</v>
      </c>
      <c r="QY159" s="176">
        <f t="shared" si="151"/>
        <v>9.8514259026825073E-3</v>
      </c>
      <c r="QZ159" s="177" t="str">
        <f t="shared" ca="1" si="152"/>
        <v>Attente…</v>
      </c>
      <c r="RA159" s="197">
        <f t="shared" si="153"/>
        <v>1460</v>
      </c>
      <c r="RB159" s="179">
        <f t="shared" si="154"/>
        <v>1.1423206321884047E-2</v>
      </c>
      <c r="RC159" s="180" t="str">
        <f t="shared" ca="1" si="155"/>
        <v>Attente…</v>
      </c>
      <c r="RD159" s="196">
        <f t="shared" si="156"/>
        <v>1210</v>
      </c>
      <c r="RE159" s="176">
        <f t="shared" si="157"/>
        <v>1.2056596253487446E-2</v>
      </c>
      <c r="RF159" s="177" t="str">
        <f t="shared" ca="1" si="158"/>
        <v>Attente…</v>
      </c>
      <c r="RG159" s="197">
        <f t="shared" si="159"/>
        <v>550</v>
      </c>
      <c r="RH159" s="179">
        <f t="shared" si="160"/>
        <v>1.0115872723928637E-2</v>
      </c>
      <c r="RI159" s="198" t="str">
        <f t="shared" ca="1" si="161"/>
        <v>Attente…</v>
      </c>
      <c r="RJ159" s="199">
        <f t="shared" si="162"/>
        <v>3910</v>
      </c>
      <c r="RK159" s="200" t="str">
        <f t="shared" ca="1" si="119"/>
        <v>Attente…</v>
      </c>
      <c r="RL159" s="199">
        <f t="shared" si="163"/>
        <v>4800</v>
      </c>
      <c r="RM159" s="200" t="str">
        <f t="shared" ca="1" si="164"/>
        <v>Atttente…</v>
      </c>
      <c r="RN159" s="199">
        <f t="shared" si="165"/>
        <v>3850</v>
      </c>
      <c r="RO159" s="200" t="str">
        <f t="shared" ca="1" si="120"/>
        <v>Attente…</v>
      </c>
      <c r="RP159" s="199">
        <f t="shared" si="166"/>
        <v>3220</v>
      </c>
      <c r="RQ159" s="200" t="str">
        <f t="shared" ca="1" si="121"/>
        <v>Attente…</v>
      </c>
      <c r="RR159" s="201">
        <f t="shared" si="167"/>
        <v>15780</v>
      </c>
      <c r="RS159" s="202" t="str">
        <f t="shared" ca="1" si="122"/>
        <v>Attente…</v>
      </c>
      <c r="RT159" s="103"/>
      <c r="RU159" s="203">
        <f t="shared" si="168"/>
        <v>0.61162790697674418</v>
      </c>
      <c r="RV159" s="204">
        <f t="shared" si="171"/>
        <v>1</v>
      </c>
      <c r="RW159" s="204">
        <f t="shared" si="171"/>
        <v>3</v>
      </c>
      <c r="RX159" s="204">
        <f t="shared" si="169"/>
        <v>129</v>
      </c>
      <c r="RY159" s="205" t="str">
        <f t="shared" si="170"/>
        <v>LE GRAND-QUEVILLY - 26 Rue Michel Corroy (Place Du Québec)</v>
      </c>
      <c r="RZ159" s="189" t="str">
        <f>IF(OR(RZ158="",RZ158="  &lt;/Document&gt;
&lt;/kml&gt;"),"",
IF(B159="","  &lt;/Document&gt;
&lt;/kml&gt;",
IF(TournéesCAV!Q159=""," ",
"    &lt;Placemark&gt;
      &lt;description&gt;&lt;![CDATA["&amp;B159&amp;"&lt;br&gt;&lt;br&gt;"&amp;RV159&amp;" CAV&lt;br&gt;&lt;br&gt;Présent sur "&amp;RW159&amp;" tournée(s)&lt;br&gt;&lt;br&gt;Taux de remplissage moyen "&amp;TEXT(RU159*1000,"0 %")&amp;"]]&gt;&lt;/description&gt;
      &lt;Style&gt;
        &lt;IconStyle&gt;
          &lt;color&gt;ff"&amp;
          DEC2HEX(0,2)&amp;
          DEC2HEX(
            IF(RU159&lt;=0.5,
               INT(255*(RU159*2)),
               255
            ),2)&amp;
          DEC2HEX(
            IF(RU159&lt;=0.5,
               255,
               INT(255*(1-(RU159-0.5)*2))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&lt;Point&gt;&lt;coordinates&gt;"&amp;R159&amp;","&amp;Q159&amp;",0&lt;/coordinates&gt;&lt;/Point&gt;
    &lt;/Placemark&gt;"
)))</f>
        <v xml:space="preserve">    &lt;Placemark&gt;
      &lt;description&gt;&lt;![CDATA[LE GRAND-QUEVILLY - 26 Rue Michel Corroy (Place Du Québec)&lt;br&gt;&lt;br&gt;1 CAV&lt;br&gt;&lt;br&gt;Présent sur 3 tournée(s)&lt;br&gt;&lt;br&gt;Taux de remplissage moyen 61%]]&gt;&lt;/description&gt;
      &lt;Style&gt;
        &lt;IconStyle&gt;
          &lt;color&gt;ff00FFC6&lt;/color&gt;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&lt;Point&gt;&lt;coordinates&gt;1.057087,49.4017997,0&lt;/coordinates&gt;&lt;/Point&gt;
    &lt;/Placemark&gt;</v>
      </c>
    </row>
    <row r="160" spans="2:494" ht="15" hidden="1" customHeight="1" x14ac:dyDescent="0.35">
      <c r="B160" s="153" t="str">
        <f t="shared" si="123"/>
        <v>LE GRAND-QUEVILLY - 18 Rue Maryse Bastié (Parking école Maryse Bastié)</v>
      </c>
      <c r="C160" s="154">
        <v>181</v>
      </c>
      <c r="D160" s="155"/>
      <c r="E160" s="155"/>
      <c r="F160" s="155"/>
      <c r="G160" s="155"/>
      <c r="H160" s="155"/>
      <c r="I160" s="155"/>
      <c r="J160" s="156"/>
      <c r="K160" s="157">
        <f t="shared" si="124"/>
        <v>1</v>
      </c>
      <c r="L160" s="157">
        <f t="shared" si="125"/>
        <v>2</v>
      </c>
      <c r="M160" s="158" t="s">
        <v>889</v>
      </c>
      <c r="N160" s="159" t="s">
        <v>890</v>
      </c>
      <c r="O160" s="159">
        <v>76120</v>
      </c>
      <c r="P160" s="159" t="s">
        <v>709</v>
      </c>
      <c r="Q160" s="159" t="s">
        <v>891</v>
      </c>
      <c r="R160" s="159" t="s">
        <v>892</v>
      </c>
      <c r="S160" s="159" t="s">
        <v>93</v>
      </c>
      <c r="T160" s="159" t="s">
        <v>94</v>
      </c>
      <c r="U160" s="159" t="s">
        <v>893</v>
      </c>
      <c r="V160" s="160" t="s">
        <v>96</v>
      </c>
      <c r="W160" s="161"/>
      <c r="X160" s="162"/>
      <c r="Y160" s="163">
        <v>12</v>
      </c>
      <c r="Z160" s="162">
        <v>11</v>
      </c>
      <c r="AA160" s="163"/>
      <c r="AB160" s="162"/>
      <c r="AC160" s="163"/>
      <c r="AD160" s="162"/>
      <c r="AE160" s="163"/>
      <c r="AF160" s="162"/>
      <c r="AG160" s="163"/>
      <c r="AH160" s="163"/>
      <c r="AI160" s="162"/>
      <c r="AJ160" s="163"/>
      <c r="AK160" s="162"/>
      <c r="AL160" s="163"/>
      <c r="AM160" s="162"/>
      <c r="AN160" s="163"/>
      <c r="AO160" s="162"/>
      <c r="AP160" s="164"/>
      <c r="AQ160" s="164"/>
      <c r="AR160" s="164"/>
      <c r="AS160" s="164"/>
      <c r="AT160" s="164"/>
      <c r="AU160" s="164"/>
      <c r="AV160" s="164"/>
      <c r="AW160" s="164"/>
      <c r="AX160" s="164"/>
      <c r="AY160" s="165"/>
      <c r="AZ160" s="41"/>
      <c r="BA160" s="190"/>
      <c r="BB160" s="191">
        <v>200</v>
      </c>
      <c r="BC160" s="191"/>
      <c r="BD160" s="191"/>
      <c r="BE160" s="191"/>
      <c r="BF160" s="191"/>
      <c r="BG160" s="191"/>
      <c r="BH160" s="191"/>
      <c r="BI160" s="191">
        <v>100</v>
      </c>
      <c r="BJ160" s="191"/>
      <c r="BK160" s="191"/>
      <c r="BL160" s="191"/>
      <c r="BM160" s="191"/>
      <c r="BN160" s="191"/>
      <c r="BO160" s="191"/>
      <c r="BP160" s="191">
        <v>10</v>
      </c>
      <c r="BQ160" s="191"/>
      <c r="BR160" s="191"/>
      <c r="BS160" s="191"/>
      <c r="BT160" s="191">
        <v>10</v>
      </c>
      <c r="BU160" s="191"/>
      <c r="BV160" s="191"/>
      <c r="BW160" s="191">
        <v>100</v>
      </c>
      <c r="BX160" s="191"/>
      <c r="BY160" s="191"/>
      <c r="BZ160" s="191"/>
      <c r="CA160" s="191"/>
      <c r="CB160" s="191"/>
      <c r="CC160" s="191"/>
      <c r="CD160" s="191">
        <v>100</v>
      </c>
      <c r="CE160" s="192"/>
      <c r="CF160" s="190"/>
      <c r="CG160" s="191"/>
      <c r="CH160" s="191">
        <v>100</v>
      </c>
      <c r="CI160" s="191"/>
      <c r="CJ160" s="191"/>
      <c r="CK160" s="191">
        <v>50</v>
      </c>
      <c r="CL160" s="191"/>
      <c r="CM160" s="191"/>
      <c r="CN160" s="191"/>
      <c r="CO160" s="191">
        <v>50</v>
      </c>
      <c r="CP160" s="191"/>
      <c r="CQ160" s="191"/>
      <c r="CR160" s="191">
        <v>50</v>
      </c>
      <c r="CS160" s="191"/>
      <c r="CT160" s="191"/>
      <c r="CU160" s="191"/>
      <c r="CV160" s="191">
        <v>150</v>
      </c>
      <c r="CW160" s="191"/>
      <c r="CX160" s="191"/>
      <c r="CY160" s="191">
        <v>50</v>
      </c>
      <c r="CZ160" s="191"/>
      <c r="DA160" s="191"/>
      <c r="DB160" s="191"/>
      <c r="DC160" s="191">
        <v>50</v>
      </c>
      <c r="DD160" s="191"/>
      <c r="DE160" s="191"/>
      <c r="DF160" s="191">
        <v>10</v>
      </c>
      <c r="DG160" s="191"/>
      <c r="DH160" s="193"/>
      <c r="DI160" s="194"/>
      <c r="DJ160" s="191"/>
      <c r="DK160" s="191">
        <v>150</v>
      </c>
      <c r="DL160" s="191"/>
      <c r="DM160" s="191"/>
      <c r="DN160" s="191">
        <v>10</v>
      </c>
      <c r="DO160" s="191"/>
      <c r="DP160" s="191"/>
      <c r="DQ160" s="191"/>
      <c r="DR160" s="191">
        <v>100</v>
      </c>
      <c r="DS160" s="191"/>
      <c r="DT160" s="191"/>
      <c r="DU160" s="191">
        <v>10</v>
      </c>
      <c r="DV160" s="191"/>
      <c r="DW160" s="191"/>
      <c r="DX160" s="191"/>
      <c r="DY160" s="191">
        <v>50</v>
      </c>
      <c r="DZ160" s="191"/>
      <c r="EA160" s="191"/>
      <c r="EB160" s="191">
        <v>50</v>
      </c>
      <c r="EC160" s="191"/>
      <c r="ED160" s="191"/>
      <c r="EE160" s="191"/>
      <c r="EF160" s="191">
        <v>50</v>
      </c>
      <c r="EG160" s="191"/>
      <c r="EH160" s="191"/>
      <c r="EI160" s="191">
        <v>50</v>
      </c>
      <c r="EJ160" s="191"/>
      <c r="EK160" s="191"/>
      <c r="EL160" s="191"/>
      <c r="EM160" s="192">
        <v>100</v>
      </c>
      <c r="EN160" s="190"/>
      <c r="EO160" s="191"/>
      <c r="EP160" s="191">
        <v>10</v>
      </c>
      <c r="EQ160" s="191"/>
      <c r="ER160" s="191"/>
      <c r="ES160" s="191"/>
      <c r="ET160" s="191">
        <v>100</v>
      </c>
      <c r="EU160" s="191"/>
      <c r="EV160" s="191"/>
      <c r="EW160" s="191">
        <v>50</v>
      </c>
      <c r="EX160" s="191"/>
      <c r="EY160" s="191"/>
      <c r="EZ160" s="191"/>
      <c r="FA160" s="191">
        <v>100</v>
      </c>
      <c r="FB160" s="191"/>
      <c r="FC160" s="191"/>
      <c r="FD160" s="191">
        <v>10</v>
      </c>
      <c r="FE160" s="191"/>
      <c r="FF160" s="191"/>
      <c r="FG160" s="191"/>
      <c r="FH160" s="191"/>
      <c r="FI160" s="191">
        <v>100</v>
      </c>
      <c r="FJ160" s="191"/>
      <c r="FK160" s="191"/>
      <c r="FL160" s="191"/>
      <c r="FM160" s="191"/>
      <c r="FN160" s="191"/>
      <c r="FO160" s="191"/>
      <c r="FP160" s="191"/>
      <c r="FQ160" s="193"/>
      <c r="FR160" s="194"/>
      <c r="FS160" s="191"/>
      <c r="FT160" s="191"/>
      <c r="FU160" s="191"/>
      <c r="FV160" s="191">
        <v>200</v>
      </c>
      <c r="FW160" s="191"/>
      <c r="FX160" s="191"/>
      <c r="FY160" s="191"/>
      <c r="FZ160" s="191"/>
      <c r="GA160" s="191"/>
      <c r="GB160" s="191"/>
      <c r="GC160" s="191">
        <v>100</v>
      </c>
      <c r="GD160" s="191"/>
      <c r="GE160" s="191"/>
      <c r="GF160" s="191">
        <v>50</v>
      </c>
      <c r="GG160" s="191"/>
      <c r="GH160" s="191"/>
      <c r="GI160" s="191"/>
      <c r="GJ160" s="191">
        <v>50</v>
      </c>
      <c r="GK160" s="191"/>
      <c r="GL160" s="191"/>
      <c r="GM160" s="191">
        <v>10</v>
      </c>
      <c r="GN160" s="191"/>
      <c r="GO160" s="191"/>
      <c r="GP160" s="191"/>
      <c r="GQ160" s="191">
        <v>50</v>
      </c>
      <c r="GR160" s="191"/>
      <c r="GS160" s="191"/>
      <c r="GT160" s="191"/>
      <c r="GU160" s="191"/>
      <c r="GV160" s="192"/>
      <c r="GW160" s="190"/>
      <c r="GX160" s="191">
        <v>100</v>
      </c>
      <c r="GY160" s="191"/>
      <c r="GZ160" s="191"/>
      <c r="HA160" s="191">
        <v>10</v>
      </c>
      <c r="HB160" s="191"/>
      <c r="HC160" s="191"/>
      <c r="HD160" s="191"/>
      <c r="HE160" s="191"/>
      <c r="HF160" s="191"/>
      <c r="HG160" s="191"/>
      <c r="HH160" s="191"/>
      <c r="HI160" s="191"/>
      <c r="HJ160" s="191"/>
      <c r="HK160" s="191"/>
      <c r="HL160" s="191">
        <v>100</v>
      </c>
      <c r="HM160" s="191"/>
      <c r="HN160" s="191"/>
      <c r="HO160" s="191"/>
      <c r="HP160" s="191"/>
      <c r="HQ160" s="191"/>
      <c r="HR160" s="191"/>
      <c r="HS160" s="191"/>
      <c r="HT160" s="191"/>
      <c r="HU160" s="191"/>
      <c r="HV160" s="191">
        <v>150</v>
      </c>
      <c r="HW160" s="191"/>
      <c r="HX160" s="191"/>
      <c r="HY160" s="191"/>
      <c r="HZ160" s="193">
        <v>50</v>
      </c>
      <c r="IA160" s="194"/>
      <c r="IB160" s="191"/>
      <c r="IC160" s="191">
        <v>100</v>
      </c>
      <c r="ID160" s="191"/>
      <c r="IE160" s="191"/>
      <c r="IF160" s="191"/>
      <c r="IG160" s="191">
        <v>50</v>
      </c>
      <c r="IH160" s="191"/>
      <c r="II160" s="191"/>
      <c r="IJ160" s="191">
        <v>50</v>
      </c>
      <c r="IK160" s="191"/>
      <c r="IL160" s="191"/>
      <c r="IM160" s="191"/>
      <c r="IN160" s="191">
        <v>200</v>
      </c>
      <c r="IO160" s="191"/>
      <c r="IP160" s="191"/>
      <c r="IQ160" s="191"/>
      <c r="IR160" s="191"/>
      <c r="IS160" s="191"/>
      <c r="IT160" s="191"/>
      <c r="IU160" s="191">
        <v>150</v>
      </c>
      <c r="IV160" s="191"/>
      <c r="IW160" s="191"/>
      <c r="IX160" s="191">
        <v>10</v>
      </c>
      <c r="IY160" s="191"/>
      <c r="IZ160" s="191"/>
      <c r="JA160" s="191"/>
      <c r="JB160" s="191">
        <v>100</v>
      </c>
      <c r="JC160" s="191"/>
      <c r="JD160" s="191"/>
      <c r="JE160" s="192">
        <v>100</v>
      </c>
      <c r="JF160" s="190"/>
      <c r="JG160" s="191"/>
      <c r="JH160" s="191"/>
      <c r="JI160" s="191">
        <v>50</v>
      </c>
      <c r="JJ160" s="191"/>
      <c r="JK160" s="191"/>
      <c r="JL160" s="191">
        <v>50</v>
      </c>
      <c r="JM160" s="191"/>
      <c r="JN160" s="191"/>
      <c r="JO160" s="191"/>
      <c r="JP160" s="191"/>
      <c r="JQ160" s="191"/>
      <c r="JR160" s="191">
        <v>100</v>
      </c>
      <c r="JS160" s="191"/>
      <c r="JT160" s="191"/>
      <c r="JU160" s="191"/>
      <c r="JV160" s="191"/>
      <c r="JW160" s="191">
        <v>10</v>
      </c>
      <c r="JX160" s="191"/>
      <c r="JY160" s="191"/>
      <c r="JZ160" s="191">
        <v>150</v>
      </c>
      <c r="KA160" s="191"/>
      <c r="KB160" s="191"/>
      <c r="KC160" s="191"/>
      <c r="KD160" s="191"/>
      <c r="KE160" s="191"/>
      <c r="KF160" s="191">
        <v>100</v>
      </c>
      <c r="KG160" s="191"/>
      <c r="KH160" s="191"/>
      <c r="KI160" s="191"/>
      <c r="KJ160" s="193"/>
      <c r="KK160" s="194"/>
      <c r="KL160" s="191"/>
      <c r="KM160" s="191"/>
      <c r="KN160" s="191">
        <v>150</v>
      </c>
      <c r="KO160" s="191"/>
      <c r="KP160" s="191"/>
      <c r="KQ160" s="191"/>
      <c r="KR160" s="191"/>
      <c r="KS160" s="191"/>
      <c r="KT160" s="191"/>
      <c r="KU160" s="191"/>
      <c r="KV160" s="191"/>
      <c r="KW160" s="191"/>
      <c r="KX160" s="191"/>
      <c r="KY160" s="191">
        <v>200</v>
      </c>
      <c r="KZ160" s="191"/>
      <c r="LA160" s="191"/>
      <c r="LB160" s="191">
        <v>50</v>
      </c>
      <c r="LC160" s="191"/>
      <c r="LD160" s="191"/>
      <c r="LE160" s="191"/>
      <c r="LF160" s="191">
        <v>50</v>
      </c>
      <c r="LG160" s="191"/>
      <c r="LH160" s="191"/>
      <c r="LI160" s="191">
        <v>5</v>
      </c>
      <c r="LJ160" s="191"/>
      <c r="LK160" s="191"/>
      <c r="LL160" s="191"/>
      <c r="LM160" s="191">
        <v>150</v>
      </c>
      <c r="LN160" s="192"/>
      <c r="LO160" s="190"/>
      <c r="LP160" s="191"/>
      <c r="LQ160" s="191"/>
      <c r="LR160" s="191"/>
      <c r="LS160" s="191"/>
      <c r="LT160" s="191">
        <v>100</v>
      </c>
      <c r="LU160" s="191"/>
      <c r="LV160" s="191"/>
      <c r="LW160" s="191"/>
      <c r="LX160" s="191"/>
      <c r="LY160" s="191"/>
      <c r="LZ160" s="191"/>
      <c r="MA160" s="191">
        <v>100</v>
      </c>
      <c r="MB160" s="191"/>
      <c r="MC160" s="191"/>
      <c r="MD160" s="191">
        <v>50</v>
      </c>
      <c r="ME160" s="191"/>
      <c r="MF160" s="191"/>
      <c r="MG160" s="191"/>
      <c r="MH160" s="191">
        <v>10</v>
      </c>
      <c r="MI160" s="191"/>
      <c r="MJ160" s="191"/>
      <c r="MK160" s="191">
        <v>10</v>
      </c>
      <c r="ML160" s="191"/>
      <c r="MM160" s="191"/>
      <c r="MN160" s="191"/>
      <c r="MO160" s="191">
        <v>100</v>
      </c>
      <c r="MP160" s="191"/>
      <c r="MQ160" s="191"/>
      <c r="MR160" s="191">
        <v>100</v>
      </c>
      <c r="MS160" s="193"/>
      <c r="MT160" s="194"/>
      <c r="MU160" s="191"/>
      <c r="MV160" s="191">
        <v>50</v>
      </c>
      <c r="MW160" s="191"/>
      <c r="MX160" s="191"/>
      <c r="MY160" s="191">
        <v>10</v>
      </c>
      <c r="MZ160" s="191"/>
      <c r="NA160" s="191"/>
      <c r="NB160" s="191"/>
      <c r="NC160" s="191">
        <v>50</v>
      </c>
      <c r="ND160" s="191"/>
      <c r="NE160" s="191"/>
      <c r="NF160" s="191"/>
      <c r="NG160" s="191"/>
      <c r="NH160" s="191"/>
      <c r="NI160" s="191"/>
      <c r="NJ160" s="191">
        <v>100</v>
      </c>
      <c r="NK160" s="191"/>
      <c r="NL160" s="191"/>
      <c r="NM160" s="191"/>
      <c r="NN160" s="191"/>
      <c r="NO160" s="191"/>
      <c r="NP160" s="191"/>
      <c r="NQ160" s="191">
        <v>50</v>
      </c>
      <c r="NR160" s="191"/>
      <c r="NS160" s="191"/>
      <c r="NT160" s="191">
        <v>50</v>
      </c>
      <c r="NU160" s="191"/>
      <c r="NV160" s="191"/>
      <c r="NW160" s="192"/>
      <c r="NX160" s="190">
        <v>50</v>
      </c>
      <c r="NY160" s="191"/>
      <c r="NZ160" s="191"/>
      <c r="OA160" s="191">
        <v>50</v>
      </c>
      <c r="OB160" s="191"/>
      <c r="OC160" s="191"/>
      <c r="OD160" s="191"/>
      <c r="OE160" s="191">
        <v>50</v>
      </c>
      <c r="OF160" s="191"/>
      <c r="OG160" s="191"/>
      <c r="OH160" s="191">
        <v>50</v>
      </c>
      <c r="OI160" s="191"/>
      <c r="OJ160" s="191"/>
      <c r="OK160" s="191"/>
      <c r="OL160" s="191">
        <v>50</v>
      </c>
      <c r="OM160" s="191"/>
      <c r="ON160" s="191"/>
      <c r="OO160" s="191">
        <v>0</v>
      </c>
      <c r="OP160" s="191"/>
      <c r="OQ160" s="191"/>
      <c r="OR160" s="191"/>
      <c r="OS160" s="191"/>
      <c r="OT160" s="191"/>
      <c r="OU160" s="191"/>
      <c r="OV160" s="191"/>
      <c r="OW160" s="191"/>
      <c r="OX160" s="191"/>
      <c r="OY160" s="191"/>
      <c r="OZ160" s="191"/>
      <c r="PA160" s="191"/>
      <c r="PB160" s="193"/>
      <c r="PC160" s="47"/>
      <c r="PD160" s="154" t="s">
        <v>97</v>
      </c>
      <c r="PE160" s="155" t="s">
        <v>98</v>
      </c>
      <c r="PF160" s="155" t="s">
        <v>98</v>
      </c>
      <c r="PG160" s="155" t="s">
        <v>98</v>
      </c>
      <c r="PH160" s="155" t="s">
        <v>98</v>
      </c>
      <c r="PI160" s="155" t="s">
        <v>98</v>
      </c>
      <c r="PJ160" s="155" t="s">
        <v>98</v>
      </c>
      <c r="PK160" s="155" t="s">
        <v>98</v>
      </c>
      <c r="PL160" s="155" t="s">
        <v>98</v>
      </c>
      <c r="PM160" s="155" t="s">
        <v>98</v>
      </c>
      <c r="PN160" s="155" t="s">
        <v>98</v>
      </c>
      <c r="PO160" s="156"/>
      <c r="PP160" s="156"/>
      <c r="PQ160" s="156"/>
      <c r="PR160" s="156"/>
      <c r="PS160" s="156"/>
      <c r="PT160" s="156"/>
      <c r="PU160" s="156"/>
      <c r="PV160" s="156"/>
      <c r="PW160" s="156"/>
      <c r="PX160" s="195"/>
      <c r="PY160" s="1"/>
      <c r="PZ160" s="196">
        <f t="shared" si="126"/>
        <v>520</v>
      </c>
      <c r="QA160" s="176">
        <f t="shared" si="127"/>
        <v>4.3380328689413532E-3</v>
      </c>
      <c r="QB160" s="177" t="str">
        <f t="shared" ca="1" si="128"/>
        <v>Attente…</v>
      </c>
      <c r="QC160" s="197">
        <f t="shared" si="129"/>
        <v>510</v>
      </c>
      <c r="QD160" s="179">
        <f t="shared" si="130"/>
        <v>4.7752808988764045E-3</v>
      </c>
      <c r="QE160" s="180" t="str">
        <f t="shared" ca="1" si="131"/>
        <v>Attente…</v>
      </c>
      <c r="QF160" s="196">
        <f t="shared" si="132"/>
        <v>570</v>
      </c>
      <c r="QG160" s="176">
        <f t="shared" si="133"/>
        <v>4.538939321548017E-3</v>
      </c>
      <c r="QH160" s="177" t="str">
        <f t="shared" ca="1" si="134"/>
        <v>Attente…</v>
      </c>
      <c r="QI160" s="197">
        <f t="shared" si="135"/>
        <v>370</v>
      </c>
      <c r="QJ160" s="179">
        <f t="shared" si="136"/>
        <v>2.5950343666713426E-3</v>
      </c>
      <c r="QK160" s="180" t="str">
        <f t="shared" ca="1" si="137"/>
        <v>Attente…</v>
      </c>
      <c r="QL160" s="196">
        <f t="shared" si="138"/>
        <v>460</v>
      </c>
      <c r="QM160" s="176">
        <f t="shared" si="139"/>
        <v>3.3655253146034534E-3</v>
      </c>
      <c r="QN160" s="177" t="str">
        <f t="shared" ca="1" si="140"/>
        <v>Attente…</v>
      </c>
      <c r="QO160" s="197">
        <f t="shared" si="141"/>
        <v>410</v>
      </c>
      <c r="QP160" s="179">
        <f t="shared" si="142"/>
        <v>3.2098958741094497E-3</v>
      </c>
      <c r="QQ160" s="180" t="str">
        <f t="shared" ca="1" si="143"/>
        <v>Attente…</v>
      </c>
      <c r="QR160" s="196">
        <f t="shared" si="144"/>
        <v>760</v>
      </c>
      <c r="QS160" s="176">
        <f t="shared" si="145"/>
        <v>5.4713653216226918E-3</v>
      </c>
      <c r="QT160" s="177" t="str">
        <f t="shared" ca="1" si="146"/>
        <v>Attente…</v>
      </c>
      <c r="QU160" s="197">
        <f t="shared" si="147"/>
        <v>460</v>
      </c>
      <c r="QV160" s="179">
        <f t="shared" si="148"/>
        <v>3.1715388858246001E-3</v>
      </c>
      <c r="QW160" s="180" t="str">
        <f t="shared" ca="1" si="149"/>
        <v>Attente…</v>
      </c>
      <c r="QX160" s="196">
        <f t="shared" si="150"/>
        <v>605</v>
      </c>
      <c r="QY160" s="176">
        <f t="shared" si="151"/>
        <v>4.4148982749058641E-3</v>
      </c>
      <c r="QZ160" s="177" t="str">
        <f t="shared" ca="1" si="152"/>
        <v>Attente…</v>
      </c>
      <c r="RA160" s="197">
        <f t="shared" si="153"/>
        <v>470</v>
      </c>
      <c r="RB160" s="179">
        <f t="shared" si="154"/>
        <v>3.677333541976371E-3</v>
      </c>
      <c r="RC160" s="180" t="str">
        <f t="shared" ca="1" si="155"/>
        <v>Attente…</v>
      </c>
      <c r="RD160" s="196">
        <f t="shared" si="156"/>
        <v>310</v>
      </c>
      <c r="RE160" s="176">
        <f t="shared" si="157"/>
        <v>3.0888800318852132E-3</v>
      </c>
      <c r="RF160" s="177" t="str">
        <f t="shared" ca="1" si="158"/>
        <v>Attente…</v>
      </c>
      <c r="RG160" s="197">
        <f t="shared" si="159"/>
        <v>250</v>
      </c>
      <c r="RH160" s="179">
        <f t="shared" si="160"/>
        <v>4.5981239654221077E-3</v>
      </c>
      <c r="RI160" s="198" t="str">
        <f t="shared" ca="1" si="161"/>
        <v>Attente…</v>
      </c>
      <c r="RJ160" s="199">
        <f t="shared" si="162"/>
        <v>1600</v>
      </c>
      <c r="RK160" s="200" t="str">
        <f t="shared" ca="1" si="119"/>
        <v>Attente…</v>
      </c>
      <c r="RL160" s="199">
        <f t="shared" si="163"/>
        <v>1240</v>
      </c>
      <c r="RM160" s="200" t="str">
        <f t="shared" ca="1" si="164"/>
        <v>Atttente…</v>
      </c>
      <c r="RN160" s="199">
        <f t="shared" si="165"/>
        <v>1825</v>
      </c>
      <c r="RO160" s="200" t="str">
        <f t="shared" ca="1" si="120"/>
        <v>Attente…</v>
      </c>
      <c r="RP160" s="199">
        <f t="shared" si="166"/>
        <v>1030</v>
      </c>
      <c r="RQ160" s="200" t="str">
        <f t="shared" ca="1" si="121"/>
        <v>Attente…</v>
      </c>
      <c r="RR160" s="201">
        <f t="shared" si="167"/>
        <v>5695</v>
      </c>
      <c r="RS160" s="202" t="str">
        <f t="shared" ca="1" si="122"/>
        <v>Attente…</v>
      </c>
      <c r="RT160" s="103"/>
      <c r="RU160" s="203">
        <f t="shared" si="168"/>
        <v>0.36044303797468352</v>
      </c>
      <c r="RV160" s="204">
        <f t="shared" si="171"/>
        <v>1</v>
      </c>
      <c r="RW160" s="204">
        <f t="shared" si="171"/>
        <v>2</v>
      </c>
      <c r="RX160" s="204">
        <f t="shared" si="169"/>
        <v>79</v>
      </c>
      <c r="RY160" s="205" t="str">
        <f t="shared" si="170"/>
        <v>LE GRAND-QUEVILLY - 18 Rue Maryse Bastié (Parking école Maryse Bastié)</v>
      </c>
      <c r="RZ160" s="189" t="str">
        <f>IF(OR(RZ159="",RZ159="  &lt;/Document&gt;
&lt;/kml&gt;"),"",
IF(B160="","  &lt;/Document&gt;
&lt;/kml&gt;",
IF(TournéesCAV!Q160=""," ",
"    &lt;Placemark&gt;
      &lt;description&gt;&lt;![CDATA["&amp;B160&amp;"&lt;br&gt;&lt;br&gt;"&amp;RV160&amp;" CAV&lt;br&gt;&lt;br&gt;Présent sur "&amp;RW160&amp;" tournée(s)&lt;br&gt;&lt;br&gt;Taux de remplissage moyen "&amp;TEXT(RU160*1000,"0 %")&amp;"]]&gt;&lt;/description&gt;
      &lt;Style&gt;
        &lt;IconStyle&gt;
          &lt;color&gt;ff"&amp;
          DEC2HEX(0,2)&amp;
          DEC2HEX(
            IF(RU160&lt;=0.5,
               INT(255*(RU160*2)),
               255
            ),2)&amp;
          DEC2HEX(
            IF(RU160&lt;=0.5,
               255,
               INT(255*(1-(RU160-0.5)*2))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&lt;Point&gt;&lt;coordinates&gt;"&amp;R160&amp;","&amp;Q160&amp;",0&lt;/coordinates&gt;&lt;/Point&gt;
    &lt;/Placemark&gt;"
)))</f>
        <v xml:space="preserve">    &lt;Placemark&gt;
      &lt;description&gt;&lt;![CDATA[LE GRAND-QUEVILLY - 18 Rue Maryse Bastié (Parking école Maryse Bastié)&lt;br&gt;&lt;br&gt;1 CAV&lt;br&gt;&lt;br&gt;Présent sur 2 tournée(s)&lt;br&gt;&lt;br&gt;Taux de remplissage moyen 36%]]&gt;&lt;/description&gt;
      &lt;Style&gt;
        &lt;IconStyle&gt;
          &lt;color&gt;ff00B7FF&lt;/color&gt;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&lt;Point&gt;&lt;coordinates&gt;1.0566569,49.4103894,0&lt;/coordinates&gt;&lt;/Point&gt;
    &lt;/Placemark&gt;</v>
      </c>
    </row>
    <row r="161" spans="2:494" ht="15" hidden="1" customHeight="1" x14ac:dyDescent="0.35">
      <c r="B161" s="153" t="str">
        <f t="shared" si="123"/>
        <v>LE GRAND-QUEVILLY - 1 Rue Joseph-Jérome De Lalande (Parking)</v>
      </c>
      <c r="C161" s="154">
        <v>182</v>
      </c>
      <c r="D161" s="155"/>
      <c r="E161" s="155"/>
      <c r="F161" s="155"/>
      <c r="G161" s="155"/>
      <c r="H161" s="155"/>
      <c r="I161" s="155"/>
      <c r="J161" s="156"/>
      <c r="K161" s="157">
        <f t="shared" si="124"/>
        <v>1</v>
      </c>
      <c r="L161" s="157">
        <f t="shared" si="125"/>
        <v>2</v>
      </c>
      <c r="M161" s="158" t="s">
        <v>894</v>
      </c>
      <c r="N161" s="159" t="s">
        <v>522</v>
      </c>
      <c r="O161" s="159">
        <v>76120</v>
      </c>
      <c r="P161" s="159" t="s">
        <v>709</v>
      </c>
      <c r="Q161" s="159" t="s">
        <v>895</v>
      </c>
      <c r="R161" s="159" t="s">
        <v>896</v>
      </c>
      <c r="S161" s="159" t="s">
        <v>93</v>
      </c>
      <c r="T161" s="159" t="s">
        <v>94</v>
      </c>
      <c r="U161" s="159" t="s">
        <v>897</v>
      </c>
      <c r="V161" s="160" t="s">
        <v>96</v>
      </c>
      <c r="W161" s="161"/>
      <c r="X161" s="162"/>
      <c r="Y161" s="163">
        <v>13</v>
      </c>
      <c r="Z161" s="162">
        <v>12</v>
      </c>
      <c r="AA161" s="163"/>
      <c r="AB161" s="162"/>
      <c r="AC161" s="163"/>
      <c r="AD161" s="162"/>
      <c r="AE161" s="163"/>
      <c r="AF161" s="162"/>
      <c r="AG161" s="163"/>
      <c r="AH161" s="163"/>
      <c r="AI161" s="162"/>
      <c r="AJ161" s="163"/>
      <c r="AK161" s="162"/>
      <c r="AL161" s="163"/>
      <c r="AM161" s="162"/>
      <c r="AN161" s="163"/>
      <c r="AO161" s="162"/>
      <c r="AP161" s="164"/>
      <c r="AQ161" s="164"/>
      <c r="AR161" s="164"/>
      <c r="AS161" s="164"/>
      <c r="AT161" s="164"/>
      <c r="AU161" s="164"/>
      <c r="AV161" s="164"/>
      <c r="AW161" s="164"/>
      <c r="AX161" s="164"/>
      <c r="AY161" s="165"/>
      <c r="AZ161" s="41"/>
      <c r="BA161" s="190"/>
      <c r="BB161" s="191">
        <v>200</v>
      </c>
      <c r="BC161" s="191"/>
      <c r="BD161" s="191"/>
      <c r="BE161" s="191"/>
      <c r="BF161" s="191"/>
      <c r="BG161" s="191"/>
      <c r="BH161" s="191"/>
      <c r="BI161" s="191">
        <v>100</v>
      </c>
      <c r="BJ161" s="191"/>
      <c r="BK161" s="191"/>
      <c r="BL161" s="191"/>
      <c r="BM161" s="191"/>
      <c r="BN161" s="191"/>
      <c r="BO161" s="191"/>
      <c r="BP161" s="191">
        <v>50</v>
      </c>
      <c r="BQ161" s="191"/>
      <c r="BR161" s="191"/>
      <c r="BS161" s="191"/>
      <c r="BT161" s="191">
        <v>10</v>
      </c>
      <c r="BU161" s="191"/>
      <c r="BV161" s="191"/>
      <c r="BW161" s="191">
        <v>100</v>
      </c>
      <c r="BX161" s="191"/>
      <c r="BY161" s="191"/>
      <c r="BZ161" s="191"/>
      <c r="CA161" s="191"/>
      <c r="CB161" s="191"/>
      <c r="CC161" s="191"/>
      <c r="CD161" s="191">
        <v>100</v>
      </c>
      <c r="CE161" s="192"/>
      <c r="CF161" s="190"/>
      <c r="CG161" s="191"/>
      <c r="CH161" s="191">
        <v>100</v>
      </c>
      <c r="CI161" s="191"/>
      <c r="CJ161" s="191"/>
      <c r="CK161" s="191">
        <v>50</v>
      </c>
      <c r="CL161" s="191"/>
      <c r="CM161" s="191"/>
      <c r="CN161" s="191"/>
      <c r="CO161" s="191">
        <v>50</v>
      </c>
      <c r="CP161" s="191"/>
      <c r="CQ161" s="191"/>
      <c r="CR161" s="191">
        <v>50</v>
      </c>
      <c r="CS161" s="191"/>
      <c r="CT161" s="191"/>
      <c r="CU161" s="191"/>
      <c r="CV161" s="191">
        <v>10</v>
      </c>
      <c r="CW161" s="191"/>
      <c r="CX161" s="191"/>
      <c r="CY161" s="191">
        <v>50</v>
      </c>
      <c r="CZ161" s="191"/>
      <c r="DA161" s="191"/>
      <c r="DB161" s="191"/>
      <c r="DC161" s="191">
        <v>50</v>
      </c>
      <c r="DD161" s="191"/>
      <c r="DE161" s="191"/>
      <c r="DF161" s="191">
        <v>10</v>
      </c>
      <c r="DG161" s="191"/>
      <c r="DH161" s="193"/>
      <c r="DI161" s="194"/>
      <c r="DJ161" s="191"/>
      <c r="DK161" s="191">
        <v>200</v>
      </c>
      <c r="DL161" s="191"/>
      <c r="DM161" s="191"/>
      <c r="DN161" s="191">
        <v>50</v>
      </c>
      <c r="DO161" s="191"/>
      <c r="DP161" s="191"/>
      <c r="DQ161" s="191"/>
      <c r="DR161" s="191">
        <v>100</v>
      </c>
      <c r="DS161" s="191"/>
      <c r="DT161" s="191"/>
      <c r="DU161" s="191">
        <v>50</v>
      </c>
      <c r="DV161" s="191"/>
      <c r="DW161" s="191"/>
      <c r="DX161" s="191"/>
      <c r="DY161" s="191">
        <v>50</v>
      </c>
      <c r="DZ161" s="191"/>
      <c r="EA161" s="191"/>
      <c r="EB161" s="191">
        <v>50</v>
      </c>
      <c r="EC161" s="191"/>
      <c r="ED161" s="191"/>
      <c r="EE161" s="191"/>
      <c r="EF161" s="191">
        <v>50</v>
      </c>
      <c r="EG161" s="191"/>
      <c r="EH161" s="191"/>
      <c r="EI161" s="191">
        <v>50</v>
      </c>
      <c r="EJ161" s="191"/>
      <c r="EK161" s="191"/>
      <c r="EL161" s="191"/>
      <c r="EM161" s="192">
        <v>50</v>
      </c>
      <c r="EN161" s="190"/>
      <c r="EO161" s="191"/>
      <c r="EP161" s="191">
        <v>50</v>
      </c>
      <c r="EQ161" s="191"/>
      <c r="ER161" s="191"/>
      <c r="ES161" s="191"/>
      <c r="ET161" s="191">
        <v>10</v>
      </c>
      <c r="EU161" s="191"/>
      <c r="EV161" s="191"/>
      <c r="EW161" s="191">
        <v>50</v>
      </c>
      <c r="EX161" s="191"/>
      <c r="EY161" s="191"/>
      <c r="EZ161" s="191"/>
      <c r="FA161" s="191">
        <v>100</v>
      </c>
      <c r="FB161" s="191"/>
      <c r="FC161" s="191"/>
      <c r="FD161" s="191">
        <v>10</v>
      </c>
      <c r="FE161" s="191"/>
      <c r="FF161" s="191"/>
      <c r="FG161" s="191"/>
      <c r="FH161" s="191"/>
      <c r="FI161" s="191">
        <v>100</v>
      </c>
      <c r="FJ161" s="191"/>
      <c r="FK161" s="191"/>
      <c r="FL161" s="191"/>
      <c r="FM161" s="191"/>
      <c r="FN161" s="191"/>
      <c r="FO161" s="191"/>
      <c r="FP161" s="191"/>
      <c r="FQ161" s="193"/>
      <c r="FR161" s="194"/>
      <c r="FS161" s="191"/>
      <c r="FT161" s="191"/>
      <c r="FU161" s="191"/>
      <c r="FV161" s="191">
        <v>200</v>
      </c>
      <c r="FW161" s="191"/>
      <c r="FX161" s="191"/>
      <c r="FY161" s="191"/>
      <c r="FZ161" s="191"/>
      <c r="GA161" s="191"/>
      <c r="GB161" s="191"/>
      <c r="GC161" s="191">
        <v>100</v>
      </c>
      <c r="GD161" s="191"/>
      <c r="GE161" s="191"/>
      <c r="GF161" s="191">
        <v>50</v>
      </c>
      <c r="GG161" s="191"/>
      <c r="GH161" s="191"/>
      <c r="GI161" s="191"/>
      <c r="GJ161" s="191">
        <v>100</v>
      </c>
      <c r="GK161" s="191"/>
      <c r="GL161" s="191"/>
      <c r="GM161" s="191">
        <v>50</v>
      </c>
      <c r="GN161" s="191"/>
      <c r="GO161" s="191"/>
      <c r="GP161" s="191"/>
      <c r="GQ161" s="191">
        <v>50</v>
      </c>
      <c r="GR161" s="191"/>
      <c r="GS161" s="191"/>
      <c r="GT161" s="191"/>
      <c r="GU161" s="191"/>
      <c r="GV161" s="192"/>
      <c r="GW161" s="190"/>
      <c r="GX161" s="191">
        <v>50</v>
      </c>
      <c r="GY161" s="191"/>
      <c r="GZ161" s="191"/>
      <c r="HA161" s="191">
        <v>10</v>
      </c>
      <c r="HB161" s="191"/>
      <c r="HC161" s="191"/>
      <c r="HD161" s="191"/>
      <c r="HE161" s="191"/>
      <c r="HF161" s="191"/>
      <c r="HG161" s="191"/>
      <c r="HH161" s="191"/>
      <c r="HI161" s="191"/>
      <c r="HJ161" s="191"/>
      <c r="HK161" s="191"/>
      <c r="HL161" s="191">
        <v>100</v>
      </c>
      <c r="HM161" s="191"/>
      <c r="HN161" s="191"/>
      <c r="HO161" s="191"/>
      <c r="HP161" s="191"/>
      <c r="HQ161" s="191"/>
      <c r="HR161" s="191"/>
      <c r="HS161" s="191"/>
      <c r="HT161" s="191"/>
      <c r="HU161" s="191"/>
      <c r="HV161" s="191">
        <v>100</v>
      </c>
      <c r="HW161" s="191"/>
      <c r="HX161" s="191"/>
      <c r="HY161" s="191"/>
      <c r="HZ161" s="193">
        <v>100</v>
      </c>
      <c r="IA161" s="194"/>
      <c r="IB161" s="191"/>
      <c r="IC161" s="191">
        <v>150</v>
      </c>
      <c r="ID161" s="191"/>
      <c r="IE161" s="191"/>
      <c r="IF161" s="191"/>
      <c r="IG161" s="191">
        <v>50</v>
      </c>
      <c r="IH161" s="191"/>
      <c r="II161" s="191"/>
      <c r="IJ161" s="191">
        <v>50</v>
      </c>
      <c r="IK161" s="191"/>
      <c r="IL161" s="191"/>
      <c r="IM161" s="191"/>
      <c r="IN161" s="191">
        <v>100</v>
      </c>
      <c r="IO161" s="191"/>
      <c r="IP161" s="191"/>
      <c r="IQ161" s="191"/>
      <c r="IR161" s="191"/>
      <c r="IS161" s="191"/>
      <c r="IT161" s="191"/>
      <c r="IU161" s="191">
        <v>150</v>
      </c>
      <c r="IV161" s="191"/>
      <c r="IW161" s="191"/>
      <c r="IX161" s="191">
        <v>10</v>
      </c>
      <c r="IY161" s="191"/>
      <c r="IZ161" s="191"/>
      <c r="JA161" s="191"/>
      <c r="JB161" s="191">
        <v>150</v>
      </c>
      <c r="JC161" s="191"/>
      <c r="JD161" s="191"/>
      <c r="JE161" s="192">
        <v>100</v>
      </c>
      <c r="JF161" s="190"/>
      <c r="JG161" s="191"/>
      <c r="JH161" s="191"/>
      <c r="JI161" s="191">
        <v>100</v>
      </c>
      <c r="JJ161" s="191"/>
      <c r="JK161" s="191"/>
      <c r="JL161" s="191">
        <v>50</v>
      </c>
      <c r="JM161" s="191"/>
      <c r="JN161" s="191"/>
      <c r="JO161" s="191"/>
      <c r="JP161" s="191"/>
      <c r="JQ161" s="191"/>
      <c r="JR161" s="191">
        <v>100</v>
      </c>
      <c r="JS161" s="191"/>
      <c r="JT161" s="191"/>
      <c r="JU161" s="191"/>
      <c r="JV161" s="191"/>
      <c r="JW161" s="191"/>
      <c r="JX161" s="191"/>
      <c r="JY161" s="191"/>
      <c r="JZ161" s="191">
        <v>150</v>
      </c>
      <c r="KA161" s="191"/>
      <c r="KB161" s="191"/>
      <c r="KC161" s="191"/>
      <c r="KD161" s="191"/>
      <c r="KE161" s="191"/>
      <c r="KF161" s="191">
        <v>100</v>
      </c>
      <c r="KG161" s="191">
        <v>50</v>
      </c>
      <c r="KH161" s="191"/>
      <c r="KI161" s="191"/>
      <c r="KJ161" s="193"/>
      <c r="KK161" s="194"/>
      <c r="KL161" s="191"/>
      <c r="KM161" s="191"/>
      <c r="KN161" s="191">
        <v>50</v>
      </c>
      <c r="KO161" s="191"/>
      <c r="KP161" s="191"/>
      <c r="KQ161" s="191"/>
      <c r="KR161" s="191"/>
      <c r="KS161" s="191"/>
      <c r="KT161" s="191"/>
      <c r="KU161" s="191"/>
      <c r="KV161" s="191"/>
      <c r="KW161" s="191"/>
      <c r="KX161" s="191"/>
      <c r="KY161" s="191">
        <v>150</v>
      </c>
      <c r="KZ161" s="191"/>
      <c r="LA161" s="191"/>
      <c r="LB161" s="191">
        <v>50</v>
      </c>
      <c r="LC161" s="191"/>
      <c r="LD161" s="191"/>
      <c r="LE161" s="191"/>
      <c r="LF161" s="191">
        <v>100</v>
      </c>
      <c r="LG161" s="191"/>
      <c r="LH161" s="191"/>
      <c r="LI161" s="191">
        <v>10</v>
      </c>
      <c r="LJ161" s="191"/>
      <c r="LK161" s="191"/>
      <c r="LL161" s="191"/>
      <c r="LM161" s="191">
        <v>100</v>
      </c>
      <c r="LN161" s="192"/>
      <c r="LO161" s="190"/>
      <c r="LP161" s="191">
        <v>100</v>
      </c>
      <c r="LQ161" s="191"/>
      <c r="LR161" s="191"/>
      <c r="LS161" s="191"/>
      <c r="LT161" s="191">
        <v>100</v>
      </c>
      <c r="LU161" s="191"/>
      <c r="LV161" s="191"/>
      <c r="LW161" s="191">
        <v>10</v>
      </c>
      <c r="LX161" s="191"/>
      <c r="LY161" s="191"/>
      <c r="LZ161" s="191"/>
      <c r="MA161" s="191">
        <v>150</v>
      </c>
      <c r="MB161" s="191"/>
      <c r="MC161" s="191"/>
      <c r="MD161" s="191">
        <v>10</v>
      </c>
      <c r="ME161" s="191"/>
      <c r="MF161" s="191"/>
      <c r="MG161" s="191"/>
      <c r="MH161" s="191">
        <v>10</v>
      </c>
      <c r="MI161" s="191"/>
      <c r="MJ161" s="191"/>
      <c r="MK161" s="191">
        <v>50</v>
      </c>
      <c r="ML161" s="191"/>
      <c r="MM161" s="191"/>
      <c r="MN161" s="191"/>
      <c r="MO161" s="191">
        <v>150</v>
      </c>
      <c r="MP161" s="191"/>
      <c r="MQ161" s="191"/>
      <c r="MR161" s="191">
        <v>100</v>
      </c>
      <c r="MS161" s="193"/>
      <c r="MT161" s="194"/>
      <c r="MU161" s="191"/>
      <c r="MV161" s="191">
        <v>150</v>
      </c>
      <c r="MW161" s="191"/>
      <c r="MX161" s="191"/>
      <c r="MY161" s="191">
        <v>10</v>
      </c>
      <c r="MZ161" s="191"/>
      <c r="NA161" s="191"/>
      <c r="NB161" s="191"/>
      <c r="NC161" s="191">
        <v>10</v>
      </c>
      <c r="ND161" s="191"/>
      <c r="NE161" s="191"/>
      <c r="NF161" s="191"/>
      <c r="NG161" s="191"/>
      <c r="NH161" s="191"/>
      <c r="NI161" s="191"/>
      <c r="NJ161" s="191">
        <v>50</v>
      </c>
      <c r="NK161" s="191"/>
      <c r="NL161" s="191"/>
      <c r="NM161" s="191"/>
      <c r="NN161" s="191"/>
      <c r="NO161" s="191"/>
      <c r="NP161" s="191"/>
      <c r="NQ161" s="191">
        <v>50</v>
      </c>
      <c r="NR161" s="191"/>
      <c r="NS161" s="191"/>
      <c r="NT161" s="191">
        <v>50</v>
      </c>
      <c r="NU161" s="191"/>
      <c r="NV161" s="191"/>
      <c r="NW161" s="192"/>
      <c r="NX161" s="190">
        <v>100</v>
      </c>
      <c r="NY161" s="191"/>
      <c r="NZ161" s="191"/>
      <c r="OA161" s="191">
        <v>50</v>
      </c>
      <c r="OB161" s="191"/>
      <c r="OC161" s="191"/>
      <c r="OD161" s="191"/>
      <c r="OE161" s="191">
        <v>150</v>
      </c>
      <c r="OF161" s="191"/>
      <c r="OG161" s="191"/>
      <c r="OH161" s="191">
        <v>10</v>
      </c>
      <c r="OI161" s="191"/>
      <c r="OJ161" s="191"/>
      <c r="OK161" s="191"/>
      <c r="OL161" s="191">
        <v>50</v>
      </c>
      <c r="OM161" s="191"/>
      <c r="ON161" s="191"/>
      <c r="OO161" s="191">
        <v>0</v>
      </c>
      <c r="OP161" s="191"/>
      <c r="OQ161" s="191"/>
      <c r="OR161" s="191"/>
      <c r="OS161" s="191"/>
      <c r="OT161" s="191"/>
      <c r="OU161" s="191"/>
      <c r="OV161" s="191"/>
      <c r="OW161" s="191"/>
      <c r="OX161" s="191"/>
      <c r="OY161" s="191"/>
      <c r="OZ161" s="191"/>
      <c r="PA161" s="191"/>
      <c r="PB161" s="193"/>
      <c r="PC161" s="47"/>
      <c r="PD161" s="154" t="s">
        <v>97</v>
      </c>
      <c r="PE161" s="155" t="s">
        <v>98</v>
      </c>
      <c r="PF161" s="155" t="s">
        <v>98</v>
      </c>
      <c r="PG161" s="155" t="s">
        <v>98</v>
      </c>
      <c r="PH161" s="155" t="s">
        <v>98</v>
      </c>
      <c r="PI161" s="155" t="s">
        <v>98</v>
      </c>
      <c r="PJ161" s="155" t="s">
        <v>98</v>
      </c>
      <c r="PK161" s="155" t="s">
        <v>98</v>
      </c>
      <c r="PL161" s="155" t="s">
        <v>98</v>
      </c>
      <c r="PM161" s="155" t="s">
        <v>98</v>
      </c>
      <c r="PN161" s="155" t="s">
        <v>98</v>
      </c>
      <c r="PO161" s="156"/>
      <c r="PP161" s="156"/>
      <c r="PQ161" s="156"/>
      <c r="PR161" s="156"/>
      <c r="PS161" s="156"/>
      <c r="PT161" s="156"/>
      <c r="PU161" s="156"/>
      <c r="PV161" s="156"/>
      <c r="PW161" s="156"/>
      <c r="PX161" s="195"/>
      <c r="PY161" s="1"/>
      <c r="PZ161" s="196">
        <f t="shared" si="126"/>
        <v>560</v>
      </c>
      <c r="QA161" s="176">
        <f t="shared" si="127"/>
        <v>4.6717277050137649E-3</v>
      </c>
      <c r="QB161" s="177" t="str">
        <f t="shared" ca="1" si="128"/>
        <v>Attente…</v>
      </c>
      <c r="QC161" s="197">
        <f t="shared" si="129"/>
        <v>370</v>
      </c>
      <c r="QD161" s="179">
        <f t="shared" si="130"/>
        <v>3.4644194756554307E-3</v>
      </c>
      <c r="QE161" s="180" t="str">
        <f t="shared" ca="1" si="131"/>
        <v>Attente…</v>
      </c>
      <c r="QF161" s="196">
        <f t="shared" si="132"/>
        <v>650</v>
      </c>
      <c r="QG161" s="176">
        <f t="shared" si="133"/>
        <v>5.175983436853002E-3</v>
      </c>
      <c r="QH161" s="177" t="str">
        <f t="shared" ca="1" si="134"/>
        <v>Attente…</v>
      </c>
      <c r="QI161" s="197">
        <f t="shared" si="135"/>
        <v>320</v>
      </c>
      <c r="QJ161" s="179">
        <f t="shared" si="136"/>
        <v>2.2443540468508908E-3</v>
      </c>
      <c r="QK161" s="180" t="str">
        <f t="shared" ca="1" si="137"/>
        <v>Attente…</v>
      </c>
      <c r="QL161" s="196">
        <f t="shared" si="138"/>
        <v>550</v>
      </c>
      <c r="QM161" s="176">
        <f t="shared" si="139"/>
        <v>4.0239976587649988E-3</v>
      </c>
      <c r="QN161" s="177" t="str">
        <f t="shared" ca="1" si="140"/>
        <v>Attente…</v>
      </c>
      <c r="QO161" s="197">
        <f t="shared" si="141"/>
        <v>360</v>
      </c>
      <c r="QP161" s="179">
        <f t="shared" si="142"/>
        <v>2.8184451577546385E-3</v>
      </c>
      <c r="QQ161" s="180" t="str">
        <f t="shared" ca="1" si="143"/>
        <v>Attente…</v>
      </c>
      <c r="QR161" s="196">
        <f t="shared" si="144"/>
        <v>760</v>
      </c>
      <c r="QS161" s="176">
        <f t="shared" si="145"/>
        <v>5.4713653216226918E-3</v>
      </c>
      <c r="QT161" s="177" t="str">
        <f t="shared" ca="1" si="146"/>
        <v>Attente…</v>
      </c>
      <c r="QU161" s="197">
        <f t="shared" si="147"/>
        <v>550</v>
      </c>
      <c r="QV161" s="179">
        <f t="shared" si="148"/>
        <v>3.7920573634859351E-3</v>
      </c>
      <c r="QW161" s="180" t="str">
        <f t="shared" ca="1" si="149"/>
        <v>Attente…</v>
      </c>
      <c r="QX161" s="196">
        <f t="shared" si="150"/>
        <v>460</v>
      </c>
      <c r="QY161" s="176">
        <f t="shared" si="151"/>
        <v>3.3567821594325579E-3</v>
      </c>
      <c r="QZ161" s="177" t="str">
        <f t="shared" ca="1" si="152"/>
        <v>Attente…</v>
      </c>
      <c r="RA161" s="197">
        <f t="shared" si="153"/>
        <v>680</v>
      </c>
      <c r="RB161" s="179">
        <f t="shared" si="154"/>
        <v>5.3203974649870906E-3</v>
      </c>
      <c r="RC161" s="180" t="str">
        <f t="shared" ca="1" si="155"/>
        <v>Attente…</v>
      </c>
      <c r="RD161" s="196">
        <f t="shared" si="156"/>
        <v>320</v>
      </c>
      <c r="RE161" s="176">
        <f t="shared" si="157"/>
        <v>3.1885213232363493E-3</v>
      </c>
      <c r="RF161" s="177" t="str">
        <f t="shared" ca="1" si="158"/>
        <v>Attente…</v>
      </c>
      <c r="RG161" s="197">
        <f t="shared" si="159"/>
        <v>360</v>
      </c>
      <c r="RH161" s="179">
        <f t="shared" si="160"/>
        <v>6.6212985102078355E-3</v>
      </c>
      <c r="RI161" s="198" t="str">
        <f t="shared" ca="1" si="161"/>
        <v>Attente…</v>
      </c>
      <c r="RJ161" s="199">
        <f t="shared" si="162"/>
        <v>1580</v>
      </c>
      <c r="RK161" s="200" t="str">
        <f t="shared" ca="1" si="119"/>
        <v>Attente…</v>
      </c>
      <c r="RL161" s="199">
        <f t="shared" si="163"/>
        <v>1230</v>
      </c>
      <c r="RM161" s="200" t="str">
        <f t="shared" ca="1" si="164"/>
        <v>Atttente…</v>
      </c>
      <c r="RN161" s="199">
        <f t="shared" si="165"/>
        <v>1770</v>
      </c>
      <c r="RO161" s="200" t="str">
        <f t="shared" ca="1" si="120"/>
        <v>Attente…</v>
      </c>
      <c r="RP161" s="199">
        <f t="shared" si="166"/>
        <v>1360</v>
      </c>
      <c r="RQ161" s="200" t="str">
        <f t="shared" ca="1" si="121"/>
        <v>Attente…</v>
      </c>
      <c r="RR161" s="201">
        <f t="shared" si="167"/>
        <v>5940</v>
      </c>
      <c r="RS161" s="202" t="str">
        <f t="shared" ca="1" si="122"/>
        <v>Attente…</v>
      </c>
      <c r="RT161" s="103"/>
      <c r="RU161" s="203">
        <f t="shared" si="168"/>
        <v>0.36666666666666664</v>
      </c>
      <c r="RV161" s="204">
        <f t="shared" si="171"/>
        <v>1</v>
      </c>
      <c r="RW161" s="204">
        <f t="shared" si="171"/>
        <v>2</v>
      </c>
      <c r="RX161" s="204">
        <f t="shared" si="169"/>
        <v>81</v>
      </c>
      <c r="RY161" s="205" t="str">
        <f t="shared" si="170"/>
        <v>LE GRAND-QUEVILLY - 1 Rue Joseph-Jérome De Lalande (Parking)</v>
      </c>
      <c r="RZ161" s="189" t="str">
        <f>IF(OR(RZ160="",RZ160="  &lt;/Document&gt;
&lt;/kml&gt;"),"",
IF(B161="","  &lt;/Document&gt;
&lt;/kml&gt;",
IF(TournéesCAV!Q161=""," ",
"    &lt;Placemark&gt;
      &lt;description&gt;&lt;![CDATA["&amp;B161&amp;"&lt;br&gt;&lt;br&gt;"&amp;RV161&amp;" CAV&lt;br&gt;&lt;br&gt;Présent sur "&amp;RW161&amp;" tournée(s)&lt;br&gt;&lt;br&gt;Taux de remplissage moyen "&amp;TEXT(RU161*1000,"0 %")&amp;"]]&gt;&lt;/description&gt;
      &lt;Style&gt;
        &lt;IconStyle&gt;
          &lt;color&gt;ff"&amp;
          DEC2HEX(0,2)&amp;
          DEC2HEX(
            IF(RU161&lt;=0.5,
               INT(255*(RU161*2)),
               255
            ),2)&amp;
          DEC2HEX(
            IF(RU161&lt;=0.5,
               255,
               INT(255*(1-(RU161-0.5)*2))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&lt;Point&gt;&lt;coordinates&gt;"&amp;R161&amp;","&amp;Q161&amp;",0&lt;/coordinates&gt;&lt;/Point&gt;
    &lt;/Placemark&gt;"
)))</f>
        <v xml:space="preserve">    &lt;Placemark&gt;
      &lt;description&gt;&lt;![CDATA[LE GRAND-QUEVILLY - 1 Rue Joseph-Jérome De Lalande (Parking)&lt;br&gt;&lt;br&gt;1 CAV&lt;br&gt;&lt;br&gt;Présent sur 2 tournée(s)&lt;br&gt;&lt;br&gt;Taux de remplissage moyen 37%]]&gt;&lt;/description&gt;
      &lt;Style&gt;
        &lt;IconStyle&gt;
          &lt;color&gt;ff00BBFF&lt;/color&gt;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&lt;Point&gt;&lt;coordinates&gt;1.0636446,49.4062043,0&lt;/coordinates&gt;&lt;/Point&gt;
    &lt;/Placemark&gt;</v>
      </c>
    </row>
    <row r="162" spans="2:494" ht="15" hidden="1" customHeight="1" x14ac:dyDescent="0.35">
      <c r="B162" s="153" t="str">
        <f t="shared" si="123"/>
        <v>LE GRAND-QUEVILLY - 106 rue Paul Cezanne</v>
      </c>
      <c r="C162" s="154">
        <v>43</v>
      </c>
      <c r="D162" s="155"/>
      <c r="E162" s="155"/>
      <c r="F162" s="155"/>
      <c r="G162" s="155"/>
      <c r="H162" s="155"/>
      <c r="I162" s="155"/>
      <c r="J162" s="156"/>
      <c r="K162" s="157">
        <f t="shared" si="124"/>
        <v>1</v>
      </c>
      <c r="L162" s="157">
        <f t="shared" si="125"/>
        <v>3</v>
      </c>
      <c r="M162" s="158" t="s">
        <v>898</v>
      </c>
      <c r="N162" s="159"/>
      <c r="O162" s="159">
        <v>76120</v>
      </c>
      <c r="P162" s="159" t="s">
        <v>709</v>
      </c>
      <c r="Q162" s="159" t="s">
        <v>899</v>
      </c>
      <c r="R162" s="159" t="s">
        <v>900</v>
      </c>
      <c r="S162" s="159" t="s">
        <v>93</v>
      </c>
      <c r="T162" s="159" t="s">
        <v>94</v>
      </c>
      <c r="U162" s="159" t="s">
        <v>901</v>
      </c>
      <c r="V162" s="160" t="s">
        <v>96</v>
      </c>
      <c r="W162" s="161"/>
      <c r="X162" s="162"/>
      <c r="Y162" s="163">
        <v>15</v>
      </c>
      <c r="Z162" s="162"/>
      <c r="AA162" s="163"/>
      <c r="AB162" s="162">
        <v>15</v>
      </c>
      <c r="AC162" s="163"/>
      <c r="AD162" s="162"/>
      <c r="AE162" s="163"/>
      <c r="AF162" s="162"/>
      <c r="AG162" s="207">
        <v>10</v>
      </c>
      <c r="AH162" s="163"/>
      <c r="AI162" s="162"/>
      <c r="AJ162" s="163"/>
      <c r="AK162" s="162"/>
      <c r="AL162" s="163"/>
      <c r="AM162" s="162"/>
      <c r="AN162" s="163"/>
      <c r="AO162" s="162"/>
      <c r="AP162" s="164"/>
      <c r="AQ162" s="164"/>
      <c r="AR162" s="164"/>
      <c r="AS162" s="164"/>
      <c r="AT162" s="164"/>
      <c r="AU162" s="164"/>
      <c r="AV162" s="164"/>
      <c r="AW162" s="164"/>
      <c r="AX162" s="164"/>
      <c r="AY162" s="165"/>
      <c r="AZ162" s="41"/>
      <c r="BA162" s="190"/>
      <c r="BB162" s="191"/>
      <c r="BC162" s="191"/>
      <c r="BD162" s="191"/>
      <c r="BE162" s="191"/>
      <c r="BF162" s="191">
        <v>200</v>
      </c>
      <c r="BG162" s="191"/>
      <c r="BH162" s="191">
        <v>10</v>
      </c>
      <c r="BI162" s="191"/>
      <c r="BJ162" s="191">
        <v>100</v>
      </c>
      <c r="BK162" s="191"/>
      <c r="BL162" s="191"/>
      <c r="BM162" s="191">
        <v>200</v>
      </c>
      <c r="BN162" s="191"/>
      <c r="BO162" s="191">
        <v>10</v>
      </c>
      <c r="BP162" s="191"/>
      <c r="BQ162" s="191">
        <v>150</v>
      </c>
      <c r="BR162" s="191"/>
      <c r="BS162" s="191"/>
      <c r="BT162" s="191">
        <v>100</v>
      </c>
      <c r="BU162" s="191"/>
      <c r="BV162" s="191">
        <v>50</v>
      </c>
      <c r="BW162" s="191"/>
      <c r="BX162" s="191">
        <v>100</v>
      </c>
      <c r="BY162" s="191"/>
      <c r="BZ162" s="191"/>
      <c r="CA162" s="191"/>
      <c r="CB162" s="191"/>
      <c r="CC162" s="191">
        <v>200</v>
      </c>
      <c r="CD162" s="191"/>
      <c r="CE162" s="192">
        <v>50</v>
      </c>
      <c r="CF162" s="190"/>
      <c r="CG162" s="191"/>
      <c r="CH162" s="191">
        <v>200</v>
      </c>
      <c r="CI162" s="191"/>
      <c r="CJ162" s="191">
        <v>100</v>
      </c>
      <c r="CK162" s="191"/>
      <c r="CL162" s="191"/>
      <c r="CM162" s="191"/>
      <c r="CN162" s="191"/>
      <c r="CO162" s="191">
        <v>150</v>
      </c>
      <c r="CP162" s="191"/>
      <c r="CQ162" s="191">
        <v>100</v>
      </c>
      <c r="CR162" s="191"/>
      <c r="CS162" s="191">
        <v>50</v>
      </c>
      <c r="CT162" s="191"/>
      <c r="CU162" s="191"/>
      <c r="CV162" s="191">
        <v>150</v>
      </c>
      <c r="CW162" s="191"/>
      <c r="CX162" s="191">
        <v>150</v>
      </c>
      <c r="CY162" s="191"/>
      <c r="CZ162" s="191">
        <v>100</v>
      </c>
      <c r="DA162" s="191"/>
      <c r="DB162" s="191"/>
      <c r="DC162" s="191">
        <v>150</v>
      </c>
      <c r="DD162" s="191"/>
      <c r="DE162" s="191">
        <v>50</v>
      </c>
      <c r="DF162" s="191"/>
      <c r="DG162" s="191">
        <v>150</v>
      </c>
      <c r="DH162" s="193"/>
      <c r="DI162" s="194"/>
      <c r="DJ162" s="191"/>
      <c r="DK162" s="191">
        <v>200</v>
      </c>
      <c r="DL162" s="191"/>
      <c r="DM162" s="191">
        <v>200</v>
      </c>
      <c r="DN162" s="191"/>
      <c r="DO162" s="191">
        <v>100</v>
      </c>
      <c r="DP162" s="191"/>
      <c r="DQ162" s="191"/>
      <c r="DR162" s="191">
        <v>150</v>
      </c>
      <c r="DS162" s="191"/>
      <c r="DT162" s="191">
        <v>50</v>
      </c>
      <c r="DU162" s="191"/>
      <c r="DV162" s="191">
        <v>100</v>
      </c>
      <c r="DW162" s="191"/>
      <c r="DX162" s="191"/>
      <c r="DY162" s="191">
        <v>150</v>
      </c>
      <c r="DZ162" s="191"/>
      <c r="EA162" s="191">
        <v>100</v>
      </c>
      <c r="EB162" s="191"/>
      <c r="EC162" s="191">
        <v>100</v>
      </c>
      <c r="ED162" s="191"/>
      <c r="EE162" s="191"/>
      <c r="EF162" s="191">
        <v>200</v>
      </c>
      <c r="EG162" s="191"/>
      <c r="EH162" s="191">
        <v>50</v>
      </c>
      <c r="EI162" s="191"/>
      <c r="EJ162" s="191">
        <v>100</v>
      </c>
      <c r="EK162" s="191"/>
      <c r="EL162" s="191"/>
      <c r="EM162" s="192">
        <v>150</v>
      </c>
      <c r="EN162" s="190"/>
      <c r="EO162" s="191">
        <v>200</v>
      </c>
      <c r="EP162" s="191"/>
      <c r="EQ162" s="191">
        <v>100</v>
      </c>
      <c r="ER162" s="191"/>
      <c r="ES162" s="191"/>
      <c r="ET162" s="191">
        <v>200</v>
      </c>
      <c r="EU162" s="191"/>
      <c r="EV162" s="191">
        <v>150</v>
      </c>
      <c r="EW162" s="191"/>
      <c r="EX162" s="191">
        <v>150</v>
      </c>
      <c r="EY162" s="191"/>
      <c r="EZ162" s="191"/>
      <c r="FA162" s="191">
        <v>150</v>
      </c>
      <c r="FB162" s="191"/>
      <c r="FC162" s="191">
        <v>200</v>
      </c>
      <c r="FD162" s="191"/>
      <c r="FE162" s="191">
        <v>150</v>
      </c>
      <c r="FF162" s="191"/>
      <c r="FG162" s="191"/>
      <c r="FH162" s="191"/>
      <c r="FI162" s="191">
        <v>200</v>
      </c>
      <c r="FJ162" s="191">
        <v>100</v>
      </c>
      <c r="FK162" s="191"/>
      <c r="FL162" s="191"/>
      <c r="FM162" s="191"/>
      <c r="FN162" s="191"/>
      <c r="FO162" s="191"/>
      <c r="FP162" s="191"/>
      <c r="FQ162" s="193">
        <v>150</v>
      </c>
      <c r="FR162" s="194"/>
      <c r="FS162" s="191">
        <v>200</v>
      </c>
      <c r="FT162" s="191"/>
      <c r="FU162" s="191"/>
      <c r="FV162" s="191">
        <v>200</v>
      </c>
      <c r="FW162" s="191"/>
      <c r="FX162" s="191">
        <v>100</v>
      </c>
      <c r="FY162" s="191"/>
      <c r="FZ162" s="191">
        <v>200</v>
      </c>
      <c r="GA162" s="191"/>
      <c r="GB162" s="191"/>
      <c r="GC162" s="191"/>
      <c r="GD162" s="191"/>
      <c r="GE162" s="191">
        <v>100</v>
      </c>
      <c r="GF162" s="191"/>
      <c r="GG162" s="191">
        <v>100</v>
      </c>
      <c r="GH162" s="191"/>
      <c r="GI162" s="191"/>
      <c r="GJ162" s="191">
        <v>150</v>
      </c>
      <c r="GK162" s="191"/>
      <c r="GL162" s="191">
        <v>100</v>
      </c>
      <c r="GM162" s="191"/>
      <c r="GN162" s="191">
        <v>100</v>
      </c>
      <c r="GO162" s="191"/>
      <c r="GP162" s="191"/>
      <c r="GQ162" s="191">
        <v>150</v>
      </c>
      <c r="GR162" s="191"/>
      <c r="GS162" s="191">
        <v>150</v>
      </c>
      <c r="GT162" s="191"/>
      <c r="GU162" s="191">
        <v>150</v>
      </c>
      <c r="GV162" s="192"/>
      <c r="GW162" s="190"/>
      <c r="GX162" s="191">
        <v>150</v>
      </c>
      <c r="GY162" s="191"/>
      <c r="GZ162" s="191">
        <v>150</v>
      </c>
      <c r="HA162" s="191"/>
      <c r="HB162" s="191">
        <v>50</v>
      </c>
      <c r="HC162" s="191"/>
      <c r="HD162" s="191"/>
      <c r="HE162" s="191"/>
      <c r="HF162" s="191"/>
      <c r="HG162" s="191">
        <v>200</v>
      </c>
      <c r="HH162" s="191"/>
      <c r="HI162" s="191">
        <v>100</v>
      </c>
      <c r="HJ162" s="191"/>
      <c r="HK162" s="191"/>
      <c r="HL162" s="191">
        <v>200</v>
      </c>
      <c r="HM162" s="191"/>
      <c r="HN162" s="191">
        <v>50</v>
      </c>
      <c r="HO162" s="191"/>
      <c r="HP162" s="191">
        <v>100</v>
      </c>
      <c r="HQ162" s="191"/>
      <c r="HR162" s="191"/>
      <c r="HS162" s="191"/>
      <c r="HT162" s="191">
        <v>200</v>
      </c>
      <c r="HU162" s="191">
        <v>100</v>
      </c>
      <c r="HV162" s="191">
        <v>50</v>
      </c>
      <c r="HW162" s="191">
        <v>10</v>
      </c>
      <c r="HX162" s="191"/>
      <c r="HY162" s="191"/>
      <c r="HZ162" s="193">
        <v>100</v>
      </c>
      <c r="IA162" s="194"/>
      <c r="IB162" s="191">
        <v>100</v>
      </c>
      <c r="IC162" s="191"/>
      <c r="ID162" s="191">
        <v>100</v>
      </c>
      <c r="IE162" s="191"/>
      <c r="IF162" s="191"/>
      <c r="IG162" s="191">
        <v>200</v>
      </c>
      <c r="IH162" s="191"/>
      <c r="II162" s="191">
        <v>150</v>
      </c>
      <c r="IJ162" s="191"/>
      <c r="IK162" s="191">
        <v>100</v>
      </c>
      <c r="IL162" s="191"/>
      <c r="IM162" s="191"/>
      <c r="IN162" s="191">
        <v>200</v>
      </c>
      <c r="IO162" s="191"/>
      <c r="IP162" s="191"/>
      <c r="IQ162" s="191"/>
      <c r="IR162" s="191">
        <v>200</v>
      </c>
      <c r="IS162" s="191"/>
      <c r="IT162" s="191"/>
      <c r="IU162" s="191">
        <v>200</v>
      </c>
      <c r="IV162" s="191"/>
      <c r="IW162" s="191">
        <v>200</v>
      </c>
      <c r="IX162" s="191"/>
      <c r="IY162" s="191"/>
      <c r="IZ162" s="191"/>
      <c r="JA162" s="191"/>
      <c r="JB162" s="191">
        <v>200</v>
      </c>
      <c r="JC162" s="191"/>
      <c r="JD162" s="191">
        <v>150</v>
      </c>
      <c r="JE162" s="192"/>
      <c r="JF162" s="190"/>
      <c r="JG162" s="191"/>
      <c r="JH162" s="191"/>
      <c r="JI162" s="191">
        <v>200</v>
      </c>
      <c r="JJ162" s="191"/>
      <c r="JK162" s="191">
        <v>100</v>
      </c>
      <c r="JL162" s="191"/>
      <c r="JM162" s="191">
        <v>50</v>
      </c>
      <c r="JN162" s="191"/>
      <c r="JO162" s="191"/>
      <c r="JP162" s="191"/>
      <c r="JQ162" s="191"/>
      <c r="JR162" s="191">
        <v>200</v>
      </c>
      <c r="JS162" s="191"/>
      <c r="JT162" s="191"/>
      <c r="JU162" s="191"/>
      <c r="JV162" s="191"/>
      <c r="JW162" s="191"/>
      <c r="JX162" s="191"/>
      <c r="JY162" s="191"/>
      <c r="JZ162" s="191">
        <v>200</v>
      </c>
      <c r="KA162" s="191"/>
      <c r="KB162" s="191"/>
      <c r="KC162" s="191"/>
      <c r="KD162" s="191"/>
      <c r="KE162" s="191"/>
      <c r="KF162" s="191">
        <v>150</v>
      </c>
      <c r="KG162" s="191"/>
      <c r="KH162" s="191"/>
      <c r="KI162" s="191"/>
      <c r="KJ162" s="193"/>
      <c r="KK162" s="194"/>
      <c r="KL162" s="191"/>
      <c r="KM162" s="191">
        <v>200</v>
      </c>
      <c r="KN162" s="191"/>
      <c r="KO162" s="191">
        <v>150</v>
      </c>
      <c r="KP162" s="191"/>
      <c r="KQ162" s="191"/>
      <c r="KR162" s="191"/>
      <c r="KS162" s="191"/>
      <c r="KT162" s="191"/>
      <c r="KU162" s="191">
        <v>200</v>
      </c>
      <c r="KV162" s="191">
        <v>10</v>
      </c>
      <c r="KW162" s="191"/>
      <c r="KX162" s="191"/>
      <c r="KY162" s="191">
        <v>200</v>
      </c>
      <c r="KZ162" s="191"/>
      <c r="LA162" s="191">
        <v>150</v>
      </c>
      <c r="LB162" s="191"/>
      <c r="LC162" s="191"/>
      <c r="LD162" s="191"/>
      <c r="LE162" s="191"/>
      <c r="LF162" s="191">
        <v>200</v>
      </c>
      <c r="LG162" s="191"/>
      <c r="LH162" s="191">
        <v>50</v>
      </c>
      <c r="LI162" s="191"/>
      <c r="LJ162" s="191">
        <v>150</v>
      </c>
      <c r="LK162" s="191"/>
      <c r="LL162" s="191"/>
      <c r="LM162" s="191">
        <v>150</v>
      </c>
      <c r="LN162" s="192"/>
      <c r="LO162" s="190">
        <v>150</v>
      </c>
      <c r="LP162" s="191"/>
      <c r="LQ162" s="191"/>
      <c r="LR162" s="191"/>
      <c r="LS162" s="191"/>
      <c r="LT162" s="191">
        <v>150</v>
      </c>
      <c r="LU162" s="191"/>
      <c r="LV162" s="191">
        <v>100</v>
      </c>
      <c r="LW162" s="191"/>
      <c r="LX162" s="191">
        <v>100</v>
      </c>
      <c r="LY162" s="191"/>
      <c r="LZ162" s="191"/>
      <c r="MA162" s="191">
        <v>150</v>
      </c>
      <c r="MB162" s="191"/>
      <c r="MC162" s="191">
        <v>50</v>
      </c>
      <c r="MD162" s="191"/>
      <c r="ME162" s="191">
        <v>50</v>
      </c>
      <c r="MF162" s="191"/>
      <c r="MG162" s="191"/>
      <c r="MH162" s="191">
        <v>200</v>
      </c>
      <c r="MI162" s="191"/>
      <c r="MJ162" s="191">
        <v>200</v>
      </c>
      <c r="MK162" s="191"/>
      <c r="ML162" s="191">
        <v>100</v>
      </c>
      <c r="MM162" s="191"/>
      <c r="MN162" s="191"/>
      <c r="MO162" s="191">
        <v>150</v>
      </c>
      <c r="MP162" s="191"/>
      <c r="MQ162" s="191">
        <v>150</v>
      </c>
      <c r="MR162" s="191"/>
      <c r="MS162" s="193"/>
      <c r="MT162" s="194"/>
      <c r="MU162" s="191"/>
      <c r="MV162" s="191">
        <v>200</v>
      </c>
      <c r="MW162" s="191"/>
      <c r="MX162" s="191">
        <v>150</v>
      </c>
      <c r="MY162" s="191"/>
      <c r="MZ162" s="191">
        <v>50</v>
      </c>
      <c r="NA162" s="191"/>
      <c r="NB162" s="191"/>
      <c r="NC162" s="191">
        <v>100</v>
      </c>
      <c r="ND162" s="191"/>
      <c r="NE162" s="191"/>
      <c r="NF162" s="191">
        <v>200</v>
      </c>
      <c r="NG162" s="191">
        <v>50</v>
      </c>
      <c r="NH162" s="191"/>
      <c r="NI162" s="191"/>
      <c r="NJ162" s="191">
        <v>150</v>
      </c>
      <c r="NK162" s="191"/>
      <c r="NL162" s="191">
        <v>100</v>
      </c>
      <c r="NM162" s="191"/>
      <c r="NN162" s="191"/>
      <c r="NO162" s="191"/>
      <c r="NP162" s="191"/>
      <c r="NQ162" s="191">
        <v>150</v>
      </c>
      <c r="NR162" s="191"/>
      <c r="NS162" s="191">
        <v>100</v>
      </c>
      <c r="NT162" s="191"/>
      <c r="NU162" s="191">
        <v>100</v>
      </c>
      <c r="NV162" s="191"/>
      <c r="NW162" s="192"/>
      <c r="NX162" s="190">
        <v>150</v>
      </c>
      <c r="NY162" s="191"/>
      <c r="NZ162" s="191">
        <v>50</v>
      </c>
      <c r="OA162" s="191"/>
      <c r="OB162" s="191"/>
      <c r="OC162" s="191"/>
      <c r="OD162" s="191"/>
      <c r="OE162" s="191">
        <v>150</v>
      </c>
      <c r="OF162" s="191"/>
      <c r="OG162" s="191">
        <v>50</v>
      </c>
      <c r="OH162" s="191"/>
      <c r="OI162" s="191">
        <v>100</v>
      </c>
      <c r="OJ162" s="191"/>
      <c r="OK162" s="191"/>
      <c r="OL162" s="191">
        <v>100</v>
      </c>
      <c r="OM162" s="191"/>
      <c r="ON162" s="191">
        <v>50</v>
      </c>
      <c r="OO162" s="191"/>
      <c r="OP162" s="191"/>
      <c r="OQ162" s="191"/>
      <c r="OR162" s="191"/>
      <c r="OS162" s="191"/>
      <c r="OT162" s="191"/>
      <c r="OU162" s="191"/>
      <c r="OV162" s="191"/>
      <c r="OW162" s="191"/>
      <c r="OX162" s="191"/>
      <c r="OY162" s="191"/>
      <c r="OZ162" s="191"/>
      <c r="PA162" s="191"/>
      <c r="PB162" s="193"/>
      <c r="PC162" s="47"/>
      <c r="PD162" s="154" t="s">
        <v>97</v>
      </c>
      <c r="PE162" s="155" t="s">
        <v>98</v>
      </c>
      <c r="PF162" s="155" t="s">
        <v>98</v>
      </c>
      <c r="PG162" s="155" t="s">
        <v>98</v>
      </c>
      <c r="PH162" s="155" t="s">
        <v>98</v>
      </c>
      <c r="PI162" s="155" t="s">
        <v>98</v>
      </c>
      <c r="PJ162" s="155" t="s">
        <v>98</v>
      </c>
      <c r="PK162" s="155" t="s">
        <v>98</v>
      </c>
      <c r="PL162" s="155" t="s">
        <v>98</v>
      </c>
      <c r="PM162" s="155" t="s">
        <v>98</v>
      </c>
      <c r="PN162" s="155" t="s">
        <v>98</v>
      </c>
      <c r="PO162" s="156"/>
      <c r="PP162" s="156"/>
      <c r="PQ162" s="156"/>
      <c r="PR162" s="156"/>
      <c r="PS162" s="156"/>
      <c r="PT162" s="156"/>
      <c r="PU162" s="156"/>
      <c r="PV162" s="156"/>
      <c r="PW162" s="156"/>
      <c r="PX162" s="195"/>
      <c r="PY162" s="1"/>
      <c r="PZ162" s="196">
        <f t="shared" si="126"/>
        <v>1170</v>
      </c>
      <c r="QA162" s="176">
        <f t="shared" si="127"/>
        <v>9.7605739551180452E-3</v>
      </c>
      <c r="QB162" s="177" t="str">
        <f t="shared" ca="1" si="128"/>
        <v>Attente…</v>
      </c>
      <c r="QC162" s="197">
        <f t="shared" si="129"/>
        <v>1350</v>
      </c>
      <c r="QD162" s="179">
        <f t="shared" si="130"/>
        <v>1.2640449438202247E-2</v>
      </c>
      <c r="QE162" s="180" t="str">
        <f t="shared" ca="1" si="131"/>
        <v>Attente…</v>
      </c>
      <c r="QF162" s="196">
        <f t="shared" si="132"/>
        <v>1650</v>
      </c>
      <c r="QG162" s="176">
        <f t="shared" si="133"/>
        <v>1.3139034878165312E-2</v>
      </c>
      <c r="QH162" s="177" t="str">
        <f t="shared" ca="1" si="134"/>
        <v>Attente…</v>
      </c>
      <c r="QI162" s="197">
        <f t="shared" si="135"/>
        <v>1750</v>
      </c>
      <c r="QJ162" s="179">
        <f t="shared" si="136"/>
        <v>1.2273811193715808E-2</v>
      </c>
      <c r="QK162" s="180" t="str">
        <f t="shared" ca="1" si="137"/>
        <v>Attente…</v>
      </c>
      <c r="QL162" s="196">
        <f t="shared" si="138"/>
        <v>1700</v>
      </c>
      <c r="QM162" s="176">
        <f t="shared" si="139"/>
        <v>1.2437810945273632E-2</v>
      </c>
      <c r="QN162" s="177" t="str">
        <f t="shared" ca="1" si="140"/>
        <v>Attente…</v>
      </c>
      <c r="QO162" s="197">
        <f t="shared" si="141"/>
        <v>1460</v>
      </c>
      <c r="QP162" s="179">
        <f t="shared" si="142"/>
        <v>1.143036091756048E-2</v>
      </c>
      <c r="QQ162" s="180" t="str">
        <f t="shared" ca="1" si="143"/>
        <v>Attente…</v>
      </c>
      <c r="QR162" s="196">
        <f t="shared" si="144"/>
        <v>1800</v>
      </c>
      <c r="QS162" s="176">
        <f t="shared" si="145"/>
        <v>1.2958496814369534E-2</v>
      </c>
      <c r="QT162" s="177" t="str">
        <f t="shared" ca="1" si="146"/>
        <v>Attente…</v>
      </c>
      <c r="QU162" s="197">
        <f t="shared" si="147"/>
        <v>900</v>
      </c>
      <c r="QV162" s="179">
        <f t="shared" si="148"/>
        <v>6.2051847766133482E-3</v>
      </c>
      <c r="QW162" s="180" t="str">
        <f t="shared" ca="1" si="149"/>
        <v>Attente…</v>
      </c>
      <c r="QX162" s="196">
        <f t="shared" si="150"/>
        <v>1460</v>
      </c>
      <c r="QY162" s="176">
        <f t="shared" si="151"/>
        <v>1.0654134679938119E-2</v>
      </c>
      <c r="QZ162" s="177" t="str">
        <f t="shared" ca="1" si="152"/>
        <v>Attente…</v>
      </c>
      <c r="RA162" s="197">
        <f t="shared" si="153"/>
        <v>1550</v>
      </c>
      <c r="RB162" s="179">
        <f t="shared" si="154"/>
        <v>1.2127376574602926E-2</v>
      </c>
      <c r="RC162" s="180" t="str">
        <f t="shared" ca="1" si="155"/>
        <v>Attente…</v>
      </c>
      <c r="RD162" s="196">
        <f t="shared" si="156"/>
        <v>1350</v>
      </c>
      <c r="RE162" s="176">
        <f t="shared" si="157"/>
        <v>1.3451574332403349E-2</v>
      </c>
      <c r="RF162" s="177" t="str">
        <f t="shared" ca="1" si="158"/>
        <v>Attente…</v>
      </c>
      <c r="RG162" s="197">
        <f t="shared" si="159"/>
        <v>650</v>
      </c>
      <c r="RH162" s="179">
        <f t="shared" si="160"/>
        <v>1.1955122310097481E-2</v>
      </c>
      <c r="RI162" s="198" t="str">
        <f t="shared" ca="1" si="161"/>
        <v>Attente…</v>
      </c>
      <c r="RJ162" s="199">
        <f t="shared" si="162"/>
        <v>4170</v>
      </c>
      <c r="RK162" s="200" t="str">
        <f t="shared" ca="1" si="119"/>
        <v>Attente…</v>
      </c>
      <c r="RL162" s="199">
        <f t="shared" si="163"/>
        <v>4910</v>
      </c>
      <c r="RM162" s="200" t="str">
        <f t="shared" ca="1" si="164"/>
        <v>Atttente…</v>
      </c>
      <c r="RN162" s="199">
        <f t="shared" si="165"/>
        <v>4160</v>
      </c>
      <c r="RO162" s="200" t="str">
        <f t="shared" ca="1" si="120"/>
        <v>Attente…</v>
      </c>
      <c r="RP162" s="199">
        <f t="shared" si="166"/>
        <v>3550</v>
      </c>
      <c r="RQ162" s="200" t="str">
        <f t="shared" ca="1" si="121"/>
        <v>Attente…</v>
      </c>
      <c r="RR162" s="201">
        <f t="shared" si="167"/>
        <v>16790</v>
      </c>
      <c r="RS162" s="202" t="str">
        <f t="shared" ca="1" si="122"/>
        <v>Attente…</v>
      </c>
      <c r="RT162" s="103"/>
      <c r="RU162" s="203">
        <f t="shared" si="168"/>
        <v>0.65585937500000002</v>
      </c>
      <c r="RV162" s="204">
        <f t="shared" si="171"/>
        <v>1</v>
      </c>
      <c r="RW162" s="204">
        <f t="shared" si="171"/>
        <v>3</v>
      </c>
      <c r="RX162" s="204">
        <f t="shared" si="169"/>
        <v>128</v>
      </c>
      <c r="RY162" s="205" t="str">
        <f t="shared" si="170"/>
        <v>LE GRAND-QUEVILLY - 106 rue Paul Cezanne</v>
      </c>
      <c r="RZ162" s="189" t="str">
        <f>IF(OR(RZ161="",RZ161="  &lt;/Document&gt;
&lt;/kml&gt;"),"",
IF(B162="","  &lt;/Document&gt;
&lt;/kml&gt;",
IF(TournéesCAV!Q162=""," ",
"    &lt;Placemark&gt;
      &lt;description&gt;&lt;![CDATA["&amp;B162&amp;"&lt;br&gt;&lt;br&gt;"&amp;RV162&amp;" CAV&lt;br&gt;&lt;br&gt;Présent sur "&amp;RW162&amp;" tournée(s)&lt;br&gt;&lt;br&gt;Taux de remplissage moyen "&amp;TEXT(RU162*1000,"0 %")&amp;"]]&gt;&lt;/description&gt;
      &lt;Style&gt;
        &lt;IconStyle&gt;
          &lt;color&gt;ff"&amp;
          DEC2HEX(0,2)&amp;
          DEC2HEX(
            IF(RU162&lt;=0.5,
               INT(255*(RU162*2)),
               255
            ),2)&amp;
          DEC2HEX(
            IF(RU162&lt;=0.5,
               255,
               INT(255*(1-(RU162-0.5)*2))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&lt;Point&gt;&lt;coordinates&gt;"&amp;R162&amp;","&amp;Q162&amp;",0&lt;/coordinates&gt;&lt;/Point&gt;
    &lt;/Placemark&gt;"
)))</f>
        <v xml:space="preserve">    &lt;Placemark&gt;
      &lt;description&gt;&lt;![CDATA[LE GRAND-QUEVILLY - 106 rue Paul Cezanne&lt;br&gt;&lt;br&gt;1 CAV&lt;br&gt;&lt;br&gt;Présent sur 3 tournée(s)&lt;br&gt;&lt;br&gt;Taux de remplissage moyen 66%]]&gt;&lt;/description&gt;
      &lt;Style&gt;
        &lt;IconStyle&gt;
          &lt;color&gt;ff00FFAF&lt;/color&gt;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&lt;Point&gt;&lt;coordinates&gt;1.0432186,49.4022886,0&lt;/coordinates&gt;&lt;/Point&gt;
    &lt;/Placemark&gt;</v>
      </c>
    </row>
    <row r="163" spans="2:494" ht="15" hidden="1" customHeight="1" x14ac:dyDescent="0.35">
      <c r="B163" s="153" t="str">
        <f t="shared" si="123"/>
        <v>MARTOT - 2 rue de l'Eure (Parking Eglise)</v>
      </c>
      <c r="C163" s="154" t="s">
        <v>104</v>
      </c>
      <c r="D163" s="155"/>
      <c r="E163" s="155"/>
      <c r="F163" s="155"/>
      <c r="G163" s="155"/>
      <c r="H163" s="155"/>
      <c r="I163" s="155"/>
      <c r="J163" s="156"/>
      <c r="K163" s="157">
        <f t="shared" si="124"/>
        <v>1</v>
      </c>
      <c r="L163" s="157">
        <f t="shared" si="125"/>
        <v>1</v>
      </c>
      <c r="M163" s="158" t="s">
        <v>902</v>
      </c>
      <c r="N163" s="159" t="s">
        <v>903</v>
      </c>
      <c r="O163" s="159">
        <v>27340</v>
      </c>
      <c r="P163" s="159" t="s">
        <v>904</v>
      </c>
      <c r="Q163" s="159" t="s">
        <v>905</v>
      </c>
      <c r="R163" s="159" t="s">
        <v>906</v>
      </c>
      <c r="S163" s="159"/>
      <c r="T163" s="159" t="s">
        <v>94</v>
      </c>
      <c r="U163" s="159" t="s">
        <v>907</v>
      </c>
      <c r="V163" s="160" t="s">
        <v>123</v>
      </c>
      <c r="W163" s="161"/>
      <c r="X163" s="162"/>
      <c r="Y163" s="163"/>
      <c r="Z163" s="162"/>
      <c r="AA163" s="163"/>
      <c r="AB163" s="162"/>
      <c r="AC163" s="163"/>
      <c r="AD163" s="162"/>
      <c r="AE163" s="163"/>
      <c r="AF163" s="162"/>
      <c r="AG163" s="163"/>
      <c r="AH163" s="163"/>
      <c r="AI163" s="162"/>
      <c r="AJ163" s="163"/>
      <c r="AK163" s="162"/>
      <c r="AL163" s="163"/>
      <c r="AM163" s="162"/>
      <c r="AN163" s="163">
        <v>9</v>
      </c>
      <c r="AO163" s="162"/>
      <c r="AP163" s="164"/>
      <c r="AQ163" s="164"/>
      <c r="AR163" s="164"/>
      <c r="AS163" s="164"/>
      <c r="AT163" s="164"/>
      <c r="AU163" s="164"/>
      <c r="AV163" s="164"/>
      <c r="AW163" s="164"/>
      <c r="AX163" s="164"/>
      <c r="AY163" s="165"/>
      <c r="AZ163" s="41"/>
      <c r="BA163" s="190"/>
      <c r="BB163" s="191"/>
      <c r="BC163" s="191"/>
      <c r="BD163" s="191"/>
      <c r="BE163" s="191"/>
      <c r="BF163" s="191"/>
      <c r="BG163" s="191"/>
      <c r="BH163" s="191"/>
      <c r="BI163" s="191"/>
      <c r="BJ163" s="191"/>
      <c r="BK163" s="191"/>
      <c r="BL163" s="191"/>
      <c r="BM163" s="191"/>
      <c r="BN163" s="191">
        <v>150</v>
      </c>
      <c r="BO163" s="191"/>
      <c r="BP163" s="191"/>
      <c r="BQ163" s="191"/>
      <c r="BR163" s="191"/>
      <c r="BS163" s="191"/>
      <c r="BT163" s="191"/>
      <c r="BU163" s="191"/>
      <c r="BV163" s="191"/>
      <c r="BW163" s="191"/>
      <c r="BX163" s="191"/>
      <c r="BY163" s="191"/>
      <c r="BZ163" s="191"/>
      <c r="CA163" s="191"/>
      <c r="CB163" s="191">
        <v>50</v>
      </c>
      <c r="CC163" s="191"/>
      <c r="CD163" s="191"/>
      <c r="CE163" s="192"/>
      <c r="CF163" s="190"/>
      <c r="CG163" s="191"/>
      <c r="CH163" s="191"/>
      <c r="CI163" s="191">
        <v>100</v>
      </c>
      <c r="CJ163" s="191"/>
      <c r="CK163" s="191"/>
      <c r="CL163" s="191"/>
      <c r="CM163" s="191"/>
      <c r="CN163" s="191"/>
      <c r="CO163" s="191"/>
      <c r="CP163" s="191">
        <v>50</v>
      </c>
      <c r="CQ163" s="191"/>
      <c r="CR163" s="191"/>
      <c r="CS163" s="191"/>
      <c r="CT163" s="191"/>
      <c r="CU163" s="191"/>
      <c r="CV163" s="191"/>
      <c r="CW163" s="191">
        <v>100</v>
      </c>
      <c r="CX163" s="191"/>
      <c r="CY163" s="191"/>
      <c r="CZ163" s="191"/>
      <c r="DA163" s="191"/>
      <c r="DB163" s="191"/>
      <c r="DC163" s="191"/>
      <c r="DD163" s="191">
        <v>100</v>
      </c>
      <c r="DE163" s="191"/>
      <c r="DF163" s="191"/>
      <c r="DG163" s="191"/>
      <c r="DH163" s="193"/>
      <c r="DI163" s="194"/>
      <c r="DJ163" s="191"/>
      <c r="DK163" s="191"/>
      <c r="DL163" s="191">
        <v>100</v>
      </c>
      <c r="DM163" s="191"/>
      <c r="DN163" s="191"/>
      <c r="DO163" s="191"/>
      <c r="DP163" s="191"/>
      <c r="DQ163" s="191"/>
      <c r="DR163" s="191"/>
      <c r="DS163" s="191"/>
      <c r="DT163" s="191"/>
      <c r="DU163" s="191"/>
      <c r="DV163" s="191"/>
      <c r="DW163" s="191"/>
      <c r="DX163" s="191"/>
      <c r="DY163" s="191"/>
      <c r="DZ163" s="191"/>
      <c r="EA163" s="191"/>
      <c r="EB163" s="191"/>
      <c r="EC163" s="191"/>
      <c r="ED163" s="191"/>
      <c r="EE163" s="191"/>
      <c r="EF163" s="191"/>
      <c r="EG163" s="191"/>
      <c r="EH163" s="191"/>
      <c r="EI163" s="191"/>
      <c r="EJ163" s="191"/>
      <c r="EK163" s="191"/>
      <c r="EL163" s="191"/>
      <c r="EM163" s="192"/>
      <c r="EN163" s="190"/>
      <c r="EO163" s="191"/>
      <c r="EP163" s="191"/>
      <c r="EQ163" s="191"/>
      <c r="ER163" s="191"/>
      <c r="ES163" s="191"/>
      <c r="ET163" s="191"/>
      <c r="EU163" s="191">
        <v>100</v>
      </c>
      <c r="EV163" s="191"/>
      <c r="EW163" s="191"/>
      <c r="EX163" s="191"/>
      <c r="EY163" s="191"/>
      <c r="EZ163" s="191"/>
      <c r="FA163" s="191"/>
      <c r="FB163" s="191">
        <v>50</v>
      </c>
      <c r="FC163" s="191"/>
      <c r="FD163" s="191"/>
      <c r="FE163" s="191"/>
      <c r="FF163" s="191"/>
      <c r="FG163" s="191"/>
      <c r="FH163" s="191"/>
      <c r="FI163" s="191">
        <v>10</v>
      </c>
      <c r="FJ163" s="191"/>
      <c r="FK163" s="191"/>
      <c r="FL163" s="191"/>
      <c r="FM163" s="191"/>
      <c r="FN163" s="191"/>
      <c r="FO163" s="191"/>
      <c r="FP163" s="191">
        <v>50</v>
      </c>
      <c r="FQ163" s="193"/>
      <c r="FR163" s="194"/>
      <c r="FS163" s="191"/>
      <c r="FT163" s="191"/>
      <c r="FU163" s="191"/>
      <c r="FV163" s="191"/>
      <c r="FW163" s="191"/>
      <c r="FX163" s="191"/>
      <c r="FY163" s="191"/>
      <c r="FZ163" s="191"/>
      <c r="GA163" s="191"/>
      <c r="GB163" s="191"/>
      <c r="GC163" s="191"/>
      <c r="GD163" s="191">
        <v>50</v>
      </c>
      <c r="GE163" s="191"/>
      <c r="GF163" s="191"/>
      <c r="GG163" s="191"/>
      <c r="GH163" s="191"/>
      <c r="GI163" s="191"/>
      <c r="GJ163" s="191"/>
      <c r="GK163" s="191">
        <v>10</v>
      </c>
      <c r="GL163" s="191"/>
      <c r="GM163" s="191"/>
      <c r="GN163" s="191"/>
      <c r="GO163" s="191"/>
      <c r="GP163" s="191"/>
      <c r="GQ163" s="191"/>
      <c r="GR163" s="191">
        <v>100</v>
      </c>
      <c r="GS163" s="191"/>
      <c r="GT163" s="191"/>
      <c r="GU163" s="191"/>
      <c r="GV163" s="192"/>
      <c r="GW163" s="190"/>
      <c r="GX163" s="191"/>
      <c r="GY163" s="191">
        <v>200</v>
      </c>
      <c r="GZ163" s="191"/>
      <c r="HA163" s="191"/>
      <c r="HB163" s="191"/>
      <c r="HC163" s="191"/>
      <c r="HD163" s="191"/>
      <c r="HE163" s="191"/>
      <c r="HF163" s="191">
        <v>10</v>
      </c>
      <c r="HG163" s="191"/>
      <c r="HH163" s="191"/>
      <c r="HI163" s="191"/>
      <c r="HJ163" s="191"/>
      <c r="HK163" s="191"/>
      <c r="HL163" s="191"/>
      <c r="HM163" s="191"/>
      <c r="HN163" s="191"/>
      <c r="HO163" s="191"/>
      <c r="HP163" s="191"/>
      <c r="HQ163" s="191"/>
      <c r="HR163" s="191"/>
      <c r="HS163" s="191"/>
      <c r="HT163" s="191">
        <v>50</v>
      </c>
      <c r="HU163" s="191"/>
      <c r="HV163" s="191"/>
      <c r="HW163" s="191"/>
      <c r="HX163" s="191"/>
      <c r="HY163" s="191"/>
      <c r="HZ163" s="193"/>
      <c r="IA163" s="194">
        <v>50</v>
      </c>
      <c r="IB163" s="191"/>
      <c r="IC163" s="191"/>
      <c r="ID163" s="191"/>
      <c r="IE163" s="191"/>
      <c r="IF163" s="191"/>
      <c r="IG163" s="191"/>
      <c r="IH163" s="191">
        <v>100</v>
      </c>
      <c r="II163" s="191"/>
      <c r="IJ163" s="191"/>
      <c r="IK163" s="191"/>
      <c r="IL163" s="191"/>
      <c r="IM163" s="191"/>
      <c r="IN163" s="191"/>
      <c r="IO163" s="191"/>
      <c r="IP163" s="191">
        <v>100</v>
      </c>
      <c r="IQ163" s="191"/>
      <c r="IR163" s="191"/>
      <c r="IS163" s="191"/>
      <c r="IT163" s="191"/>
      <c r="IU163" s="191"/>
      <c r="IV163" s="191"/>
      <c r="IW163" s="191"/>
      <c r="IX163" s="191"/>
      <c r="IY163" s="191"/>
      <c r="IZ163" s="191"/>
      <c r="JA163" s="191"/>
      <c r="JB163" s="191"/>
      <c r="JC163" s="191">
        <v>200</v>
      </c>
      <c r="JD163" s="191"/>
      <c r="JE163" s="192"/>
      <c r="JF163" s="190"/>
      <c r="JG163" s="191"/>
      <c r="JH163" s="191"/>
      <c r="JI163" s="191"/>
      <c r="JJ163" s="191">
        <v>50</v>
      </c>
      <c r="JK163" s="191"/>
      <c r="JL163" s="191"/>
      <c r="JM163" s="191"/>
      <c r="JN163" s="191"/>
      <c r="JO163" s="191"/>
      <c r="JP163" s="191"/>
      <c r="JQ163" s="191">
        <v>50</v>
      </c>
      <c r="JR163" s="191"/>
      <c r="JS163" s="191"/>
      <c r="JT163" s="191"/>
      <c r="JU163" s="191"/>
      <c r="JV163" s="191"/>
      <c r="JW163" s="191"/>
      <c r="JX163" s="191"/>
      <c r="JY163" s="191"/>
      <c r="JZ163" s="191"/>
      <c r="KA163" s="191"/>
      <c r="KB163" s="191"/>
      <c r="KC163" s="191"/>
      <c r="KD163" s="191"/>
      <c r="KE163" s="191">
        <v>200</v>
      </c>
      <c r="KF163" s="191"/>
      <c r="KG163" s="191"/>
      <c r="KH163" s="191"/>
      <c r="KI163" s="191"/>
      <c r="KJ163" s="193"/>
      <c r="KK163" s="194"/>
      <c r="KL163" s="191">
        <v>150</v>
      </c>
      <c r="KM163" s="191"/>
      <c r="KN163" s="191"/>
      <c r="KO163" s="191"/>
      <c r="KP163" s="191"/>
      <c r="KQ163" s="191"/>
      <c r="KR163" s="191"/>
      <c r="KS163" s="191">
        <v>100</v>
      </c>
      <c r="KT163" s="191"/>
      <c r="KU163" s="191"/>
      <c r="KV163" s="191"/>
      <c r="KW163" s="191"/>
      <c r="KX163" s="191"/>
      <c r="KY163" s="191"/>
      <c r="KZ163" s="191">
        <v>200</v>
      </c>
      <c r="LA163" s="191"/>
      <c r="LB163" s="191"/>
      <c r="LC163" s="191"/>
      <c r="LD163" s="191"/>
      <c r="LE163" s="191"/>
      <c r="LF163" s="191"/>
      <c r="LG163" s="191">
        <v>100</v>
      </c>
      <c r="LH163" s="191"/>
      <c r="LI163" s="191"/>
      <c r="LJ163" s="191"/>
      <c r="LK163" s="191"/>
      <c r="LL163" s="191"/>
      <c r="LM163" s="191"/>
      <c r="LN163" s="192">
        <v>200</v>
      </c>
      <c r="LO163" s="190"/>
      <c r="LP163" s="191"/>
      <c r="LQ163" s="191"/>
      <c r="LR163" s="191"/>
      <c r="LS163" s="191"/>
      <c r="LT163" s="191"/>
      <c r="LU163" s="191">
        <v>150</v>
      </c>
      <c r="LV163" s="191"/>
      <c r="LW163" s="191"/>
      <c r="LX163" s="191"/>
      <c r="LY163" s="191"/>
      <c r="LZ163" s="191"/>
      <c r="MA163" s="191"/>
      <c r="MB163" s="191">
        <v>50</v>
      </c>
      <c r="MC163" s="191"/>
      <c r="MD163" s="191"/>
      <c r="ME163" s="191"/>
      <c r="MF163" s="191"/>
      <c r="MG163" s="191"/>
      <c r="MH163" s="191"/>
      <c r="MI163" s="191">
        <v>50</v>
      </c>
      <c r="MJ163" s="191"/>
      <c r="MK163" s="191"/>
      <c r="ML163" s="191"/>
      <c r="MM163" s="191"/>
      <c r="MN163" s="191"/>
      <c r="MO163" s="191"/>
      <c r="MP163" s="191">
        <v>50</v>
      </c>
      <c r="MQ163" s="191"/>
      <c r="MR163" s="191"/>
      <c r="MS163" s="193"/>
      <c r="MT163" s="194"/>
      <c r="MU163" s="191"/>
      <c r="MV163" s="191"/>
      <c r="MW163" s="191">
        <v>100</v>
      </c>
      <c r="MX163" s="191"/>
      <c r="MY163" s="191"/>
      <c r="MZ163" s="191"/>
      <c r="NA163" s="191"/>
      <c r="NB163" s="191"/>
      <c r="NC163" s="191"/>
      <c r="ND163" s="191"/>
      <c r="NE163" s="191">
        <v>150</v>
      </c>
      <c r="NF163" s="191"/>
      <c r="NG163" s="191"/>
      <c r="NH163" s="191"/>
      <c r="NI163" s="191"/>
      <c r="NJ163" s="191"/>
      <c r="NK163" s="191">
        <v>10</v>
      </c>
      <c r="NL163" s="191"/>
      <c r="NM163" s="191"/>
      <c r="NN163" s="191"/>
      <c r="NO163" s="191"/>
      <c r="NP163" s="191"/>
      <c r="NQ163" s="191"/>
      <c r="NR163" s="191">
        <v>100</v>
      </c>
      <c r="NS163" s="191"/>
      <c r="NT163" s="191"/>
      <c r="NU163" s="191"/>
      <c r="NV163" s="191"/>
      <c r="NW163" s="192"/>
      <c r="NX163" s="190"/>
      <c r="NY163" s="191">
        <v>100</v>
      </c>
      <c r="NZ163" s="191"/>
      <c r="OA163" s="191"/>
      <c r="OB163" s="191"/>
      <c r="OC163" s="191"/>
      <c r="OD163" s="191"/>
      <c r="OE163" s="191"/>
      <c r="OF163" s="191">
        <v>50</v>
      </c>
      <c r="OG163" s="191"/>
      <c r="OH163" s="191"/>
      <c r="OI163" s="191"/>
      <c r="OJ163" s="191"/>
      <c r="OK163" s="191"/>
      <c r="OL163" s="191"/>
      <c r="OM163" s="191">
        <v>10</v>
      </c>
      <c r="ON163" s="191"/>
      <c r="OO163" s="191"/>
      <c r="OP163" s="191"/>
      <c r="OQ163" s="191"/>
      <c r="OR163" s="191"/>
      <c r="OS163" s="191"/>
      <c r="OT163" s="191"/>
      <c r="OU163" s="191"/>
      <c r="OV163" s="191"/>
      <c r="OW163" s="191"/>
      <c r="OX163" s="191"/>
      <c r="OY163" s="191"/>
      <c r="OZ163" s="191"/>
      <c r="PA163" s="191"/>
      <c r="PB163" s="193"/>
      <c r="PC163" s="47"/>
      <c r="PD163" s="154" t="s">
        <v>98</v>
      </c>
      <c r="PE163" s="155" t="s">
        <v>98</v>
      </c>
      <c r="PF163" s="155" t="s">
        <v>98</v>
      </c>
      <c r="PG163" s="155" t="s">
        <v>98</v>
      </c>
      <c r="PH163" s="155" t="s">
        <v>97</v>
      </c>
      <c r="PI163" s="155" t="s">
        <v>98</v>
      </c>
      <c r="PJ163" s="155" t="s">
        <v>98</v>
      </c>
      <c r="PK163" s="155" t="s">
        <v>98</v>
      </c>
      <c r="PL163" s="155" t="s">
        <v>98</v>
      </c>
      <c r="PM163" s="155" t="s">
        <v>98</v>
      </c>
      <c r="PN163" s="155" t="s">
        <v>98</v>
      </c>
      <c r="PO163" s="156"/>
      <c r="PP163" s="156"/>
      <c r="PQ163" s="156"/>
      <c r="PR163" s="156"/>
      <c r="PS163" s="156"/>
      <c r="PT163" s="156"/>
      <c r="PU163" s="156"/>
      <c r="PV163" s="156"/>
      <c r="PW163" s="156"/>
      <c r="PX163" s="195"/>
      <c r="PY163" s="1"/>
      <c r="PZ163" s="196">
        <f t="shared" si="126"/>
        <v>200</v>
      </c>
      <c r="QA163" s="176">
        <f t="shared" si="127"/>
        <v>1.6684741803620589E-3</v>
      </c>
      <c r="QB163" s="177" t="str">
        <f t="shared" ca="1" si="128"/>
        <v>Attente…</v>
      </c>
      <c r="QC163" s="197">
        <f t="shared" si="129"/>
        <v>350</v>
      </c>
      <c r="QD163" s="179">
        <f t="shared" si="130"/>
        <v>3.2771535580524347E-3</v>
      </c>
      <c r="QE163" s="180" t="str">
        <f t="shared" ca="1" si="131"/>
        <v>Attente…</v>
      </c>
      <c r="QF163" s="196">
        <f t="shared" si="132"/>
        <v>100</v>
      </c>
      <c r="QG163" s="176">
        <f t="shared" si="133"/>
        <v>7.9630514413123112E-4</v>
      </c>
      <c r="QH163" s="177" t="str">
        <f t="shared" ca="1" si="134"/>
        <v>Attente…</v>
      </c>
      <c r="QI163" s="197">
        <f t="shared" si="135"/>
        <v>210</v>
      </c>
      <c r="QJ163" s="179">
        <f t="shared" si="136"/>
        <v>1.4728573432458971E-3</v>
      </c>
      <c r="QK163" s="180" t="str">
        <f t="shared" ca="1" si="137"/>
        <v>Attente…</v>
      </c>
      <c r="QL163" s="196">
        <f t="shared" si="138"/>
        <v>160</v>
      </c>
      <c r="QM163" s="176">
        <f t="shared" si="139"/>
        <v>1.1706175007316359E-3</v>
      </c>
      <c r="QN163" s="177" t="str">
        <f t="shared" ca="1" si="140"/>
        <v>Attente…</v>
      </c>
      <c r="QO163" s="197">
        <f t="shared" si="141"/>
        <v>260</v>
      </c>
      <c r="QP163" s="179">
        <f t="shared" si="142"/>
        <v>2.035543725045017E-3</v>
      </c>
      <c r="QQ163" s="180" t="str">
        <f t="shared" ca="1" si="143"/>
        <v>Attente…</v>
      </c>
      <c r="QR163" s="196">
        <f t="shared" si="144"/>
        <v>450</v>
      </c>
      <c r="QS163" s="176">
        <f t="shared" si="145"/>
        <v>3.2396242035923834E-3</v>
      </c>
      <c r="QT163" s="177" t="str">
        <f t="shared" ca="1" si="146"/>
        <v>Attente…</v>
      </c>
      <c r="QU163" s="197">
        <f t="shared" si="147"/>
        <v>300</v>
      </c>
      <c r="QV163" s="179">
        <f t="shared" si="148"/>
        <v>2.0683949255377826E-3</v>
      </c>
      <c r="QW163" s="180" t="str">
        <f t="shared" ca="1" si="149"/>
        <v>Attente…</v>
      </c>
      <c r="QX163" s="196">
        <f t="shared" si="150"/>
        <v>750</v>
      </c>
      <c r="QY163" s="176">
        <f t="shared" si="151"/>
        <v>5.4730143903791708E-3</v>
      </c>
      <c r="QZ163" s="177" t="str">
        <f t="shared" ca="1" si="152"/>
        <v>Attente…</v>
      </c>
      <c r="RA163" s="197">
        <f t="shared" si="153"/>
        <v>300</v>
      </c>
      <c r="RB163" s="179">
        <f t="shared" si="154"/>
        <v>2.3472341757295985E-3</v>
      </c>
      <c r="RC163" s="180" t="str">
        <f t="shared" ca="1" si="155"/>
        <v>Attente…</v>
      </c>
      <c r="RD163" s="196">
        <f t="shared" si="156"/>
        <v>360</v>
      </c>
      <c r="RE163" s="176">
        <f t="shared" si="157"/>
        <v>3.5870864886408927E-3</v>
      </c>
      <c r="RF163" s="177" t="str">
        <f t="shared" ca="1" si="158"/>
        <v>Attente…</v>
      </c>
      <c r="RG163" s="197">
        <f t="shared" si="159"/>
        <v>160</v>
      </c>
      <c r="RH163" s="179">
        <f t="shared" si="160"/>
        <v>2.9427993378701488E-3</v>
      </c>
      <c r="RI163" s="198" t="str">
        <f t="shared" ca="1" si="161"/>
        <v>Attente…</v>
      </c>
      <c r="RJ163" s="199">
        <f t="shared" si="162"/>
        <v>650</v>
      </c>
      <c r="RK163" s="200" t="str">
        <f t="shared" ca="1" si="119"/>
        <v>Attente…</v>
      </c>
      <c r="RL163" s="199">
        <f t="shared" si="163"/>
        <v>630</v>
      </c>
      <c r="RM163" s="200" t="str">
        <f t="shared" ca="1" si="164"/>
        <v>Atttente…</v>
      </c>
      <c r="RN163" s="199">
        <f t="shared" si="165"/>
        <v>1500</v>
      </c>
      <c r="RO163" s="200" t="str">
        <f t="shared" ca="1" si="120"/>
        <v>Attente…</v>
      </c>
      <c r="RP163" s="199">
        <f t="shared" si="166"/>
        <v>820</v>
      </c>
      <c r="RQ163" s="200" t="str">
        <f t="shared" ca="1" si="121"/>
        <v>Attente…</v>
      </c>
      <c r="RR163" s="201">
        <f t="shared" si="167"/>
        <v>3600</v>
      </c>
      <c r="RS163" s="202" t="str">
        <f t="shared" ca="1" si="122"/>
        <v>Attente…</v>
      </c>
      <c r="RT163" s="103"/>
      <c r="RU163" s="203">
        <f t="shared" si="168"/>
        <v>0.45</v>
      </c>
      <c r="RV163" s="204">
        <f t="shared" si="171"/>
        <v>1</v>
      </c>
      <c r="RW163" s="204">
        <f t="shared" si="171"/>
        <v>1</v>
      </c>
      <c r="RX163" s="204">
        <f t="shared" si="169"/>
        <v>40</v>
      </c>
      <c r="RY163" s="205" t="str">
        <f t="shared" si="170"/>
        <v>MARTOT - 2 rue de l'Eure (Parking Eglise)</v>
      </c>
      <c r="RZ163" s="189" t="str">
        <f>IF(OR(RZ162="",RZ162="  &lt;/Document&gt;
&lt;/kml&gt;"),"",
IF(B163="","  &lt;/Document&gt;
&lt;/kml&gt;",
IF(TournéesCAV!Q163=""," ",
"    &lt;Placemark&gt;
      &lt;description&gt;&lt;![CDATA["&amp;B163&amp;"&lt;br&gt;&lt;br&gt;"&amp;RV163&amp;" CAV&lt;br&gt;&lt;br&gt;Présent sur "&amp;RW163&amp;" tournée(s)&lt;br&gt;&lt;br&gt;Taux de remplissage moyen "&amp;TEXT(RU163*1000,"0 %")&amp;"]]&gt;&lt;/description&gt;
      &lt;Style&gt;
        &lt;IconStyle&gt;
          &lt;color&gt;ff"&amp;
          DEC2HEX(0,2)&amp;
          DEC2HEX(
            IF(RU163&lt;=0.5,
               INT(255*(RU163*2)),
               255
            ),2)&amp;
          DEC2HEX(
            IF(RU163&lt;=0.5,
               255,
               INT(255*(1-(RU163-0.5)*2))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&lt;Point&gt;&lt;coordinates&gt;"&amp;R163&amp;","&amp;Q163&amp;",0&lt;/coordinates&gt;&lt;/Point&gt;
    &lt;/Placemark&gt;"
)))</f>
        <v xml:space="preserve">    &lt;Placemark&gt;
      &lt;description&gt;&lt;![CDATA[MARTOT - 2 rue de l'Eure (Parking Eglise)&lt;br&gt;&lt;br&gt;1 CAV&lt;br&gt;&lt;br&gt;Présent sur 1 tournée(s)&lt;br&gt;&lt;br&gt;Taux de remplissage moyen 45%]]&gt;&lt;/description&gt;
      &lt;Style&gt;
        &lt;IconStyle&gt;
          &lt;color&gt;ff00E5FF&lt;/color&gt;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&lt;Point&gt;&lt;coordinates&gt;1.0650021,49.297138,0&lt;/coordinates&gt;&lt;/Point&gt;
    &lt;/Placemark&gt;</v>
      </c>
    </row>
    <row r="164" spans="2:494" ht="15" hidden="1" customHeight="1" x14ac:dyDescent="0.35">
      <c r="B164" s="153" t="str">
        <f t="shared" si="123"/>
        <v>FRENEUSE - 4 rue Côte aux Blancs</v>
      </c>
      <c r="C164" s="154" t="s">
        <v>104</v>
      </c>
      <c r="D164" s="155"/>
      <c r="E164" s="155"/>
      <c r="F164" s="155"/>
      <c r="G164" s="155"/>
      <c r="H164" s="155"/>
      <c r="I164" s="155"/>
      <c r="J164" s="156"/>
      <c r="K164" s="157">
        <f t="shared" si="124"/>
        <v>1</v>
      </c>
      <c r="L164" s="157">
        <f t="shared" si="125"/>
        <v>1</v>
      </c>
      <c r="M164" s="158" t="s">
        <v>908</v>
      </c>
      <c r="N164" s="159"/>
      <c r="O164" s="159">
        <v>76410</v>
      </c>
      <c r="P164" s="159" t="s">
        <v>909</v>
      </c>
      <c r="Q164" s="159" t="s">
        <v>910</v>
      </c>
      <c r="R164" s="159" t="s">
        <v>911</v>
      </c>
      <c r="S164" s="159" t="s">
        <v>93</v>
      </c>
      <c r="T164" s="159" t="s">
        <v>94</v>
      </c>
      <c r="U164" s="159" t="s">
        <v>912</v>
      </c>
      <c r="V164" s="160" t="s">
        <v>123</v>
      </c>
      <c r="W164" s="161"/>
      <c r="X164" s="162"/>
      <c r="Y164" s="163"/>
      <c r="Z164" s="162"/>
      <c r="AA164" s="163"/>
      <c r="AB164" s="162"/>
      <c r="AC164" s="163"/>
      <c r="AD164" s="162"/>
      <c r="AE164" s="163"/>
      <c r="AF164" s="162"/>
      <c r="AG164" s="163"/>
      <c r="AH164" s="163"/>
      <c r="AI164" s="162"/>
      <c r="AJ164" s="163"/>
      <c r="AK164" s="162"/>
      <c r="AL164" s="163"/>
      <c r="AM164" s="162"/>
      <c r="AN164" s="163"/>
      <c r="AO164" s="162">
        <v>13</v>
      </c>
      <c r="AP164" s="164"/>
      <c r="AQ164" s="164"/>
      <c r="AR164" s="164"/>
      <c r="AS164" s="164"/>
      <c r="AT164" s="164"/>
      <c r="AU164" s="164"/>
      <c r="AV164" s="164"/>
      <c r="AW164" s="164"/>
      <c r="AX164" s="164"/>
      <c r="AY164" s="165"/>
      <c r="AZ164" s="41"/>
      <c r="BA164" s="190"/>
      <c r="BB164" s="191">
        <v>10</v>
      </c>
      <c r="BC164" s="191"/>
      <c r="BD164" s="191"/>
      <c r="BE164" s="191"/>
      <c r="BF164" s="191"/>
      <c r="BG164" s="191"/>
      <c r="BH164" s="191">
        <v>50</v>
      </c>
      <c r="BI164" s="191"/>
      <c r="BJ164" s="191"/>
      <c r="BK164" s="191"/>
      <c r="BL164" s="191"/>
      <c r="BM164" s="191"/>
      <c r="BN164" s="191"/>
      <c r="BO164" s="191">
        <v>10</v>
      </c>
      <c r="BP164" s="191"/>
      <c r="BQ164" s="191"/>
      <c r="BR164" s="191"/>
      <c r="BS164" s="191"/>
      <c r="BT164" s="191"/>
      <c r="BU164" s="191"/>
      <c r="BV164" s="191">
        <v>50</v>
      </c>
      <c r="BW164" s="191"/>
      <c r="BX164" s="191"/>
      <c r="BY164" s="191"/>
      <c r="BZ164" s="191"/>
      <c r="CA164" s="191"/>
      <c r="CB164" s="191"/>
      <c r="CC164" s="191">
        <v>50</v>
      </c>
      <c r="CD164" s="191"/>
      <c r="CE164" s="192"/>
      <c r="CF164" s="190"/>
      <c r="CG164" s="191"/>
      <c r="CH164" s="191"/>
      <c r="CI164" s="191"/>
      <c r="CJ164" s="191">
        <v>50</v>
      </c>
      <c r="CK164" s="191"/>
      <c r="CL164" s="191"/>
      <c r="CM164" s="191"/>
      <c r="CN164" s="191"/>
      <c r="CO164" s="191"/>
      <c r="CP164" s="191"/>
      <c r="CQ164" s="191"/>
      <c r="CR164" s="191"/>
      <c r="CS164" s="191"/>
      <c r="CT164" s="191"/>
      <c r="CU164" s="191"/>
      <c r="CV164" s="191"/>
      <c r="CW164" s="191"/>
      <c r="CX164" s="191">
        <v>100</v>
      </c>
      <c r="CY164" s="191"/>
      <c r="CZ164" s="191"/>
      <c r="DA164" s="191"/>
      <c r="DB164" s="191"/>
      <c r="DC164" s="191"/>
      <c r="DD164" s="191"/>
      <c r="DE164" s="191">
        <v>50</v>
      </c>
      <c r="DF164" s="191"/>
      <c r="DG164" s="191"/>
      <c r="DH164" s="193"/>
      <c r="DI164" s="194"/>
      <c r="DJ164" s="191"/>
      <c r="DK164" s="191"/>
      <c r="DL164" s="191"/>
      <c r="DM164" s="191">
        <v>100</v>
      </c>
      <c r="DN164" s="191"/>
      <c r="DO164" s="191"/>
      <c r="DP164" s="191"/>
      <c r="DQ164" s="191"/>
      <c r="DR164" s="191"/>
      <c r="DS164" s="191"/>
      <c r="DT164" s="191">
        <v>100</v>
      </c>
      <c r="DU164" s="191"/>
      <c r="DV164" s="191"/>
      <c r="DW164" s="191"/>
      <c r="DX164" s="191"/>
      <c r="DY164" s="191"/>
      <c r="DZ164" s="191"/>
      <c r="EA164" s="191">
        <v>100</v>
      </c>
      <c r="EB164" s="191"/>
      <c r="EC164" s="191"/>
      <c r="ED164" s="191"/>
      <c r="EE164" s="191"/>
      <c r="EF164" s="191"/>
      <c r="EG164" s="191"/>
      <c r="EH164" s="191">
        <v>50</v>
      </c>
      <c r="EI164" s="191"/>
      <c r="EJ164" s="191"/>
      <c r="EK164" s="191"/>
      <c r="EL164" s="191"/>
      <c r="EM164" s="192"/>
      <c r="EN164" s="190"/>
      <c r="EO164" s="191">
        <v>50</v>
      </c>
      <c r="EP164" s="191"/>
      <c r="EQ164" s="191"/>
      <c r="ER164" s="191"/>
      <c r="ES164" s="191"/>
      <c r="ET164" s="191"/>
      <c r="EU164" s="191"/>
      <c r="EV164" s="191">
        <v>50</v>
      </c>
      <c r="EW164" s="191"/>
      <c r="EX164" s="191"/>
      <c r="EY164" s="191"/>
      <c r="EZ164" s="191"/>
      <c r="FA164" s="191"/>
      <c r="FB164" s="191"/>
      <c r="FC164" s="191">
        <v>50</v>
      </c>
      <c r="FD164" s="191"/>
      <c r="FE164" s="191"/>
      <c r="FF164" s="191"/>
      <c r="FG164" s="191"/>
      <c r="FH164" s="191"/>
      <c r="FI164" s="191"/>
      <c r="FJ164" s="191">
        <v>100</v>
      </c>
      <c r="FK164" s="191"/>
      <c r="FL164" s="191"/>
      <c r="FM164" s="191"/>
      <c r="FN164" s="191"/>
      <c r="FO164" s="191"/>
      <c r="FP164" s="191"/>
      <c r="FQ164" s="193">
        <v>50</v>
      </c>
      <c r="FR164" s="194"/>
      <c r="FS164" s="191"/>
      <c r="FT164" s="191"/>
      <c r="FU164" s="191"/>
      <c r="FV164" s="191"/>
      <c r="FW164" s="191"/>
      <c r="FX164" s="191">
        <v>50</v>
      </c>
      <c r="FY164" s="191"/>
      <c r="FZ164" s="191"/>
      <c r="GA164" s="191"/>
      <c r="GB164" s="191"/>
      <c r="GC164" s="191"/>
      <c r="GD164" s="191"/>
      <c r="GE164" s="191">
        <v>200</v>
      </c>
      <c r="GF164" s="191"/>
      <c r="GG164" s="191"/>
      <c r="GH164" s="191"/>
      <c r="GI164" s="191"/>
      <c r="GJ164" s="191"/>
      <c r="GK164" s="191"/>
      <c r="GL164" s="191">
        <v>50</v>
      </c>
      <c r="GM164" s="191"/>
      <c r="GN164" s="191"/>
      <c r="GO164" s="191"/>
      <c r="GP164" s="191"/>
      <c r="GQ164" s="191"/>
      <c r="GR164" s="191"/>
      <c r="GS164" s="191">
        <v>50</v>
      </c>
      <c r="GT164" s="191"/>
      <c r="GU164" s="191"/>
      <c r="GV164" s="192"/>
      <c r="GW164" s="190"/>
      <c r="GX164" s="191"/>
      <c r="GY164" s="191"/>
      <c r="GZ164" s="191">
        <v>200</v>
      </c>
      <c r="HA164" s="191"/>
      <c r="HB164" s="191"/>
      <c r="HC164" s="191"/>
      <c r="HD164" s="191"/>
      <c r="HE164" s="191"/>
      <c r="HF164" s="191"/>
      <c r="HG164" s="191"/>
      <c r="HH164" s="191"/>
      <c r="HI164" s="191"/>
      <c r="HJ164" s="191"/>
      <c r="HK164" s="191"/>
      <c r="HL164" s="191"/>
      <c r="HM164" s="191"/>
      <c r="HN164" s="191">
        <v>100</v>
      </c>
      <c r="HO164" s="191"/>
      <c r="HP164" s="191"/>
      <c r="HQ164" s="191"/>
      <c r="HR164" s="191"/>
      <c r="HS164" s="191"/>
      <c r="HT164" s="191"/>
      <c r="HU164" s="191">
        <v>50</v>
      </c>
      <c r="HV164" s="191"/>
      <c r="HW164" s="191"/>
      <c r="HX164" s="191"/>
      <c r="HY164" s="191"/>
      <c r="HZ164" s="193"/>
      <c r="IA164" s="194"/>
      <c r="IB164" s="191">
        <v>50</v>
      </c>
      <c r="IC164" s="191"/>
      <c r="ID164" s="191"/>
      <c r="IE164" s="191"/>
      <c r="IF164" s="191"/>
      <c r="IG164" s="191"/>
      <c r="IH164" s="191"/>
      <c r="II164" s="191">
        <v>100</v>
      </c>
      <c r="IJ164" s="191"/>
      <c r="IK164" s="191"/>
      <c r="IL164" s="191"/>
      <c r="IM164" s="191"/>
      <c r="IN164" s="191"/>
      <c r="IO164" s="191"/>
      <c r="IP164" s="191"/>
      <c r="IQ164" s="191">
        <v>50</v>
      </c>
      <c r="IR164" s="191"/>
      <c r="IS164" s="191"/>
      <c r="IT164" s="191"/>
      <c r="IU164" s="191"/>
      <c r="IV164" s="191"/>
      <c r="IW164" s="191"/>
      <c r="IX164" s="191">
        <v>150</v>
      </c>
      <c r="IY164" s="191"/>
      <c r="IZ164" s="191"/>
      <c r="JA164" s="191"/>
      <c r="JB164" s="191"/>
      <c r="JC164" s="191"/>
      <c r="JD164" s="191">
        <v>100</v>
      </c>
      <c r="JE164" s="192"/>
      <c r="JF164" s="190"/>
      <c r="JG164" s="191"/>
      <c r="JH164" s="191"/>
      <c r="JI164" s="191"/>
      <c r="JJ164" s="191"/>
      <c r="JK164" s="191">
        <v>150</v>
      </c>
      <c r="JL164" s="191"/>
      <c r="JM164" s="191"/>
      <c r="JN164" s="191"/>
      <c r="JO164" s="191"/>
      <c r="JP164" s="191"/>
      <c r="JQ164" s="191"/>
      <c r="JR164" s="191"/>
      <c r="JS164" s="191">
        <v>50</v>
      </c>
      <c r="JT164" s="191"/>
      <c r="JU164" s="191"/>
      <c r="JV164" s="191"/>
      <c r="JW164" s="191"/>
      <c r="JX164" s="191"/>
      <c r="JY164" s="191">
        <v>10</v>
      </c>
      <c r="JZ164" s="191"/>
      <c r="KA164" s="191"/>
      <c r="KB164" s="191"/>
      <c r="KC164" s="191"/>
      <c r="KD164" s="191"/>
      <c r="KE164" s="191"/>
      <c r="KF164" s="191"/>
      <c r="KG164" s="191">
        <v>100</v>
      </c>
      <c r="KH164" s="191"/>
      <c r="KI164" s="191"/>
      <c r="KJ164" s="193"/>
      <c r="KK164" s="194"/>
      <c r="KL164" s="191"/>
      <c r="KM164" s="191">
        <v>10</v>
      </c>
      <c r="KN164" s="191"/>
      <c r="KO164" s="191"/>
      <c r="KP164" s="191"/>
      <c r="KQ164" s="191"/>
      <c r="KR164" s="191"/>
      <c r="KS164" s="191"/>
      <c r="KT164" s="191"/>
      <c r="KU164" s="191">
        <v>10</v>
      </c>
      <c r="KV164" s="191"/>
      <c r="KW164" s="191"/>
      <c r="KX164" s="191"/>
      <c r="KY164" s="191"/>
      <c r="KZ164" s="191"/>
      <c r="LA164" s="191">
        <v>50</v>
      </c>
      <c r="LB164" s="191"/>
      <c r="LC164" s="191"/>
      <c r="LD164" s="191"/>
      <c r="LE164" s="191"/>
      <c r="LF164" s="191"/>
      <c r="LG164" s="191"/>
      <c r="LH164" s="191">
        <v>100</v>
      </c>
      <c r="LI164" s="191"/>
      <c r="LJ164" s="191"/>
      <c r="LK164" s="191"/>
      <c r="LL164" s="191"/>
      <c r="LM164" s="191"/>
      <c r="LN164" s="192"/>
      <c r="LO164" s="190">
        <v>50</v>
      </c>
      <c r="LP164" s="191"/>
      <c r="LQ164" s="191"/>
      <c r="LR164" s="191"/>
      <c r="LS164" s="191"/>
      <c r="LT164" s="191"/>
      <c r="LU164" s="191"/>
      <c r="LV164" s="191">
        <v>100</v>
      </c>
      <c r="LW164" s="191"/>
      <c r="LX164" s="191"/>
      <c r="LY164" s="191"/>
      <c r="LZ164" s="191"/>
      <c r="MA164" s="191"/>
      <c r="MB164" s="191"/>
      <c r="MC164" s="191">
        <v>50</v>
      </c>
      <c r="MD164" s="191"/>
      <c r="ME164" s="191"/>
      <c r="MF164" s="191"/>
      <c r="MG164" s="191"/>
      <c r="MH164" s="191"/>
      <c r="MI164" s="191"/>
      <c r="MJ164" s="191">
        <v>50</v>
      </c>
      <c r="MK164" s="191"/>
      <c r="ML164" s="191"/>
      <c r="MM164" s="191"/>
      <c r="MN164" s="191"/>
      <c r="MO164" s="191"/>
      <c r="MP164" s="191"/>
      <c r="MQ164" s="191">
        <v>50</v>
      </c>
      <c r="MR164" s="191"/>
      <c r="MS164" s="193"/>
      <c r="MT164" s="194"/>
      <c r="MU164" s="191"/>
      <c r="MV164" s="191"/>
      <c r="MW164" s="191"/>
      <c r="MX164" s="191">
        <v>10</v>
      </c>
      <c r="MY164" s="191"/>
      <c r="MZ164" s="191"/>
      <c r="NA164" s="191"/>
      <c r="NB164" s="191"/>
      <c r="NC164" s="191"/>
      <c r="ND164" s="191"/>
      <c r="NE164" s="191"/>
      <c r="NF164" s="191"/>
      <c r="NG164" s="191"/>
      <c r="NH164" s="191"/>
      <c r="NI164" s="191"/>
      <c r="NJ164" s="191"/>
      <c r="NK164" s="191"/>
      <c r="NL164" s="191"/>
      <c r="NM164" s="191">
        <v>150</v>
      </c>
      <c r="NN164" s="191"/>
      <c r="NO164" s="191"/>
      <c r="NP164" s="191"/>
      <c r="NQ164" s="191"/>
      <c r="NR164" s="191"/>
      <c r="NS164" s="191">
        <v>50</v>
      </c>
      <c r="NT164" s="191"/>
      <c r="NU164" s="191"/>
      <c r="NV164" s="191"/>
      <c r="NW164" s="192"/>
      <c r="NX164" s="190"/>
      <c r="NY164" s="191"/>
      <c r="NZ164" s="191">
        <v>50</v>
      </c>
      <c r="OA164" s="191"/>
      <c r="OB164" s="191"/>
      <c r="OC164" s="191"/>
      <c r="OD164" s="191"/>
      <c r="OE164" s="191"/>
      <c r="OF164" s="191"/>
      <c r="OG164" s="191">
        <v>50</v>
      </c>
      <c r="OH164" s="191"/>
      <c r="OI164" s="191"/>
      <c r="OJ164" s="191"/>
      <c r="OK164" s="191"/>
      <c r="OL164" s="191"/>
      <c r="OM164" s="191"/>
      <c r="ON164" s="191">
        <v>100</v>
      </c>
      <c r="OO164" s="191"/>
      <c r="OP164" s="191"/>
      <c r="OQ164" s="191"/>
      <c r="OR164" s="191"/>
      <c r="OS164" s="191"/>
      <c r="OT164" s="191"/>
      <c r="OU164" s="191"/>
      <c r="OV164" s="191"/>
      <c r="OW164" s="191"/>
      <c r="OX164" s="191"/>
      <c r="OY164" s="191"/>
      <c r="OZ164" s="191"/>
      <c r="PA164" s="191"/>
      <c r="PB164" s="193"/>
      <c r="PC164" s="47"/>
      <c r="PD164" s="154" t="s">
        <v>97</v>
      </c>
      <c r="PE164" s="155" t="s">
        <v>98</v>
      </c>
      <c r="PF164" s="155" t="s">
        <v>98</v>
      </c>
      <c r="PG164" s="155" t="s">
        <v>97</v>
      </c>
      <c r="PH164" s="155" t="s">
        <v>98</v>
      </c>
      <c r="PI164" s="155" t="s">
        <v>98</v>
      </c>
      <c r="PJ164" s="155" t="s">
        <v>98</v>
      </c>
      <c r="PK164" s="155" t="s">
        <v>98</v>
      </c>
      <c r="PL164" s="155" t="s">
        <v>98</v>
      </c>
      <c r="PM164" s="155" t="s">
        <v>98</v>
      </c>
      <c r="PN164" s="155" t="s">
        <v>98</v>
      </c>
      <c r="PO164" s="156"/>
      <c r="PP164" s="156"/>
      <c r="PQ164" s="156"/>
      <c r="PR164" s="156"/>
      <c r="PS164" s="156"/>
      <c r="PT164" s="156"/>
      <c r="PU164" s="156"/>
      <c r="PV164" s="156"/>
      <c r="PW164" s="156"/>
      <c r="PX164" s="195"/>
      <c r="PY164" s="1"/>
      <c r="PZ164" s="196">
        <f t="shared" si="126"/>
        <v>170</v>
      </c>
      <c r="QA164" s="176">
        <f t="shared" si="127"/>
        <v>1.41820305330775E-3</v>
      </c>
      <c r="QB164" s="177" t="str">
        <f t="shared" ca="1" si="128"/>
        <v>Attente…</v>
      </c>
      <c r="QC164" s="197">
        <f t="shared" si="129"/>
        <v>200</v>
      </c>
      <c r="QD164" s="179">
        <f t="shared" si="130"/>
        <v>1.8726591760299626E-3</v>
      </c>
      <c r="QE164" s="180" t="str">
        <f t="shared" ca="1" si="131"/>
        <v>Attente…</v>
      </c>
      <c r="QF164" s="196">
        <f t="shared" si="132"/>
        <v>350</v>
      </c>
      <c r="QG164" s="176">
        <f t="shared" si="133"/>
        <v>2.787068004459309E-3</v>
      </c>
      <c r="QH164" s="177" t="str">
        <f t="shared" ca="1" si="134"/>
        <v>Attente…</v>
      </c>
      <c r="QI164" s="197">
        <f t="shared" si="135"/>
        <v>300</v>
      </c>
      <c r="QJ164" s="179">
        <f t="shared" si="136"/>
        <v>2.1040819189227099E-3</v>
      </c>
      <c r="QK164" s="180" t="str">
        <f t="shared" ca="1" si="137"/>
        <v>Attente…</v>
      </c>
      <c r="QL164" s="196">
        <f t="shared" si="138"/>
        <v>350</v>
      </c>
      <c r="QM164" s="176">
        <f t="shared" si="139"/>
        <v>2.5607257828504535E-3</v>
      </c>
      <c r="QN164" s="177" t="str">
        <f t="shared" ca="1" si="140"/>
        <v>Attente…</v>
      </c>
      <c r="QO164" s="197">
        <f t="shared" si="141"/>
        <v>350</v>
      </c>
      <c r="QP164" s="179">
        <f t="shared" si="142"/>
        <v>2.7401550144836766E-3</v>
      </c>
      <c r="QQ164" s="180" t="str">
        <f t="shared" ca="1" si="143"/>
        <v>Attente…</v>
      </c>
      <c r="QR164" s="196">
        <f t="shared" si="144"/>
        <v>450</v>
      </c>
      <c r="QS164" s="176">
        <f t="shared" si="145"/>
        <v>3.2396242035923834E-3</v>
      </c>
      <c r="QT164" s="177" t="str">
        <f t="shared" ca="1" si="146"/>
        <v>Attente…</v>
      </c>
      <c r="QU164" s="197">
        <f t="shared" si="147"/>
        <v>310</v>
      </c>
      <c r="QV164" s="179">
        <f t="shared" si="148"/>
        <v>2.1373414230557086E-3</v>
      </c>
      <c r="QW164" s="180" t="str">
        <f t="shared" ca="1" si="149"/>
        <v>Attente…</v>
      </c>
      <c r="QX164" s="196">
        <f t="shared" si="150"/>
        <v>170</v>
      </c>
      <c r="QY164" s="176">
        <f t="shared" si="151"/>
        <v>1.2405499284859453E-3</v>
      </c>
      <c r="QZ164" s="177" t="str">
        <f t="shared" ca="1" si="152"/>
        <v>Attente…</v>
      </c>
      <c r="RA164" s="197">
        <f t="shared" si="153"/>
        <v>300</v>
      </c>
      <c r="RB164" s="179">
        <f t="shared" si="154"/>
        <v>2.3472341757295985E-3</v>
      </c>
      <c r="RC164" s="180" t="str">
        <f t="shared" ca="1" si="155"/>
        <v>Attente…</v>
      </c>
      <c r="RD164" s="196">
        <f t="shared" si="156"/>
        <v>210</v>
      </c>
      <c r="RE164" s="176">
        <f t="shared" si="157"/>
        <v>2.0924671183738543E-3</v>
      </c>
      <c r="RF164" s="177" t="str">
        <f t="shared" ca="1" si="158"/>
        <v>Attente…</v>
      </c>
      <c r="RG164" s="197">
        <f t="shared" si="159"/>
        <v>200</v>
      </c>
      <c r="RH164" s="179">
        <f t="shared" si="160"/>
        <v>3.6784991723376862E-3</v>
      </c>
      <c r="RI164" s="198" t="str">
        <f t="shared" ca="1" si="161"/>
        <v>Attente…</v>
      </c>
      <c r="RJ164" s="199">
        <f t="shared" si="162"/>
        <v>720</v>
      </c>
      <c r="RK164" s="200" t="str">
        <f t="shared" ca="1" si="119"/>
        <v>Attente…</v>
      </c>
      <c r="RL164" s="199">
        <f t="shared" si="163"/>
        <v>1000</v>
      </c>
      <c r="RM164" s="200" t="str">
        <f t="shared" ca="1" si="164"/>
        <v>Atttente…</v>
      </c>
      <c r="RN164" s="199">
        <f t="shared" si="165"/>
        <v>930</v>
      </c>
      <c r="RO164" s="200" t="str">
        <f t="shared" ca="1" si="120"/>
        <v>Attente…</v>
      </c>
      <c r="RP164" s="199">
        <f t="shared" si="166"/>
        <v>710</v>
      </c>
      <c r="RQ164" s="200" t="str">
        <f t="shared" ca="1" si="121"/>
        <v>Attente…</v>
      </c>
      <c r="RR164" s="201">
        <f t="shared" si="167"/>
        <v>3360</v>
      </c>
      <c r="RS164" s="202" t="str">
        <f t="shared" ca="1" si="122"/>
        <v>Attente…</v>
      </c>
      <c r="RT164" s="103"/>
      <c r="RU164" s="203">
        <f t="shared" si="168"/>
        <v>0.35</v>
      </c>
      <c r="RV164" s="204">
        <f t="shared" si="171"/>
        <v>1</v>
      </c>
      <c r="RW164" s="204">
        <f t="shared" si="171"/>
        <v>1</v>
      </c>
      <c r="RX164" s="204">
        <f t="shared" si="169"/>
        <v>48</v>
      </c>
      <c r="RY164" s="205" t="str">
        <f t="shared" si="170"/>
        <v>FRENEUSE - 4 rue Côte aux Blancs</v>
      </c>
      <c r="RZ164" s="189" t="str">
        <f>IF(OR(RZ163="",RZ163="  &lt;/Document&gt;
&lt;/kml&gt;"),"",
IF(B164="","  &lt;/Document&gt;
&lt;/kml&gt;",
IF(TournéesCAV!Q164=""," ",
"    &lt;Placemark&gt;
      &lt;description&gt;&lt;![CDATA["&amp;B164&amp;"&lt;br&gt;&lt;br&gt;"&amp;RV164&amp;" CAV&lt;br&gt;&lt;br&gt;Présent sur "&amp;RW164&amp;" tournée(s)&lt;br&gt;&lt;br&gt;Taux de remplissage moyen "&amp;TEXT(RU164*1000,"0 %")&amp;"]]&gt;&lt;/description&gt;
      &lt;Style&gt;
        &lt;IconStyle&gt;
          &lt;color&gt;ff"&amp;
          DEC2HEX(0,2)&amp;
          DEC2HEX(
            IF(RU164&lt;=0.5,
               INT(255*(RU164*2)),
               255
            ),2)&amp;
          DEC2HEX(
            IF(RU164&lt;=0.5,
               255,
               INT(255*(1-(RU164-0.5)*2))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&lt;Point&gt;&lt;coordinates&gt;"&amp;R164&amp;","&amp;Q164&amp;",0&lt;/coordinates&gt;&lt;/Point&gt;
    &lt;/Placemark&gt;"
)))</f>
        <v xml:space="preserve">    &lt;Placemark&gt;
      &lt;description&gt;&lt;![CDATA[FRENEUSE - 4 rue Côte aux Blancs&lt;br&gt;&lt;br&gt;1 CAV&lt;br&gt;&lt;br&gt;Présent sur 1 tournée(s)&lt;br&gt;&lt;br&gt;Taux de remplissage moyen 35%]]&gt;&lt;/description&gt;
      &lt;Style&gt;
        &lt;IconStyle&gt;
          &lt;color&gt;ff00B2FF&lt;/color&gt;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&lt;Point&gt;&lt;coordinates&gt;1.0789846,49.3130842,0&lt;/coordinates&gt;&lt;/Point&gt;
    &lt;/Placemark&gt;</v>
      </c>
    </row>
    <row r="165" spans="2:494" ht="15" hidden="1" customHeight="1" x14ac:dyDescent="0.35">
      <c r="B165" s="153" t="str">
        <f t="shared" si="123"/>
        <v>LE GRAND-QUEVILLY - 41 Avenue J. F. Kennedy</v>
      </c>
      <c r="C165" s="154">
        <v>95</v>
      </c>
      <c r="D165" s="155"/>
      <c r="E165" s="155"/>
      <c r="F165" s="155"/>
      <c r="G165" s="155"/>
      <c r="H165" s="155"/>
      <c r="I165" s="155"/>
      <c r="J165" s="156"/>
      <c r="K165" s="157">
        <f t="shared" si="124"/>
        <v>1</v>
      </c>
      <c r="L165" s="157">
        <f t="shared" si="125"/>
        <v>3</v>
      </c>
      <c r="M165" s="158" t="s">
        <v>913</v>
      </c>
      <c r="N165" s="159"/>
      <c r="O165" s="159">
        <v>76120</v>
      </c>
      <c r="P165" s="159" t="s">
        <v>709</v>
      </c>
      <c r="Q165" s="159" t="s">
        <v>914</v>
      </c>
      <c r="R165" s="159" t="s">
        <v>915</v>
      </c>
      <c r="S165" s="159" t="s">
        <v>93</v>
      </c>
      <c r="T165" s="159" t="s">
        <v>94</v>
      </c>
      <c r="U165" s="159" t="s">
        <v>916</v>
      </c>
      <c r="V165" s="160" t="s">
        <v>96</v>
      </c>
      <c r="W165" s="161"/>
      <c r="X165" s="162"/>
      <c r="Y165" s="163">
        <v>11</v>
      </c>
      <c r="Z165" s="162"/>
      <c r="AA165" s="163"/>
      <c r="AB165" s="162">
        <v>16</v>
      </c>
      <c r="AC165" s="163"/>
      <c r="AD165" s="162"/>
      <c r="AE165" s="163"/>
      <c r="AF165" s="162"/>
      <c r="AG165" s="207">
        <v>11</v>
      </c>
      <c r="AH165" s="163"/>
      <c r="AI165" s="162"/>
      <c r="AJ165" s="163"/>
      <c r="AK165" s="162"/>
      <c r="AL165" s="163"/>
      <c r="AM165" s="162"/>
      <c r="AN165" s="163"/>
      <c r="AO165" s="162"/>
      <c r="AP165" s="164"/>
      <c r="AQ165" s="164"/>
      <c r="AR165" s="164"/>
      <c r="AS165" s="164"/>
      <c r="AT165" s="164"/>
      <c r="AU165" s="164"/>
      <c r="AV165" s="164"/>
      <c r="AW165" s="164"/>
      <c r="AX165" s="164"/>
      <c r="AY165" s="165"/>
      <c r="AZ165" s="41"/>
      <c r="BA165" s="190"/>
      <c r="BB165" s="191"/>
      <c r="BC165" s="191"/>
      <c r="BD165" s="191"/>
      <c r="BE165" s="191"/>
      <c r="BF165" s="191"/>
      <c r="BG165" s="191"/>
      <c r="BH165" s="191">
        <v>50</v>
      </c>
      <c r="BI165" s="191"/>
      <c r="BJ165" s="191">
        <v>50</v>
      </c>
      <c r="BK165" s="191"/>
      <c r="BL165" s="191"/>
      <c r="BM165" s="191">
        <v>200</v>
      </c>
      <c r="BN165" s="191"/>
      <c r="BO165" s="191">
        <v>50</v>
      </c>
      <c r="BP165" s="191"/>
      <c r="BQ165" s="191">
        <v>200</v>
      </c>
      <c r="BR165" s="191"/>
      <c r="BS165" s="191"/>
      <c r="BT165" s="191">
        <v>100</v>
      </c>
      <c r="BU165" s="191"/>
      <c r="BV165" s="191">
        <v>50</v>
      </c>
      <c r="BW165" s="191"/>
      <c r="BX165" s="191">
        <v>100</v>
      </c>
      <c r="BY165" s="191"/>
      <c r="BZ165" s="191"/>
      <c r="CA165" s="191"/>
      <c r="CB165" s="191"/>
      <c r="CC165" s="191">
        <v>200</v>
      </c>
      <c r="CD165" s="191"/>
      <c r="CE165" s="192">
        <v>50</v>
      </c>
      <c r="CF165" s="190"/>
      <c r="CG165" s="191"/>
      <c r="CH165" s="191">
        <v>100</v>
      </c>
      <c r="CI165" s="191"/>
      <c r="CJ165" s="191">
        <v>100</v>
      </c>
      <c r="CK165" s="191"/>
      <c r="CL165" s="191"/>
      <c r="CM165" s="191"/>
      <c r="CN165" s="191"/>
      <c r="CO165" s="191">
        <v>150</v>
      </c>
      <c r="CP165" s="191"/>
      <c r="CQ165" s="191">
        <v>100</v>
      </c>
      <c r="CR165" s="191"/>
      <c r="CS165" s="191">
        <v>100</v>
      </c>
      <c r="CT165" s="191"/>
      <c r="CU165" s="191"/>
      <c r="CV165" s="191">
        <v>100</v>
      </c>
      <c r="CW165" s="191"/>
      <c r="CX165" s="191">
        <v>100</v>
      </c>
      <c r="CY165" s="191"/>
      <c r="CZ165" s="191">
        <v>50</v>
      </c>
      <c r="DA165" s="191"/>
      <c r="DB165" s="191"/>
      <c r="DC165" s="191">
        <v>150</v>
      </c>
      <c r="DD165" s="191"/>
      <c r="DE165" s="191">
        <v>100</v>
      </c>
      <c r="DF165" s="191"/>
      <c r="DG165" s="191">
        <v>50</v>
      </c>
      <c r="DH165" s="193"/>
      <c r="DI165" s="194"/>
      <c r="DJ165" s="191"/>
      <c r="DK165" s="191">
        <v>100</v>
      </c>
      <c r="DL165" s="191"/>
      <c r="DM165" s="191">
        <v>100</v>
      </c>
      <c r="DN165" s="191"/>
      <c r="DO165" s="191">
        <v>10</v>
      </c>
      <c r="DP165" s="191"/>
      <c r="DQ165" s="191"/>
      <c r="DR165" s="191">
        <v>100</v>
      </c>
      <c r="DS165" s="191"/>
      <c r="DT165" s="191"/>
      <c r="DU165" s="191"/>
      <c r="DV165" s="191">
        <v>100</v>
      </c>
      <c r="DW165" s="191"/>
      <c r="DX165" s="191"/>
      <c r="DY165" s="191">
        <v>150</v>
      </c>
      <c r="DZ165" s="191"/>
      <c r="EA165" s="191">
        <v>50</v>
      </c>
      <c r="EB165" s="191"/>
      <c r="EC165" s="191">
        <v>100</v>
      </c>
      <c r="ED165" s="191"/>
      <c r="EE165" s="191"/>
      <c r="EF165" s="191">
        <v>50</v>
      </c>
      <c r="EG165" s="191"/>
      <c r="EH165" s="191">
        <v>150</v>
      </c>
      <c r="EI165" s="191"/>
      <c r="EJ165" s="191">
        <v>100</v>
      </c>
      <c r="EK165" s="191"/>
      <c r="EL165" s="191"/>
      <c r="EM165" s="192">
        <v>100</v>
      </c>
      <c r="EN165" s="190"/>
      <c r="EO165" s="191">
        <v>100</v>
      </c>
      <c r="EP165" s="191"/>
      <c r="EQ165" s="191">
        <v>100</v>
      </c>
      <c r="ER165" s="191"/>
      <c r="ES165" s="191"/>
      <c r="ET165" s="191">
        <v>150</v>
      </c>
      <c r="EU165" s="191"/>
      <c r="EV165" s="191">
        <v>200</v>
      </c>
      <c r="EW165" s="191"/>
      <c r="EX165" s="191">
        <v>50</v>
      </c>
      <c r="EY165" s="191"/>
      <c r="EZ165" s="191"/>
      <c r="FA165" s="191">
        <v>150</v>
      </c>
      <c r="FB165" s="191"/>
      <c r="FC165" s="191">
        <v>200</v>
      </c>
      <c r="FD165" s="191"/>
      <c r="FE165" s="191">
        <v>100</v>
      </c>
      <c r="FF165" s="191"/>
      <c r="FG165" s="191"/>
      <c r="FH165" s="191"/>
      <c r="FI165" s="191">
        <v>200</v>
      </c>
      <c r="FJ165" s="191">
        <v>150</v>
      </c>
      <c r="FK165" s="191"/>
      <c r="FL165" s="191"/>
      <c r="FM165" s="191"/>
      <c r="FN165" s="191"/>
      <c r="FO165" s="191"/>
      <c r="FP165" s="191"/>
      <c r="FQ165" s="193">
        <v>200</v>
      </c>
      <c r="FR165" s="194"/>
      <c r="FS165" s="191">
        <v>150</v>
      </c>
      <c r="FT165" s="191"/>
      <c r="FU165" s="191"/>
      <c r="FV165" s="191">
        <v>500</v>
      </c>
      <c r="FW165" s="191"/>
      <c r="FX165" s="191">
        <v>100</v>
      </c>
      <c r="FY165" s="191"/>
      <c r="FZ165" s="191">
        <v>200</v>
      </c>
      <c r="GA165" s="191"/>
      <c r="GB165" s="191"/>
      <c r="GC165" s="191">
        <v>100</v>
      </c>
      <c r="GD165" s="191"/>
      <c r="GE165" s="191">
        <v>100</v>
      </c>
      <c r="GF165" s="191"/>
      <c r="GG165" s="191">
        <v>100</v>
      </c>
      <c r="GH165" s="191"/>
      <c r="GI165" s="191"/>
      <c r="GJ165" s="191">
        <v>100</v>
      </c>
      <c r="GK165" s="191"/>
      <c r="GL165" s="191">
        <v>150</v>
      </c>
      <c r="GM165" s="191"/>
      <c r="GN165" s="191">
        <v>100</v>
      </c>
      <c r="GO165" s="191"/>
      <c r="GP165" s="191"/>
      <c r="GQ165" s="191">
        <v>100</v>
      </c>
      <c r="GR165" s="191"/>
      <c r="GS165" s="191">
        <v>150</v>
      </c>
      <c r="GT165" s="191"/>
      <c r="GU165" s="191">
        <v>100</v>
      </c>
      <c r="GV165" s="192"/>
      <c r="GW165" s="190"/>
      <c r="GX165" s="191">
        <v>100</v>
      </c>
      <c r="GY165" s="191"/>
      <c r="GZ165" s="191">
        <v>150</v>
      </c>
      <c r="HA165" s="191"/>
      <c r="HB165" s="191">
        <v>50</v>
      </c>
      <c r="HC165" s="191"/>
      <c r="HD165" s="191"/>
      <c r="HE165" s="191"/>
      <c r="HF165" s="191"/>
      <c r="HG165" s="191">
        <v>200</v>
      </c>
      <c r="HH165" s="191"/>
      <c r="HI165" s="191">
        <v>50</v>
      </c>
      <c r="HJ165" s="191"/>
      <c r="HK165" s="191"/>
      <c r="HL165" s="191">
        <v>150</v>
      </c>
      <c r="HM165" s="191"/>
      <c r="HN165" s="191">
        <v>200</v>
      </c>
      <c r="HO165" s="191"/>
      <c r="HP165" s="191">
        <v>50</v>
      </c>
      <c r="HQ165" s="191"/>
      <c r="HR165" s="191"/>
      <c r="HS165" s="191"/>
      <c r="HT165" s="191"/>
      <c r="HU165" s="191">
        <v>200</v>
      </c>
      <c r="HV165" s="191">
        <v>50</v>
      </c>
      <c r="HW165" s="191">
        <v>10</v>
      </c>
      <c r="HX165" s="191"/>
      <c r="HY165" s="191"/>
      <c r="HZ165" s="193">
        <v>100</v>
      </c>
      <c r="IA165" s="194"/>
      <c r="IB165" s="191">
        <v>100</v>
      </c>
      <c r="IC165" s="191"/>
      <c r="ID165" s="191">
        <v>50</v>
      </c>
      <c r="IE165" s="191"/>
      <c r="IF165" s="191"/>
      <c r="IG165" s="191">
        <v>100</v>
      </c>
      <c r="IH165" s="191"/>
      <c r="II165" s="191">
        <v>150</v>
      </c>
      <c r="IJ165" s="191"/>
      <c r="IK165" s="191">
        <v>50</v>
      </c>
      <c r="IL165" s="191"/>
      <c r="IM165" s="191"/>
      <c r="IN165" s="191">
        <v>200</v>
      </c>
      <c r="IO165" s="191"/>
      <c r="IP165" s="191"/>
      <c r="IQ165" s="191"/>
      <c r="IR165" s="191">
        <v>100</v>
      </c>
      <c r="IS165" s="191"/>
      <c r="IT165" s="191"/>
      <c r="IU165" s="191">
        <v>150</v>
      </c>
      <c r="IV165" s="191"/>
      <c r="IW165" s="191">
        <v>100</v>
      </c>
      <c r="IX165" s="191"/>
      <c r="IY165" s="191"/>
      <c r="IZ165" s="191"/>
      <c r="JA165" s="191"/>
      <c r="JB165" s="191">
        <v>200</v>
      </c>
      <c r="JC165" s="191"/>
      <c r="JD165" s="191">
        <v>150</v>
      </c>
      <c r="JE165" s="192"/>
      <c r="JF165" s="190"/>
      <c r="JG165" s="191"/>
      <c r="JH165" s="191"/>
      <c r="JI165" s="191">
        <v>200</v>
      </c>
      <c r="JJ165" s="191"/>
      <c r="JK165" s="191">
        <v>100</v>
      </c>
      <c r="JL165" s="191"/>
      <c r="JM165" s="191">
        <v>10</v>
      </c>
      <c r="JN165" s="191"/>
      <c r="JO165" s="191"/>
      <c r="JP165" s="191"/>
      <c r="JQ165" s="191"/>
      <c r="JR165" s="191">
        <v>200</v>
      </c>
      <c r="JS165" s="191"/>
      <c r="JT165" s="191"/>
      <c r="JU165" s="191"/>
      <c r="JV165" s="191"/>
      <c r="JW165" s="191"/>
      <c r="JX165" s="191"/>
      <c r="JY165" s="191"/>
      <c r="JZ165" s="191">
        <v>200</v>
      </c>
      <c r="KA165" s="191"/>
      <c r="KB165" s="191"/>
      <c r="KC165" s="191"/>
      <c r="KD165" s="191"/>
      <c r="KE165" s="191"/>
      <c r="KF165" s="191">
        <v>150</v>
      </c>
      <c r="KG165" s="191"/>
      <c r="KH165" s="191"/>
      <c r="KI165" s="191"/>
      <c r="KJ165" s="193"/>
      <c r="KK165" s="194"/>
      <c r="KL165" s="191"/>
      <c r="KM165" s="191">
        <v>200</v>
      </c>
      <c r="KN165" s="191"/>
      <c r="KO165" s="191">
        <v>100</v>
      </c>
      <c r="KP165" s="191"/>
      <c r="KQ165" s="191"/>
      <c r="KR165" s="191"/>
      <c r="KS165" s="191"/>
      <c r="KT165" s="191"/>
      <c r="KU165" s="191">
        <v>200</v>
      </c>
      <c r="KV165" s="191">
        <v>10</v>
      </c>
      <c r="KW165" s="191"/>
      <c r="KX165" s="191"/>
      <c r="KY165" s="191">
        <v>150</v>
      </c>
      <c r="KZ165" s="191"/>
      <c r="LA165" s="191">
        <v>100</v>
      </c>
      <c r="LB165" s="191"/>
      <c r="LC165" s="191"/>
      <c r="LD165" s="191"/>
      <c r="LE165" s="191"/>
      <c r="LF165" s="191">
        <v>150</v>
      </c>
      <c r="LG165" s="191"/>
      <c r="LH165" s="191">
        <v>100</v>
      </c>
      <c r="LI165" s="191"/>
      <c r="LJ165" s="191">
        <v>150</v>
      </c>
      <c r="LK165" s="191"/>
      <c r="LL165" s="191"/>
      <c r="LM165" s="191">
        <v>100</v>
      </c>
      <c r="LN165" s="192"/>
      <c r="LO165" s="190">
        <v>50</v>
      </c>
      <c r="LP165" s="191"/>
      <c r="LQ165" s="191"/>
      <c r="LR165" s="191"/>
      <c r="LS165" s="191"/>
      <c r="LT165" s="191">
        <v>100</v>
      </c>
      <c r="LU165" s="191"/>
      <c r="LV165" s="191">
        <v>200</v>
      </c>
      <c r="LW165" s="191"/>
      <c r="LX165" s="191">
        <v>100</v>
      </c>
      <c r="LY165" s="191"/>
      <c r="LZ165" s="191"/>
      <c r="MA165" s="191"/>
      <c r="MB165" s="191">
        <v>200</v>
      </c>
      <c r="MC165" s="191">
        <v>100</v>
      </c>
      <c r="MD165" s="191"/>
      <c r="ME165" s="191">
        <v>50</v>
      </c>
      <c r="MF165" s="191"/>
      <c r="MG165" s="191"/>
      <c r="MH165" s="191">
        <v>150</v>
      </c>
      <c r="MI165" s="191"/>
      <c r="MJ165" s="191">
        <v>150</v>
      </c>
      <c r="MK165" s="191"/>
      <c r="ML165" s="191">
        <v>50</v>
      </c>
      <c r="MM165" s="191"/>
      <c r="MN165" s="191"/>
      <c r="MO165" s="191"/>
      <c r="MP165" s="191"/>
      <c r="MQ165" s="191">
        <v>50</v>
      </c>
      <c r="MR165" s="191"/>
      <c r="MS165" s="193"/>
      <c r="MT165" s="194"/>
      <c r="MU165" s="191"/>
      <c r="MV165" s="191">
        <v>150</v>
      </c>
      <c r="MW165" s="191"/>
      <c r="MX165" s="191">
        <v>150</v>
      </c>
      <c r="MY165" s="191"/>
      <c r="MZ165" s="191">
        <v>100</v>
      </c>
      <c r="NA165" s="191"/>
      <c r="NB165" s="191"/>
      <c r="NC165" s="191">
        <v>100</v>
      </c>
      <c r="ND165" s="191"/>
      <c r="NE165" s="191"/>
      <c r="NF165" s="191">
        <v>200</v>
      </c>
      <c r="NG165" s="191">
        <v>50</v>
      </c>
      <c r="NH165" s="191"/>
      <c r="NI165" s="191"/>
      <c r="NJ165" s="191">
        <v>100</v>
      </c>
      <c r="NK165" s="191"/>
      <c r="NL165" s="191">
        <v>100</v>
      </c>
      <c r="NM165" s="191"/>
      <c r="NN165" s="191"/>
      <c r="NO165" s="191"/>
      <c r="NP165" s="191"/>
      <c r="NQ165" s="191">
        <v>150</v>
      </c>
      <c r="NR165" s="191"/>
      <c r="NS165" s="191">
        <v>100</v>
      </c>
      <c r="NT165" s="191"/>
      <c r="NU165" s="191">
        <v>100</v>
      </c>
      <c r="NV165" s="191"/>
      <c r="NW165" s="192"/>
      <c r="NX165" s="190">
        <v>100</v>
      </c>
      <c r="NY165" s="191"/>
      <c r="NZ165" s="191">
        <v>50</v>
      </c>
      <c r="OA165" s="191"/>
      <c r="OB165" s="191"/>
      <c r="OC165" s="191"/>
      <c r="OD165" s="191"/>
      <c r="OE165" s="191">
        <v>150</v>
      </c>
      <c r="OF165" s="191"/>
      <c r="OG165" s="191">
        <v>50</v>
      </c>
      <c r="OH165" s="191"/>
      <c r="OI165" s="191">
        <v>50</v>
      </c>
      <c r="OJ165" s="191"/>
      <c r="OK165" s="191"/>
      <c r="OL165" s="191">
        <v>150</v>
      </c>
      <c r="OM165" s="191"/>
      <c r="ON165" s="191">
        <v>50</v>
      </c>
      <c r="OO165" s="191"/>
      <c r="OP165" s="191"/>
      <c r="OQ165" s="191"/>
      <c r="OR165" s="191"/>
      <c r="OS165" s="191"/>
      <c r="OT165" s="191"/>
      <c r="OU165" s="191"/>
      <c r="OV165" s="191"/>
      <c r="OW165" s="191"/>
      <c r="OX165" s="191"/>
      <c r="OY165" s="191"/>
      <c r="OZ165" s="191"/>
      <c r="PA165" s="191"/>
      <c r="PB165" s="193"/>
      <c r="PC165" s="47"/>
      <c r="PD165" s="154" t="s">
        <v>97</v>
      </c>
      <c r="PE165" s="155" t="s">
        <v>98</v>
      </c>
      <c r="PF165" s="155" t="s">
        <v>98</v>
      </c>
      <c r="PG165" s="155" t="s">
        <v>98</v>
      </c>
      <c r="PH165" s="155" t="s">
        <v>98</v>
      </c>
      <c r="PI165" s="155" t="s">
        <v>98</v>
      </c>
      <c r="PJ165" s="155" t="s">
        <v>98</v>
      </c>
      <c r="PK165" s="155" t="s">
        <v>98</v>
      </c>
      <c r="PL165" s="155" t="s">
        <v>98</v>
      </c>
      <c r="PM165" s="155" t="s">
        <v>98</v>
      </c>
      <c r="PN165" s="155" t="s">
        <v>98</v>
      </c>
      <c r="PO165" s="156"/>
      <c r="PP165" s="156"/>
      <c r="PQ165" s="156"/>
      <c r="PR165" s="156"/>
      <c r="PS165" s="156"/>
      <c r="PT165" s="156"/>
      <c r="PU165" s="156"/>
      <c r="PV165" s="156"/>
      <c r="PW165" s="156"/>
      <c r="PX165" s="195"/>
      <c r="PY165" s="1"/>
      <c r="PZ165" s="196">
        <f t="shared" si="126"/>
        <v>1050</v>
      </c>
      <c r="QA165" s="176">
        <f t="shared" si="127"/>
        <v>8.7594894469008085E-3</v>
      </c>
      <c r="QB165" s="177" t="str">
        <f t="shared" ca="1" si="128"/>
        <v>Attente…</v>
      </c>
      <c r="QC165" s="197">
        <f t="shared" si="129"/>
        <v>1100</v>
      </c>
      <c r="QD165" s="179">
        <f t="shared" si="130"/>
        <v>1.0299625468164793E-2</v>
      </c>
      <c r="QE165" s="180" t="str">
        <f t="shared" ca="1" si="131"/>
        <v>Attente…</v>
      </c>
      <c r="QF165" s="196">
        <f t="shared" si="132"/>
        <v>1110</v>
      </c>
      <c r="QG165" s="176">
        <f t="shared" si="133"/>
        <v>8.8389870998566659E-3</v>
      </c>
      <c r="QH165" s="177" t="str">
        <f t="shared" ca="1" si="134"/>
        <v>Attente…</v>
      </c>
      <c r="QI165" s="197">
        <f t="shared" si="135"/>
        <v>1600</v>
      </c>
      <c r="QJ165" s="179">
        <f t="shared" si="136"/>
        <v>1.1221770234254453E-2</v>
      </c>
      <c r="QK165" s="180" t="str">
        <f t="shared" ca="1" si="137"/>
        <v>Attente…</v>
      </c>
      <c r="QL165" s="196">
        <f t="shared" si="138"/>
        <v>1950</v>
      </c>
      <c r="QM165" s="176">
        <f t="shared" si="139"/>
        <v>1.4266900790166813E-2</v>
      </c>
      <c r="QN165" s="177" t="str">
        <f t="shared" ca="1" si="140"/>
        <v>Attente…</v>
      </c>
      <c r="QO165" s="197">
        <f t="shared" si="141"/>
        <v>1310</v>
      </c>
      <c r="QP165" s="179">
        <f t="shared" si="142"/>
        <v>1.0256008768496047E-2</v>
      </c>
      <c r="QQ165" s="180" t="str">
        <f t="shared" ca="1" si="143"/>
        <v>Attente…</v>
      </c>
      <c r="QR165" s="196">
        <f t="shared" si="144"/>
        <v>1350</v>
      </c>
      <c r="QS165" s="176">
        <f t="shared" si="145"/>
        <v>9.7188726107771493E-3</v>
      </c>
      <c r="QT165" s="177" t="str">
        <f t="shared" ca="1" si="146"/>
        <v>Attente…</v>
      </c>
      <c r="QU165" s="197">
        <f t="shared" si="147"/>
        <v>860</v>
      </c>
      <c r="QV165" s="179">
        <f t="shared" si="148"/>
        <v>5.9293987865416441E-3</v>
      </c>
      <c r="QW165" s="180" t="str">
        <f t="shared" ca="1" si="149"/>
        <v>Attente…</v>
      </c>
      <c r="QX165" s="196">
        <f t="shared" si="150"/>
        <v>1260</v>
      </c>
      <c r="QY165" s="176">
        <f t="shared" si="151"/>
        <v>9.1946641758370064E-3</v>
      </c>
      <c r="QZ165" s="177" t="str">
        <f t="shared" ca="1" si="152"/>
        <v>Attente…</v>
      </c>
      <c r="RA165" s="197">
        <f t="shared" si="153"/>
        <v>1200</v>
      </c>
      <c r="RB165" s="179">
        <f t="shared" si="154"/>
        <v>9.3889367029183941E-3</v>
      </c>
      <c r="RC165" s="180" t="str">
        <f t="shared" ca="1" si="155"/>
        <v>Attente…</v>
      </c>
      <c r="RD165" s="196">
        <f t="shared" si="156"/>
        <v>1300</v>
      </c>
      <c r="RE165" s="176">
        <f t="shared" si="157"/>
        <v>1.2953367875647668E-2</v>
      </c>
      <c r="RF165" s="177" t="str">
        <f t="shared" ca="1" si="158"/>
        <v>Attente…</v>
      </c>
      <c r="RG165" s="197">
        <f t="shared" si="159"/>
        <v>600</v>
      </c>
      <c r="RH165" s="179">
        <f t="shared" si="160"/>
        <v>1.1035497517013059E-2</v>
      </c>
      <c r="RI165" s="198" t="str">
        <f t="shared" ca="1" si="161"/>
        <v>Attente…</v>
      </c>
      <c r="RJ165" s="199">
        <f t="shared" si="162"/>
        <v>3260</v>
      </c>
      <c r="RK165" s="200" t="str">
        <f t="shared" ca="1" si="119"/>
        <v>Attente…</v>
      </c>
      <c r="RL165" s="199">
        <f t="shared" si="163"/>
        <v>4860</v>
      </c>
      <c r="RM165" s="200" t="str">
        <f t="shared" ca="1" si="164"/>
        <v>Atttente…</v>
      </c>
      <c r="RN165" s="199">
        <f t="shared" si="165"/>
        <v>3470</v>
      </c>
      <c r="RO165" s="200" t="str">
        <f t="shared" ca="1" si="120"/>
        <v>Attente…</v>
      </c>
      <c r="RP165" s="199">
        <f t="shared" si="166"/>
        <v>3100</v>
      </c>
      <c r="RQ165" s="200" t="str">
        <f t="shared" ca="1" si="121"/>
        <v>Attente…</v>
      </c>
      <c r="RR165" s="201">
        <f t="shared" si="167"/>
        <v>14690</v>
      </c>
      <c r="RS165" s="202" t="str">
        <f t="shared" ca="1" si="122"/>
        <v>Attente…</v>
      </c>
      <c r="RT165" s="103"/>
      <c r="RU165" s="203">
        <f t="shared" si="168"/>
        <v>0.58760000000000001</v>
      </c>
      <c r="RV165" s="204">
        <f t="shared" si="171"/>
        <v>1</v>
      </c>
      <c r="RW165" s="204">
        <f t="shared" si="171"/>
        <v>3</v>
      </c>
      <c r="RX165" s="204">
        <f t="shared" si="169"/>
        <v>125</v>
      </c>
      <c r="RY165" s="205" t="str">
        <f t="shared" si="170"/>
        <v>LE GRAND-QUEVILLY - 41 Avenue J. F. Kennedy</v>
      </c>
      <c r="RZ165" s="189" t="str">
        <f>IF(OR(RZ164="",RZ164="  &lt;/Document&gt;
&lt;/kml&gt;"),"",
IF(B165="","  &lt;/Document&gt;
&lt;/kml&gt;",
IF(TournéesCAV!Q165=""," ",
"    &lt;Placemark&gt;
      &lt;description&gt;&lt;![CDATA["&amp;B165&amp;"&lt;br&gt;&lt;br&gt;"&amp;RV165&amp;" CAV&lt;br&gt;&lt;br&gt;Présent sur "&amp;RW165&amp;" tournée(s)&lt;br&gt;&lt;br&gt;Taux de remplissage moyen "&amp;TEXT(RU165*1000,"0 %")&amp;"]]&gt;&lt;/description&gt;
      &lt;Style&gt;
        &lt;IconStyle&gt;
          &lt;color&gt;ff"&amp;
          DEC2HEX(0,2)&amp;
          DEC2HEX(
            IF(RU165&lt;=0.5,
               INT(255*(RU165*2)),
               255
            ),2)&amp;
          DEC2HEX(
            IF(RU165&lt;=0.5,
               255,
               INT(255*(1-(RU165-0.5)*2))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&lt;Point&gt;&lt;coordinates&gt;"&amp;R165&amp;","&amp;Q165&amp;",0&lt;/coordinates&gt;&lt;/Point&gt;
    &lt;/Placemark&gt;"
)))</f>
        <v xml:space="preserve">    &lt;Placemark&gt;
      &lt;description&gt;&lt;![CDATA[LE GRAND-QUEVILLY - 41 Avenue J. F. Kennedy&lt;br&gt;&lt;br&gt;1 CAV&lt;br&gt;&lt;br&gt;Présent sur 3 tournée(s)&lt;br&gt;&lt;br&gt;Taux de remplissage moyen 59%]]&gt;&lt;/description&gt;
      &lt;Style&gt;
        &lt;IconStyle&gt;
          &lt;color&gt;ff00FFD2&lt;/color&gt;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&lt;Point&gt;&lt;coordinates&gt;1.0544188,49.4080799,0&lt;/coordinates&gt;&lt;/Point&gt;
    &lt;/Placemark&gt;</v>
      </c>
    </row>
    <row r="166" spans="2:494" ht="15" customHeight="1" x14ac:dyDescent="0.35">
      <c r="B166" s="153" t="str">
        <f t="shared" si="123"/>
        <v>ROUEN - 37 Rue de l'Enseigne Renaud (Angle Chemin de l'école Jules Ferry)</v>
      </c>
      <c r="C166" s="154">
        <v>111</v>
      </c>
      <c r="D166" s="155"/>
      <c r="E166" s="155"/>
      <c r="F166" s="155"/>
      <c r="G166" s="155"/>
      <c r="H166" s="155"/>
      <c r="I166" s="155"/>
      <c r="J166" s="156"/>
      <c r="K166" s="157">
        <f t="shared" si="124"/>
        <v>1</v>
      </c>
      <c r="L166" s="157">
        <f t="shared" si="125"/>
        <v>2</v>
      </c>
      <c r="M166" s="158" t="s">
        <v>917</v>
      </c>
      <c r="N166" s="159" t="s">
        <v>918</v>
      </c>
      <c r="O166" s="159">
        <v>76000</v>
      </c>
      <c r="P166" s="159" t="s">
        <v>90</v>
      </c>
      <c r="Q166" s="159" t="s">
        <v>919</v>
      </c>
      <c r="R166" s="159" t="s">
        <v>920</v>
      </c>
      <c r="S166" s="159" t="s">
        <v>93</v>
      </c>
      <c r="T166" s="159" t="s">
        <v>94</v>
      </c>
      <c r="U166" s="159" t="s">
        <v>921</v>
      </c>
      <c r="V166" s="160" t="s">
        <v>96</v>
      </c>
      <c r="W166" s="210">
        <v>12</v>
      </c>
      <c r="X166" s="162">
        <v>12</v>
      </c>
      <c r="Y166" s="162"/>
      <c r="Z166" s="162"/>
      <c r="AA166" s="162"/>
      <c r="AB166" s="162"/>
      <c r="AC166" s="162"/>
      <c r="AD166" s="162"/>
      <c r="AE166" s="162"/>
      <c r="AF166" s="162"/>
      <c r="AG166" s="162"/>
      <c r="AH166" s="162"/>
      <c r="AI166" s="162"/>
      <c r="AJ166" s="162"/>
      <c r="AK166" s="162"/>
      <c r="AL166" s="162"/>
      <c r="AM166" s="162"/>
      <c r="AN166" s="162"/>
      <c r="AO166" s="162"/>
      <c r="AP166" s="164"/>
      <c r="AQ166" s="164"/>
      <c r="AR166" s="164"/>
      <c r="AS166" s="164"/>
      <c r="AT166" s="164"/>
      <c r="AU166" s="164"/>
      <c r="AV166" s="164"/>
      <c r="AW166" s="164"/>
      <c r="AX166" s="164"/>
      <c r="AY166" s="165"/>
      <c r="AZ166" s="41"/>
      <c r="BA166" s="190"/>
      <c r="BB166" s="191"/>
      <c r="BC166" s="191">
        <v>50</v>
      </c>
      <c r="BD166" s="191"/>
      <c r="BE166" s="191"/>
      <c r="BF166" s="191"/>
      <c r="BG166" s="191"/>
      <c r="BH166" s="191"/>
      <c r="BI166" s="191"/>
      <c r="BJ166" s="191"/>
      <c r="BK166" s="191"/>
      <c r="BL166" s="191"/>
      <c r="BM166" s="191">
        <v>100</v>
      </c>
      <c r="BN166" s="191"/>
      <c r="BO166" s="191"/>
      <c r="BP166" s="191"/>
      <c r="BQ166" s="191">
        <v>100</v>
      </c>
      <c r="BR166" s="191"/>
      <c r="BS166" s="191"/>
      <c r="BT166" s="191"/>
      <c r="BU166" s="191"/>
      <c r="BV166" s="191"/>
      <c r="BW166" s="191"/>
      <c r="BX166" s="191">
        <v>50</v>
      </c>
      <c r="BY166" s="191"/>
      <c r="BZ166" s="191"/>
      <c r="CA166" s="191"/>
      <c r="CB166" s="191"/>
      <c r="CC166" s="191"/>
      <c r="CD166" s="191"/>
      <c r="CE166" s="192">
        <v>100</v>
      </c>
      <c r="CF166" s="190"/>
      <c r="CG166" s="191"/>
      <c r="CH166" s="191"/>
      <c r="CI166" s="191"/>
      <c r="CJ166" s="191"/>
      <c r="CK166" s="191"/>
      <c r="CL166" s="191">
        <v>50</v>
      </c>
      <c r="CM166" s="191"/>
      <c r="CN166" s="191"/>
      <c r="CO166" s="191">
        <v>50</v>
      </c>
      <c r="CP166" s="191"/>
      <c r="CQ166" s="191"/>
      <c r="CR166" s="191"/>
      <c r="CS166" s="191">
        <v>50</v>
      </c>
      <c r="CT166" s="191"/>
      <c r="CU166" s="191"/>
      <c r="CV166" s="191">
        <v>50</v>
      </c>
      <c r="CW166" s="191"/>
      <c r="CX166" s="191"/>
      <c r="CY166" s="191"/>
      <c r="CZ166" s="191">
        <v>50</v>
      </c>
      <c r="DA166" s="191"/>
      <c r="DB166" s="191"/>
      <c r="DC166" s="191">
        <v>100</v>
      </c>
      <c r="DD166" s="191"/>
      <c r="DE166" s="191"/>
      <c r="DF166" s="191"/>
      <c r="DG166" s="191">
        <v>50</v>
      </c>
      <c r="DH166" s="193"/>
      <c r="DI166" s="194"/>
      <c r="DJ166" s="191"/>
      <c r="DK166" s="191">
        <v>50</v>
      </c>
      <c r="DL166" s="191"/>
      <c r="DM166" s="191"/>
      <c r="DN166" s="191"/>
      <c r="DO166" s="191"/>
      <c r="DP166" s="191"/>
      <c r="DQ166" s="191"/>
      <c r="DR166" s="191">
        <v>50</v>
      </c>
      <c r="DS166" s="191"/>
      <c r="DT166" s="191"/>
      <c r="DU166" s="191"/>
      <c r="DV166" s="191">
        <v>50</v>
      </c>
      <c r="DW166" s="191"/>
      <c r="DX166" s="191"/>
      <c r="DY166" s="191">
        <v>50</v>
      </c>
      <c r="DZ166" s="191"/>
      <c r="EA166" s="191"/>
      <c r="EB166" s="191"/>
      <c r="EC166" s="191">
        <v>50</v>
      </c>
      <c r="ED166" s="191"/>
      <c r="EE166" s="191"/>
      <c r="EF166" s="191">
        <v>50</v>
      </c>
      <c r="EG166" s="191"/>
      <c r="EH166" s="191"/>
      <c r="EI166" s="191"/>
      <c r="EJ166" s="191">
        <v>100</v>
      </c>
      <c r="EK166" s="191"/>
      <c r="EL166" s="191"/>
      <c r="EM166" s="192">
        <v>100</v>
      </c>
      <c r="EN166" s="190"/>
      <c r="EO166" s="191"/>
      <c r="EP166" s="191"/>
      <c r="EQ166" s="191">
        <v>50</v>
      </c>
      <c r="ER166" s="191"/>
      <c r="ES166" s="191"/>
      <c r="ET166" s="191">
        <v>100</v>
      </c>
      <c r="EU166" s="191"/>
      <c r="EV166" s="191"/>
      <c r="EW166" s="191"/>
      <c r="EX166" s="191">
        <v>50</v>
      </c>
      <c r="EY166" s="191"/>
      <c r="EZ166" s="191"/>
      <c r="FA166" s="191">
        <v>50</v>
      </c>
      <c r="FB166" s="191"/>
      <c r="FC166" s="191"/>
      <c r="FD166" s="191"/>
      <c r="FE166" s="191">
        <v>10</v>
      </c>
      <c r="FF166" s="191"/>
      <c r="FG166" s="191"/>
      <c r="FH166" s="191"/>
      <c r="FI166" s="191"/>
      <c r="FJ166" s="191"/>
      <c r="FK166" s="191">
        <v>50</v>
      </c>
      <c r="FL166" s="191"/>
      <c r="FM166" s="191"/>
      <c r="FN166" s="191"/>
      <c r="FO166" s="191">
        <v>100</v>
      </c>
      <c r="FP166" s="191"/>
      <c r="FQ166" s="193"/>
      <c r="FR166" s="194"/>
      <c r="FS166" s="191"/>
      <c r="FT166" s="191"/>
      <c r="FU166" s="191"/>
      <c r="FV166" s="191"/>
      <c r="FW166" s="191"/>
      <c r="FX166" s="191"/>
      <c r="FY166" s="191"/>
      <c r="FZ166" s="191">
        <v>150</v>
      </c>
      <c r="GA166" s="191"/>
      <c r="GB166" s="191"/>
      <c r="GC166" s="191">
        <v>50</v>
      </c>
      <c r="GD166" s="191"/>
      <c r="GE166" s="191"/>
      <c r="GF166" s="191"/>
      <c r="GG166" s="191">
        <v>10</v>
      </c>
      <c r="GH166" s="191"/>
      <c r="GI166" s="191"/>
      <c r="GJ166" s="191">
        <v>100</v>
      </c>
      <c r="GK166" s="191"/>
      <c r="GL166" s="191"/>
      <c r="GM166" s="191"/>
      <c r="GN166" s="191">
        <v>50</v>
      </c>
      <c r="GO166" s="191"/>
      <c r="GP166" s="191"/>
      <c r="GQ166" s="191">
        <v>50</v>
      </c>
      <c r="GR166" s="191"/>
      <c r="GS166" s="191"/>
      <c r="GT166" s="191"/>
      <c r="GU166" s="191"/>
      <c r="GV166" s="192"/>
      <c r="GW166" s="190"/>
      <c r="GX166" s="191">
        <v>150</v>
      </c>
      <c r="GY166" s="191"/>
      <c r="GZ166" s="191"/>
      <c r="HA166" s="191"/>
      <c r="HB166" s="191">
        <v>50</v>
      </c>
      <c r="HC166" s="191"/>
      <c r="HD166" s="191"/>
      <c r="HE166" s="191"/>
      <c r="HF166" s="191"/>
      <c r="HG166" s="191"/>
      <c r="HH166" s="191"/>
      <c r="HI166" s="191">
        <v>150</v>
      </c>
      <c r="HJ166" s="191"/>
      <c r="HK166" s="191"/>
      <c r="HL166" s="191"/>
      <c r="HM166" s="191"/>
      <c r="HN166" s="191"/>
      <c r="HO166" s="191">
        <v>200</v>
      </c>
      <c r="HP166" s="191"/>
      <c r="HQ166" s="191"/>
      <c r="HR166" s="191"/>
      <c r="HS166" s="191">
        <v>50</v>
      </c>
      <c r="HT166" s="191"/>
      <c r="HU166" s="191"/>
      <c r="HV166" s="191"/>
      <c r="HW166" s="191">
        <v>50</v>
      </c>
      <c r="HX166" s="191"/>
      <c r="HY166" s="191"/>
      <c r="HZ166" s="193">
        <v>50</v>
      </c>
      <c r="IA166" s="194"/>
      <c r="IB166" s="191"/>
      <c r="IC166" s="191"/>
      <c r="ID166" s="191">
        <v>10</v>
      </c>
      <c r="IE166" s="191"/>
      <c r="IF166" s="191"/>
      <c r="IG166" s="191"/>
      <c r="IH166" s="191"/>
      <c r="II166" s="191"/>
      <c r="IJ166" s="191">
        <v>100</v>
      </c>
      <c r="IK166" s="191"/>
      <c r="IL166" s="191"/>
      <c r="IM166" s="191"/>
      <c r="IN166" s="191">
        <v>100</v>
      </c>
      <c r="IO166" s="191"/>
      <c r="IP166" s="191"/>
      <c r="IQ166" s="191"/>
      <c r="IR166" s="191"/>
      <c r="IS166" s="191"/>
      <c r="IT166" s="191"/>
      <c r="IU166" s="191"/>
      <c r="IV166" s="191"/>
      <c r="IW166" s="191"/>
      <c r="IX166" s="191"/>
      <c r="IY166" s="191"/>
      <c r="IZ166" s="191"/>
      <c r="JA166" s="191"/>
      <c r="JB166" s="191">
        <v>150</v>
      </c>
      <c r="JC166" s="191"/>
      <c r="JD166" s="191"/>
      <c r="JE166" s="192"/>
      <c r="JF166" s="190">
        <v>100</v>
      </c>
      <c r="JG166" s="191"/>
      <c r="JH166" s="191"/>
      <c r="JI166" s="191">
        <v>50</v>
      </c>
      <c r="JJ166" s="191"/>
      <c r="JK166" s="191"/>
      <c r="JL166" s="191"/>
      <c r="JM166" s="191">
        <v>50</v>
      </c>
      <c r="JN166" s="191"/>
      <c r="JO166" s="191"/>
      <c r="JP166" s="191">
        <v>100</v>
      </c>
      <c r="JQ166" s="191"/>
      <c r="JR166" s="191"/>
      <c r="JS166" s="191"/>
      <c r="JT166" s="191"/>
      <c r="JU166" s="191"/>
      <c r="JV166" s="191"/>
      <c r="JW166" s="191">
        <v>150</v>
      </c>
      <c r="JX166" s="191"/>
      <c r="JY166" s="191"/>
      <c r="JZ166" s="191"/>
      <c r="KA166" s="191">
        <v>100</v>
      </c>
      <c r="KB166" s="191"/>
      <c r="KC166" s="191"/>
      <c r="KD166" s="191">
        <v>100</v>
      </c>
      <c r="KE166" s="191"/>
      <c r="KF166" s="191"/>
      <c r="KG166" s="191"/>
      <c r="KH166" s="191">
        <v>50</v>
      </c>
      <c r="KI166" s="191"/>
      <c r="KJ166" s="193"/>
      <c r="KK166" s="194">
        <v>100</v>
      </c>
      <c r="KL166" s="191"/>
      <c r="KM166" s="191"/>
      <c r="KN166" s="191"/>
      <c r="KO166" s="191"/>
      <c r="KP166" s="191"/>
      <c r="KQ166" s="191"/>
      <c r="KR166" s="191">
        <v>50</v>
      </c>
      <c r="KS166" s="191"/>
      <c r="KT166" s="191"/>
      <c r="KU166" s="191"/>
      <c r="KV166" s="191">
        <v>50</v>
      </c>
      <c r="KW166" s="191"/>
      <c r="KX166" s="191"/>
      <c r="KY166" s="191">
        <v>50</v>
      </c>
      <c r="KZ166" s="191"/>
      <c r="LA166" s="191"/>
      <c r="LB166" s="191"/>
      <c r="LC166" s="191">
        <v>50</v>
      </c>
      <c r="LD166" s="191"/>
      <c r="LE166" s="191"/>
      <c r="LF166" s="191">
        <v>100</v>
      </c>
      <c r="LG166" s="191"/>
      <c r="LH166" s="191"/>
      <c r="LI166" s="191"/>
      <c r="LJ166" s="191">
        <v>50</v>
      </c>
      <c r="LK166" s="191"/>
      <c r="LL166" s="191"/>
      <c r="LM166" s="191">
        <v>5</v>
      </c>
      <c r="LN166" s="192"/>
      <c r="LO166" s="190"/>
      <c r="LP166" s="191"/>
      <c r="LQ166" s="191"/>
      <c r="LR166" s="191"/>
      <c r="LS166" s="191"/>
      <c r="LT166" s="191">
        <v>150</v>
      </c>
      <c r="LU166" s="191"/>
      <c r="LV166" s="191"/>
      <c r="LW166" s="191"/>
      <c r="LX166" s="191">
        <v>50</v>
      </c>
      <c r="LY166" s="191"/>
      <c r="LZ166" s="191"/>
      <c r="MA166" s="191">
        <v>10</v>
      </c>
      <c r="MB166" s="191"/>
      <c r="MC166" s="191"/>
      <c r="MD166" s="191"/>
      <c r="ME166" s="191">
        <v>50</v>
      </c>
      <c r="MF166" s="191"/>
      <c r="MG166" s="191"/>
      <c r="MH166" s="191">
        <v>50</v>
      </c>
      <c r="MI166" s="191"/>
      <c r="MJ166" s="191"/>
      <c r="MK166" s="191"/>
      <c r="ML166" s="191">
        <v>50</v>
      </c>
      <c r="MM166" s="191"/>
      <c r="MN166" s="191"/>
      <c r="MO166" s="191">
        <v>50</v>
      </c>
      <c r="MP166" s="191"/>
      <c r="MQ166" s="191"/>
      <c r="MR166" s="191"/>
      <c r="MS166" s="193">
        <v>50</v>
      </c>
      <c r="MT166" s="194"/>
      <c r="MU166" s="191"/>
      <c r="MV166" s="191">
        <v>10</v>
      </c>
      <c r="MW166" s="191"/>
      <c r="MX166" s="191"/>
      <c r="MY166" s="191"/>
      <c r="MZ166" s="191">
        <v>50</v>
      </c>
      <c r="NA166" s="191"/>
      <c r="NB166" s="191"/>
      <c r="NC166" s="191">
        <v>100</v>
      </c>
      <c r="ND166" s="191"/>
      <c r="NE166" s="191"/>
      <c r="NF166" s="191"/>
      <c r="NG166" s="191">
        <v>50</v>
      </c>
      <c r="NH166" s="191"/>
      <c r="NI166" s="191"/>
      <c r="NJ166" s="191">
        <v>50</v>
      </c>
      <c r="NK166" s="191"/>
      <c r="NL166" s="191"/>
      <c r="NM166" s="191"/>
      <c r="NN166" s="191">
        <v>50</v>
      </c>
      <c r="NO166" s="191"/>
      <c r="NP166" s="191"/>
      <c r="NQ166" s="191">
        <v>50</v>
      </c>
      <c r="NR166" s="191"/>
      <c r="NS166" s="191"/>
      <c r="NT166" s="191"/>
      <c r="NU166" s="191">
        <v>50</v>
      </c>
      <c r="NV166" s="191"/>
      <c r="NW166" s="192"/>
      <c r="NX166" s="190">
        <v>50</v>
      </c>
      <c r="NY166" s="191"/>
      <c r="NZ166" s="191"/>
      <c r="OA166" s="191"/>
      <c r="OB166" s="191">
        <v>50</v>
      </c>
      <c r="OC166" s="191"/>
      <c r="OD166" s="191"/>
      <c r="OE166" s="191">
        <v>10</v>
      </c>
      <c r="OF166" s="191"/>
      <c r="OG166" s="191"/>
      <c r="OH166" s="191"/>
      <c r="OI166" s="191">
        <v>10</v>
      </c>
      <c r="OJ166" s="191"/>
      <c r="OK166" s="191"/>
      <c r="OL166" s="191"/>
      <c r="OM166" s="191"/>
      <c r="ON166" s="191"/>
      <c r="OO166" s="191"/>
      <c r="OP166" s="191"/>
      <c r="OQ166" s="191"/>
      <c r="OR166" s="191"/>
      <c r="OS166" s="191"/>
      <c r="OT166" s="191"/>
      <c r="OU166" s="191"/>
      <c r="OV166" s="191"/>
      <c r="OW166" s="191"/>
      <c r="OX166" s="191"/>
      <c r="OY166" s="191"/>
      <c r="OZ166" s="191"/>
      <c r="PA166" s="191"/>
      <c r="PB166" s="193"/>
      <c r="PC166" s="47"/>
      <c r="PD166" s="154" t="s">
        <v>97</v>
      </c>
      <c r="PE166" s="155" t="s">
        <v>98</v>
      </c>
      <c r="PF166" s="155" t="s">
        <v>98</v>
      </c>
      <c r="PG166" s="155" t="s">
        <v>98</v>
      </c>
      <c r="PH166" s="155" t="s">
        <v>98</v>
      </c>
      <c r="PI166" s="155" t="s">
        <v>98</v>
      </c>
      <c r="PJ166" s="155" t="s">
        <v>98</v>
      </c>
      <c r="PK166" s="155" t="s">
        <v>98</v>
      </c>
      <c r="PL166" s="155" t="s">
        <v>98</v>
      </c>
      <c r="PM166" s="155" t="s">
        <v>98</v>
      </c>
      <c r="PN166" s="155" t="s">
        <v>98</v>
      </c>
      <c r="PO166" s="156"/>
      <c r="PP166" s="156"/>
      <c r="PQ166" s="156"/>
      <c r="PR166" s="156"/>
      <c r="PS166" s="156"/>
      <c r="PT166" s="156"/>
      <c r="PU166" s="156"/>
      <c r="PV166" s="156"/>
      <c r="PW166" s="156"/>
      <c r="PX166" s="195"/>
      <c r="PY166" s="1"/>
      <c r="PZ166" s="196">
        <f t="shared" si="126"/>
        <v>400</v>
      </c>
      <c r="QA166" s="176">
        <f t="shared" si="127"/>
        <v>3.3369483607241178E-3</v>
      </c>
      <c r="QB166" s="177" t="str">
        <f t="shared" ca="1" si="128"/>
        <v>Attente…</v>
      </c>
      <c r="QC166" s="197">
        <f t="shared" si="129"/>
        <v>400</v>
      </c>
      <c r="QD166" s="179">
        <f t="shared" si="130"/>
        <v>3.7453183520599251E-3</v>
      </c>
      <c r="QE166" s="180" t="str">
        <f t="shared" ca="1" si="131"/>
        <v>Attente…</v>
      </c>
      <c r="QF166" s="196">
        <f t="shared" si="132"/>
        <v>500</v>
      </c>
      <c r="QG166" s="176">
        <f t="shared" si="133"/>
        <v>3.9815257206561551E-3</v>
      </c>
      <c r="QH166" s="177" t="str">
        <f t="shared" ca="1" si="134"/>
        <v>Attente…</v>
      </c>
      <c r="QI166" s="197">
        <f t="shared" si="135"/>
        <v>410</v>
      </c>
      <c r="QJ166" s="179">
        <f t="shared" si="136"/>
        <v>2.8755786225277036E-3</v>
      </c>
      <c r="QK166" s="180" t="str">
        <f t="shared" ca="1" si="137"/>
        <v>Attente…</v>
      </c>
      <c r="QL166" s="196">
        <f t="shared" si="138"/>
        <v>410</v>
      </c>
      <c r="QM166" s="176">
        <f t="shared" si="139"/>
        <v>2.9997073456248173E-3</v>
      </c>
      <c r="QN166" s="177" t="str">
        <f t="shared" ca="1" si="140"/>
        <v>Attente…</v>
      </c>
      <c r="QO166" s="197">
        <f t="shared" si="141"/>
        <v>700</v>
      </c>
      <c r="QP166" s="179">
        <f t="shared" si="142"/>
        <v>5.4803100289673532E-3</v>
      </c>
      <c r="QQ166" s="180" t="str">
        <f t="shared" ca="1" si="143"/>
        <v>Attente…</v>
      </c>
      <c r="QR166" s="196">
        <f t="shared" si="144"/>
        <v>360</v>
      </c>
      <c r="QS166" s="176">
        <f t="shared" si="145"/>
        <v>2.5916993628739065E-3</v>
      </c>
      <c r="QT166" s="177" t="str">
        <f t="shared" ca="1" si="146"/>
        <v>Attente…</v>
      </c>
      <c r="QU166" s="197">
        <f t="shared" si="147"/>
        <v>700</v>
      </c>
      <c r="QV166" s="179">
        <f t="shared" si="148"/>
        <v>4.8262548262548262E-3</v>
      </c>
      <c r="QW166" s="180" t="str">
        <f t="shared" ca="1" si="149"/>
        <v>Attente…</v>
      </c>
      <c r="QX166" s="196">
        <f t="shared" si="150"/>
        <v>455</v>
      </c>
      <c r="QY166" s="176">
        <f t="shared" si="151"/>
        <v>3.3202953968300302E-3</v>
      </c>
      <c r="QZ166" s="177" t="str">
        <f t="shared" ca="1" si="152"/>
        <v>Attente…</v>
      </c>
      <c r="RA166" s="197">
        <f t="shared" si="153"/>
        <v>460</v>
      </c>
      <c r="RB166" s="179">
        <f t="shared" si="154"/>
        <v>3.5990924027853844E-3</v>
      </c>
      <c r="RC166" s="180" t="str">
        <f t="shared" ca="1" si="155"/>
        <v>Attente…</v>
      </c>
      <c r="RD166" s="196">
        <f t="shared" si="156"/>
        <v>410</v>
      </c>
      <c r="RE166" s="176">
        <f t="shared" si="157"/>
        <v>4.0852929453965726E-3</v>
      </c>
      <c r="RF166" s="177" t="str">
        <f t="shared" ca="1" si="158"/>
        <v>Attente…</v>
      </c>
      <c r="RG166" s="197">
        <f t="shared" si="159"/>
        <v>120</v>
      </c>
      <c r="RH166" s="179">
        <f t="shared" si="160"/>
        <v>2.2070995034026118E-3</v>
      </c>
      <c r="RI166" s="198" t="str">
        <f t="shared" ca="1" si="161"/>
        <v>Attente…</v>
      </c>
      <c r="RJ166" s="199">
        <f t="shared" si="162"/>
        <v>1300</v>
      </c>
      <c r="RK166" s="200" t="str">
        <f t="shared" ca="1" si="119"/>
        <v>Attente…</v>
      </c>
      <c r="RL166" s="199">
        <f t="shared" si="163"/>
        <v>1520</v>
      </c>
      <c r="RM166" s="200" t="str">
        <f t="shared" ca="1" si="164"/>
        <v>Atttente…</v>
      </c>
      <c r="RN166" s="199">
        <f t="shared" si="165"/>
        <v>1515</v>
      </c>
      <c r="RO166" s="200" t="str">
        <f t="shared" ca="1" si="120"/>
        <v>Attente…</v>
      </c>
      <c r="RP166" s="199">
        <f t="shared" si="166"/>
        <v>990</v>
      </c>
      <c r="RQ166" s="200" t="str">
        <f t="shared" ca="1" si="121"/>
        <v>Attente…</v>
      </c>
      <c r="RR166" s="201">
        <f t="shared" si="167"/>
        <v>5325</v>
      </c>
      <c r="RS166" s="202" t="str">
        <f t="shared" ca="1" si="122"/>
        <v>Attente…</v>
      </c>
      <c r="RT166" s="103"/>
      <c r="RU166" s="203">
        <f t="shared" si="168"/>
        <v>0.33281250000000001</v>
      </c>
      <c r="RV166" s="204">
        <f t="shared" si="171"/>
        <v>1</v>
      </c>
      <c r="RW166" s="204">
        <f t="shared" si="171"/>
        <v>2</v>
      </c>
      <c r="RX166" s="204">
        <f t="shared" si="169"/>
        <v>80</v>
      </c>
      <c r="RY166" s="205" t="str">
        <f t="shared" si="170"/>
        <v>ROUEN - 37 Rue de l'Enseigne Renaud (Angle Chemin de l'école Jules Ferry)</v>
      </c>
      <c r="RZ166" s="189" t="str">
        <f>IF(OR(RZ165="",RZ165="  &lt;/Document&gt;
&lt;/kml&gt;"),"",
IF(B166="","  &lt;/Document&gt;
&lt;/kml&gt;",
IF(TournéesCAV!Q166=""," ",
"    &lt;Placemark&gt;
      &lt;description&gt;&lt;![CDATA["&amp;B166&amp;"&lt;br&gt;&lt;br&gt;"&amp;RV166&amp;" CAV&lt;br&gt;&lt;br&gt;Présent sur "&amp;RW166&amp;" tournée(s)&lt;br&gt;&lt;br&gt;Taux de remplissage moyen "&amp;TEXT(RU166*1000,"0 %")&amp;"]]&gt;&lt;/description&gt;
      &lt;Style&gt;
        &lt;IconStyle&gt;
          &lt;color&gt;ff"&amp;
          DEC2HEX(0,2)&amp;
          DEC2HEX(
            IF(RU166&lt;=0.5,
               INT(255*(RU166*2)),
               255
            ),2)&amp;
          DEC2HEX(
            IF(RU166&lt;=0.5,
               255,
               INT(255*(1-(RU166-0.5)*2))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&lt;Point&gt;&lt;coordinates&gt;"&amp;R166&amp;","&amp;Q166&amp;",0&lt;/coordinates&gt;&lt;/Point&gt;
    &lt;/Placemark&gt;"
)))</f>
        <v xml:space="preserve">    &lt;Placemark&gt;
      &lt;description&gt;&lt;![CDATA[ROUEN - 37 Rue de l'Enseigne Renaud (Angle Chemin de l'école Jules Ferry)&lt;br&gt;&lt;br&gt;1 CAV&lt;br&gt;&lt;br&gt;Présent sur 2 tournée(s)&lt;br&gt;&lt;br&gt;Taux de remplissage moyen 33%]]&gt;&lt;/description&gt;
      &lt;Style&gt;
        &lt;IconStyle&gt;
          &lt;color&gt;ff00A9FF&lt;/color&gt;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&lt;Point&gt;&lt;coordinates&gt;1.123745,49.4349673,0&lt;/coordinates&gt;&lt;/Point&gt;
    &lt;/Placemark&gt;</v>
      </c>
    </row>
    <row r="167" spans="2:494" ht="15" customHeight="1" x14ac:dyDescent="0.35">
      <c r="B167" s="153" t="str">
        <f t="shared" si="123"/>
        <v>ROUEN - 5 place Saint Hilaire (Rond point Saint Hilaire)</v>
      </c>
      <c r="C167" s="154">
        <v>105</v>
      </c>
      <c r="D167" s="155"/>
      <c r="E167" s="155"/>
      <c r="F167" s="155"/>
      <c r="G167" s="155"/>
      <c r="H167" s="155"/>
      <c r="I167" s="155"/>
      <c r="J167" s="156"/>
      <c r="K167" s="157">
        <f t="shared" si="124"/>
        <v>1</v>
      </c>
      <c r="L167" s="157">
        <f t="shared" si="125"/>
        <v>2</v>
      </c>
      <c r="M167" s="158" t="s">
        <v>922</v>
      </c>
      <c r="N167" s="159" t="s">
        <v>923</v>
      </c>
      <c r="O167" s="159">
        <v>76000</v>
      </c>
      <c r="P167" s="159" t="s">
        <v>90</v>
      </c>
      <c r="Q167" s="159" t="s">
        <v>924</v>
      </c>
      <c r="R167" s="159" t="s">
        <v>925</v>
      </c>
      <c r="S167" s="159" t="s">
        <v>93</v>
      </c>
      <c r="T167" s="159" t="s">
        <v>94</v>
      </c>
      <c r="U167" s="159" t="s">
        <v>926</v>
      </c>
      <c r="V167" s="160" t="s">
        <v>96</v>
      </c>
      <c r="W167" s="210">
        <v>13</v>
      </c>
      <c r="X167" s="162">
        <v>13</v>
      </c>
      <c r="Y167" s="162"/>
      <c r="Z167" s="162"/>
      <c r="AA167" s="162"/>
      <c r="AB167" s="162"/>
      <c r="AC167" s="162"/>
      <c r="AD167" s="162"/>
      <c r="AE167" s="162"/>
      <c r="AF167" s="162"/>
      <c r="AG167" s="162"/>
      <c r="AH167" s="162"/>
      <c r="AI167" s="162"/>
      <c r="AJ167" s="162"/>
      <c r="AK167" s="162"/>
      <c r="AL167" s="162"/>
      <c r="AM167" s="162"/>
      <c r="AN167" s="162"/>
      <c r="AO167" s="162"/>
      <c r="AP167" s="164"/>
      <c r="AQ167" s="164"/>
      <c r="AR167" s="164"/>
      <c r="AS167" s="164"/>
      <c r="AT167" s="164"/>
      <c r="AU167" s="164"/>
      <c r="AV167" s="164"/>
      <c r="AW167" s="164"/>
      <c r="AX167" s="164"/>
      <c r="AY167" s="165"/>
      <c r="AZ167" s="41"/>
      <c r="BA167" s="190"/>
      <c r="BB167" s="191"/>
      <c r="BC167" s="191">
        <v>50</v>
      </c>
      <c r="BD167" s="191"/>
      <c r="BE167" s="191"/>
      <c r="BF167" s="191"/>
      <c r="BG167" s="191"/>
      <c r="BH167" s="191"/>
      <c r="BI167" s="191"/>
      <c r="BJ167" s="191">
        <v>10</v>
      </c>
      <c r="BK167" s="191"/>
      <c r="BL167" s="191"/>
      <c r="BM167" s="191">
        <v>150</v>
      </c>
      <c r="BN167" s="191"/>
      <c r="BO167" s="191"/>
      <c r="BP167" s="191"/>
      <c r="BQ167" s="191">
        <v>10</v>
      </c>
      <c r="BR167" s="191"/>
      <c r="BS167" s="191"/>
      <c r="BT167" s="191"/>
      <c r="BU167" s="191"/>
      <c r="BV167" s="191"/>
      <c r="BW167" s="191"/>
      <c r="BX167" s="191">
        <v>100</v>
      </c>
      <c r="BY167" s="191"/>
      <c r="BZ167" s="191"/>
      <c r="CA167" s="191"/>
      <c r="CB167" s="191"/>
      <c r="CC167" s="191"/>
      <c r="CD167" s="191"/>
      <c r="CE167" s="192">
        <v>50</v>
      </c>
      <c r="CF167" s="190"/>
      <c r="CG167" s="191"/>
      <c r="CH167" s="191"/>
      <c r="CI167" s="191"/>
      <c r="CJ167" s="191"/>
      <c r="CK167" s="191"/>
      <c r="CL167" s="191">
        <v>10</v>
      </c>
      <c r="CM167" s="191"/>
      <c r="CN167" s="191"/>
      <c r="CO167" s="191">
        <v>50</v>
      </c>
      <c r="CP167" s="191"/>
      <c r="CQ167" s="191"/>
      <c r="CR167" s="191"/>
      <c r="CS167" s="191">
        <v>10</v>
      </c>
      <c r="CT167" s="191"/>
      <c r="CU167" s="191"/>
      <c r="CV167" s="191">
        <v>50</v>
      </c>
      <c r="CW167" s="191"/>
      <c r="CX167" s="191"/>
      <c r="CY167" s="191"/>
      <c r="CZ167" s="191">
        <v>50</v>
      </c>
      <c r="DA167" s="191"/>
      <c r="DB167" s="191"/>
      <c r="DC167" s="191">
        <v>100</v>
      </c>
      <c r="DD167" s="191"/>
      <c r="DE167" s="191"/>
      <c r="DF167" s="191"/>
      <c r="DG167" s="191">
        <v>50</v>
      </c>
      <c r="DH167" s="193"/>
      <c r="DI167" s="194"/>
      <c r="DJ167" s="191"/>
      <c r="DK167" s="191">
        <v>10</v>
      </c>
      <c r="DL167" s="191"/>
      <c r="DM167" s="191"/>
      <c r="DN167" s="191"/>
      <c r="DO167" s="191"/>
      <c r="DP167" s="191"/>
      <c r="DQ167" s="191"/>
      <c r="DR167" s="191">
        <v>50</v>
      </c>
      <c r="DS167" s="191"/>
      <c r="DT167" s="191"/>
      <c r="DU167" s="191"/>
      <c r="DV167" s="191">
        <v>10</v>
      </c>
      <c r="DW167" s="191"/>
      <c r="DX167" s="191"/>
      <c r="DY167" s="191">
        <v>150</v>
      </c>
      <c r="DZ167" s="191"/>
      <c r="EA167" s="191"/>
      <c r="EB167" s="191"/>
      <c r="EC167" s="191">
        <v>100</v>
      </c>
      <c r="ED167" s="191"/>
      <c r="EE167" s="191"/>
      <c r="EF167" s="191">
        <v>10</v>
      </c>
      <c r="EG167" s="191"/>
      <c r="EH167" s="191"/>
      <c r="EI167" s="191"/>
      <c r="EJ167" s="191">
        <v>50</v>
      </c>
      <c r="EK167" s="191"/>
      <c r="EL167" s="191"/>
      <c r="EM167" s="192">
        <v>50</v>
      </c>
      <c r="EN167" s="190"/>
      <c r="EO167" s="191"/>
      <c r="EP167" s="191"/>
      <c r="EQ167" s="191">
        <v>50</v>
      </c>
      <c r="ER167" s="191"/>
      <c r="ES167" s="191"/>
      <c r="ET167" s="191">
        <v>50</v>
      </c>
      <c r="EU167" s="191"/>
      <c r="EV167" s="191"/>
      <c r="EW167" s="191"/>
      <c r="EX167" s="191">
        <v>10</v>
      </c>
      <c r="EY167" s="191"/>
      <c r="EZ167" s="191"/>
      <c r="FA167" s="191">
        <v>50</v>
      </c>
      <c r="FB167" s="191"/>
      <c r="FC167" s="191"/>
      <c r="FD167" s="191"/>
      <c r="FE167" s="191">
        <v>50</v>
      </c>
      <c r="FF167" s="191"/>
      <c r="FG167" s="191"/>
      <c r="FH167" s="191"/>
      <c r="FI167" s="191"/>
      <c r="FJ167" s="191"/>
      <c r="FK167" s="191">
        <v>10</v>
      </c>
      <c r="FL167" s="191"/>
      <c r="FM167" s="191"/>
      <c r="FN167" s="191"/>
      <c r="FO167" s="191">
        <v>150</v>
      </c>
      <c r="FP167" s="191"/>
      <c r="FQ167" s="193"/>
      <c r="FR167" s="194"/>
      <c r="FS167" s="191"/>
      <c r="FT167" s="191"/>
      <c r="FU167" s="191"/>
      <c r="FV167" s="191">
        <v>100</v>
      </c>
      <c r="FW167" s="191"/>
      <c r="FX167" s="191"/>
      <c r="FY167" s="191"/>
      <c r="FZ167" s="191">
        <v>50</v>
      </c>
      <c r="GA167" s="191"/>
      <c r="GB167" s="191"/>
      <c r="GC167" s="191">
        <v>10</v>
      </c>
      <c r="GD167" s="191"/>
      <c r="GE167" s="191"/>
      <c r="GF167" s="191"/>
      <c r="GG167" s="191">
        <v>10</v>
      </c>
      <c r="GH167" s="191"/>
      <c r="GI167" s="191"/>
      <c r="GJ167" s="191">
        <v>10</v>
      </c>
      <c r="GK167" s="191"/>
      <c r="GL167" s="191"/>
      <c r="GM167" s="191"/>
      <c r="GN167" s="191">
        <v>50</v>
      </c>
      <c r="GO167" s="191"/>
      <c r="GP167" s="191"/>
      <c r="GQ167" s="191">
        <v>100</v>
      </c>
      <c r="GR167" s="191"/>
      <c r="GS167" s="191"/>
      <c r="GT167" s="191"/>
      <c r="GU167" s="191">
        <v>50</v>
      </c>
      <c r="GV167" s="192"/>
      <c r="GW167" s="190"/>
      <c r="GX167" s="191">
        <v>10</v>
      </c>
      <c r="GY167" s="191"/>
      <c r="GZ167" s="191"/>
      <c r="HA167" s="191"/>
      <c r="HB167" s="191">
        <v>50</v>
      </c>
      <c r="HC167" s="191"/>
      <c r="HD167" s="191"/>
      <c r="HE167" s="191"/>
      <c r="HF167" s="191"/>
      <c r="HG167" s="191"/>
      <c r="HH167" s="191"/>
      <c r="HI167" s="191">
        <v>100</v>
      </c>
      <c r="HJ167" s="191"/>
      <c r="HK167" s="191"/>
      <c r="HL167" s="191"/>
      <c r="HM167" s="191"/>
      <c r="HN167" s="191"/>
      <c r="HO167" s="191">
        <v>50</v>
      </c>
      <c r="HP167" s="191"/>
      <c r="HQ167" s="191"/>
      <c r="HR167" s="191"/>
      <c r="HS167" s="191">
        <v>10</v>
      </c>
      <c r="HT167" s="191"/>
      <c r="HU167" s="191"/>
      <c r="HV167" s="191"/>
      <c r="HW167" s="191">
        <v>50</v>
      </c>
      <c r="HX167" s="191"/>
      <c r="HY167" s="191"/>
      <c r="HZ167" s="193">
        <v>50</v>
      </c>
      <c r="IA167" s="194"/>
      <c r="IB167" s="191"/>
      <c r="IC167" s="191"/>
      <c r="ID167" s="191">
        <v>50</v>
      </c>
      <c r="IE167" s="191"/>
      <c r="IF167" s="191"/>
      <c r="IG167" s="191"/>
      <c r="IH167" s="191"/>
      <c r="II167" s="191"/>
      <c r="IJ167" s="191">
        <v>100</v>
      </c>
      <c r="IK167" s="191"/>
      <c r="IL167" s="191"/>
      <c r="IM167" s="191"/>
      <c r="IN167" s="191">
        <v>50</v>
      </c>
      <c r="IO167" s="191"/>
      <c r="IP167" s="191"/>
      <c r="IQ167" s="191"/>
      <c r="IR167" s="191"/>
      <c r="IS167" s="191"/>
      <c r="IT167" s="191"/>
      <c r="IU167" s="191">
        <v>50</v>
      </c>
      <c r="IV167" s="191"/>
      <c r="IW167" s="191"/>
      <c r="IX167" s="191"/>
      <c r="IY167" s="191"/>
      <c r="IZ167" s="191"/>
      <c r="JA167" s="191"/>
      <c r="JB167" s="191">
        <v>100</v>
      </c>
      <c r="JC167" s="191"/>
      <c r="JD167" s="191"/>
      <c r="JE167" s="192"/>
      <c r="JF167" s="190">
        <v>100</v>
      </c>
      <c r="JG167" s="191"/>
      <c r="JH167" s="191"/>
      <c r="JI167" s="191">
        <v>10</v>
      </c>
      <c r="JJ167" s="191"/>
      <c r="JK167" s="191"/>
      <c r="JL167" s="191"/>
      <c r="JM167" s="191">
        <v>50</v>
      </c>
      <c r="JN167" s="191"/>
      <c r="JO167" s="191"/>
      <c r="JP167" s="191">
        <v>50</v>
      </c>
      <c r="JQ167" s="191"/>
      <c r="JR167" s="191"/>
      <c r="JS167" s="191"/>
      <c r="JT167" s="191"/>
      <c r="JU167" s="191"/>
      <c r="JV167" s="191"/>
      <c r="JW167" s="191">
        <v>50</v>
      </c>
      <c r="JX167" s="191"/>
      <c r="JY167" s="191"/>
      <c r="JZ167" s="191"/>
      <c r="KA167" s="191">
        <v>50</v>
      </c>
      <c r="KB167" s="191"/>
      <c r="KC167" s="191"/>
      <c r="KD167" s="191">
        <v>50</v>
      </c>
      <c r="KE167" s="191"/>
      <c r="KF167" s="191"/>
      <c r="KG167" s="191"/>
      <c r="KH167" s="191">
        <v>50</v>
      </c>
      <c r="KI167" s="191"/>
      <c r="KJ167" s="193"/>
      <c r="KK167" s="194">
        <v>50</v>
      </c>
      <c r="KL167" s="191"/>
      <c r="KM167" s="191"/>
      <c r="KN167" s="191"/>
      <c r="KO167" s="191"/>
      <c r="KP167" s="191"/>
      <c r="KQ167" s="191"/>
      <c r="KR167" s="191">
        <v>50</v>
      </c>
      <c r="KS167" s="191"/>
      <c r="KT167" s="191"/>
      <c r="KU167" s="191"/>
      <c r="KV167" s="191">
        <v>10</v>
      </c>
      <c r="KW167" s="191"/>
      <c r="KX167" s="191"/>
      <c r="KY167" s="191">
        <v>50</v>
      </c>
      <c r="KZ167" s="191"/>
      <c r="LA167" s="191"/>
      <c r="LB167" s="191"/>
      <c r="LC167" s="191">
        <v>50</v>
      </c>
      <c r="LD167" s="191"/>
      <c r="LE167" s="191"/>
      <c r="LF167" s="191">
        <v>10</v>
      </c>
      <c r="LG167" s="191"/>
      <c r="LH167" s="191"/>
      <c r="LI167" s="191"/>
      <c r="LJ167" s="191">
        <v>10</v>
      </c>
      <c r="LK167" s="191"/>
      <c r="LL167" s="191"/>
      <c r="LM167" s="191"/>
      <c r="LN167" s="192"/>
      <c r="LO167" s="190"/>
      <c r="LP167" s="191"/>
      <c r="LQ167" s="191"/>
      <c r="LR167" s="191"/>
      <c r="LS167" s="191"/>
      <c r="LT167" s="191">
        <v>100</v>
      </c>
      <c r="LU167" s="191"/>
      <c r="LV167" s="191"/>
      <c r="LW167" s="191"/>
      <c r="LX167" s="191">
        <v>10</v>
      </c>
      <c r="LY167" s="191"/>
      <c r="LZ167" s="191"/>
      <c r="MA167" s="191">
        <v>50</v>
      </c>
      <c r="MB167" s="191"/>
      <c r="MC167" s="191"/>
      <c r="MD167" s="191"/>
      <c r="ME167" s="191">
        <v>50</v>
      </c>
      <c r="MF167" s="191"/>
      <c r="MG167" s="191"/>
      <c r="MH167" s="191">
        <v>10</v>
      </c>
      <c r="MI167" s="191"/>
      <c r="MJ167" s="191"/>
      <c r="MK167" s="191"/>
      <c r="ML167" s="191">
        <v>50</v>
      </c>
      <c r="MM167" s="191"/>
      <c r="MN167" s="191"/>
      <c r="MO167" s="191">
        <v>50</v>
      </c>
      <c r="MP167" s="191"/>
      <c r="MQ167" s="191"/>
      <c r="MR167" s="191"/>
      <c r="MS167" s="193">
        <v>50</v>
      </c>
      <c r="MT167" s="194"/>
      <c r="MU167" s="191"/>
      <c r="MV167" s="191">
        <v>50</v>
      </c>
      <c r="MW167" s="191"/>
      <c r="MX167" s="191"/>
      <c r="MY167" s="191"/>
      <c r="MZ167" s="191">
        <v>10</v>
      </c>
      <c r="NA167" s="191"/>
      <c r="NB167" s="191"/>
      <c r="NC167" s="191">
        <v>50</v>
      </c>
      <c r="ND167" s="191"/>
      <c r="NE167" s="191"/>
      <c r="NF167" s="191"/>
      <c r="NG167" s="191">
        <v>10</v>
      </c>
      <c r="NH167" s="191"/>
      <c r="NI167" s="191"/>
      <c r="NJ167" s="191">
        <v>10</v>
      </c>
      <c r="NK167" s="191"/>
      <c r="NL167" s="191"/>
      <c r="NM167" s="191"/>
      <c r="NN167" s="191">
        <v>50</v>
      </c>
      <c r="NO167" s="191"/>
      <c r="NP167" s="191"/>
      <c r="NQ167" s="191">
        <v>10</v>
      </c>
      <c r="NR167" s="191"/>
      <c r="NS167" s="191"/>
      <c r="NT167" s="191"/>
      <c r="NU167" s="191">
        <v>50</v>
      </c>
      <c r="NV167" s="191"/>
      <c r="NW167" s="192"/>
      <c r="NX167" s="190">
        <v>50</v>
      </c>
      <c r="NY167" s="191"/>
      <c r="NZ167" s="191"/>
      <c r="OA167" s="191"/>
      <c r="OB167" s="191">
        <v>50</v>
      </c>
      <c r="OC167" s="191"/>
      <c r="OD167" s="191"/>
      <c r="OE167" s="191">
        <v>10</v>
      </c>
      <c r="OF167" s="191"/>
      <c r="OG167" s="191"/>
      <c r="OH167" s="191"/>
      <c r="OI167" s="191">
        <v>10</v>
      </c>
      <c r="OJ167" s="191"/>
      <c r="OK167" s="191"/>
      <c r="OL167" s="191"/>
      <c r="OM167" s="191">
        <v>10</v>
      </c>
      <c r="ON167" s="191"/>
      <c r="OO167" s="191"/>
      <c r="OP167" s="191"/>
      <c r="OQ167" s="191"/>
      <c r="OR167" s="191"/>
      <c r="OS167" s="191"/>
      <c r="OT167" s="191"/>
      <c r="OU167" s="191"/>
      <c r="OV167" s="191"/>
      <c r="OW167" s="191"/>
      <c r="OX167" s="191"/>
      <c r="OY167" s="191"/>
      <c r="OZ167" s="191"/>
      <c r="PA167" s="191"/>
      <c r="PB167" s="193"/>
      <c r="PC167" s="47"/>
      <c r="PD167" s="154" t="s">
        <v>97</v>
      </c>
      <c r="PE167" s="155" t="s">
        <v>98</v>
      </c>
      <c r="PF167" s="155" t="s">
        <v>98</v>
      </c>
      <c r="PG167" s="155" t="s">
        <v>98</v>
      </c>
      <c r="PH167" s="155" t="s">
        <v>98</v>
      </c>
      <c r="PI167" s="155" t="s">
        <v>98</v>
      </c>
      <c r="PJ167" s="155" t="s">
        <v>98</v>
      </c>
      <c r="PK167" s="155" t="s">
        <v>98</v>
      </c>
      <c r="PL167" s="155" t="s">
        <v>98</v>
      </c>
      <c r="PM167" s="155" t="s">
        <v>98</v>
      </c>
      <c r="PN167" s="155" t="s">
        <v>98</v>
      </c>
      <c r="PO167" s="156"/>
      <c r="PP167" s="156"/>
      <c r="PQ167" s="156"/>
      <c r="PR167" s="156"/>
      <c r="PS167" s="156"/>
      <c r="PT167" s="156"/>
      <c r="PU167" s="156"/>
      <c r="PV167" s="156"/>
      <c r="PW167" s="156"/>
      <c r="PX167" s="195"/>
      <c r="PY167" s="1"/>
      <c r="PZ167" s="196">
        <f t="shared" si="126"/>
        <v>370</v>
      </c>
      <c r="QA167" s="176">
        <f t="shared" si="127"/>
        <v>3.0866772336698091E-3</v>
      </c>
      <c r="QB167" s="177" t="str">
        <f t="shared" ca="1" si="128"/>
        <v>Attente…</v>
      </c>
      <c r="QC167" s="197">
        <f t="shared" si="129"/>
        <v>320</v>
      </c>
      <c r="QD167" s="179">
        <f t="shared" si="130"/>
        <v>2.9962546816479402E-3</v>
      </c>
      <c r="QE167" s="180" t="str">
        <f t="shared" ca="1" si="131"/>
        <v>Attente…</v>
      </c>
      <c r="QF167" s="196">
        <f t="shared" si="132"/>
        <v>430</v>
      </c>
      <c r="QG167" s="176">
        <f t="shared" si="133"/>
        <v>3.4241121197642935E-3</v>
      </c>
      <c r="QH167" s="177" t="str">
        <f t="shared" ca="1" si="134"/>
        <v>Attente…</v>
      </c>
      <c r="QI167" s="197">
        <f t="shared" si="135"/>
        <v>370</v>
      </c>
      <c r="QJ167" s="179">
        <f t="shared" si="136"/>
        <v>2.5950343666713426E-3</v>
      </c>
      <c r="QK167" s="180" t="str">
        <f t="shared" ca="1" si="137"/>
        <v>Attente…</v>
      </c>
      <c r="QL167" s="196">
        <f t="shared" si="138"/>
        <v>380</v>
      </c>
      <c r="QM167" s="176">
        <f t="shared" si="139"/>
        <v>2.7802165642376352E-3</v>
      </c>
      <c r="QN167" s="177" t="str">
        <f t="shared" ca="1" si="140"/>
        <v>Attente…</v>
      </c>
      <c r="QO167" s="197">
        <f t="shared" si="141"/>
        <v>320</v>
      </c>
      <c r="QP167" s="179">
        <f t="shared" si="142"/>
        <v>2.5052845846707901E-3</v>
      </c>
      <c r="QQ167" s="180" t="str">
        <f t="shared" ca="1" si="143"/>
        <v>Attente…</v>
      </c>
      <c r="QR167" s="196">
        <f t="shared" si="144"/>
        <v>350</v>
      </c>
      <c r="QS167" s="176">
        <f t="shared" si="145"/>
        <v>2.5197077139051871E-3</v>
      </c>
      <c r="QT167" s="177" t="str">
        <f t="shared" ca="1" si="146"/>
        <v>Attente…</v>
      </c>
      <c r="QU167" s="197">
        <f t="shared" si="147"/>
        <v>410</v>
      </c>
      <c r="QV167" s="179">
        <f t="shared" si="148"/>
        <v>2.8268063982349696E-3</v>
      </c>
      <c r="QW167" s="180" t="str">
        <f t="shared" ca="1" si="149"/>
        <v>Attente…</v>
      </c>
      <c r="QX167" s="196">
        <f t="shared" si="150"/>
        <v>230</v>
      </c>
      <c r="QY167" s="176">
        <f t="shared" si="151"/>
        <v>1.6783910797162789E-3</v>
      </c>
      <c r="QZ167" s="177" t="str">
        <f t="shared" ca="1" si="152"/>
        <v>Attente…</v>
      </c>
      <c r="RA167" s="197">
        <f t="shared" si="153"/>
        <v>370</v>
      </c>
      <c r="RB167" s="179">
        <f t="shared" si="154"/>
        <v>2.8949221500665051E-3</v>
      </c>
      <c r="RC167" s="180" t="str">
        <f t="shared" ca="1" si="155"/>
        <v>Attente…</v>
      </c>
      <c r="RD167" s="196">
        <f t="shared" si="156"/>
        <v>240</v>
      </c>
      <c r="RE167" s="176">
        <f t="shared" si="157"/>
        <v>2.3913909924272616E-3</v>
      </c>
      <c r="RF167" s="177" t="str">
        <f t="shared" ca="1" si="158"/>
        <v>Attente…</v>
      </c>
      <c r="RG167" s="197">
        <f t="shared" si="159"/>
        <v>130</v>
      </c>
      <c r="RH167" s="179">
        <f t="shared" si="160"/>
        <v>2.3910244620194959E-3</v>
      </c>
      <c r="RI167" s="198" t="str">
        <f t="shared" ca="1" si="161"/>
        <v>Attente…</v>
      </c>
      <c r="RJ167" s="199">
        <f t="shared" si="162"/>
        <v>1120</v>
      </c>
      <c r="RK167" s="200" t="str">
        <f t="shared" ca="1" si="119"/>
        <v>Attente…</v>
      </c>
      <c r="RL167" s="199">
        <f t="shared" si="163"/>
        <v>1070</v>
      </c>
      <c r="RM167" s="200" t="str">
        <f t="shared" ca="1" si="164"/>
        <v>Atttente…</v>
      </c>
      <c r="RN167" s="199">
        <f t="shared" si="165"/>
        <v>990</v>
      </c>
      <c r="RO167" s="200" t="str">
        <f t="shared" ca="1" si="120"/>
        <v>Attente…</v>
      </c>
      <c r="RP167" s="199">
        <f t="shared" si="166"/>
        <v>740</v>
      </c>
      <c r="RQ167" s="200" t="str">
        <f t="shared" ca="1" si="121"/>
        <v>Attente…</v>
      </c>
      <c r="RR167" s="201">
        <f t="shared" si="167"/>
        <v>3920</v>
      </c>
      <c r="RS167" s="202" t="str">
        <f t="shared" ca="1" si="122"/>
        <v>Attente…</v>
      </c>
      <c r="RT167" s="103"/>
      <c r="RU167" s="203">
        <f t="shared" si="168"/>
        <v>0.23333333333333331</v>
      </c>
      <c r="RV167" s="204">
        <f t="shared" si="171"/>
        <v>1</v>
      </c>
      <c r="RW167" s="204">
        <f t="shared" si="171"/>
        <v>2</v>
      </c>
      <c r="RX167" s="204">
        <f t="shared" si="169"/>
        <v>84</v>
      </c>
      <c r="RY167" s="205" t="str">
        <f t="shared" si="170"/>
        <v>ROUEN - 5 place Saint Hilaire (Rond point Saint Hilaire)</v>
      </c>
      <c r="RZ167" s="189" t="str">
        <f>IF(OR(RZ166="",RZ166="  &lt;/Document&gt;
&lt;/kml&gt;"),"",
IF(B167="","  &lt;/Document&gt;
&lt;/kml&gt;",
IF(TournéesCAV!Q167=""," ",
"    &lt;Placemark&gt;
      &lt;description&gt;&lt;![CDATA["&amp;B167&amp;"&lt;br&gt;&lt;br&gt;"&amp;RV167&amp;" CAV&lt;br&gt;&lt;br&gt;Présent sur "&amp;RW167&amp;" tournée(s)&lt;br&gt;&lt;br&gt;Taux de remplissage moyen "&amp;TEXT(RU167*1000,"0 %")&amp;"]]&gt;&lt;/description&gt;
      &lt;Style&gt;
        &lt;IconStyle&gt;
          &lt;color&gt;ff"&amp;
          DEC2HEX(0,2)&amp;
          DEC2HEX(
            IF(RU167&lt;=0.5,
               INT(255*(RU167*2)),
               255
            ),2)&amp;
          DEC2HEX(
            IF(RU167&lt;=0.5,
               255,
               INT(255*(1-(RU167-0.5)*2))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&lt;Point&gt;&lt;coordinates&gt;"&amp;R167&amp;","&amp;Q167&amp;",0&lt;/coordinates&gt;&lt;/Point&gt;
    &lt;/Placemark&gt;"
)))</f>
        <v xml:space="preserve">    &lt;Placemark&gt;
      &lt;description&gt;&lt;![CDATA[ROUEN - 5 place Saint Hilaire (Rond point Saint Hilaire)&lt;br&gt;&lt;br&gt;1 CAV&lt;br&gt;&lt;br&gt;Présent sur 2 tournée(s)&lt;br&gt;&lt;br&gt;Taux de remplissage moyen 23%]]&gt;&lt;/description&gt;
      &lt;Style&gt;
        &lt;IconStyle&gt;
          &lt;color&gt;ff0077FF&lt;/color&gt;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&lt;Point&gt;&lt;coordinates&gt;1.1122919,49.4423987,0&lt;/coordinates&gt;&lt;/Point&gt;
    &lt;/Placemark&gt;</v>
      </c>
    </row>
    <row r="168" spans="2:494" ht="15" customHeight="1" x14ac:dyDescent="0.35">
      <c r="B168" s="153" t="str">
        <f t="shared" si="123"/>
        <v>ROUEN - 49 Boulevard de Verdun (Au pied du Monumental)</v>
      </c>
      <c r="C168" s="154">
        <v>136</v>
      </c>
      <c r="D168" s="155"/>
      <c r="E168" s="155"/>
      <c r="F168" s="155"/>
      <c r="G168" s="155"/>
      <c r="H168" s="155"/>
      <c r="I168" s="155"/>
      <c r="J168" s="156"/>
      <c r="K168" s="157">
        <f t="shared" si="124"/>
        <v>1</v>
      </c>
      <c r="L168" s="157">
        <f t="shared" si="125"/>
        <v>2</v>
      </c>
      <c r="M168" s="158" t="s">
        <v>927</v>
      </c>
      <c r="N168" s="159" t="s">
        <v>928</v>
      </c>
      <c r="O168" s="159">
        <v>76000</v>
      </c>
      <c r="P168" s="159" t="s">
        <v>90</v>
      </c>
      <c r="Q168" s="159" t="s">
        <v>929</v>
      </c>
      <c r="R168" s="159" t="s">
        <v>930</v>
      </c>
      <c r="S168" s="159" t="s">
        <v>93</v>
      </c>
      <c r="T168" s="159" t="s">
        <v>94</v>
      </c>
      <c r="U168" s="159" t="s">
        <v>931</v>
      </c>
      <c r="V168" s="160" t="s">
        <v>96</v>
      </c>
      <c r="W168" s="210">
        <v>14</v>
      </c>
      <c r="X168" s="162">
        <v>14</v>
      </c>
      <c r="Y168" s="162"/>
      <c r="Z168" s="162"/>
      <c r="AA168" s="162"/>
      <c r="AB168" s="162"/>
      <c r="AC168" s="162"/>
      <c r="AD168" s="162"/>
      <c r="AE168" s="162"/>
      <c r="AF168" s="162"/>
      <c r="AG168" s="162"/>
      <c r="AH168" s="162"/>
      <c r="AI168" s="162"/>
      <c r="AJ168" s="162"/>
      <c r="AK168" s="162"/>
      <c r="AL168" s="162"/>
      <c r="AM168" s="162"/>
      <c r="AN168" s="162"/>
      <c r="AO168" s="162"/>
      <c r="AP168" s="164"/>
      <c r="AQ168" s="164"/>
      <c r="AR168" s="164"/>
      <c r="AS168" s="164"/>
      <c r="AT168" s="164"/>
      <c r="AU168" s="164"/>
      <c r="AV168" s="164"/>
      <c r="AW168" s="164"/>
      <c r="AX168" s="164"/>
      <c r="AY168" s="165"/>
      <c r="AZ168" s="41"/>
      <c r="BA168" s="190"/>
      <c r="BB168" s="191"/>
      <c r="BC168" s="191"/>
      <c r="BD168" s="191"/>
      <c r="BE168" s="191"/>
      <c r="BF168" s="191"/>
      <c r="BG168" s="191"/>
      <c r="BH168" s="191"/>
      <c r="BI168" s="191"/>
      <c r="BJ168" s="191">
        <v>50</v>
      </c>
      <c r="BK168" s="191"/>
      <c r="BL168" s="191"/>
      <c r="BM168" s="191">
        <v>50</v>
      </c>
      <c r="BN168" s="191"/>
      <c r="BO168" s="191"/>
      <c r="BP168" s="191"/>
      <c r="BQ168" s="191">
        <v>10</v>
      </c>
      <c r="BR168" s="191"/>
      <c r="BS168" s="191"/>
      <c r="BT168" s="191"/>
      <c r="BU168" s="191"/>
      <c r="BV168" s="191"/>
      <c r="BW168" s="191"/>
      <c r="BX168" s="191">
        <v>100</v>
      </c>
      <c r="BY168" s="191"/>
      <c r="BZ168" s="191"/>
      <c r="CA168" s="191"/>
      <c r="CB168" s="191"/>
      <c r="CC168" s="191"/>
      <c r="CD168" s="191"/>
      <c r="CE168" s="192">
        <v>100</v>
      </c>
      <c r="CF168" s="190"/>
      <c r="CG168" s="191"/>
      <c r="CH168" s="191"/>
      <c r="CI168" s="191"/>
      <c r="CJ168" s="191"/>
      <c r="CK168" s="191"/>
      <c r="CL168" s="191">
        <v>10</v>
      </c>
      <c r="CM168" s="191"/>
      <c r="CN168" s="191"/>
      <c r="CO168" s="191">
        <v>50</v>
      </c>
      <c r="CP168" s="191"/>
      <c r="CQ168" s="191"/>
      <c r="CR168" s="191"/>
      <c r="CS168" s="191">
        <v>50</v>
      </c>
      <c r="CT168" s="191"/>
      <c r="CU168" s="191"/>
      <c r="CV168" s="191">
        <v>10</v>
      </c>
      <c r="CW168" s="191"/>
      <c r="CX168" s="191"/>
      <c r="CY168" s="191"/>
      <c r="CZ168" s="191">
        <v>50</v>
      </c>
      <c r="DA168" s="191"/>
      <c r="DB168" s="191"/>
      <c r="DC168" s="191">
        <v>50</v>
      </c>
      <c r="DD168" s="191"/>
      <c r="DE168" s="191"/>
      <c r="DF168" s="191"/>
      <c r="DG168" s="191">
        <v>50</v>
      </c>
      <c r="DH168" s="193"/>
      <c r="DI168" s="194"/>
      <c r="DJ168" s="191"/>
      <c r="DK168" s="191">
        <v>10</v>
      </c>
      <c r="DL168" s="191"/>
      <c r="DM168" s="191"/>
      <c r="DN168" s="191"/>
      <c r="DO168" s="191"/>
      <c r="DP168" s="191"/>
      <c r="DQ168" s="191"/>
      <c r="DR168" s="191">
        <v>10</v>
      </c>
      <c r="DS168" s="191"/>
      <c r="DT168" s="191"/>
      <c r="DU168" s="191"/>
      <c r="DV168" s="191">
        <v>50</v>
      </c>
      <c r="DW168" s="191"/>
      <c r="DX168" s="191"/>
      <c r="DY168" s="191">
        <v>100</v>
      </c>
      <c r="DZ168" s="191"/>
      <c r="EA168" s="191"/>
      <c r="EB168" s="191"/>
      <c r="EC168" s="191">
        <v>10</v>
      </c>
      <c r="ED168" s="191"/>
      <c r="EE168" s="191"/>
      <c r="EF168" s="191">
        <v>10</v>
      </c>
      <c r="EG168" s="191"/>
      <c r="EH168" s="191"/>
      <c r="EI168" s="191"/>
      <c r="EJ168" s="191">
        <v>50</v>
      </c>
      <c r="EK168" s="191"/>
      <c r="EL168" s="191"/>
      <c r="EM168" s="192">
        <v>10</v>
      </c>
      <c r="EN168" s="190"/>
      <c r="EO168" s="191"/>
      <c r="EP168" s="191"/>
      <c r="EQ168" s="191">
        <v>50</v>
      </c>
      <c r="ER168" s="191"/>
      <c r="ES168" s="191"/>
      <c r="ET168" s="191">
        <v>50</v>
      </c>
      <c r="EU168" s="191"/>
      <c r="EV168" s="191"/>
      <c r="EW168" s="191"/>
      <c r="EX168" s="191">
        <v>50</v>
      </c>
      <c r="EY168" s="191"/>
      <c r="EZ168" s="191"/>
      <c r="FA168" s="191">
        <v>10</v>
      </c>
      <c r="FB168" s="191"/>
      <c r="FC168" s="191"/>
      <c r="FD168" s="191"/>
      <c r="FE168" s="191">
        <v>10</v>
      </c>
      <c r="FF168" s="191"/>
      <c r="FG168" s="191"/>
      <c r="FH168" s="191"/>
      <c r="FI168" s="191"/>
      <c r="FJ168" s="191"/>
      <c r="FK168" s="191">
        <v>200</v>
      </c>
      <c r="FL168" s="191"/>
      <c r="FM168" s="191"/>
      <c r="FN168" s="191"/>
      <c r="FO168" s="191">
        <v>150</v>
      </c>
      <c r="FP168" s="191"/>
      <c r="FQ168" s="193"/>
      <c r="FR168" s="194"/>
      <c r="FS168" s="191"/>
      <c r="FT168" s="191"/>
      <c r="FU168" s="191"/>
      <c r="FV168" s="191">
        <v>100</v>
      </c>
      <c r="FW168" s="191"/>
      <c r="FX168" s="191"/>
      <c r="FY168" s="191"/>
      <c r="FZ168" s="191">
        <v>50</v>
      </c>
      <c r="GA168" s="191"/>
      <c r="GB168" s="191"/>
      <c r="GC168" s="191">
        <v>10</v>
      </c>
      <c r="GD168" s="191"/>
      <c r="GE168" s="191"/>
      <c r="GF168" s="191"/>
      <c r="GG168" s="191">
        <v>10</v>
      </c>
      <c r="GH168" s="191"/>
      <c r="GI168" s="191"/>
      <c r="GJ168" s="191">
        <v>100</v>
      </c>
      <c r="GK168" s="191"/>
      <c r="GL168" s="191"/>
      <c r="GM168" s="191"/>
      <c r="GN168" s="191">
        <v>10</v>
      </c>
      <c r="GO168" s="191"/>
      <c r="GP168" s="191"/>
      <c r="GQ168" s="191">
        <v>100</v>
      </c>
      <c r="GR168" s="191"/>
      <c r="GS168" s="191"/>
      <c r="GT168" s="191"/>
      <c r="GU168" s="191">
        <v>100</v>
      </c>
      <c r="GV168" s="192"/>
      <c r="GW168" s="190"/>
      <c r="GX168" s="191">
        <v>10</v>
      </c>
      <c r="GY168" s="191"/>
      <c r="GZ168" s="191"/>
      <c r="HA168" s="191"/>
      <c r="HB168" s="191">
        <v>50</v>
      </c>
      <c r="HC168" s="191"/>
      <c r="HD168" s="191"/>
      <c r="HE168" s="191"/>
      <c r="HF168" s="191"/>
      <c r="HG168" s="191"/>
      <c r="HH168" s="191"/>
      <c r="HI168" s="191">
        <v>50</v>
      </c>
      <c r="HJ168" s="191"/>
      <c r="HK168" s="191"/>
      <c r="HL168" s="191"/>
      <c r="HM168" s="191"/>
      <c r="HN168" s="191"/>
      <c r="HO168" s="191">
        <v>150</v>
      </c>
      <c r="HP168" s="191"/>
      <c r="HQ168" s="191"/>
      <c r="HR168" s="191"/>
      <c r="HS168" s="191">
        <v>50</v>
      </c>
      <c r="HT168" s="191"/>
      <c r="HU168" s="191"/>
      <c r="HV168" s="191"/>
      <c r="HW168" s="191">
        <v>50</v>
      </c>
      <c r="HX168" s="191"/>
      <c r="HY168" s="191"/>
      <c r="HZ168" s="193">
        <v>50</v>
      </c>
      <c r="IA168" s="194"/>
      <c r="IB168" s="191"/>
      <c r="IC168" s="191"/>
      <c r="ID168" s="191">
        <v>10</v>
      </c>
      <c r="IE168" s="191"/>
      <c r="IF168" s="191"/>
      <c r="IG168" s="191"/>
      <c r="IH168" s="191"/>
      <c r="II168" s="191"/>
      <c r="IJ168" s="191">
        <v>50</v>
      </c>
      <c r="IK168" s="191"/>
      <c r="IL168" s="191"/>
      <c r="IM168" s="191"/>
      <c r="IN168" s="191">
        <v>50</v>
      </c>
      <c r="IO168" s="191"/>
      <c r="IP168" s="191"/>
      <c r="IQ168" s="191"/>
      <c r="IR168" s="191"/>
      <c r="IS168" s="191"/>
      <c r="IT168" s="191"/>
      <c r="IU168" s="191">
        <v>50</v>
      </c>
      <c r="IV168" s="191"/>
      <c r="IW168" s="191"/>
      <c r="IX168" s="191"/>
      <c r="IY168" s="191"/>
      <c r="IZ168" s="191"/>
      <c r="JA168" s="191"/>
      <c r="JB168" s="191">
        <v>100</v>
      </c>
      <c r="JC168" s="191"/>
      <c r="JD168" s="191"/>
      <c r="JE168" s="192"/>
      <c r="JF168" s="190">
        <v>100</v>
      </c>
      <c r="JG168" s="191"/>
      <c r="JH168" s="191"/>
      <c r="JI168" s="191">
        <v>50</v>
      </c>
      <c r="JJ168" s="191"/>
      <c r="JK168" s="191"/>
      <c r="JL168" s="191"/>
      <c r="JM168" s="191">
        <v>100</v>
      </c>
      <c r="JN168" s="191"/>
      <c r="JO168" s="191"/>
      <c r="JP168" s="191">
        <v>50</v>
      </c>
      <c r="JQ168" s="191"/>
      <c r="JR168" s="191"/>
      <c r="JS168" s="191"/>
      <c r="JT168" s="191"/>
      <c r="JU168" s="191"/>
      <c r="JV168" s="191"/>
      <c r="JW168" s="191">
        <v>10</v>
      </c>
      <c r="JX168" s="191"/>
      <c r="JY168" s="191"/>
      <c r="JZ168" s="191"/>
      <c r="KA168" s="191">
        <v>100</v>
      </c>
      <c r="KB168" s="191"/>
      <c r="KC168" s="191"/>
      <c r="KD168" s="191">
        <v>100</v>
      </c>
      <c r="KE168" s="191"/>
      <c r="KF168" s="191"/>
      <c r="KG168" s="191"/>
      <c r="KH168" s="191">
        <v>100</v>
      </c>
      <c r="KI168" s="191"/>
      <c r="KJ168" s="193"/>
      <c r="KK168" s="194">
        <v>10</v>
      </c>
      <c r="KL168" s="191"/>
      <c r="KM168" s="191"/>
      <c r="KN168" s="191"/>
      <c r="KO168" s="191"/>
      <c r="KP168" s="191"/>
      <c r="KQ168" s="191"/>
      <c r="KR168" s="191">
        <v>50</v>
      </c>
      <c r="KS168" s="191"/>
      <c r="KT168" s="191"/>
      <c r="KU168" s="191"/>
      <c r="KV168" s="191">
        <v>10</v>
      </c>
      <c r="KW168" s="191"/>
      <c r="KX168" s="191"/>
      <c r="KY168" s="191">
        <v>10</v>
      </c>
      <c r="KZ168" s="191"/>
      <c r="LA168" s="191"/>
      <c r="LB168" s="191"/>
      <c r="LC168" s="191">
        <v>50</v>
      </c>
      <c r="LD168" s="191"/>
      <c r="LE168" s="191"/>
      <c r="LF168" s="191">
        <v>10</v>
      </c>
      <c r="LG168" s="191"/>
      <c r="LH168" s="191"/>
      <c r="LI168" s="191"/>
      <c r="LJ168" s="191">
        <v>50</v>
      </c>
      <c r="LK168" s="191"/>
      <c r="LL168" s="191"/>
      <c r="LM168" s="191"/>
      <c r="LN168" s="192"/>
      <c r="LO168" s="190"/>
      <c r="LP168" s="191"/>
      <c r="LQ168" s="191"/>
      <c r="LR168" s="191"/>
      <c r="LS168" s="191"/>
      <c r="LT168" s="191">
        <v>100</v>
      </c>
      <c r="LU168" s="191"/>
      <c r="LV168" s="191"/>
      <c r="LW168" s="191"/>
      <c r="LX168" s="191">
        <v>50</v>
      </c>
      <c r="LY168" s="191"/>
      <c r="LZ168" s="191"/>
      <c r="MA168" s="191">
        <v>10</v>
      </c>
      <c r="MB168" s="191"/>
      <c r="MC168" s="191"/>
      <c r="MD168" s="191"/>
      <c r="ME168" s="191">
        <v>10</v>
      </c>
      <c r="MF168" s="191"/>
      <c r="MG168" s="191"/>
      <c r="MH168" s="191">
        <v>10</v>
      </c>
      <c r="MI168" s="191"/>
      <c r="MJ168" s="191"/>
      <c r="MK168" s="191"/>
      <c r="ML168" s="191">
        <v>10</v>
      </c>
      <c r="MM168" s="191"/>
      <c r="MN168" s="191"/>
      <c r="MO168" s="191">
        <v>50</v>
      </c>
      <c r="MP168" s="191"/>
      <c r="MQ168" s="191"/>
      <c r="MR168" s="191"/>
      <c r="MS168" s="193">
        <v>10</v>
      </c>
      <c r="MT168" s="194"/>
      <c r="MU168" s="191"/>
      <c r="MV168" s="191">
        <v>10</v>
      </c>
      <c r="MW168" s="191"/>
      <c r="MX168" s="191"/>
      <c r="MY168" s="191"/>
      <c r="MZ168" s="191">
        <v>50</v>
      </c>
      <c r="NA168" s="191"/>
      <c r="NB168" s="191"/>
      <c r="NC168" s="191">
        <v>50</v>
      </c>
      <c r="ND168" s="191"/>
      <c r="NE168" s="191"/>
      <c r="NF168" s="191"/>
      <c r="NG168" s="191">
        <v>100</v>
      </c>
      <c r="NH168" s="191"/>
      <c r="NI168" s="191"/>
      <c r="NJ168" s="191">
        <v>50</v>
      </c>
      <c r="NK168" s="191"/>
      <c r="NL168" s="191"/>
      <c r="NM168" s="191"/>
      <c r="NN168" s="191">
        <v>10</v>
      </c>
      <c r="NO168" s="191"/>
      <c r="NP168" s="191"/>
      <c r="NQ168" s="191">
        <v>10</v>
      </c>
      <c r="NR168" s="191"/>
      <c r="NS168" s="191"/>
      <c r="NT168" s="191"/>
      <c r="NU168" s="191">
        <v>50</v>
      </c>
      <c r="NV168" s="191"/>
      <c r="NW168" s="192"/>
      <c r="NX168" s="190">
        <v>50</v>
      </c>
      <c r="NY168" s="191"/>
      <c r="NZ168" s="191"/>
      <c r="OA168" s="191"/>
      <c r="OB168" s="191">
        <v>10</v>
      </c>
      <c r="OC168" s="191"/>
      <c r="OD168" s="191"/>
      <c r="OE168" s="191">
        <v>10</v>
      </c>
      <c r="OF168" s="191"/>
      <c r="OG168" s="191"/>
      <c r="OH168" s="191"/>
      <c r="OI168" s="191">
        <v>10</v>
      </c>
      <c r="OJ168" s="191"/>
      <c r="OK168" s="191"/>
      <c r="OL168" s="191"/>
      <c r="OM168" s="191">
        <v>10</v>
      </c>
      <c r="ON168" s="191"/>
      <c r="OO168" s="191"/>
      <c r="OP168" s="191"/>
      <c r="OQ168" s="191"/>
      <c r="OR168" s="191"/>
      <c r="OS168" s="191"/>
      <c r="OT168" s="191"/>
      <c r="OU168" s="191"/>
      <c r="OV168" s="191"/>
      <c r="OW168" s="191"/>
      <c r="OX168" s="191"/>
      <c r="OY168" s="191"/>
      <c r="OZ168" s="191"/>
      <c r="PA168" s="191"/>
      <c r="PB168" s="193"/>
      <c r="PC168" s="47"/>
      <c r="PD168" s="154" t="s">
        <v>97</v>
      </c>
      <c r="PE168" s="155" t="s">
        <v>98</v>
      </c>
      <c r="PF168" s="155" t="s">
        <v>98</v>
      </c>
      <c r="PG168" s="155" t="s">
        <v>98</v>
      </c>
      <c r="PH168" s="155" t="s">
        <v>98</v>
      </c>
      <c r="PI168" s="155" t="s">
        <v>98</v>
      </c>
      <c r="PJ168" s="155" t="s">
        <v>98</v>
      </c>
      <c r="PK168" s="155" t="s">
        <v>98</v>
      </c>
      <c r="PL168" s="155" t="s">
        <v>98</v>
      </c>
      <c r="PM168" s="155" t="s">
        <v>98</v>
      </c>
      <c r="PN168" s="155" t="s">
        <v>98</v>
      </c>
      <c r="PO168" s="156"/>
      <c r="PP168" s="156"/>
      <c r="PQ168" s="156"/>
      <c r="PR168" s="156"/>
      <c r="PS168" s="156"/>
      <c r="PT168" s="156"/>
      <c r="PU168" s="156"/>
      <c r="PV168" s="156"/>
      <c r="PW168" s="156"/>
      <c r="PX168" s="195"/>
      <c r="PY168" s="1"/>
      <c r="PZ168" s="196">
        <f t="shared" si="126"/>
        <v>310</v>
      </c>
      <c r="QA168" s="176">
        <f t="shared" si="127"/>
        <v>2.5861349795611912E-3</v>
      </c>
      <c r="QB168" s="177" t="str">
        <f t="shared" ca="1" si="128"/>
        <v>Attente…</v>
      </c>
      <c r="QC168" s="197">
        <f t="shared" si="129"/>
        <v>270</v>
      </c>
      <c r="QD168" s="179">
        <f t="shared" si="130"/>
        <v>2.5280898876404493E-3</v>
      </c>
      <c r="QE168" s="180" t="str">
        <f t="shared" ca="1" si="131"/>
        <v>Attente…</v>
      </c>
      <c r="QF168" s="196">
        <f t="shared" si="132"/>
        <v>250</v>
      </c>
      <c r="QG168" s="176">
        <f t="shared" si="133"/>
        <v>1.9907628603280775E-3</v>
      </c>
      <c r="QH168" s="177" t="str">
        <f t="shared" ca="1" si="134"/>
        <v>Attente…</v>
      </c>
      <c r="QI168" s="197">
        <f t="shared" si="135"/>
        <v>520</v>
      </c>
      <c r="QJ168" s="179">
        <f t="shared" si="136"/>
        <v>3.6470753261326973E-3</v>
      </c>
      <c r="QK168" s="180" t="str">
        <f t="shared" ca="1" si="137"/>
        <v>Attente…</v>
      </c>
      <c r="QL168" s="196">
        <f t="shared" si="138"/>
        <v>480</v>
      </c>
      <c r="QM168" s="176">
        <f t="shared" si="139"/>
        <v>3.5118525021949078E-3</v>
      </c>
      <c r="QN168" s="177" t="str">
        <f t="shared" ca="1" si="140"/>
        <v>Attente…</v>
      </c>
      <c r="QO168" s="197">
        <f t="shared" si="141"/>
        <v>410</v>
      </c>
      <c r="QP168" s="179">
        <f t="shared" si="142"/>
        <v>3.2098958741094497E-3</v>
      </c>
      <c r="QQ168" s="180" t="str">
        <f t="shared" ca="1" si="143"/>
        <v>Attente…</v>
      </c>
      <c r="QR168" s="196">
        <f t="shared" si="144"/>
        <v>260</v>
      </c>
      <c r="QS168" s="176">
        <f t="shared" si="145"/>
        <v>1.8717828731867104E-3</v>
      </c>
      <c r="QT168" s="177" t="str">
        <f t="shared" ca="1" si="146"/>
        <v>Attente…</v>
      </c>
      <c r="QU168" s="197">
        <f t="shared" si="147"/>
        <v>610</v>
      </c>
      <c r="QV168" s="179">
        <f t="shared" si="148"/>
        <v>4.2057363485934916E-3</v>
      </c>
      <c r="QW168" s="180" t="str">
        <f t="shared" ca="1" si="149"/>
        <v>Attente…</v>
      </c>
      <c r="QX168" s="196">
        <f t="shared" si="150"/>
        <v>190</v>
      </c>
      <c r="QY168" s="176">
        <f t="shared" si="151"/>
        <v>1.3864969788960565E-3</v>
      </c>
      <c r="QZ168" s="177" t="str">
        <f t="shared" ca="1" si="152"/>
        <v>Attente…</v>
      </c>
      <c r="RA168" s="197">
        <f t="shared" si="153"/>
        <v>250</v>
      </c>
      <c r="RB168" s="179">
        <f t="shared" si="154"/>
        <v>1.9560284797746656E-3</v>
      </c>
      <c r="RC168" s="180" t="str">
        <f t="shared" ca="1" si="155"/>
        <v>Attente…</v>
      </c>
      <c r="RD168" s="196">
        <f t="shared" si="156"/>
        <v>330</v>
      </c>
      <c r="RE168" s="176">
        <f t="shared" si="157"/>
        <v>3.2881626145874849E-3</v>
      </c>
      <c r="RF168" s="177" t="str">
        <f t="shared" ca="1" si="158"/>
        <v>Attente…</v>
      </c>
      <c r="RG168" s="197">
        <f t="shared" si="159"/>
        <v>90</v>
      </c>
      <c r="RH168" s="179">
        <f t="shared" si="160"/>
        <v>1.6553246275519589E-3</v>
      </c>
      <c r="RI168" s="198" t="str">
        <f t="shared" ca="1" si="161"/>
        <v>Attente…</v>
      </c>
      <c r="RJ168" s="199">
        <f t="shared" si="162"/>
        <v>830</v>
      </c>
      <c r="RK168" s="200" t="str">
        <f t="shared" ca="1" si="119"/>
        <v>Attente…</v>
      </c>
      <c r="RL168" s="199">
        <f t="shared" si="163"/>
        <v>1410</v>
      </c>
      <c r="RM168" s="200" t="str">
        <f t="shared" ca="1" si="164"/>
        <v>Atttente…</v>
      </c>
      <c r="RN168" s="199">
        <f t="shared" si="165"/>
        <v>1060</v>
      </c>
      <c r="RO168" s="200" t="str">
        <f t="shared" ca="1" si="120"/>
        <v>Attente…</v>
      </c>
      <c r="RP168" s="199">
        <f t="shared" si="166"/>
        <v>670</v>
      </c>
      <c r="RQ168" s="200" t="str">
        <f t="shared" ca="1" si="121"/>
        <v>Attente…</v>
      </c>
      <c r="RR168" s="201">
        <f t="shared" si="167"/>
        <v>3970</v>
      </c>
      <c r="RS168" s="202" t="str">
        <f t="shared" ca="1" si="122"/>
        <v>Attente…</v>
      </c>
      <c r="RT168" s="103"/>
      <c r="RU168" s="203">
        <f t="shared" si="168"/>
        <v>0.23915662650602409</v>
      </c>
      <c r="RV168" s="204">
        <f t="shared" si="171"/>
        <v>1</v>
      </c>
      <c r="RW168" s="204">
        <f t="shared" si="171"/>
        <v>2</v>
      </c>
      <c r="RX168" s="204">
        <f t="shared" si="169"/>
        <v>83</v>
      </c>
      <c r="RY168" s="205" t="str">
        <f t="shared" si="170"/>
        <v>ROUEN - 49 Boulevard de Verdun (Au pied du Monumental)</v>
      </c>
      <c r="RZ168" s="189" t="str">
        <f>IF(OR(RZ167="",RZ167="  &lt;/Document&gt;
&lt;/kml&gt;"),"",
IF(B168="","  &lt;/Document&gt;
&lt;/kml&gt;",
IF(TournéesCAV!Q168=""," ",
"    &lt;Placemark&gt;
      &lt;description&gt;&lt;![CDATA["&amp;B168&amp;"&lt;br&gt;&lt;br&gt;"&amp;RV168&amp;" CAV&lt;br&gt;&lt;br&gt;Présent sur "&amp;RW168&amp;" tournée(s)&lt;br&gt;&lt;br&gt;Taux de remplissage moyen "&amp;TEXT(RU168*1000,"0 %")&amp;"]]&gt;&lt;/description&gt;
      &lt;Style&gt;
        &lt;IconStyle&gt;
          &lt;color&gt;ff"&amp;
          DEC2HEX(0,2)&amp;
          DEC2HEX(
            IF(RU168&lt;=0.5,
               INT(255*(RU168*2)),
               255
            ),2)&amp;
          DEC2HEX(
            IF(RU168&lt;=0.5,
               255,
               INT(255*(1-(RU168-0.5)*2))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&lt;Point&gt;&lt;coordinates&gt;"&amp;R168&amp;","&amp;Q168&amp;",0&lt;/coordinates&gt;&lt;/Point&gt;
    &lt;/Placemark&gt;"
)))</f>
        <v xml:space="preserve">    &lt;Placemark&gt;
      &lt;description&gt;&lt;![CDATA[ROUEN - 49 Boulevard de Verdun (Au pied du Monumental)&lt;br&gt;&lt;br&gt;1 CAV&lt;br&gt;&lt;br&gt;Présent sur 2 tournée(s)&lt;br&gt;&lt;br&gt;Taux de remplissage moyen 24%]]&gt;&lt;/description&gt;
      &lt;Style&gt;
        &lt;IconStyle&gt;
          &lt;color&gt;ff0079FF&lt;/color&gt;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&lt;Point&gt;&lt;coordinates&gt;1.108453,49.4454662,0&lt;/coordinates&gt;&lt;/Point&gt;
    &lt;/Placemark&gt;</v>
      </c>
    </row>
    <row r="169" spans="2:494" ht="15" customHeight="1" x14ac:dyDescent="0.35">
      <c r="B169" s="153" t="str">
        <f t="shared" si="123"/>
        <v>ROUEN - 14 Place du Boulingrin (Angle Rampe Beauvoisine)</v>
      </c>
      <c r="C169" s="154">
        <v>137</v>
      </c>
      <c r="D169" s="155"/>
      <c r="E169" s="155"/>
      <c r="F169" s="155"/>
      <c r="G169" s="155"/>
      <c r="H169" s="155"/>
      <c r="I169" s="155"/>
      <c r="J169" s="156"/>
      <c r="K169" s="157">
        <f t="shared" si="124"/>
        <v>1</v>
      </c>
      <c r="L169" s="157">
        <f t="shared" si="125"/>
        <v>2</v>
      </c>
      <c r="M169" s="158" t="s">
        <v>932</v>
      </c>
      <c r="N169" s="159" t="s">
        <v>933</v>
      </c>
      <c r="O169" s="159">
        <v>76000</v>
      </c>
      <c r="P169" s="159" t="s">
        <v>90</v>
      </c>
      <c r="Q169" s="159" t="s">
        <v>934</v>
      </c>
      <c r="R169" s="159" t="s">
        <v>935</v>
      </c>
      <c r="S169" s="159" t="s">
        <v>93</v>
      </c>
      <c r="T169" s="159" t="s">
        <v>94</v>
      </c>
      <c r="U169" s="159" t="s">
        <v>936</v>
      </c>
      <c r="V169" s="160" t="s">
        <v>96</v>
      </c>
      <c r="W169" s="210">
        <v>15</v>
      </c>
      <c r="X169" s="162">
        <v>15</v>
      </c>
      <c r="Y169" s="162"/>
      <c r="Z169" s="162"/>
      <c r="AA169" s="162"/>
      <c r="AB169" s="162"/>
      <c r="AC169" s="162"/>
      <c r="AD169" s="162"/>
      <c r="AE169" s="162"/>
      <c r="AF169" s="162"/>
      <c r="AG169" s="162"/>
      <c r="AH169" s="162"/>
      <c r="AI169" s="162"/>
      <c r="AJ169" s="162"/>
      <c r="AK169" s="162"/>
      <c r="AL169" s="162"/>
      <c r="AM169" s="162"/>
      <c r="AN169" s="162"/>
      <c r="AO169" s="162"/>
      <c r="AP169" s="164"/>
      <c r="AQ169" s="164"/>
      <c r="AR169" s="164"/>
      <c r="AS169" s="164"/>
      <c r="AT169" s="164"/>
      <c r="AU169" s="164"/>
      <c r="AV169" s="164"/>
      <c r="AW169" s="164"/>
      <c r="AX169" s="164"/>
      <c r="AY169" s="165"/>
      <c r="AZ169" s="41"/>
      <c r="BA169" s="190"/>
      <c r="BB169" s="191"/>
      <c r="BC169" s="191">
        <v>200</v>
      </c>
      <c r="BD169" s="191"/>
      <c r="BE169" s="191"/>
      <c r="BF169" s="191"/>
      <c r="BG169" s="191"/>
      <c r="BH169" s="191"/>
      <c r="BI169" s="191"/>
      <c r="BJ169" s="191">
        <v>100</v>
      </c>
      <c r="BK169" s="191"/>
      <c r="BL169" s="191"/>
      <c r="BM169" s="191">
        <v>50</v>
      </c>
      <c r="BN169" s="191"/>
      <c r="BO169" s="191"/>
      <c r="BP169" s="191"/>
      <c r="BQ169" s="191">
        <v>50</v>
      </c>
      <c r="BR169" s="191"/>
      <c r="BS169" s="191"/>
      <c r="BT169" s="191"/>
      <c r="BU169" s="191"/>
      <c r="BV169" s="191"/>
      <c r="BW169" s="191"/>
      <c r="BX169" s="191">
        <v>200</v>
      </c>
      <c r="BY169" s="191"/>
      <c r="BZ169" s="191"/>
      <c r="CA169" s="191"/>
      <c r="CB169" s="191"/>
      <c r="CC169" s="191"/>
      <c r="CD169" s="191"/>
      <c r="CE169" s="192">
        <v>100</v>
      </c>
      <c r="CF169" s="190"/>
      <c r="CG169" s="191"/>
      <c r="CH169" s="191"/>
      <c r="CI169" s="191"/>
      <c r="CJ169" s="191"/>
      <c r="CK169" s="191"/>
      <c r="CL169" s="191">
        <v>50</v>
      </c>
      <c r="CM169" s="191"/>
      <c r="CN169" s="191"/>
      <c r="CO169" s="191">
        <v>50</v>
      </c>
      <c r="CP169" s="191"/>
      <c r="CQ169" s="191"/>
      <c r="CR169" s="191"/>
      <c r="CS169" s="191">
        <v>50</v>
      </c>
      <c r="CT169" s="191"/>
      <c r="CU169" s="191"/>
      <c r="CV169" s="191">
        <v>50</v>
      </c>
      <c r="CW169" s="191"/>
      <c r="CX169" s="191"/>
      <c r="CY169" s="191"/>
      <c r="CZ169" s="191">
        <v>50</v>
      </c>
      <c r="DA169" s="191"/>
      <c r="DB169" s="191"/>
      <c r="DC169" s="191">
        <v>150</v>
      </c>
      <c r="DD169" s="191"/>
      <c r="DE169" s="191"/>
      <c r="DF169" s="191"/>
      <c r="DG169" s="191">
        <v>50</v>
      </c>
      <c r="DH169" s="193"/>
      <c r="DI169" s="194"/>
      <c r="DJ169" s="191"/>
      <c r="DK169" s="191">
        <v>100</v>
      </c>
      <c r="DL169" s="191"/>
      <c r="DM169" s="191"/>
      <c r="DN169" s="191"/>
      <c r="DO169" s="191"/>
      <c r="DP169" s="191"/>
      <c r="DQ169" s="191"/>
      <c r="DR169" s="191">
        <v>100</v>
      </c>
      <c r="DS169" s="191"/>
      <c r="DT169" s="191"/>
      <c r="DU169" s="191"/>
      <c r="DV169" s="191">
        <v>10</v>
      </c>
      <c r="DW169" s="191"/>
      <c r="DX169" s="191"/>
      <c r="DY169" s="191">
        <v>100</v>
      </c>
      <c r="DZ169" s="191"/>
      <c r="EA169" s="191"/>
      <c r="EB169" s="191"/>
      <c r="EC169" s="191">
        <v>50</v>
      </c>
      <c r="ED169" s="191"/>
      <c r="EE169" s="191"/>
      <c r="EF169" s="191">
        <v>100</v>
      </c>
      <c r="EG169" s="191"/>
      <c r="EH169" s="191"/>
      <c r="EI169" s="191"/>
      <c r="EJ169" s="191">
        <v>50</v>
      </c>
      <c r="EK169" s="191"/>
      <c r="EL169" s="191"/>
      <c r="EM169" s="192">
        <v>100</v>
      </c>
      <c r="EN169" s="190"/>
      <c r="EO169" s="191"/>
      <c r="EP169" s="191"/>
      <c r="EQ169" s="191">
        <v>100</v>
      </c>
      <c r="ER169" s="191"/>
      <c r="ES169" s="191"/>
      <c r="ET169" s="191">
        <v>50</v>
      </c>
      <c r="EU169" s="191"/>
      <c r="EV169" s="191"/>
      <c r="EW169" s="191"/>
      <c r="EX169" s="191">
        <v>100</v>
      </c>
      <c r="EY169" s="191"/>
      <c r="EZ169" s="191"/>
      <c r="FA169" s="191">
        <v>100</v>
      </c>
      <c r="FB169" s="191"/>
      <c r="FC169" s="191"/>
      <c r="FD169" s="191"/>
      <c r="FE169" s="191">
        <v>50</v>
      </c>
      <c r="FF169" s="191"/>
      <c r="FG169" s="191"/>
      <c r="FH169" s="191"/>
      <c r="FI169" s="191"/>
      <c r="FJ169" s="191"/>
      <c r="FK169" s="191">
        <v>50</v>
      </c>
      <c r="FL169" s="191"/>
      <c r="FM169" s="191"/>
      <c r="FN169" s="191"/>
      <c r="FO169" s="191">
        <v>50</v>
      </c>
      <c r="FP169" s="191"/>
      <c r="FQ169" s="193"/>
      <c r="FR169" s="194"/>
      <c r="FS169" s="191"/>
      <c r="FT169" s="191"/>
      <c r="FU169" s="191"/>
      <c r="FV169" s="191">
        <v>150</v>
      </c>
      <c r="FW169" s="191"/>
      <c r="FX169" s="191"/>
      <c r="FY169" s="191"/>
      <c r="FZ169" s="191">
        <v>50</v>
      </c>
      <c r="GA169" s="191"/>
      <c r="GB169" s="191"/>
      <c r="GC169" s="191">
        <v>100</v>
      </c>
      <c r="GD169" s="191"/>
      <c r="GE169" s="191"/>
      <c r="GF169" s="191"/>
      <c r="GG169" s="191">
        <v>10</v>
      </c>
      <c r="GH169" s="191"/>
      <c r="GI169" s="191"/>
      <c r="GJ169" s="191">
        <v>50</v>
      </c>
      <c r="GK169" s="191"/>
      <c r="GL169" s="191"/>
      <c r="GM169" s="191"/>
      <c r="GN169" s="191">
        <v>100</v>
      </c>
      <c r="GO169" s="191"/>
      <c r="GP169" s="191"/>
      <c r="GQ169" s="191">
        <v>100</v>
      </c>
      <c r="GR169" s="191"/>
      <c r="GS169" s="191"/>
      <c r="GT169" s="191"/>
      <c r="GU169" s="191">
        <v>10</v>
      </c>
      <c r="GV169" s="192"/>
      <c r="GW169" s="190"/>
      <c r="GX169" s="191">
        <v>150</v>
      </c>
      <c r="GY169" s="191"/>
      <c r="GZ169" s="191"/>
      <c r="HA169" s="191"/>
      <c r="HB169" s="191">
        <v>100</v>
      </c>
      <c r="HC169" s="191"/>
      <c r="HD169" s="191"/>
      <c r="HE169" s="191"/>
      <c r="HF169" s="191"/>
      <c r="HG169" s="191"/>
      <c r="HH169" s="191"/>
      <c r="HI169" s="191">
        <v>100</v>
      </c>
      <c r="HJ169" s="191"/>
      <c r="HK169" s="191"/>
      <c r="HL169" s="191"/>
      <c r="HM169" s="191"/>
      <c r="HN169" s="191"/>
      <c r="HO169" s="191">
        <v>150</v>
      </c>
      <c r="HP169" s="191"/>
      <c r="HQ169" s="191"/>
      <c r="HR169" s="191"/>
      <c r="HS169" s="191">
        <v>100</v>
      </c>
      <c r="HT169" s="191"/>
      <c r="HU169" s="191"/>
      <c r="HV169" s="191"/>
      <c r="HW169" s="191">
        <v>150</v>
      </c>
      <c r="HX169" s="191"/>
      <c r="HY169" s="191"/>
      <c r="HZ169" s="193">
        <v>50</v>
      </c>
      <c r="IA169" s="194"/>
      <c r="IB169" s="191"/>
      <c r="IC169" s="191"/>
      <c r="ID169" s="191">
        <v>50</v>
      </c>
      <c r="IE169" s="191"/>
      <c r="IF169" s="191"/>
      <c r="IG169" s="191"/>
      <c r="IH169" s="191"/>
      <c r="II169" s="191"/>
      <c r="IJ169" s="191">
        <v>200</v>
      </c>
      <c r="IK169" s="191"/>
      <c r="IL169" s="191"/>
      <c r="IM169" s="191"/>
      <c r="IN169" s="191">
        <v>50</v>
      </c>
      <c r="IO169" s="191"/>
      <c r="IP169" s="191"/>
      <c r="IQ169" s="191"/>
      <c r="IR169" s="191"/>
      <c r="IS169" s="191"/>
      <c r="IT169" s="191"/>
      <c r="IU169" s="191">
        <v>100</v>
      </c>
      <c r="IV169" s="191"/>
      <c r="IW169" s="191"/>
      <c r="IX169" s="191"/>
      <c r="IY169" s="191"/>
      <c r="IZ169" s="191"/>
      <c r="JA169" s="191"/>
      <c r="JB169" s="191">
        <v>150</v>
      </c>
      <c r="JC169" s="191"/>
      <c r="JD169" s="191"/>
      <c r="JE169" s="192"/>
      <c r="JF169" s="190">
        <v>100</v>
      </c>
      <c r="JG169" s="191"/>
      <c r="JH169" s="191"/>
      <c r="JI169" s="191">
        <v>100</v>
      </c>
      <c r="JJ169" s="191"/>
      <c r="JK169" s="191"/>
      <c r="JL169" s="191"/>
      <c r="JM169" s="191">
        <v>50</v>
      </c>
      <c r="JN169" s="191"/>
      <c r="JO169" s="191"/>
      <c r="JP169" s="191">
        <v>100</v>
      </c>
      <c r="JQ169" s="191"/>
      <c r="JR169" s="191"/>
      <c r="JS169" s="191"/>
      <c r="JT169" s="191"/>
      <c r="JU169" s="191"/>
      <c r="JV169" s="191"/>
      <c r="JW169" s="191">
        <v>150</v>
      </c>
      <c r="JX169" s="191"/>
      <c r="JY169" s="191"/>
      <c r="JZ169" s="191"/>
      <c r="KA169" s="191">
        <v>100</v>
      </c>
      <c r="KB169" s="191"/>
      <c r="KC169" s="191"/>
      <c r="KD169" s="191">
        <v>100</v>
      </c>
      <c r="KE169" s="191"/>
      <c r="KF169" s="191"/>
      <c r="KG169" s="191"/>
      <c r="KH169" s="191">
        <v>100</v>
      </c>
      <c r="KI169" s="191"/>
      <c r="KJ169" s="193"/>
      <c r="KK169" s="194">
        <v>100</v>
      </c>
      <c r="KL169" s="191"/>
      <c r="KM169" s="191"/>
      <c r="KN169" s="191"/>
      <c r="KO169" s="191"/>
      <c r="KP169" s="191"/>
      <c r="KQ169" s="191"/>
      <c r="KR169" s="191">
        <v>50</v>
      </c>
      <c r="KS169" s="191"/>
      <c r="KT169" s="191"/>
      <c r="KU169" s="191"/>
      <c r="KV169" s="191">
        <v>10</v>
      </c>
      <c r="KW169" s="191"/>
      <c r="KX169" s="191"/>
      <c r="KY169" s="191">
        <v>50</v>
      </c>
      <c r="KZ169" s="191"/>
      <c r="LA169" s="191"/>
      <c r="LB169" s="191"/>
      <c r="LC169" s="191">
        <v>50</v>
      </c>
      <c r="LD169" s="191"/>
      <c r="LE169" s="191"/>
      <c r="LF169" s="191">
        <v>50</v>
      </c>
      <c r="LG169" s="191"/>
      <c r="LH169" s="191"/>
      <c r="LI169" s="191"/>
      <c r="LJ169" s="191">
        <v>50</v>
      </c>
      <c r="LK169" s="191"/>
      <c r="LL169" s="191"/>
      <c r="LM169" s="191"/>
      <c r="LN169" s="192"/>
      <c r="LO169" s="190"/>
      <c r="LP169" s="191"/>
      <c r="LQ169" s="191"/>
      <c r="LR169" s="191"/>
      <c r="LS169" s="191"/>
      <c r="LT169" s="191">
        <v>200</v>
      </c>
      <c r="LU169" s="191"/>
      <c r="LV169" s="191"/>
      <c r="LW169" s="191"/>
      <c r="LX169" s="191">
        <v>100</v>
      </c>
      <c r="LY169" s="191"/>
      <c r="LZ169" s="191"/>
      <c r="MA169" s="191">
        <v>50</v>
      </c>
      <c r="MB169" s="191"/>
      <c r="MC169" s="191"/>
      <c r="MD169" s="191"/>
      <c r="ME169" s="191">
        <v>150</v>
      </c>
      <c r="MF169" s="191"/>
      <c r="MG169" s="191"/>
      <c r="MH169" s="191">
        <v>100</v>
      </c>
      <c r="MI169" s="191"/>
      <c r="MJ169" s="191"/>
      <c r="MK169" s="191"/>
      <c r="ML169" s="191">
        <v>100</v>
      </c>
      <c r="MM169" s="191"/>
      <c r="MN169" s="191"/>
      <c r="MO169" s="191">
        <v>50</v>
      </c>
      <c r="MP169" s="191"/>
      <c r="MQ169" s="191"/>
      <c r="MR169" s="191"/>
      <c r="MS169" s="193">
        <v>150</v>
      </c>
      <c r="MT169" s="194"/>
      <c r="MU169" s="191"/>
      <c r="MV169" s="191">
        <v>100</v>
      </c>
      <c r="MW169" s="191"/>
      <c r="MX169" s="191"/>
      <c r="MY169" s="191"/>
      <c r="MZ169" s="191">
        <v>50</v>
      </c>
      <c r="NA169" s="191"/>
      <c r="NB169" s="191"/>
      <c r="NC169" s="191">
        <v>200</v>
      </c>
      <c r="ND169" s="191"/>
      <c r="NE169" s="191"/>
      <c r="NF169" s="191"/>
      <c r="NG169" s="191">
        <v>50</v>
      </c>
      <c r="NH169" s="191"/>
      <c r="NI169" s="191"/>
      <c r="NJ169" s="191">
        <v>50</v>
      </c>
      <c r="NK169" s="191"/>
      <c r="NL169" s="191"/>
      <c r="NM169" s="191"/>
      <c r="NN169" s="191">
        <v>10</v>
      </c>
      <c r="NO169" s="191"/>
      <c r="NP169" s="191"/>
      <c r="NQ169" s="191">
        <v>50</v>
      </c>
      <c r="NR169" s="191"/>
      <c r="NS169" s="191"/>
      <c r="NT169" s="191"/>
      <c r="NU169" s="191">
        <v>100</v>
      </c>
      <c r="NV169" s="191"/>
      <c r="NW169" s="192"/>
      <c r="NX169" s="190">
        <v>50</v>
      </c>
      <c r="NY169" s="191"/>
      <c r="NZ169" s="191"/>
      <c r="OA169" s="191"/>
      <c r="OB169" s="191">
        <v>50</v>
      </c>
      <c r="OC169" s="191"/>
      <c r="OD169" s="191"/>
      <c r="OE169" s="191">
        <v>10</v>
      </c>
      <c r="OF169" s="191"/>
      <c r="OG169" s="191"/>
      <c r="OH169" s="191"/>
      <c r="OI169" s="191">
        <v>10</v>
      </c>
      <c r="OJ169" s="191"/>
      <c r="OK169" s="191"/>
      <c r="OL169" s="191"/>
      <c r="OM169" s="191">
        <v>10</v>
      </c>
      <c r="ON169" s="191"/>
      <c r="OO169" s="191"/>
      <c r="OP169" s="191"/>
      <c r="OQ169" s="191"/>
      <c r="OR169" s="191"/>
      <c r="OS169" s="191"/>
      <c r="OT169" s="191"/>
      <c r="OU169" s="191"/>
      <c r="OV169" s="191"/>
      <c r="OW169" s="191"/>
      <c r="OX169" s="191"/>
      <c r="OY169" s="191"/>
      <c r="OZ169" s="191"/>
      <c r="PA169" s="191"/>
      <c r="PB169" s="193"/>
      <c r="PC169" s="47"/>
      <c r="PD169" s="154" t="s">
        <v>97</v>
      </c>
      <c r="PE169" s="155" t="s">
        <v>98</v>
      </c>
      <c r="PF169" s="155" t="s">
        <v>98</v>
      </c>
      <c r="PG169" s="155" t="s">
        <v>98</v>
      </c>
      <c r="PH169" s="155" t="s">
        <v>98</v>
      </c>
      <c r="PI169" s="155" t="s">
        <v>98</v>
      </c>
      <c r="PJ169" s="155" t="s">
        <v>98</v>
      </c>
      <c r="PK169" s="155" t="s">
        <v>98</v>
      </c>
      <c r="PL169" s="155" t="s">
        <v>98</v>
      </c>
      <c r="PM169" s="155" t="s">
        <v>98</v>
      </c>
      <c r="PN169" s="155" t="s">
        <v>98</v>
      </c>
      <c r="PO169" s="156"/>
      <c r="PP169" s="156"/>
      <c r="PQ169" s="156"/>
      <c r="PR169" s="156"/>
      <c r="PS169" s="156"/>
      <c r="PT169" s="156"/>
      <c r="PU169" s="156"/>
      <c r="PV169" s="156"/>
      <c r="PW169" s="156"/>
      <c r="PX169" s="195"/>
      <c r="PY169" s="1"/>
      <c r="PZ169" s="196">
        <f t="shared" si="126"/>
        <v>700</v>
      </c>
      <c r="QA169" s="176">
        <f t="shared" si="127"/>
        <v>5.8396596312672066E-3</v>
      </c>
      <c r="QB169" s="177" t="str">
        <f t="shared" ca="1" si="128"/>
        <v>Attente…</v>
      </c>
      <c r="QC169" s="197">
        <f t="shared" si="129"/>
        <v>450</v>
      </c>
      <c r="QD169" s="179">
        <f t="shared" si="130"/>
        <v>4.2134831460674156E-3</v>
      </c>
      <c r="QE169" s="180" t="str">
        <f t="shared" ca="1" si="131"/>
        <v>Attente…</v>
      </c>
      <c r="QF169" s="196">
        <f t="shared" si="132"/>
        <v>610</v>
      </c>
      <c r="QG169" s="176">
        <f t="shared" si="133"/>
        <v>4.85746137920051E-3</v>
      </c>
      <c r="QH169" s="177" t="str">
        <f t="shared" ca="1" si="134"/>
        <v>Attente…</v>
      </c>
      <c r="QI169" s="197">
        <f t="shared" si="135"/>
        <v>500</v>
      </c>
      <c r="QJ169" s="179">
        <f t="shared" si="136"/>
        <v>3.5068031982045168E-3</v>
      </c>
      <c r="QK169" s="180" t="str">
        <f t="shared" ca="1" si="137"/>
        <v>Attente…</v>
      </c>
      <c r="QL169" s="196">
        <f t="shared" si="138"/>
        <v>570</v>
      </c>
      <c r="QM169" s="176">
        <f t="shared" si="139"/>
        <v>4.1703248463564532E-3</v>
      </c>
      <c r="QN169" s="177" t="str">
        <f t="shared" ca="1" si="140"/>
        <v>Attente…</v>
      </c>
      <c r="QO169" s="197">
        <f t="shared" si="141"/>
        <v>800</v>
      </c>
      <c r="QP169" s="179">
        <f t="shared" si="142"/>
        <v>6.2632114616769747E-3</v>
      </c>
      <c r="QQ169" s="180" t="str">
        <f t="shared" ca="1" si="143"/>
        <v>Attente…</v>
      </c>
      <c r="QR169" s="196">
        <f t="shared" si="144"/>
        <v>550</v>
      </c>
      <c r="QS169" s="176">
        <f t="shared" si="145"/>
        <v>3.9595406932795797E-3</v>
      </c>
      <c r="QT169" s="177" t="str">
        <f t="shared" ca="1" si="146"/>
        <v>Attente…</v>
      </c>
      <c r="QU169" s="197">
        <f t="shared" si="147"/>
        <v>800</v>
      </c>
      <c r="QV169" s="179">
        <f t="shared" si="148"/>
        <v>5.5157198014340872E-3</v>
      </c>
      <c r="QW169" s="180" t="str">
        <f t="shared" ca="1" si="149"/>
        <v>Attente…</v>
      </c>
      <c r="QX169" s="196">
        <f t="shared" si="150"/>
        <v>360</v>
      </c>
      <c r="QY169" s="176">
        <f t="shared" si="151"/>
        <v>2.6270469073820016E-3</v>
      </c>
      <c r="QZ169" s="177" t="str">
        <f t="shared" ca="1" si="152"/>
        <v>Attente…</v>
      </c>
      <c r="RA169" s="197">
        <f t="shared" si="153"/>
        <v>900</v>
      </c>
      <c r="RB169" s="179">
        <f t="shared" si="154"/>
        <v>7.0417025271887956E-3</v>
      </c>
      <c r="RC169" s="180" t="str">
        <f t="shared" ca="1" si="155"/>
        <v>Attente…</v>
      </c>
      <c r="RD169" s="196">
        <f t="shared" si="156"/>
        <v>610</v>
      </c>
      <c r="RE169" s="176">
        <f t="shared" si="157"/>
        <v>6.0781187724192904E-3</v>
      </c>
      <c r="RF169" s="177" t="str">
        <f t="shared" ca="1" si="158"/>
        <v>Attente…</v>
      </c>
      <c r="RG169" s="197">
        <f t="shared" si="159"/>
        <v>130</v>
      </c>
      <c r="RH169" s="179">
        <f t="shared" si="160"/>
        <v>2.3910244620194959E-3</v>
      </c>
      <c r="RI169" s="198" t="str">
        <f t="shared" ca="1" si="161"/>
        <v>Attente…</v>
      </c>
      <c r="RJ169" s="199">
        <f t="shared" si="162"/>
        <v>1760</v>
      </c>
      <c r="RK169" s="200" t="str">
        <f t="shared" ca="1" si="119"/>
        <v>Attente…</v>
      </c>
      <c r="RL169" s="199">
        <f t="shared" si="163"/>
        <v>1870</v>
      </c>
      <c r="RM169" s="200" t="str">
        <f t="shared" ca="1" si="164"/>
        <v>Atttente…</v>
      </c>
      <c r="RN169" s="199">
        <f t="shared" si="165"/>
        <v>1710</v>
      </c>
      <c r="RO169" s="200" t="str">
        <f t="shared" ca="1" si="120"/>
        <v>Attente…</v>
      </c>
      <c r="RP169" s="199">
        <f t="shared" si="166"/>
        <v>1640</v>
      </c>
      <c r="RQ169" s="200" t="str">
        <f t="shared" ca="1" si="121"/>
        <v>Attente…</v>
      </c>
      <c r="RR169" s="201">
        <f t="shared" si="167"/>
        <v>6980</v>
      </c>
      <c r="RS169" s="202" t="str">
        <f t="shared" ca="1" si="122"/>
        <v>Attente…</v>
      </c>
      <c r="RT169" s="103"/>
      <c r="RU169" s="203">
        <f t="shared" si="168"/>
        <v>0.4154761904761905</v>
      </c>
      <c r="RV169" s="204">
        <f t="shared" si="171"/>
        <v>1</v>
      </c>
      <c r="RW169" s="204">
        <f t="shared" si="171"/>
        <v>2</v>
      </c>
      <c r="RX169" s="204">
        <f t="shared" si="169"/>
        <v>84</v>
      </c>
      <c r="RY169" s="205" t="str">
        <f t="shared" si="170"/>
        <v>ROUEN - 14 Place du Boulingrin (Angle Rampe Beauvoisine)</v>
      </c>
      <c r="RZ169" s="189" t="str">
        <f>IF(OR(RZ168="",RZ168="  &lt;/Document&gt;
&lt;/kml&gt;"),"",
IF(B169="","  &lt;/Document&gt;
&lt;/kml&gt;",
IF(TournéesCAV!Q169=""," ",
"    &lt;Placemark&gt;
      &lt;description&gt;&lt;![CDATA["&amp;B169&amp;"&lt;br&gt;&lt;br&gt;"&amp;RV169&amp;" CAV&lt;br&gt;&lt;br&gt;Présent sur "&amp;RW169&amp;" tournée(s)&lt;br&gt;&lt;br&gt;Taux de remplissage moyen "&amp;TEXT(RU169*1000,"0 %")&amp;"]]&gt;&lt;/description&gt;
      &lt;Style&gt;
        &lt;IconStyle&gt;
          &lt;color&gt;ff"&amp;
          DEC2HEX(0,2)&amp;
          DEC2HEX(
            IF(RU169&lt;=0.5,
               INT(255*(RU169*2)),
               255
            ),2)&amp;
          DEC2HEX(
            IF(RU169&lt;=0.5,
               255,
               INT(255*(1-(RU169-0.5)*2))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&lt;Point&gt;&lt;coordinates&gt;"&amp;R169&amp;","&amp;Q169&amp;",0&lt;/coordinates&gt;&lt;/Point&gt;
    &lt;/Placemark&gt;"
)))</f>
        <v xml:space="preserve">    &lt;Placemark&gt;
      &lt;description&gt;&lt;![CDATA[ROUEN - 14 Place du Boulingrin (Angle Rampe Beauvoisine)&lt;br&gt;&lt;br&gt;1 CAV&lt;br&gt;&lt;br&gt;Présent sur 2 tournée(s)&lt;br&gt;&lt;br&gt;Taux de remplissage moyen 42%]]&gt;&lt;/description&gt;
      &lt;Style&gt;
        &lt;IconStyle&gt;
          &lt;color&gt;ff00D3FF&lt;/color&gt;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&lt;Point&gt;&lt;coordinates&gt;1.1064779,49.4473698,0&lt;/coordinates&gt;&lt;/Point&gt;
    &lt;/Placemark&gt;</v>
      </c>
    </row>
    <row r="170" spans="2:494" ht="15" customHeight="1" x14ac:dyDescent="0.35">
      <c r="B170" s="153" t="str">
        <f t="shared" si="123"/>
        <v>ROUEN - 49 Rue de Bihorel (Angle rue Jouvenet)</v>
      </c>
      <c r="C170" s="154">
        <v>115</v>
      </c>
      <c r="D170" s="155"/>
      <c r="E170" s="155"/>
      <c r="F170" s="155"/>
      <c r="G170" s="155"/>
      <c r="H170" s="155"/>
      <c r="I170" s="155"/>
      <c r="J170" s="156"/>
      <c r="K170" s="157">
        <f t="shared" si="124"/>
        <v>1</v>
      </c>
      <c r="L170" s="157">
        <f t="shared" si="125"/>
        <v>2</v>
      </c>
      <c r="M170" s="158" t="s">
        <v>937</v>
      </c>
      <c r="N170" s="159" t="s">
        <v>938</v>
      </c>
      <c r="O170" s="159">
        <v>76000</v>
      </c>
      <c r="P170" s="159" t="s">
        <v>90</v>
      </c>
      <c r="Q170" s="159" t="s">
        <v>939</v>
      </c>
      <c r="R170" s="159" t="s">
        <v>940</v>
      </c>
      <c r="S170" s="159" t="s">
        <v>93</v>
      </c>
      <c r="T170" s="159" t="s">
        <v>94</v>
      </c>
      <c r="U170" s="159" t="s">
        <v>941</v>
      </c>
      <c r="V170" s="160" t="s">
        <v>96</v>
      </c>
      <c r="W170" s="210">
        <v>16</v>
      </c>
      <c r="X170" s="162">
        <v>16</v>
      </c>
      <c r="Y170" s="162"/>
      <c r="Z170" s="162"/>
      <c r="AA170" s="162"/>
      <c r="AB170" s="162"/>
      <c r="AC170" s="162"/>
      <c r="AD170" s="162"/>
      <c r="AE170" s="162"/>
      <c r="AF170" s="162"/>
      <c r="AG170" s="162"/>
      <c r="AH170" s="162"/>
      <c r="AI170" s="162"/>
      <c r="AJ170" s="162"/>
      <c r="AK170" s="162"/>
      <c r="AL170" s="162"/>
      <c r="AM170" s="162"/>
      <c r="AN170" s="162"/>
      <c r="AO170" s="162"/>
      <c r="AP170" s="164"/>
      <c r="AQ170" s="164"/>
      <c r="AR170" s="164"/>
      <c r="AS170" s="164"/>
      <c r="AT170" s="164"/>
      <c r="AU170" s="164"/>
      <c r="AV170" s="164"/>
      <c r="AW170" s="164"/>
      <c r="AX170" s="164"/>
      <c r="AY170" s="165"/>
      <c r="AZ170" s="41"/>
      <c r="BA170" s="190"/>
      <c r="BB170" s="191"/>
      <c r="BC170" s="191">
        <v>200</v>
      </c>
      <c r="BD170" s="191"/>
      <c r="BE170" s="191"/>
      <c r="BF170" s="191"/>
      <c r="BG170" s="191"/>
      <c r="BH170" s="191"/>
      <c r="BI170" s="191"/>
      <c r="BJ170" s="191">
        <v>100</v>
      </c>
      <c r="BK170" s="191"/>
      <c r="BL170" s="191"/>
      <c r="BM170" s="191">
        <v>10</v>
      </c>
      <c r="BN170" s="191"/>
      <c r="BO170" s="191"/>
      <c r="BP170" s="191"/>
      <c r="BQ170" s="191">
        <v>50</v>
      </c>
      <c r="BR170" s="191"/>
      <c r="BS170" s="191"/>
      <c r="BT170" s="191"/>
      <c r="BU170" s="191"/>
      <c r="BV170" s="191"/>
      <c r="BW170" s="191"/>
      <c r="BX170" s="191">
        <v>100</v>
      </c>
      <c r="BY170" s="191"/>
      <c r="BZ170" s="191"/>
      <c r="CA170" s="191"/>
      <c r="CB170" s="191"/>
      <c r="CC170" s="191"/>
      <c r="CD170" s="191"/>
      <c r="CE170" s="192">
        <v>100</v>
      </c>
      <c r="CF170" s="190"/>
      <c r="CG170" s="191"/>
      <c r="CH170" s="191"/>
      <c r="CI170" s="191"/>
      <c r="CJ170" s="191"/>
      <c r="CK170" s="191"/>
      <c r="CL170" s="191">
        <v>50</v>
      </c>
      <c r="CM170" s="191"/>
      <c r="CN170" s="191"/>
      <c r="CO170" s="191">
        <v>50</v>
      </c>
      <c r="CP170" s="191"/>
      <c r="CQ170" s="191"/>
      <c r="CR170" s="191"/>
      <c r="CS170" s="191">
        <v>100</v>
      </c>
      <c r="CT170" s="191"/>
      <c r="CU170" s="191"/>
      <c r="CV170" s="191">
        <v>50</v>
      </c>
      <c r="CW170" s="191"/>
      <c r="CX170" s="191"/>
      <c r="CY170" s="191"/>
      <c r="CZ170" s="191">
        <v>50</v>
      </c>
      <c r="DA170" s="191"/>
      <c r="DB170" s="191"/>
      <c r="DC170" s="191">
        <v>150</v>
      </c>
      <c r="DD170" s="191"/>
      <c r="DE170" s="191"/>
      <c r="DF170" s="191"/>
      <c r="DG170" s="191">
        <v>50</v>
      </c>
      <c r="DH170" s="193"/>
      <c r="DI170" s="194"/>
      <c r="DJ170" s="191"/>
      <c r="DK170" s="191">
        <v>100</v>
      </c>
      <c r="DL170" s="191"/>
      <c r="DM170" s="191"/>
      <c r="DN170" s="191"/>
      <c r="DO170" s="191"/>
      <c r="DP170" s="191"/>
      <c r="DQ170" s="191"/>
      <c r="DR170" s="191">
        <v>100</v>
      </c>
      <c r="DS170" s="191"/>
      <c r="DT170" s="191"/>
      <c r="DU170" s="191"/>
      <c r="DV170" s="191">
        <v>50</v>
      </c>
      <c r="DW170" s="191"/>
      <c r="DX170" s="191"/>
      <c r="DY170" s="191">
        <v>50</v>
      </c>
      <c r="DZ170" s="191"/>
      <c r="EA170" s="191"/>
      <c r="EB170" s="191"/>
      <c r="EC170" s="191">
        <v>100</v>
      </c>
      <c r="ED170" s="191"/>
      <c r="EE170" s="191"/>
      <c r="EF170" s="191">
        <v>100</v>
      </c>
      <c r="EG170" s="191"/>
      <c r="EH170" s="191"/>
      <c r="EI170" s="191"/>
      <c r="EJ170" s="191">
        <v>50</v>
      </c>
      <c r="EK170" s="191"/>
      <c r="EL170" s="191"/>
      <c r="EM170" s="192">
        <v>10</v>
      </c>
      <c r="EN170" s="190"/>
      <c r="EO170" s="191"/>
      <c r="EP170" s="191"/>
      <c r="EQ170" s="191">
        <v>100</v>
      </c>
      <c r="ER170" s="191"/>
      <c r="ES170" s="191"/>
      <c r="ET170" s="191">
        <v>50</v>
      </c>
      <c r="EU170" s="191"/>
      <c r="EV170" s="191"/>
      <c r="EW170" s="191"/>
      <c r="EX170" s="191">
        <v>100</v>
      </c>
      <c r="EY170" s="191"/>
      <c r="EZ170" s="191"/>
      <c r="FA170" s="191">
        <v>50</v>
      </c>
      <c r="FB170" s="191"/>
      <c r="FC170" s="191"/>
      <c r="FD170" s="191"/>
      <c r="FE170" s="191">
        <v>50</v>
      </c>
      <c r="FF170" s="191"/>
      <c r="FG170" s="191"/>
      <c r="FH170" s="191"/>
      <c r="FI170" s="191"/>
      <c r="FJ170" s="191"/>
      <c r="FK170" s="191">
        <v>50</v>
      </c>
      <c r="FL170" s="191"/>
      <c r="FM170" s="191"/>
      <c r="FN170" s="191"/>
      <c r="FO170" s="191">
        <v>50</v>
      </c>
      <c r="FP170" s="191"/>
      <c r="FQ170" s="193"/>
      <c r="FR170" s="194"/>
      <c r="FS170" s="191"/>
      <c r="FT170" s="191"/>
      <c r="FU170" s="191"/>
      <c r="FV170" s="191">
        <v>200</v>
      </c>
      <c r="FW170" s="191"/>
      <c r="FX170" s="191"/>
      <c r="FY170" s="191"/>
      <c r="FZ170" s="191">
        <v>50</v>
      </c>
      <c r="GA170" s="191"/>
      <c r="GB170" s="191"/>
      <c r="GC170" s="191">
        <v>100</v>
      </c>
      <c r="GD170" s="191"/>
      <c r="GE170" s="191"/>
      <c r="GF170" s="191"/>
      <c r="GG170" s="191">
        <v>100</v>
      </c>
      <c r="GH170" s="191"/>
      <c r="GI170" s="191"/>
      <c r="GJ170" s="191">
        <v>10</v>
      </c>
      <c r="GK170" s="191"/>
      <c r="GL170" s="191"/>
      <c r="GM170" s="191"/>
      <c r="GN170" s="191">
        <v>50</v>
      </c>
      <c r="GO170" s="191"/>
      <c r="GP170" s="191"/>
      <c r="GQ170" s="191">
        <v>50</v>
      </c>
      <c r="GR170" s="191"/>
      <c r="GS170" s="191"/>
      <c r="GT170" s="191"/>
      <c r="GU170" s="191"/>
      <c r="GV170" s="192"/>
      <c r="GW170" s="190"/>
      <c r="GX170" s="191">
        <v>150</v>
      </c>
      <c r="GY170" s="191"/>
      <c r="GZ170" s="191"/>
      <c r="HA170" s="191"/>
      <c r="HB170" s="191">
        <v>10</v>
      </c>
      <c r="HC170" s="191"/>
      <c r="HD170" s="191"/>
      <c r="HE170" s="191"/>
      <c r="HF170" s="191"/>
      <c r="HG170" s="191"/>
      <c r="HH170" s="191"/>
      <c r="HI170" s="191">
        <v>50</v>
      </c>
      <c r="HJ170" s="191"/>
      <c r="HK170" s="191"/>
      <c r="HL170" s="191"/>
      <c r="HM170" s="191"/>
      <c r="HN170" s="191"/>
      <c r="HO170" s="191">
        <v>200</v>
      </c>
      <c r="HP170" s="191"/>
      <c r="HQ170" s="191"/>
      <c r="HR170" s="191"/>
      <c r="HS170" s="191">
        <v>50</v>
      </c>
      <c r="HT170" s="191"/>
      <c r="HU170" s="191"/>
      <c r="HV170" s="191"/>
      <c r="HW170" s="191">
        <v>50</v>
      </c>
      <c r="HX170" s="191"/>
      <c r="HY170" s="191"/>
      <c r="HZ170" s="193">
        <v>50</v>
      </c>
      <c r="IA170" s="194"/>
      <c r="IB170" s="191"/>
      <c r="IC170" s="191"/>
      <c r="ID170" s="191">
        <v>50</v>
      </c>
      <c r="IE170" s="191"/>
      <c r="IF170" s="191"/>
      <c r="IG170" s="191"/>
      <c r="IH170" s="191"/>
      <c r="II170" s="191"/>
      <c r="IJ170" s="191">
        <v>100</v>
      </c>
      <c r="IK170" s="191"/>
      <c r="IL170" s="191"/>
      <c r="IM170" s="191"/>
      <c r="IN170" s="191">
        <v>50</v>
      </c>
      <c r="IO170" s="191"/>
      <c r="IP170" s="191"/>
      <c r="IQ170" s="191"/>
      <c r="IR170" s="191"/>
      <c r="IS170" s="191"/>
      <c r="IT170" s="191"/>
      <c r="IU170" s="191">
        <v>200</v>
      </c>
      <c r="IV170" s="191"/>
      <c r="IW170" s="191"/>
      <c r="IX170" s="191"/>
      <c r="IY170" s="191"/>
      <c r="IZ170" s="191"/>
      <c r="JA170" s="191"/>
      <c r="JB170" s="191">
        <v>150</v>
      </c>
      <c r="JC170" s="191"/>
      <c r="JD170" s="191"/>
      <c r="JE170" s="192"/>
      <c r="JF170" s="190">
        <v>100</v>
      </c>
      <c r="JG170" s="191"/>
      <c r="JH170" s="191"/>
      <c r="JI170" s="191">
        <v>50</v>
      </c>
      <c r="JJ170" s="191"/>
      <c r="JK170" s="191"/>
      <c r="JL170" s="191"/>
      <c r="JM170" s="191">
        <v>100</v>
      </c>
      <c r="JN170" s="191"/>
      <c r="JO170" s="191"/>
      <c r="JP170" s="191">
        <v>100</v>
      </c>
      <c r="JQ170" s="191"/>
      <c r="JR170" s="191"/>
      <c r="JS170" s="191"/>
      <c r="JT170" s="191"/>
      <c r="JU170" s="191"/>
      <c r="JV170" s="191"/>
      <c r="JW170" s="191">
        <v>150</v>
      </c>
      <c r="JX170" s="191"/>
      <c r="JY170" s="191"/>
      <c r="JZ170" s="191"/>
      <c r="KA170" s="191">
        <v>100</v>
      </c>
      <c r="KB170" s="191"/>
      <c r="KC170" s="191"/>
      <c r="KD170" s="191">
        <v>50</v>
      </c>
      <c r="KE170" s="191"/>
      <c r="KF170" s="191"/>
      <c r="KG170" s="191"/>
      <c r="KH170" s="191">
        <v>100</v>
      </c>
      <c r="KI170" s="191"/>
      <c r="KJ170" s="193"/>
      <c r="KK170" s="194">
        <v>100</v>
      </c>
      <c r="KL170" s="191"/>
      <c r="KM170" s="191"/>
      <c r="KN170" s="191"/>
      <c r="KO170" s="191"/>
      <c r="KP170" s="191"/>
      <c r="KQ170" s="191"/>
      <c r="KR170" s="191">
        <v>100</v>
      </c>
      <c r="KS170" s="191"/>
      <c r="KT170" s="191"/>
      <c r="KU170" s="191"/>
      <c r="KV170" s="191">
        <v>100</v>
      </c>
      <c r="KW170" s="191"/>
      <c r="KX170" s="191"/>
      <c r="KY170" s="191">
        <v>100</v>
      </c>
      <c r="KZ170" s="191"/>
      <c r="LA170" s="191"/>
      <c r="LB170" s="191"/>
      <c r="LC170" s="191">
        <v>50</v>
      </c>
      <c r="LD170" s="191"/>
      <c r="LE170" s="191"/>
      <c r="LF170" s="191">
        <v>50</v>
      </c>
      <c r="LG170" s="191"/>
      <c r="LH170" s="191"/>
      <c r="LI170" s="191"/>
      <c r="LJ170" s="191">
        <v>50</v>
      </c>
      <c r="LK170" s="191"/>
      <c r="LL170" s="191"/>
      <c r="LM170" s="191">
        <v>50</v>
      </c>
      <c r="LN170" s="192"/>
      <c r="LO170" s="190"/>
      <c r="LP170" s="191"/>
      <c r="LQ170" s="191"/>
      <c r="LR170" s="191"/>
      <c r="LS170" s="191"/>
      <c r="LT170" s="191">
        <v>200</v>
      </c>
      <c r="LU170" s="191"/>
      <c r="LV170" s="191"/>
      <c r="LW170" s="191"/>
      <c r="LX170" s="191">
        <v>50</v>
      </c>
      <c r="LY170" s="191"/>
      <c r="LZ170" s="191"/>
      <c r="MA170" s="191">
        <v>50</v>
      </c>
      <c r="MB170" s="191"/>
      <c r="MC170" s="191"/>
      <c r="MD170" s="191"/>
      <c r="ME170" s="191">
        <v>50</v>
      </c>
      <c r="MF170" s="191"/>
      <c r="MG170" s="191"/>
      <c r="MH170" s="191">
        <v>50</v>
      </c>
      <c r="MI170" s="191"/>
      <c r="MJ170" s="191"/>
      <c r="MK170" s="191"/>
      <c r="ML170" s="191">
        <v>50</v>
      </c>
      <c r="MM170" s="191"/>
      <c r="MN170" s="191"/>
      <c r="MO170" s="191">
        <v>100</v>
      </c>
      <c r="MP170" s="191"/>
      <c r="MQ170" s="191"/>
      <c r="MR170" s="191"/>
      <c r="MS170" s="193">
        <v>100</v>
      </c>
      <c r="MT170" s="194"/>
      <c r="MU170" s="191"/>
      <c r="MV170" s="191">
        <v>50</v>
      </c>
      <c r="MW170" s="191"/>
      <c r="MX170" s="191"/>
      <c r="MY170" s="191"/>
      <c r="MZ170" s="191">
        <v>50</v>
      </c>
      <c r="NA170" s="191"/>
      <c r="NB170" s="191"/>
      <c r="NC170" s="191">
        <v>100</v>
      </c>
      <c r="ND170" s="191"/>
      <c r="NE170" s="191"/>
      <c r="NF170" s="191"/>
      <c r="NG170" s="191">
        <v>100</v>
      </c>
      <c r="NH170" s="191"/>
      <c r="NI170" s="191"/>
      <c r="NJ170" s="191">
        <v>50</v>
      </c>
      <c r="NK170" s="191"/>
      <c r="NL170" s="191"/>
      <c r="NM170" s="191"/>
      <c r="NN170" s="191">
        <v>50</v>
      </c>
      <c r="NO170" s="191"/>
      <c r="NP170" s="191"/>
      <c r="NQ170" s="191">
        <v>10</v>
      </c>
      <c r="NR170" s="191"/>
      <c r="NS170" s="191"/>
      <c r="NT170" s="191"/>
      <c r="NU170" s="191">
        <v>100</v>
      </c>
      <c r="NV170" s="191"/>
      <c r="NW170" s="192"/>
      <c r="NX170" s="190">
        <v>50</v>
      </c>
      <c r="NY170" s="191"/>
      <c r="NZ170" s="191"/>
      <c r="OA170" s="191"/>
      <c r="OB170" s="191">
        <v>10</v>
      </c>
      <c r="OC170" s="191"/>
      <c r="OD170" s="191"/>
      <c r="OE170" s="191">
        <v>50</v>
      </c>
      <c r="OF170" s="191"/>
      <c r="OG170" s="191"/>
      <c r="OH170" s="191"/>
      <c r="OI170" s="191">
        <v>50</v>
      </c>
      <c r="OJ170" s="191"/>
      <c r="OK170" s="191"/>
      <c r="OL170" s="191"/>
      <c r="OM170" s="191"/>
      <c r="ON170" s="191"/>
      <c r="OO170" s="191"/>
      <c r="OP170" s="191"/>
      <c r="OQ170" s="191"/>
      <c r="OR170" s="191"/>
      <c r="OS170" s="191"/>
      <c r="OT170" s="191"/>
      <c r="OU170" s="191"/>
      <c r="OV170" s="191"/>
      <c r="OW170" s="191"/>
      <c r="OX170" s="191"/>
      <c r="OY170" s="191"/>
      <c r="OZ170" s="191"/>
      <c r="PA170" s="191"/>
      <c r="PB170" s="193"/>
      <c r="PC170" s="47"/>
      <c r="PD170" s="154" t="s">
        <v>97</v>
      </c>
      <c r="PE170" s="155" t="s">
        <v>98</v>
      </c>
      <c r="PF170" s="155" t="s">
        <v>98</v>
      </c>
      <c r="PG170" s="155" t="s">
        <v>98</v>
      </c>
      <c r="PH170" s="155" t="s">
        <v>98</v>
      </c>
      <c r="PI170" s="155" t="s">
        <v>98</v>
      </c>
      <c r="PJ170" s="155" t="s">
        <v>98</v>
      </c>
      <c r="PK170" s="155" t="s">
        <v>98</v>
      </c>
      <c r="PL170" s="155" t="s">
        <v>98</v>
      </c>
      <c r="PM170" s="155" t="s">
        <v>98</v>
      </c>
      <c r="PN170" s="155" t="s">
        <v>98</v>
      </c>
      <c r="PO170" s="156"/>
      <c r="PP170" s="156"/>
      <c r="PQ170" s="156"/>
      <c r="PR170" s="156"/>
      <c r="PS170" s="156"/>
      <c r="PT170" s="156"/>
      <c r="PU170" s="156"/>
      <c r="PV170" s="156"/>
      <c r="PW170" s="156"/>
      <c r="PX170" s="195"/>
      <c r="PY170" s="1"/>
      <c r="PZ170" s="196">
        <f t="shared" si="126"/>
        <v>560</v>
      </c>
      <c r="QA170" s="176">
        <f t="shared" si="127"/>
        <v>4.6717277050137649E-3</v>
      </c>
      <c r="QB170" s="177" t="str">
        <f t="shared" ca="1" si="128"/>
        <v>Attente…</v>
      </c>
      <c r="QC170" s="197">
        <f t="shared" si="129"/>
        <v>500</v>
      </c>
      <c r="QD170" s="179">
        <f t="shared" si="130"/>
        <v>4.6816479400749065E-3</v>
      </c>
      <c r="QE170" s="180" t="str">
        <f t="shared" ca="1" si="131"/>
        <v>Attente…</v>
      </c>
      <c r="QF170" s="196">
        <f t="shared" si="132"/>
        <v>560</v>
      </c>
      <c r="QG170" s="176">
        <f t="shared" si="133"/>
        <v>4.459308807134894E-3</v>
      </c>
      <c r="QH170" s="177" t="str">
        <f t="shared" ca="1" si="134"/>
        <v>Attente…</v>
      </c>
      <c r="QI170" s="197">
        <f t="shared" si="135"/>
        <v>450</v>
      </c>
      <c r="QJ170" s="179">
        <f t="shared" si="136"/>
        <v>3.1561228783840651E-3</v>
      </c>
      <c r="QK170" s="180" t="str">
        <f t="shared" ca="1" si="137"/>
        <v>Attente…</v>
      </c>
      <c r="QL170" s="196">
        <f t="shared" si="138"/>
        <v>560</v>
      </c>
      <c r="QM170" s="176">
        <f t="shared" si="139"/>
        <v>4.097161252560726E-3</v>
      </c>
      <c r="QN170" s="177" t="str">
        <f t="shared" ca="1" si="140"/>
        <v>Attente…</v>
      </c>
      <c r="QO170" s="197">
        <f t="shared" si="141"/>
        <v>560</v>
      </c>
      <c r="QP170" s="179">
        <f t="shared" si="142"/>
        <v>4.3842480231738824E-3</v>
      </c>
      <c r="QQ170" s="180" t="str">
        <f t="shared" ca="1" si="143"/>
        <v>Attente…</v>
      </c>
      <c r="QR170" s="196">
        <f t="shared" si="144"/>
        <v>550</v>
      </c>
      <c r="QS170" s="176">
        <f t="shared" si="145"/>
        <v>3.9595406932795797E-3</v>
      </c>
      <c r="QT170" s="177" t="str">
        <f t="shared" ca="1" si="146"/>
        <v>Attente…</v>
      </c>
      <c r="QU170" s="197">
        <f t="shared" si="147"/>
        <v>750</v>
      </c>
      <c r="QV170" s="179">
        <f t="shared" si="148"/>
        <v>5.1709873138444567E-3</v>
      </c>
      <c r="QW170" s="180" t="str">
        <f t="shared" ca="1" si="149"/>
        <v>Attente…</v>
      </c>
      <c r="QX170" s="196">
        <f t="shared" si="150"/>
        <v>600</v>
      </c>
      <c r="QY170" s="176">
        <f t="shared" si="151"/>
        <v>4.3784115123033365E-3</v>
      </c>
      <c r="QZ170" s="177" t="str">
        <f t="shared" ca="1" si="152"/>
        <v>Attente…</v>
      </c>
      <c r="RA170" s="197">
        <f t="shared" si="153"/>
        <v>650</v>
      </c>
      <c r="RB170" s="179">
        <f t="shared" si="154"/>
        <v>5.08567404741413E-3</v>
      </c>
      <c r="RC170" s="180" t="str">
        <f t="shared" ca="1" si="155"/>
        <v>Attente…</v>
      </c>
      <c r="RD170" s="196">
        <f t="shared" si="156"/>
        <v>510</v>
      </c>
      <c r="RE170" s="176">
        <f t="shared" si="157"/>
        <v>5.0817058589079315E-3</v>
      </c>
      <c r="RF170" s="177" t="str">
        <f t="shared" ca="1" si="158"/>
        <v>Attente…</v>
      </c>
      <c r="RG170" s="197">
        <f t="shared" si="159"/>
        <v>160</v>
      </c>
      <c r="RH170" s="179">
        <f t="shared" si="160"/>
        <v>2.9427993378701488E-3</v>
      </c>
      <c r="RI170" s="198" t="str">
        <f t="shared" ca="1" si="161"/>
        <v>Attente…</v>
      </c>
      <c r="RJ170" s="199">
        <f t="shared" si="162"/>
        <v>1620</v>
      </c>
      <c r="RK170" s="200" t="str">
        <f t="shared" ca="1" si="119"/>
        <v>Attente…</v>
      </c>
      <c r="RL170" s="199">
        <f t="shared" si="163"/>
        <v>1570</v>
      </c>
      <c r="RM170" s="200" t="str">
        <f t="shared" ca="1" si="164"/>
        <v>Atttente…</v>
      </c>
      <c r="RN170" s="199">
        <f t="shared" si="165"/>
        <v>1900</v>
      </c>
      <c r="RO170" s="200" t="str">
        <f t="shared" ca="1" si="120"/>
        <v>Attente…</v>
      </c>
      <c r="RP170" s="199">
        <f t="shared" si="166"/>
        <v>1320</v>
      </c>
      <c r="RQ170" s="200" t="str">
        <f t="shared" ca="1" si="121"/>
        <v>Attente…</v>
      </c>
      <c r="RR170" s="201">
        <f t="shared" si="167"/>
        <v>6410</v>
      </c>
      <c r="RS170" s="202" t="str">
        <f t="shared" ca="1" si="122"/>
        <v>Attente…</v>
      </c>
      <c r="RT170" s="103"/>
      <c r="RU170" s="203">
        <f t="shared" si="168"/>
        <v>0.38614457831325305</v>
      </c>
      <c r="RV170" s="204">
        <f t="shared" si="171"/>
        <v>1</v>
      </c>
      <c r="RW170" s="204">
        <f t="shared" si="171"/>
        <v>2</v>
      </c>
      <c r="RX170" s="204">
        <f t="shared" si="169"/>
        <v>83</v>
      </c>
      <c r="RY170" s="205" t="str">
        <f t="shared" si="170"/>
        <v>ROUEN - 49 Rue de Bihorel (Angle rue Jouvenet)</v>
      </c>
      <c r="RZ170" s="189" t="str">
        <f>IF(OR(RZ169="",RZ169="  &lt;/Document&gt;
&lt;/kml&gt;"),"",
IF(B170="","  &lt;/Document&gt;
&lt;/kml&gt;",
IF(TournéesCAV!Q170=""," ",
"    &lt;Placemark&gt;
      &lt;description&gt;&lt;![CDATA["&amp;B170&amp;"&lt;br&gt;&lt;br&gt;"&amp;RV170&amp;" CAV&lt;br&gt;&lt;br&gt;Présent sur "&amp;RW170&amp;" tournée(s)&lt;br&gt;&lt;br&gt;Taux de remplissage moyen "&amp;TEXT(RU170*1000,"0 %")&amp;"]]&gt;&lt;/description&gt;
      &lt;Style&gt;
        &lt;IconStyle&gt;
          &lt;color&gt;ff"&amp;
          DEC2HEX(0,2)&amp;
          DEC2HEX(
            IF(RU170&lt;=0.5,
               INT(255*(RU170*2)),
               255
            ),2)&amp;
          DEC2HEX(
            IF(RU170&lt;=0.5,
               255,
               INT(255*(1-(RU170-0.5)*2))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&lt;Point&gt;&lt;coordinates&gt;"&amp;R170&amp;","&amp;Q170&amp;",0&lt;/coordinates&gt;&lt;/Point&gt;
    &lt;/Placemark&gt;"
)))</f>
        <v xml:space="preserve">    &lt;Placemark&gt;
      &lt;description&gt;&lt;![CDATA[ROUEN - 49 Rue de Bihorel (Angle rue Jouvenet)&lt;br&gt;&lt;br&gt;1 CAV&lt;br&gt;&lt;br&gt;Présent sur 2 tournée(s)&lt;br&gt;&lt;br&gt;Taux de remplissage moyen 39%]]&gt;&lt;/description&gt;
      &lt;Style&gt;
        &lt;IconStyle&gt;
          &lt;color&gt;ff00C4FF&lt;/color&gt;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&lt;Point&gt;&lt;coordinates&gt;1.1035948,49.4498315,0&lt;/coordinates&gt;&lt;/Point&gt;
    &lt;/Placemark&gt;</v>
      </c>
    </row>
    <row r="171" spans="2:494" ht="15" customHeight="1" x14ac:dyDescent="0.35">
      <c r="B171" s="153" t="str">
        <f t="shared" si="123"/>
        <v>ROUEN - 19 rue Charles de Beaurepaire (Angle Côte de Neufchâtel)</v>
      </c>
      <c r="C171" s="154">
        <v>134</v>
      </c>
      <c r="D171" s="155"/>
      <c r="E171" s="155"/>
      <c r="F171" s="155"/>
      <c r="G171" s="155"/>
      <c r="H171" s="155"/>
      <c r="I171" s="155"/>
      <c r="J171" s="156"/>
      <c r="K171" s="157">
        <f t="shared" si="124"/>
        <v>1</v>
      </c>
      <c r="L171" s="157">
        <f t="shared" si="125"/>
        <v>2</v>
      </c>
      <c r="M171" s="158" t="s">
        <v>942</v>
      </c>
      <c r="N171" s="159" t="s">
        <v>943</v>
      </c>
      <c r="O171" s="159">
        <v>76000</v>
      </c>
      <c r="P171" s="159" t="s">
        <v>90</v>
      </c>
      <c r="Q171" s="159" t="s">
        <v>944</v>
      </c>
      <c r="R171" s="159" t="s">
        <v>945</v>
      </c>
      <c r="S171" s="159" t="s">
        <v>93</v>
      </c>
      <c r="T171" s="159" t="s">
        <v>94</v>
      </c>
      <c r="U171" s="159" t="s">
        <v>946</v>
      </c>
      <c r="V171" s="160" t="s">
        <v>96</v>
      </c>
      <c r="W171" s="210">
        <v>17</v>
      </c>
      <c r="X171" s="162">
        <v>17</v>
      </c>
      <c r="Y171" s="162"/>
      <c r="Z171" s="162"/>
      <c r="AA171" s="162"/>
      <c r="AB171" s="162"/>
      <c r="AC171" s="162"/>
      <c r="AD171" s="162"/>
      <c r="AE171" s="162"/>
      <c r="AF171" s="162"/>
      <c r="AG171" s="162"/>
      <c r="AH171" s="162"/>
      <c r="AI171" s="162"/>
      <c r="AJ171" s="162"/>
      <c r="AK171" s="162"/>
      <c r="AL171" s="162"/>
      <c r="AM171" s="162"/>
      <c r="AN171" s="162"/>
      <c r="AO171" s="162"/>
      <c r="AP171" s="164"/>
      <c r="AQ171" s="164"/>
      <c r="AR171" s="164"/>
      <c r="AS171" s="164"/>
      <c r="AT171" s="164"/>
      <c r="AU171" s="164"/>
      <c r="AV171" s="164"/>
      <c r="AW171" s="164"/>
      <c r="AX171" s="164"/>
      <c r="AY171" s="165"/>
      <c r="AZ171" s="41"/>
      <c r="BA171" s="190"/>
      <c r="BB171" s="191"/>
      <c r="BC171" s="191"/>
      <c r="BD171" s="191"/>
      <c r="BE171" s="191"/>
      <c r="BF171" s="191"/>
      <c r="BG171" s="191"/>
      <c r="BH171" s="191"/>
      <c r="BI171" s="191"/>
      <c r="BJ171" s="191">
        <v>10</v>
      </c>
      <c r="BK171" s="191"/>
      <c r="BL171" s="191"/>
      <c r="BM171" s="191">
        <v>10</v>
      </c>
      <c r="BN171" s="191"/>
      <c r="BO171" s="191"/>
      <c r="BP171" s="191"/>
      <c r="BQ171" s="191">
        <v>10</v>
      </c>
      <c r="BR171" s="191"/>
      <c r="BS171" s="191"/>
      <c r="BT171" s="191"/>
      <c r="BU171" s="191"/>
      <c r="BV171" s="191"/>
      <c r="BW171" s="191"/>
      <c r="BX171" s="191">
        <v>10</v>
      </c>
      <c r="BY171" s="191"/>
      <c r="BZ171" s="191"/>
      <c r="CA171" s="191"/>
      <c r="CB171" s="191"/>
      <c r="CC171" s="191"/>
      <c r="CD171" s="191"/>
      <c r="CE171" s="192">
        <v>10</v>
      </c>
      <c r="CF171" s="190"/>
      <c r="CG171" s="191"/>
      <c r="CH171" s="191">
        <v>10</v>
      </c>
      <c r="CI171" s="191"/>
      <c r="CJ171" s="191"/>
      <c r="CK171" s="191"/>
      <c r="CL171" s="191">
        <v>50</v>
      </c>
      <c r="CM171" s="191"/>
      <c r="CN171" s="191"/>
      <c r="CO171" s="191">
        <v>10</v>
      </c>
      <c r="CP171" s="191"/>
      <c r="CQ171" s="191"/>
      <c r="CR171" s="191"/>
      <c r="CS171" s="191">
        <v>10</v>
      </c>
      <c r="CT171" s="191"/>
      <c r="CU171" s="191"/>
      <c r="CV171" s="191">
        <v>10</v>
      </c>
      <c r="CW171" s="191"/>
      <c r="CX171" s="191"/>
      <c r="CY171" s="191"/>
      <c r="CZ171" s="191">
        <v>10</v>
      </c>
      <c r="DA171" s="191"/>
      <c r="DB171" s="191"/>
      <c r="DC171" s="191">
        <v>100</v>
      </c>
      <c r="DD171" s="191"/>
      <c r="DE171" s="191"/>
      <c r="DF171" s="191"/>
      <c r="DG171" s="191">
        <v>50</v>
      </c>
      <c r="DH171" s="193"/>
      <c r="DI171" s="194"/>
      <c r="DJ171" s="191"/>
      <c r="DK171" s="191">
        <v>10</v>
      </c>
      <c r="DL171" s="191"/>
      <c r="DM171" s="191"/>
      <c r="DN171" s="191"/>
      <c r="DO171" s="191"/>
      <c r="DP171" s="191"/>
      <c r="DQ171" s="191"/>
      <c r="DR171" s="191">
        <v>50</v>
      </c>
      <c r="DS171" s="191"/>
      <c r="DT171" s="191"/>
      <c r="DU171" s="191"/>
      <c r="DV171" s="191">
        <v>10</v>
      </c>
      <c r="DW171" s="191"/>
      <c r="DX171" s="191"/>
      <c r="DY171" s="191">
        <v>50</v>
      </c>
      <c r="DZ171" s="191"/>
      <c r="EA171" s="191"/>
      <c r="EB171" s="191"/>
      <c r="EC171" s="191">
        <v>50</v>
      </c>
      <c r="ED171" s="191"/>
      <c r="EE171" s="191"/>
      <c r="EF171" s="191">
        <v>10</v>
      </c>
      <c r="EG171" s="191"/>
      <c r="EH171" s="191"/>
      <c r="EI171" s="191"/>
      <c r="EJ171" s="191">
        <v>150</v>
      </c>
      <c r="EK171" s="191"/>
      <c r="EL171" s="191"/>
      <c r="EM171" s="192">
        <v>10</v>
      </c>
      <c r="EN171" s="190"/>
      <c r="EO171" s="191"/>
      <c r="EP171" s="191"/>
      <c r="EQ171" s="191">
        <v>10</v>
      </c>
      <c r="ER171" s="191"/>
      <c r="ES171" s="191"/>
      <c r="ET171" s="191">
        <v>50</v>
      </c>
      <c r="EU171" s="191"/>
      <c r="EV171" s="191"/>
      <c r="EW171" s="191"/>
      <c r="EX171" s="191">
        <v>50</v>
      </c>
      <c r="EY171" s="191"/>
      <c r="EZ171" s="191"/>
      <c r="FA171" s="191">
        <v>10</v>
      </c>
      <c r="FB171" s="191"/>
      <c r="FC171" s="191"/>
      <c r="FD171" s="191"/>
      <c r="FE171" s="191">
        <v>10</v>
      </c>
      <c r="FF171" s="191"/>
      <c r="FG171" s="191"/>
      <c r="FH171" s="191"/>
      <c r="FI171" s="191"/>
      <c r="FJ171" s="191"/>
      <c r="FK171" s="191">
        <v>10</v>
      </c>
      <c r="FL171" s="191"/>
      <c r="FM171" s="191"/>
      <c r="FN171" s="191"/>
      <c r="FO171" s="191">
        <v>50</v>
      </c>
      <c r="FP171" s="191"/>
      <c r="FQ171" s="193"/>
      <c r="FR171" s="194"/>
      <c r="FS171" s="191"/>
      <c r="FT171" s="191"/>
      <c r="FU171" s="191"/>
      <c r="FV171" s="191"/>
      <c r="FW171" s="191"/>
      <c r="FX171" s="191"/>
      <c r="FY171" s="191"/>
      <c r="FZ171" s="191">
        <v>100</v>
      </c>
      <c r="GA171" s="191"/>
      <c r="GB171" s="191"/>
      <c r="GC171" s="191">
        <v>10</v>
      </c>
      <c r="GD171" s="191"/>
      <c r="GE171" s="191"/>
      <c r="GF171" s="191"/>
      <c r="GG171" s="191">
        <v>10</v>
      </c>
      <c r="GH171" s="191"/>
      <c r="GI171" s="191"/>
      <c r="GJ171" s="191">
        <v>100</v>
      </c>
      <c r="GK171" s="191"/>
      <c r="GL171" s="191"/>
      <c r="GM171" s="191"/>
      <c r="GN171" s="191">
        <v>10</v>
      </c>
      <c r="GO171" s="191"/>
      <c r="GP171" s="191"/>
      <c r="GQ171" s="191">
        <v>10</v>
      </c>
      <c r="GR171" s="191"/>
      <c r="GS171" s="191"/>
      <c r="GT171" s="191"/>
      <c r="GU171" s="191"/>
      <c r="GV171" s="192"/>
      <c r="GW171" s="190"/>
      <c r="GX171" s="191">
        <v>150</v>
      </c>
      <c r="GY171" s="191"/>
      <c r="GZ171" s="191"/>
      <c r="HA171" s="191"/>
      <c r="HB171" s="191">
        <v>50</v>
      </c>
      <c r="HC171" s="191"/>
      <c r="HD171" s="191"/>
      <c r="HE171" s="191"/>
      <c r="HF171" s="191"/>
      <c r="HG171" s="191"/>
      <c r="HH171" s="191"/>
      <c r="HI171" s="191">
        <v>50</v>
      </c>
      <c r="HJ171" s="191"/>
      <c r="HK171" s="191"/>
      <c r="HL171" s="191"/>
      <c r="HM171" s="191"/>
      <c r="HN171" s="191"/>
      <c r="HO171" s="191">
        <v>50</v>
      </c>
      <c r="HP171" s="191"/>
      <c r="HQ171" s="191"/>
      <c r="HR171" s="191"/>
      <c r="HS171" s="191">
        <v>10</v>
      </c>
      <c r="HT171" s="191"/>
      <c r="HU171" s="191"/>
      <c r="HV171" s="191"/>
      <c r="HW171" s="191">
        <v>10</v>
      </c>
      <c r="HX171" s="191"/>
      <c r="HY171" s="191"/>
      <c r="HZ171" s="193">
        <v>50</v>
      </c>
      <c r="IA171" s="194"/>
      <c r="IB171" s="191"/>
      <c r="IC171" s="191"/>
      <c r="ID171" s="191">
        <v>100</v>
      </c>
      <c r="IE171" s="191"/>
      <c r="IF171" s="191"/>
      <c r="IG171" s="191"/>
      <c r="IH171" s="191"/>
      <c r="II171" s="191"/>
      <c r="IJ171" s="191">
        <v>100</v>
      </c>
      <c r="IK171" s="191"/>
      <c r="IL171" s="191"/>
      <c r="IM171" s="191"/>
      <c r="IN171" s="191">
        <v>50</v>
      </c>
      <c r="IO171" s="191"/>
      <c r="IP171" s="191"/>
      <c r="IQ171" s="191"/>
      <c r="IR171" s="191"/>
      <c r="IS171" s="191"/>
      <c r="IT171" s="191"/>
      <c r="IU171" s="191"/>
      <c r="IV171" s="191"/>
      <c r="IW171" s="191"/>
      <c r="IX171" s="191"/>
      <c r="IY171" s="191"/>
      <c r="IZ171" s="191"/>
      <c r="JA171" s="191"/>
      <c r="JB171" s="191">
        <v>50</v>
      </c>
      <c r="JC171" s="191"/>
      <c r="JD171" s="191"/>
      <c r="JE171" s="192"/>
      <c r="JF171" s="190">
        <v>100</v>
      </c>
      <c r="JG171" s="191"/>
      <c r="JH171" s="191"/>
      <c r="JI171" s="191">
        <v>10</v>
      </c>
      <c r="JJ171" s="191"/>
      <c r="JK171" s="191"/>
      <c r="JL171" s="191"/>
      <c r="JM171" s="191">
        <v>50</v>
      </c>
      <c r="JN171" s="191"/>
      <c r="JO171" s="191"/>
      <c r="JP171" s="191">
        <v>10</v>
      </c>
      <c r="JQ171" s="191"/>
      <c r="JR171" s="191"/>
      <c r="JS171" s="191"/>
      <c r="JT171" s="191"/>
      <c r="JU171" s="191"/>
      <c r="JV171" s="191"/>
      <c r="JW171" s="191">
        <v>10</v>
      </c>
      <c r="JX171" s="191"/>
      <c r="JY171" s="191"/>
      <c r="JZ171" s="191"/>
      <c r="KA171" s="191">
        <v>10</v>
      </c>
      <c r="KB171" s="191"/>
      <c r="KC171" s="191"/>
      <c r="KD171" s="191">
        <v>10</v>
      </c>
      <c r="KE171" s="191"/>
      <c r="KF171" s="191"/>
      <c r="KG171" s="191"/>
      <c r="KH171" s="191">
        <v>50</v>
      </c>
      <c r="KI171" s="191"/>
      <c r="KJ171" s="193"/>
      <c r="KK171" s="194">
        <v>10</v>
      </c>
      <c r="KL171" s="191"/>
      <c r="KM171" s="191"/>
      <c r="KN171" s="191"/>
      <c r="KO171" s="191"/>
      <c r="KP171" s="191"/>
      <c r="KQ171" s="191"/>
      <c r="KR171" s="191">
        <v>10</v>
      </c>
      <c r="KS171" s="191"/>
      <c r="KT171" s="191"/>
      <c r="KU171" s="191"/>
      <c r="KV171" s="191">
        <v>50</v>
      </c>
      <c r="KW171" s="191"/>
      <c r="KX171" s="191"/>
      <c r="KY171" s="191">
        <v>10</v>
      </c>
      <c r="KZ171" s="191"/>
      <c r="LA171" s="191"/>
      <c r="LB171" s="191"/>
      <c r="LC171" s="191">
        <v>10</v>
      </c>
      <c r="LD171" s="191"/>
      <c r="LE171" s="191"/>
      <c r="LF171" s="191">
        <v>50</v>
      </c>
      <c r="LG171" s="191"/>
      <c r="LH171" s="191"/>
      <c r="LI171" s="191"/>
      <c r="LJ171" s="191">
        <v>10</v>
      </c>
      <c r="LK171" s="191"/>
      <c r="LL171" s="191"/>
      <c r="LM171" s="191"/>
      <c r="LN171" s="192"/>
      <c r="LO171" s="190"/>
      <c r="LP171" s="191"/>
      <c r="LQ171" s="191"/>
      <c r="LR171" s="191"/>
      <c r="LS171" s="191"/>
      <c r="LT171" s="191">
        <v>100</v>
      </c>
      <c r="LU171" s="191"/>
      <c r="LV171" s="191"/>
      <c r="LW171" s="191"/>
      <c r="LX171" s="191">
        <v>100</v>
      </c>
      <c r="LY171" s="191"/>
      <c r="LZ171" s="191"/>
      <c r="MA171" s="191">
        <v>10</v>
      </c>
      <c r="MB171" s="191"/>
      <c r="MC171" s="191"/>
      <c r="MD171" s="191"/>
      <c r="ME171" s="191">
        <v>50</v>
      </c>
      <c r="MF171" s="191"/>
      <c r="MG171" s="191"/>
      <c r="MH171" s="191">
        <v>10</v>
      </c>
      <c r="MI171" s="191"/>
      <c r="MJ171" s="191"/>
      <c r="MK171" s="191"/>
      <c r="ML171" s="191">
        <v>10</v>
      </c>
      <c r="MM171" s="191"/>
      <c r="MN171" s="191"/>
      <c r="MO171" s="191">
        <v>10</v>
      </c>
      <c r="MP171" s="191"/>
      <c r="MQ171" s="191"/>
      <c r="MR171" s="191"/>
      <c r="MS171" s="193">
        <v>10</v>
      </c>
      <c r="MT171" s="194"/>
      <c r="MU171" s="191"/>
      <c r="MV171" s="191">
        <v>50</v>
      </c>
      <c r="MW171" s="191"/>
      <c r="MX171" s="191"/>
      <c r="MY171" s="191"/>
      <c r="MZ171" s="191">
        <v>10</v>
      </c>
      <c r="NA171" s="191"/>
      <c r="NB171" s="191"/>
      <c r="NC171" s="191">
        <v>10</v>
      </c>
      <c r="ND171" s="191"/>
      <c r="NE171" s="191"/>
      <c r="NF171" s="191"/>
      <c r="NG171" s="191">
        <v>10</v>
      </c>
      <c r="NH171" s="191"/>
      <c r="NI171" s="191"/>
      <c r="NJ171" s="191">
        <v>10</v>
      </c>
      <c r="NK171" s="191"/>
      <c r="NL171" s="191"/>
      <c r="NM171" s="191"/>
      <c r="NN171" s="191">
        <v>10</v>
      </c>
      <c r="NO171" s="191"/>
      <c r="NP171" s="191"/>
      <c r="NQ171" s="191">
        <v>10</v>
      </c>
      <c r="NR171" s="191"/>
      <c r="NS171" s="191"/>
      <c r="NT171" s="191"/>
      <c r="NU171" s="191">
        <v>10</v>
      </c>
      <c r="NV171" s="191"/>
      <c r="NW171" s="192"/>
      <c r="NX171" s="190">
        <v>50</v>
      </c>
      <c r="NY171" s="191"/>
      <c r="NZ171" s="191"/>
      <c r="OA171" s="191"/>
      <c r="OB171" s="191">
        <v>10</v>
      </c>
      <c r="OC171" s="191"/>
      <c r="OD171" s="191"/>
      <c r="OE171" s="191">
        <v>10</v>
      </c>
      <c r="OF171" s="191"/>
      <c r="OG171" s="191"/>
      <c r="OH171" s="191"/>
      <c r="OI171" s="191">
        <v>10</v>
      </c>
      <c r="OJ171" s="191"/>
      <c r="OK171" s="191"/>
      <c r="OL171" s="191">
        <v>50</v>
      </c>
      <c r="OM171" s="191"/>
      <c r="ON171" s="191"/>
      <c r="OO171" s="191"/>
      <c r="OP171" s="191"/>
      <c r="OQ171" s="191"/>
      <c r="OR171" s="191"/>
      <c r="OS171" s="191"/>
      <c r="OT171" s="191"/>
      <c r="OU171" s="191"/>
      <c r="OV171" s="191"/>
      <c r="OW171" s="191"/>
      <c r="OX171" s="191"/>
      <c r="OY171" s="191"/>
      <c r="OZ171" s="191"/>
      <c r="PA171" s="191"/>
      <c r="PB171" s="193"/>
      <c r="PC171" s="47"/>
      <c r="PD171" s="154" t="s">
        <v>97</v>
      </c>
      <c r="PE171" s="155" t="s">
        <v>98</v>
      </c>
      <c r="PF171" s="155" t="s">
        <v>98</v>
      </c>
      <c r="PG171" s="155" t="s">
        <v>98</v>
      </c>
      <c r="PH171" s="155" t="s">
        <v>98</v>
      </c>
      <c r="PI171" s="155" t="s">
        <v>98</v>
      </c>
      <c r="PJ171" s="155" t="s">
        <v>98</v>
      </c>
      <c r="PK171" s="155" t="s">
        <v>98</v>
      </c>
      <c r="PL171" s="155" t="s">
        <v>98</v>
      </c>
      <c r="PM171" s="155" t="s">
        <v>98</v>
      </c>
      <c r="PN171" s="155" t="s">
        <v>98</v>
      </c>
      <c r="PO171" s="156"/>
      <c r="PP171" s="156"/>
      <c r="PQ171" s="156"/>
      <c r="PR171" s="156"/>
      <c r="PS171" s="156"/>
      <c r="PT171" s="156"/>
      <c r="PU171" s="156"/>
      <c r="PV171" s="156"/>
      <c r="PW171" s="156"/>
      <c r="PX171" s="195"/>
      <c r="PY171" s="1"/>
      <c r="PZ171" s="196">
        <f t="shared" si="126"/>
        <v>50</v>
      </c>
      <c r="QA171" s="176">
        <f t="shared" si="127"/>
        <v>4.1711854509051473E-4</v>
      </c>
      <c r="QB171" s="177" t="str">
        <f t="shared" ca="1" si="128"/>
        <v>Attente…</v>
      </c>
      <c r="QC171" s="197">
        <f t="shared" si="129"/>
        <v>250</v>
      </c>
      <c r="QD171" s="179">
        <f t="shared" si="130"/>
        <v>2.3408239700374533E-3</v>
      </c>
      <c r="QE171" s="180" t="str">
        <f t="shared" ca="1" si="131"/>
        <v>Attente…</v>
      </c>
      <c r="QF171" s="196">
        <f t="shared" si="132"/>
        <v>340</v>
      </c>
      <c r="QG171" s="176">
        <f t="shared" si="133"/>
        <v>2.7074374900461855E-3</v>
      </c>
      <c r="QH171" s="177" t="str">
        <f t="shared" ca="1" si="134"/>
        <v>Attente…</v>
      </c>
      <c r="QI171" s="197">
        <f t="shared" si="135"/>
        <v>190</v>
      </c>
      <c r="QJ171" s="179">
        <f t="shared" si="136"/>
        <v>1.3325852153177164E-3</v>
      </c>
      <c r="QK171" s="180" t="str">
        <f t="shared" ca="1" si="137"/>
        <v>Attente…</v>
      </c>
      <c r="QL171" s="196">
        <f t="shared" si="138"/>
        <v>240</v>
      </c>
      <c r="QM171" s="176">
        <f t="shared" si="139"/>
        <v>1.7559262510974539E-3</v>
      </c>
      <c r="QN171" s="177" t="str">
        <f t="shared" ca="1" si="140"/>
        <v>Attente…</v>
      </c>
      <c r="QO171" s="197">
        <f t="shared" si="141"/>
        <v>370</v>
      </c>
      <c r="QP171" s="179">
        <f t="shared" si="142"/>
        <v>2.8967353010256008E-3</v>
      </c>
      <c r="QQ171" s="180" t="str">
        <f t="shared" ca="1" si="143"/>
        <v>Attente…</v>
      </c>
      <c r="QR171" s="196">
        <f t="shared" si="144"/>
        <v>300</v>
      </c>
      <c r="QS171" s="176">
        <f t="shared" si="145"/>
        <v>2.1597494690615889E-3</v>
      </c>
      <c r="QT171" s="177" t="str">
        <f t="shared" ca="1" si="146"/>
        <v>Attente…</v>
      </c>
      <c r="QU171" s="197">
        <f t="shared" si="147"/>
        <v>250</v>
      </c>
      <c r="QV171" s="179">
        <f t="shared" si="148"/>
        <v>1.7236624379481523E-3</v>
      </c>
      <c r="QW171" s="180" t="str">
        <f t="shared" ca="1" si="149"/>
        <v>Attente…</v>
      </c>
      <c r="QX171" s="196">
        <f t="shared" si="150"/>
        <v>150</v>
      </c>
      <c r="QY171" s="176">
        <f t="shared" si="151"/>
        <v>1.0946028780758341E-3</v>
      </c>
      <c r="QZ171" s="177" t="str">
        <f t="shared" ca="1" si="152"/>
        <v>Attente…</v>
      </c>
      <c r="RA171" s="197">
        <f t="shared" si="153"/>
        <v>300</v>
      </c>
      <c r="RB171" s="179">
        <f t="shared" si="154"/>
        <v>2.3472341757295985E-3</v>
      </c>
      <c r="RC171" s="180" t="str">
        <f t="shared" ca="1" si="155"/>
        <v>Attente…</v>
      </c>
      <c r="RD171" s="196">
        <f t="shared" si="156"/>
        <v>120</v>
      </c>
      <c r="RE171" s="176">
        <f t="shared" si="157"/>
        <v>1.1956954962136308E-3</v>
      </c>
      <c r="RF171" s="177" t="str">
        <f t="shared" ca="1" si="158"/>
        <v>Attente…</v>
      </c>
      <c r="RG171" s="197">
        <f t="shared" si="159"/>
        <v>130</v>
      </c>
      <c r="RH171" s="179">
        <f t="shared" si="160"/>
        <v>2.3910244620194959E-3</v>
      </c>
      <c r="RI171" s="198" t="str">
        <f t="shared" ca="1" si="161"/>
        <v>Attente…</v>
      </c>
      <c r="RJ171" s="199">
        <f t="shared" si="162"/>
        <v>640</v>
      </c>
      <c r="RK171" s="200" t="str">
        <f t="shared" ca="1" si="119"/>
        <v>Attente…</v>
      </c>
      <c r="RL171" s="199">
        <f t="shared" si="163"/>
        <v>800</v>
      </c>
      <c r="RM171" s="200" t="str">
        <f t="shared" ca="1" si="164"/>
        <v>Atttente…</v>
      </c>
      <c r="RN171" s="199">
        <f t="shared" si="165"/>
        <v>700</v>
      </c>
      <c r="RO171" s="200" t="str">
        <f t="shared" ca="1" si="120"/>
        <v>Attente…</v>
      </c>
      <c r="RP171" s="199">
        <f t="shared" si="166"/>
        <v>550</v>
      </c>
      <c r="RQ171" s="200" t="str">
        <f t="shared" ca="1" si="121"/>
        <v>Attente…</v>
      </c>
      <c r="RR171" s="201">
        <f t="shared" si="167"/>
        <v>2690</v>
      </c>
      <c r="RS171" s="202" t="str">
        <f t="shared" ca="1" si="122"/>
        <v>Attente…</v>
      </c>
      <c r="RT171" s="103"/>
      <c r="RU171" s="203">
        <f t="shared" si="168"/>
        <v>0.16604938271604935</v>
      </c>
      <c r="RV171" s="204">
        <f t="shared" si="171"/>
        <v>1</v>
      </c>
      <c r="RW171" s="204">
        <f t="shared" si="171"/>
        <v>2</v>
      </c>
      <c r="RX171" s="204">
        <f t="shared" si="169"/>
        <v>81</v>
      </c>
      <c r="RY171" s="205" t="str">
        <f t="shared" si="170"/>
        <v>ROUEN - 19 rue Charles de Beaurepaire (Angle Côte de Neufchâtel)</v>
      </c>
      <c r="RZ171" s="189" t="str">
        <f>IF(OR(RZ170="",RZ170="  &lt;/Document&gt;
&lt;/kml&gt;"),"",
IF(B171="","  &lt;/Document&gt;
&lt;/kml&gt;",
IF(TournéesCAV!Q171=""," ",
"    &lt;Placemark&gt;
      &lt;description&gt;&lt;![CDATA["&amp;B171&amp;"&lt;br&gt;&lt;br&gt;"&amp;RV171&amp;" CAV&lt;br&gt;&lt;br&gt;Présent sur "&amp;RW171&amp;" tournée(s)&lt;br&gt;&lt;br&gt;Taux de remplissage moyen "&amp;TEXT(RU171*1000,"0 %")&amp;"]]&gt;&lt;/description&gt;
      &lt;Style&gt;
        &lt;IconStyle&gt;
          &lt;color&gt;ff"&amp;
          DEC2HEX(0,2)&amp;
          DEC2HEX(
            IF(RU171&lt;=0.5,
               INT(255*(RU171*2)),
               255
            ),2)&amp;
          DEC2HEX(
            IF(RU171&lt;=0.5,
               255,
               INT(255*(1-(RU171-0.5)*2))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&lt;Point&gt;&lt;coordinates&gt;"&amp;R171&amp;","&amp;Q171&amp;",0&lt;/coordinates&gt;&lt;/Point&gt;
    &lt;/Placemark&gt;"
)))</f>
        <v xml:space="preserve">    &lt;Placemark&gt;
      &lt;description&gt;&lt;![CDATA[ROUEN - 19 rue Charles de Beaurepaire (Angle Côte de Neufchâtel)&lt;br&gt;&lt;br&gt;1 CAV&lt;br&gt;&lt;br&gt;Présent sur 2 tournée(s)&lt;br&gt;&lt;br&gt;Taux de remplissage moyen 17%]]&gt;&lt;/description&gt;
      &lt;Style&gt;
        &lt;IconStyle&gt;
          &lt;color&gt;ff0054FF&lt;/color&gt;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&lt;Point&gt;&lt;coordinates&gt;1.0981059,49.4524778,0&lt;/coordinates&gt;&lt;/Point&gt;
    &lt;/Placemark&gt;</v>
      </c>
    </row>
    <row r="172" spans="2:494" ht="15" customHeight="1" x14ac:dyDescent="0.35">
      <c r="B172" s="153" t="str">
        <f t="shared" si="123"/>
        <v>ROUEN - 80 Boulevard de l'Yser (Angle Rue de l'Avalasse)</v>
      </c>
      <c r="C172" s="154">
        <v>135</v>
      </c>
      <c r="D172" s="155"/>
      <c r="E172" s="155"/>
      <c r="F172" s="155"/>
      <c r="G172" s="155"/>
      <c r="H172" s="155"/>
      <c r="I172" s="155"/>
      <c r="J172" s="156"/>
      <c r="K172" s="157">
        <f t="shared" si="124"/>
        <v>1</v>
      </c>
      <c r="L172" s="157">
        <f t="shared" si="125"/>
        <v>2</v>
      </c>
      <c r="M172" s="158" t="s">
        <v>947</v>
      </c>
      <c r="N172" s="159" t="s">
        <v>948</v>
      </c>
      <c r="O172" s="159">
        <v>76000</v>
      </c>
      <c r="P172" s="159" t="s">
        <v>90</v>
      </c>
      <c r="Q172" s="159" t="s">
        <v>949</v>
      </c>
      <c r="R172" s="159" t="s">
        <v>950</v>
      </c>
      <c r="S172" s="159" t="s">
        <v>93</v>
      </c>
      <c r="T172" s="159" t="s">
        <v>94</v>
      </c>
      <c r="U172" s="159" t="s">
        <v>951</v>
      </c>
      <c r="V172" s="160" t="s">
        <v>96</v>
      </c>
      <c r="W172" s="210">
        <v>18</v>
      </c>
      <c r="X172" s="162">
        <v>18</v>
      </c>
      <c r="Y172" s="162"/>
      <c r="Z172" s="162"/>
      <c r="AA172" s="162"/>
      <c r="AB172" s="162"/>
      <c r="AC172" s="162"/>
      <c r="AD172" s="162"/>
      <c r="AE172" s="162"/>
      <c r="AF172" s="162"/>
      <c r="AG172" s="162"/>
      <c r="AH172" s="162"/>
      <c r="AI172" s="162"/>
      <c r="AJ172" s="162"/>
      <c r="AK172" s="162"/>
      <c r="AL172" s="162"/>
      <c r="AM172" s="162"/>
      <c r="AN172" s="162"/>
      <c r="AO172" s="162"/>
      <c r="AP172" s="164"/>
      <c r="AQ172" s="164"/>
      <c r="AR172" s="164"/>
      <c r="AS172" s="164"/>
      <c r="AT172" s="164"/>
      <c r="AU172" s="164"/>
      <c r="AV172" s="164"/>
      <c r="AW172" s="164"/>
      <c r="AX172" s="164"/>
      <c r="AY172" s="165"/>
      <c r="AZ172" s="41"/>
      <c r="BA172" s="190"/>
      <c r="BB172" s="191"/>
      <c r="BC172" s="191"/>
      <c r="BD172" s="191"/>
      <c r="BE172" s="191"/>
      <c r="BF172" s="191"/>
      <c r="BG172" s="191"/>
      <c r="BH172" s="191"/>
      <c r="BI172" s="191"/>
      <c r="BJ172" s="191">
        <v>10</v>
      </c>
      <c r="BK172" s="191"/>
      <c r="BL172" s="191"/>
      <c r="BM172" s="191">
        <v>50</v>
      </c>
      <c r="BN172" s="191"/>
      <c r="BO172" s="191"/>
      <c r="BP172" s="191"/>
      <c r="BQ172" s="191">
        <v>50</v>
      </c>
      <c r="BR172" s="191"/>
      <c r="BS172" s="191"/>
      <c r="BT172" s="191"/>
      <c r="BU172" s="191"/>
      <c r="BV172" s="191"/>
      <c r="BW172" s="191"/>
      <c r="BX172" s="191">
        <v>100</v>
      </c>
      <c r="BY172" s="191"/>
      <c r="BZ172" s="191"/>
      <c r="CA172" s="191">
        <v>100</v>
      </c>
      <c r="CB172" s="191"/>
      <c r="CC172" s="191"/>
      <c r="CD172" s="191"/>
      <c r="CE172" s="192">
        <v>50</v>
      </c>
      <c r="CF172" s="190"/>
      <c r="CG172" s="191"/>
      <c r="CH172" s="191">
        <v>100</v>
      </c>
      <c r="CI172" s="191"/>
      <c r="CJ172" s="191"/>
      <c r="CK172" s="191"/>
      <c r="CL172" s="191">
        <v>10</v>
      </c>
      <c r="CM172" s="191"/>
      <c r="CN172" s="191"/>
      <c r="CO172" s="191">
        <v>10</v>
      </c>
      <c r="CP172" s="191"/>
      <c r="CQ172" s="191"/>
      <c r="CR172" s="191"/>
      <c r="CS172" s="191">
        <v>10</v>
      </c>
      <c r="CT172" s="191"/>
      <c r="CU172" s="191"/>
      <c r="CV172" s="191">
        <v>50</v>
      </c>
      <c r="CW172" s="191"/>
      <c r="CX172" s="191"/>
      <c r="CY172" s="191"/>
      <c r="CZ172" s="191">
        <v>50</v>
      </c>
      <c r="DA172" s="191"/>
      <c r="DB172" s="191"/>
      <c r="DC172" s="191">
        <v>100</v>
      </c>
      <c r="DD172" s="191"/>
      <c r="DE172" s="191"/>
      <c r="DF172" s="191"/>
      <c r="DG172" s="191">
        <v>50</v>
      </c>
      <c r="DH172" s="193"/>
      <c r="DI172" s="194"/>
      <c r="DJ172" s="191"/>
      <c r="DK172" s="191">
        <v>10</v>
      </c>
      <c r="DL172" s="191"/>
      <c r="DM172" s="191"/>
      <c r="DN172" s="191"/>
      <c r="DO172" s="191"/>
      <c r="DP172" s="191"/>
      <c r="DQ172" s="191"/>
      <c r="DR172" s="191">
        <v>50</v>
      </c>
      <c r="DS172" s="191"/>
      <c r="DT172" s="191"/>
      <c r="DU172" s="191"/>
      <c r="DV172" s="191">
        <v>10</v>
      </c>
      <c r="DW172" s="191"/>
      <c r="DX172" s="191"/>
      <c r="DY172" s="191">
        <v>50</v>
      </c>
      <c r="DZ172" s="191"/>
      <c r="EA172" s="191"/>
      <c r="EB172" s="191"/>
      <c r="EC172" s="191">
        <v>50</v>
      </c>
      <c r="ED172" s="191"/>
      <c r="EE172" s="191"/>
      <c r="EF172" s="191">
        <v>100</v>
      </c>
      <c r="EG172" s="191"/>
      <c r="EH172" s="191"/>
      <c r="EI172" s="191"/>
      <c r="EJ172" s="191">
        <v>50</v>
      </c>
      <c r="EK172" s="191"/>
      <c r="EL172" s="191"/>
      <c r="EM172" s="192">
        <v>100</v>
      </c>
      <c r="EN172" s="190"/>
      <c r="EO172" s="191"/>
      <c r="EP172" s="191"/>
      <c r="EQ172" s="191">
        <v>50</v>
      </c>
      <c r="ER172" s="191"/>
      <c r="ES172" s="191"/>
      <c r="ET172" s="191">
        <v>50</v>
      </c>
      <c r="EU172" s="191"/>
      <c r="EV172" s="191"/>
      <c r="EW172" s="191"/>
      <c r="EX172" s="191">
        <v>100</v>
      </c>
      <c r="EY172" s="191"/>
      <c r="EZ172" s="191"/>
      <c r="FA172" s="191">
        <v>50</v>
      </c>
      <c r="FB172" s="191"/>
      <c r="FC172" s="191"/>
      <c r="FD172" s="191"/>
      <c r="FE172" s="191">
        <v>10</v>
      </c>
      <c r="FF172" s="191"/>
      <c r="FG172" s="191"/>
      <c r="FH172" s="191"/>
      <c r="FI172" s="191"/>
      <c r="FJ172" s="191"/>
      <c r="FK172" s="191">
        <v>50</v>
      </c>
      <c r="FL172" s="191"/>
      <c r="FM172" s="191"/>
      <c r="FN172" s="191"/>
      <c r="FO172" s="191">
        <v>10</v>
      </c>
      <c r="FP172" s="191"/>
      <c r="FQ172" s="193"/>
      <c r="FR172" s="194"/>
      <c r="FS172" s="191"/>
      <c r="FT172" s="191"/>
      <c r="FU172" s="191"/>
      <c r="FV172" s="191"/>
      <c r="FW172" s="191"/>
      <c r="FX172" s="191"/>
      <c r="FY172" s="191"/>
      <c r="FZ172" s="191">
        <v>100</v>
      </c>
      <c r="GA172" s="191"/>
      <c r="GB172" s="191"/>
      <c r="GC172" s="191">
        <v>10</v>
      </c>
      <c r="GD172" s="191"/>
      <c r="GE172" s="191"/>
      <c r="GF172" s="191"/>
      <c r="GG172" s="191">
        <v>10</v>
      </c>
      <c r="GH172" s="191"/>
      <c r="GI172" s="191"/>
      <c r="GJ172" s="191">
        <v>10</v>
      </c>
      <c r="GK172" s="191"/>
      <c r="GL172" s="191"/>
      <c r="GM172" s="191"/>
      <c r="GN172" s="191">
        <v>50</v>
      </c>
      <c r="GO172" s="191"/>
      <c r="GP172" s="191"/>
      <c r="GQ172" s="191">
        <v>10</v>
      </c>
      <c r="GR172" s="191"/>
      <c r="GS172" s="191"/>
      <c r="GT172" s="191"/>
      <c r="GU172" s="191"/>
      <c r="GV172" s="192"/>
      <c r="GW172" s="190"/>
      <c r="GX172" s="191">
        <v>100</v>
      </c>
      <c r="GY172" s="191"/>
      <c r="GZ172" s="191"/>
      <c r="HA172" s="191"/>
      <c r="HB172" s="191">
        <v>50</v>
      </c>
      <c r="HC172" s="191"/>
      <c r="HD172" s="191"/>
      <c r="HE172" s="191"/>
      <c r="HF172" s="191"/>
      <c r="HG172" s="191"/>
      <c r="HH172" s="191"/>
      <c r="HI172" s="191">
        <v>50</v>
      </c>
      <c r="HJ172" s="191"/>
      <c r="HK172" s="191"/>
      <c r="HL172" s="191"/>
      <c r="HM172" s="191"/>
      <c r="HN172" s="191"/>
      <c r="HO172" s="191">
        <v>100</v>
      </c>
      <c r="HP172" s="191"/>
      <c r="HQ172" s="191"/>
      <c r="HR172" s="191"/>
      <c r="HS172" s="191">
        <v>10</v>
      </c>
      <c r="HT172" s="191"/>
      <c r="HU172" s="191"/>
      <c r="HV172" s="191"/>
      <c r="HW172" s="191">
        <v>50</v>
      </c>
      <c r="HX172" s="191"/>
      <c r="HY172" s="191"/>
      <c r="HZ172" s="193">
        <v>50</v>
      </c>
      <c r="IA172" s="194"/>
      <c r="IB172" s="191"/>
      <c r="IC172" s="191"/>
      <c r="ID172" s="191">
        <v>50</v>
      </c>
      <c r="IE172" s="191"/>
      <c r="IF172" s="191"/>
      <c r="IG172" s="191"/>
      <c r="IH172" s="191"/>
      <c r="II172" s="191"/>
      <c r="IJ172" s="191">
        <v>50</v>
      </c>
      <c r="IK172" s="191"/>
      <c r="IL172" s="191"/>
      <c r="IM172" s="191"/>
      <c r="IN172" s="191">
        <v>50</v>
      </c>
      <c r="IO172" s="191"/>
      <c r="IP172" s="191"/>
      <c r="IQ172" s="191"/>
      <c r="IR172" s="191"/>
      <c r="IS172" s="191"/>
      <c r="IT172" s="191"/>
      <c r="IU172" s="191">
        <v>200</v>
      </c>
      <c r="IV172" s="191"/>
      <c r="IW172" s="191"/>
      <c r="IX172" s="191"/>
      <c r="IY172" s="191"/>
      <c r="IZ172" s="191"/>
      <c r="JA172" s="191"/>
      <c r="JB172" s="191"/>
      <c r="JC172" s="191">
        <v>150</v>
      </c>
      <c r="JD172" s="191"/>
      <c r="JE172" s="192"/>
      <c r="JF172" s="190">
        <v>100</v>
      </c>
      <c r="JG172" s="191"/>
      <c r="JH172" s="191"/>
      <c r="JI172" s="191">
        <v>50</v>
      </c>
      <c r="JJ172" s="191"/>
      <c r="JK172" s="191"/>
      <c r="JL172" s="191"/>
      <c r="JM172" s="191">
        <v>50</v>
      </c>
      <c r="JN172" s="191"/>
      <c r="JO172" s="191"/>
      <c r="JP172" s="191">
        <v>50</v>
      </c>
      <c r="JQ172" s="191"/>
      <c r="JR172" s="191"/>
      <c r="JS172" s="191"/>
      <c r="JT172" s="191"/>
      <c r="JU172" s="191"/>
      <c r="JV172" s="191"/>
      <c r="JW172" s="191">
        <v>10</v>
      </c>
      <c r="JX172" s="191"/>
      <c r="JY172" s="191"/>
      <c r="JZ172" s="191"/>
      <c r="KA172" s="191">
        <v>50</v>
      </c>
      <c r="KB172" s="191"/>
      <c r="KC172" s="191"/>
      <c r="KD172" s="191">
        <v>50</v>
      </c>
      <c r="KE172" s="191"/>
      <c r="KF172" s="191"/>
      <c r="KG172" s="191"/>
      <c r="KH172" s="191">
        <v>50</v>
      </c>
      <c r="KI172" s="191"/>
      <c r="KJ172" s="193"/>
      <c r="KK172" s="194">
        <v>10</v>
      </c>
      <c r="KL172" s="191"/>
      <c r="KM172" s="191"/>
      <c r="KN172" s="191"/>
      <c r="KO172" s="191"/>
      <c r="KP172" s="191"/>
      <c r="KQ172" s="191"/>
      <c r="KR172" s="191">
        <v>50</v>
      </c>
      <c r="KS172" s="191"/>
      <c r="KT172" s="191"/>
      <c r="KU172" s="191"/>
      <c r="KV172" s="191">
        <v>10</v>
      </c>
      <c r="KW172" s="191"/>
      <c r="KX172" s="191"/>
      <c r="KY172" s="191">
        <v>50</v>
      </c>
      <c r="KZ172" s="191"/>
      <c r="LA172" s="191"/>
      <c r="LB172" s="191"/>
      <c r="LC172" s="191">
        <v>50</v>
      </c>
      <c r="LD172" s="191"/>
      <c r="LE172" s="191"/>
      <c r="LF172" s="191">
        <v>10</v>
      </c>
      <c r="LG172" s="191"/>
      <c r="LH172" s="191"/>
      <c r="LI172" s="191"/>
      <c r="LJ172" s="191">
        <v>10</v>
      </c>
      <c r="LK172" s="191"/>
      <c r="LL172" s="191"/>
      <c r="LM172" s="191"/>
      <c r="LN172" s="192"/>
      <c r="LO172" s="190"/>
      <c r="LP172" s="191"/>
      <c r="LQ172" s="191"/>
      <c r="LR172" s="191"/>
      <c r="LS172" s="191"/>
      <c r="LT172" s="191">
        <v>100</v>
      </c>
      <c r="LU172" s="191"/>
      <c r="LV172" s="191"/>
      <c r="LW172" s="191"/>
      <c r="LX172" s="191">
        <v>50</v>
      </c>
      <c r="LY172" s="191"/>
      <c r="LZ172" s="191"/>
      <c r="MA172" s="191">
        <v>10</v>
      </c>
      <c r="MB172" s="191"/>
      <c r="MC172" s="191"/>
      <c r="MD172" s="191"/>
      <c r="ME172" s="191">
        <v>50</v>
      </c>
      <c r="MF172" s="191"/>
      <c r="MG172" s="191"/>
      <c r="MH172" s="191">
        <v>50</v>
      </c>
      <c r="MI172" s="191"/>
      <c r="MJ172" s="191"/>
      <c r="MK172" s="191"/>
      <c r="ML172" s="191">
        <v>10</v>
      </c>
      <c r="MM172" s="191"/>
      <c r="MN172" s="191"/>
      <c r="MO172" s="191">
        <v>10</v>
      </c>
      <c r="MP172" s="191"/>
      <c r="MQ172" s="191"/>
      <c r="MR172" s="191"/>
      <c r="MS172" s="193">
        <v>50</v>
      </c>
      <c r="MT172" s="194"/>
      <c r="MU172" s="191"/>
      <c r="MV172" s="191">
        <v>50</v>
      </c>
      <c r="MW172" s="191"/>
      <c r="MX172" s="191"/>
      <c r="MY172" s="191"/>
      <c r="MZ172" s="191">
        <v>10</v>
      </c>
      <c r="NA172" s="191"/>
      <c r="NB172" s="191"/>
      <c r="NC172" s="191">
        <v>10</v>
      </c>
      <c r="ND172" s="191"/>
      <c r="NE172" s="191"/>
      <c r="NF172" s="191"/>
      <c r="NG172" s="191">
        <v>10</v>
      </c>
      <c r="NH172" s="191"/>
      <c r="NI172" s="191"/>
      <c r="NJ172" s="191">
        <v>50</v>
      </c>
      <c r="NK172" s="191"/>
      <c r="NL172" s="191"/>
      <c r="NM172" s="191"/>
      <c r="NN172" s="191">
        <v>10</v>
      </c>
      <c r="NO172" s="191"/>
      <c r="NP172" s="191"/>
      <c r="NQ172" s="191">
        <v>10</v>
      </c>
      <c r="NR172" s="191"/>
      <c r="NS172" s="191"/>
      <c r="NT172" s="191"/>
      <c r="NU172" s="191">
        <v>10</v>
      </c>
      <c r="NV172" s="191"/>
      <c r="NW172" s="192"/>
      <c r="NX172" s="190">
        <v>50</v>
      </c>
      <c r="NY172" s="191"/>
      <c r="NZ172" s="191"/>
      <c r="OA172" s="191"/>
      <c r="OB172" s="191">
        <v>10</v>
      </c>
      <c r="OC172" s="191"/>
      <c r="OD172" s="191"/>
      <c r="OE172" s="191">
        <v>10</v>
      </c>
      <c r="OF172" s="191"/>
      <c r="OG172" s="191"/>
      <c r="OH172" s="191"/>
      <c r="OI172" s="191">
        <v>10</v>
      </c>
      <c r="OJ172" s="191"/>
      <c r="OK172" s="191"/>
      <c r="OL172" s="191"/>
      <c r="OM172" s="191">
        <v>0</v>
      </c>
      <c r="ON172" s="191"/>
      <c r="OO172" s="191"/>
      <c r="OP172" s="191"/>
      <c r="OQ172" s="191"/>
      <c r="OR172" s="191"/>
      <c r="OS172" s="191"/>
      <c r="OT172" s="191"/>
      <c r="OU172" s="191"/>
      <c r="OV172" s="191"/>
      <c r="OW172" s="191"/>
      <c r="OX172" s="191"/>
      <c r="OY172" s="191"/>
      <c r="OZ172" s="191"/>
      <c r="PA172" s="191"/>
      <c r="PB172" s="193"/>
      <c r="PC172" s="47"/>
      <c r="PD172" s="154" t="s">
        <v>97</v>
      </c>
      <c r="PE172" s="155" t="s">
        <v>98</v>
      </c>
      <c r="PF172" s="155" t="s">
        <v>98</v>
      </c>
      <c r="PG172" s="155" t="s">
        <v>98</v>
      </c>
      <c r="PH172" s="155" t="s">
        <v>98</v>
      </c>
      <c r="PI172" s="155" t="s">
        <v>98</v>
      </c>
      <c r="PJ172" s="155" t="s">
        <v>98</v>
      </c>
      <c r="PK172" s="155" t="s">
        <v>98</v>
      </c>
      <c r="PL172" s="155" t="s">
        <v>98</v>
      </c>
      <c r="PM172" s="155" t="s">
        <v>98</v>
      </c>
      <c r="PN172" s="155" t="s">
        <v>98</v>
      </c>
      <c r="PO172" s="156"/>
      <c r="PP172" s="156"/>
      <c r="PQ172" s="156"/>
      <c r="PR172" s="156"/>
      <c r="PS172" s="156"/>
      <c r="PT172" s="156"/>
      <c r="PU172" s="156"/>
      <c r="PV172" s="156"/>
      <c r="PW172" s="156"/>
      <c r="PX172" s="195"/>
      <c r="PY172" s="1"/>
      <c r="PZ172" s="196">
        <f t="shared" si="126"/>
        <v>360</v>
      </c>
      <c r="QA172" s="176">
        <f t="shared" si="127"/>
        <v>3.0032535246517062E-3</v>
      </c>
      <c r="QB172" s="177" t="str">
        <f t="shared" ca="1" si="128"/>
        <v>Attente…</v>
      </c>
      <c r="QC172" s="197">
        <f t="shared" si="129"/>
        <v>380</v>
      </c>
      <c r="QD172" s="179">
        <f t="shared" si="130"/>
        <v>3.5580524344569287E-3</v>
      </c>
      <c r="QE172" s="180" t="str">
        <f t="shared" ca="1" si="131"/>
        <v>Attente…</v>
      </c>
      <c r="QF172" s="196">
        <f t="shared" si="132"/>
        <v>420</v>
      </c>
      <c r="QG172" s="176">
        <f t="shared" si="133"/>
        <v>3.3444816053511705E-3</v>
      </c>
      <c r="QH172" s="177" t="str">
        <f t="shared" ca="1" si="134"/>
        <v>Attente…</v>
      </c>
      <c r="QI172" s="197">
        <f t="shared" si="135"/>
        <v>320</v>
      </c>
      <c r="QJ172" s="179">
        <f t="shared" si="136"/>
        <v>2.2443540468508908E-3</v>
      </c>
      <c r="QK172" s="180" t="str">
        <f t="shared" ca="1" si="137"/>
        <v>Attente…</v>
      </c>
      <c r="QL172" s="196">
        <f t="shared" si="138"/>
        <v>190</v>
      </c>
      <c r="QM172" s="176">
        <f t="shared" si="139"/>
        <v>1.3901082821188176E-3</v>
      </c>
      <c r="QN172" s="177" t="str">
        <f t="shared" ca="1" si="140"/>
        <v>Attente…</v>
      </c>
      <c r="QO172" s="197">
        <f t="shared" si="141"/>
        <v>410</v>
      </c>
      <c r="QP172" s="179">
        <f t="shared" si="142"/>
        <v>3.2098958741094497E-3</v>
      </c>
      <c r="QQ172" s="180" t="str">
        <f t="shared" ca="1" si="143"/>
        <v>Attente…</v>
      </c>
      <c r="QR172" s="196">
        <f t="shared" si="144"/>
        <v>500</v>
      </c>
      <c r="QS172" s="176">
        <f t="shared" si="145"/>
        <v>3.5995824484359815E-3</v>
      </c>
      <c r="QT172" s="177" t="str">
        <f t="shared" ca="1" si="146"/>
        <v>Attente…</v>
      </c>
      <c r="QU172" s="197">
        <f t="shared" si="147"/>
        <v>410</v>
      </c>
      <c r="QV172" s="179">
        <f t="shared" si="148"/>
        <v>2.8268063982349696E-3</v>
      </c>
      <c r="QW172" s="180" t="str">
        <f t="shared" ca="1" si="149"/>
        <v>Attente…</v>
      </c>
      <c r="QX172" s="196">
        <f t="shared" si="150"/>
        <v>190</v>
      </c>
      <c r="QY172" s="176">
        <f t="shared" si="151"/>
        <v>1.3864969788960565E-3</v>
      </c>
      <c r="QZ172" s="177" t="str">
        <f t="shared" ca="1" si="152"/>
        <v>Attente…</v>
      </c>
      <c r="RA172" s="197">
        <f t="shared" si="153"/>
        <v>330</v>
      </c>
      <c r="RB172" s="179">
        <f t="shared" si="154"/>
        <v>2.5819575933025583E-3</v>
      </c>
      <c r="RC172" s="180" t="str">
        <f t="shared" ca="1" si="155"/>
        <v>Attente…</v>
      </c>
      <c r="RD172" s="196">
        <f t="shared" si="156"/>
        <v>160</v>
      </c>
      <c r="RE172" s="176">
        <f t="shared" si="157"/>
        <v>1.5942606616181746E-3</v>
      </c>
      <c r="RF172" s="177" t="str">
        <f t="shared" ca="1" si="158"/>
        <v>Attente…</v>
      </c>
      <c r="RG172" s="197">
        <f t="shared" si="159"/>
        <v>80</v>
      </c>
      <c r="RH172" s="179">
        <f t="shared" si="160"/>
        <v>1.4713996689350744E-3</v>
      </c>
      <c r="RI172" s="198" t="str">
        <f t="shared" ca="1" si="161"/>
        <v>Attente…</v>
      </c>
      <c r="RJ172" s="199">
        <f t="shared" si="162"/>
        <v>1160</v>
      </c>
      <c r="RK172" s="200" t="str">
        <f t="shared" ca="1" si="119"/>
        <v>Attente…</v>
      </c>
      <c r="RL172" s="199">
        <f t="shared" si="163"/>
        <v>920</v>
      </c>
      <c r="RM172" s="200" t="str">
        <f t="shared" ca="1" si="164"/>
        <v>Atttente…</v>
      </c>
      <c r="RN172" s="199">
        <f t="shared" si="165"/>
        <v>1100</v>
      </c>
      <c r="RO172" s="200" t="str">
        <f t="shared" ca="1" si="120"/>
        <v>Attente…</v>
      </c>
      <c r="RP172" s="199">
        <f t="shared" si="166"/>
        <v>570</v>
      </c>
      <c r="RQ172" s="200" t="str">
        <f t="shared" ca="1" si="121"/>
        <v>Attente…</v>
      </c>
      <c r="RR172" s="201">
        <f t="shared" si="167"/>
        <v>3750</v>
      </c>
      <c r="RS172" s="202" t="str">
        <f t="shared" ca="1" si="122"/>
        <v>Attente…</v>
      </c>
      <c r="RT172" s="103"/>
      <c r="RU172" s="203">
        <f t="shared" si="168"/>
        <v>0.2259036144578313</v>
      </c>
      <c r="RV172" s="204">
        <f t="shared" si="171"/>
        <v>1</v>
      </c>
      <c r="RW172" s="204">
        <f t="shared" si="171"/>
        <v>2</v>
      </c>
      <c r="RX172" s="204">
        <f t="shared" si="169"/>
        <v>83</v>
      </c>
      <c r="RY172" s="205" t="str">
        <f t="shared" si="170"/>
        <v>ROUEN - 80 Boulevard de l'Yser (Angle Rue de l'Avalasse)</v>
      </c>
      <c r="RZ172" s="189" t="str">
        <f>IF(OR(RZ171="",RZ171="  &lt;/Document&gt;
&lt;/kml&gt;"),"",
IF(B172="","  &lt;/Document&gt;
&lt;/kml&gt;",
IF(TournéesCAV!Q172=""," ",
"    &lt;Placemark&gt;
      &lt;description&gt;&lt;![CDATA["&amp;B172&amp;"&lt;br&gt;&lt;br&gt;"&amp;RV172&amp;" CAV&lt;br&gt;&lt;br&gt;Présent sur "&amp;RW172&amp;" tournée(s)&lt;br&gt;&lt;br&gt;Taux de remplissage moyen "&amp;TEXT(RU172*1000,"0 %")&amp;"]]&gt;&lt;/description&gt;
      &lt;Style&gt;
        &lt;IconStyle&gt;
          &lt;color&gt;ff"&amp;
          DEC2HEX(0,2)&amp;
          DEC2HEX(
            IF(RU172&lt;=0.5,
               INT(255*(RU172*2)),
               255
            ),2)&amp;
          DEC2HEX(
            IF(RU172&lt;=0.5,
               255,
               INT(255*(1-(RU172-0.5)*2))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&lt;Point&gt;&lt;coordinates&gt;"&amp;R172&amp;","&amp;Q172&amp;",0&lt;/coordinates&gt;&lt;/Point&gt;
    &lt;/Placemark&gt;"
)))</f>
        <v xml:space="preserve">    &lt;Placemark&gt;
      &lt;description&gt;&lt;![CDATA[ROUEN - 80 Boulevard de l'Yser (Angle Rue de l'Avalasse)&lt;br&gt;&lt;br&gt;1 CAV&lt;br&gt;&lt;br&gt;Présent sur 2 tournée(s)&lt;br&gt;&lt;br&gt;Taux de remplissage moyen 23%]]&gt;&lt;/description&gt;
      &lt;Style&gt;
        &lt;IconStyle&gt;
          &lt;color&gt;ff0073FF&lt;/color&gt;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&lt;Point&gt;&lt;coordinates&gt;1.0959108,49.4473391,0&lt;/coordinates&gt;&lt;/Point&gt;
    &lt;/Placemark&gt;</v>
      </c>
    </row>
    <row r="173" spans="2:494" ht="15" hidden="1" customHeight="1" x14ac:dyDescent="0.35">
      <c r="B173" s="208" t="str">
        <f t="shared" si="123"/>
        <v>ROUEN - Rue Sénard (En face du 13 rue sénard)</v>
      </c>
      <c r="C173" s="154"/>
      <c r="D173" s="155"/>
      <c r="E173" s="155"/>
      <c r="F173" s="155"/>
      <c r="G173" s="155"/>
      <c r="H173" s="155"/>
      <c r="I173" s="155"/>
      <c r="J173" s="156"/>
      <c r="K173" s="157">
        <f t="shared" si="124"/>
        <v>0</v>
      </c>
      <c r="L173" s="157">
        <f t="shared" si="125"/>
        <v>0</v>
      </c>
      <c r="M173" s="158" t="s">
        <v>952</v>
      </c>
      <c r="N173" s="159" t="s">
        <v>953</v>
      </c>
      <c r="O173" s="159">
        <v>76000</v>
      </c>
      <c r="P173" s="159" t="s">
        <v>90</v>
      </c>
      <c r="Q173" s="159"/>
      <c r="R173" s="159"/>
      <c r="S173" s="159" t="s">
        <v>93</v>
      </c>
      <c r="T173" s="159" t="s">
        <v>94</v>
      </c>
      <c r="U173" s="159" t="s">
        <v>954</v>
      </c>
      <c r="V173" s="160" t="s">
        <v>96</v>
      </c>
      <c r="W173" s="210"/>
      <c r="X173" s="162"/>
      <c r="Y173" s="162"/>
      <c r="Z173" s="162"/>
      <c r="AA173" s="162"/>
      <c r="AB173" s="162"/>
      <c r="AC173" s="162"/>
      <c r="AD173" s="162"/>
      <c r="AE173" s="162"/>
      <c r="AF173" s="162"/>
      <c r="AG173" s="162"/>
      <c r="AH173" s="162"/>
      <c r="AI173" s="162"/>
      <c r="AJ173" s="162"/>
      <c r="AK173" s="162"/>
      <c r="AL173" s="162"/>
      <c r="AM173" s="162"/>
      <c r="AN173" s="162"/>
      <c r="AO173" s="162"/>
      <c r="AP173" s="164"/>
      <c r="AQ173" s="164"/>
      <c r="AR173" s="164"/>
      <c r="AS173" s="164"/>
      <c r="AT173" s="164"/>
      <c r="AU173" s="164"/>
      <c r="AV173" s="164"/>
      <c r="AW173" s="164"/>
      <c r="AX173" s="164"/>
      <c r="AY173" s="165"/>
      <c r="AZ173" s="41"/>
      <c r="BA173" s="190"/>
      <c r="BB173" s="191"/>
      <c r="BC173" s="191"/>
      <c r="BD173" s="191"/>
      <c r="BE173" s="191"/>
      <c r="BF173" s="191"/>
      <c r="BG173" s="191"/>
      <c r="BH173" s="191"/>
      <c r="BI173" s="191"/>
      <c r="BJ173" s="191"/>
      <c r="BK173" s="191"/>
      <c r="BL173" s="191"/>
      <c r="BM173" s="191">
        <v>10</v>
      </c>
      <c r="BN173" s="191"/>
      <c r="BO173" s="191"/>
      <c r="BP173" s="191"/>
      <c r="BQ173" s="191"/>
      <c r="BR173" s="191"/>
      <c r="BS173" s="191"/>
      <c r="BT173" s="191"/>
      <c r="BU173" s="191"/>
      <c r="BV173" s="191"/>
      <c r="BW173" s="191"/>
      <c r="BX173" s="191"/>
      <c r="BY173" s="191"/>
      <c r="BZ173" s="191"/>
      <c r="CA173" s="191"/>
      <c r="CB173" s="191"/>
      <c r="CC173" s="191"/>
      <c r="CD173" s="191"/>
      <c r="CE173" s="192"/>
      <c r="CF173" s="190"/>
      <c r="CG173" s="191"/>
      <c r="CH173" s="191">
        <v>100</v>
      </c>
      <c r="CI173" s="191"/>
      <c r="CJ173" s="191"/>
      <c r="CK173" s="191"/>
      <c r="CL173" s="191"/>
      <c r="CM173" s="191"/>
      <c r="CN173" s="191"/>
      <c r="CO173" s="191">
        <v>10</v>
      </c>
      <c r="CP173" s="191"/>
      <c r="CQ173" s="191"/>
      <c r="CR173" s="191"/>
      <c r="CS173" s="191"/>
      <c r="CT173" s="191"/>
      <c r="CU173" s="191"/>
      <c r="CV173" s="191">
        <v>50</v>
      </c>
      <c r="CW173" s="191"/>
      <c r="CX173" s="191"/>
      <c r="CY173" s="191"/>
      <c r="CZ173" s="191"/>
      <c r="DA173" s="191"/>
      <c r="DB173" s="191"/>
      <c r="DC173" s="191">
        <v>10</v>
      </c>
      <c r="DD173" s="191"/>
      <c r="DE173" s="191"/>
      <c r="DF173" s="191"/>
      <c r="DG173" s="191"/>
      <c r="DH173" s="193"/>
      <c r="DI173" s="194"/>
      <c r="DJ173" s="191"/>
      <c r="DK173" s="191">
        <v>50</v>
      </c>
      <c r="DL173" s="191"/>
      <c r="DM173" s="191"/>
      <c r="DN173" s="191"/>
      <c r="DO173" s="191"/>
      <c r="DP173" s="191"/>
      <c r="DQ173" s="191"/>
      <c r="DR173" s="191">
        <v>10</v>
      </c>
      <c r="DS173" s="191"/>
      <c r="DT173" s="191"/>
      <c r="DU173" s="191"/>
      <c r="DV173" s="191"/>
      <c r="DW173" s="191"/>
      <c r="DX173" s="191"/>
      <c r="DY173" s="191">
        <v>100</v>
      </c>
      <c r="DZ173" s="191"/>
      <c r="EA173" s="191"/>
      <c r="EB173" s="191"/>
      <c r="EC173" s="191"/>
      <c r="ED173" s="191"/>
      <c r="EE173" s="191"/>
      <c r="EF173" s="191">
        <v>10</v>
      </c>
      <c r="EG173" s="191"/>
      <c r="EH173" s="191"/>
      <c r="EI173" s="191"/>
      <c r="EJ173" s="191"/>
      <c r="EK173" s="191"/>
      <c r="EL173" s="191"/>
      <c r="EM173" s="192">
        <v>50</v>
      </c>
      <c r="EN173" s="190"/>
      <c r="EO173" s="191"/>
      <c r="EP173" s="191"/>
      <c r="EQ173" s="191"/>
      <c r="ER173" s="191"/>
      <c r="ES173" s="191"/>
      <c r="ET173" s="191">
        <v>50</v>
      </c>
      <c r="EU173" s="191"/>
      <c r="EV173" s="191"/>
      <c r="EW173" s="191"/>
      <c r="EX173" s="191"/>
      <c r="EY173" s="191"/>
      <c r="EZ173" s="191"/>
      <c r="FA173" s="191">
        <v>50</v>
      </c>
      <c r="FB173" s="191"/>
      <c r="FC173" s="191"/>
      <c r="FD173" s="191"/>
      <c r="FE173" s="191"/>
      <c r="FF173" s="191"/>
      <c r="FG173" s="191"/>
      <c r="FH173" s="191"/>
      <c r="FI173" s="191"/>
      <c r="FJ173" s="191"/>
      <c r="FK173" s="191"/>
      <c r="FL173" s="191"/>
      <c r="FM173" s="191"/>
      <c r="FN173" s="191"/>
      <c r="FO173" s="191">
        <v>50</v>
      </c>
      <c r="FP173" s="191"/>
      <c r="FQ173" s="193"/>
      <c r="FR173" s="194"/>
      <c r="FS173" s="191"/>
      <c r="FT173" s="191"/>
      <c r="FU173" s="191"/>
      <c r="FV173" s="191">
        <v>100</v>
      </c>
      <c r="FW173" s="191"/>
      <c r="FX173" s="191"/>
      <c r="FY173" s="191"/>
      <c r="FZ173" s="191"/>
      <c r="GA173" s="191"/>
      <c r="GB173" s="191"/>
      <c r="GC173" s="191">
        <v>10</v>
      </c>
      <c r="GD173" s="191"/>
      <c r="GE173" s="191"/>
      <c r="GF173" s="191"/>
      <c r="GG173" s="191"/>
      <c r="GH173" s="191"/>
      <c r="GI173" s="191"/>
      <c r="GJ173" s="191">
        <v>100</v>
      </c>
      <c r="GK173" s="191"/>
      <c r="GL173" s="191"/>
      <c r="GM173" s="191"/>
      <c r="GN173" s="191"/>
      <c r="GO173" s="191"/>
      <c r="GP173" s="191"/>
      <c r="GQ173" s="191">
        <v>100</v>
      </c>
      <c r="GR173" s="191"/>
      <c r="GS173" s="191"/>
      <c r="GT173" s="191"/>
      <c r="GU173" s="191"/>
      <c r="GV173" s="192"/>
      <c r="GW173" s="190"/>
      <c r="GX173" s="191">
        <v>100</v>
      </c>
      <c r="GY173" s="191"/>
      <c r="GZ173" s="191"/>
      <c r="HA173" s="191"/>
      <c r="HB173" s="191"/>
      <c r="HC173" s="191"/>
      <c r="HD173" s="191"/>
      <c r="HE173" s="191"/>
      <c r="HF173" s="191"/>
      <c r="HG173" s="191"/>
      <c r="HH173" s="191"/>
      <c r="HI173" s="191"/>
      <c r="HJ173" s="191"/>
      <c r="HK173" s="191"/>
      <c r="HL173" s="191"/>
      <c r="HM173" s="191"/>
      <c r="HN173" s="191"/>
      <c r="HO173" s="191"/>
      <c r="HP173" s="191"/>
      <c r="HQ173" s="191"/>
      <c r="HR173" s="191"/>
      <c r="HS173" s="191">
        <v>10</v>
      </c>
      <c r="HT173" s="191"/>
      <c r="HU173" s="191"/>
      <c r="HV173" s="191"/>
      <c r="HW173" s="191"/>
      <c r="HX173" s="191"/>
      <c r="HY173" s="191"/>
      <c r="HZ173" s="193">
        <v>200</v>
      </c>
      <c r="IA173" s="194"/>
      <c r="IB173" s="191"/>
      <c r="IC173" s="191"/>
      <c r="ID173" s="191"/>
      <c r="IE173" s="191"/>
      <c r="IF173" s="191"/>
      <c r="IG173" s="191"/>
      <c r="IH173" s="191"/>
      <c r="II173" s="191"/>
      <c r="IJ173" s="191"/>
      <c r="IK173" s="191"/>
      <c r="IL173" s="191"/>
      <c r="IM173" s="191"/>
      <c r="IN173" s="191">
        <v>5</v>
      </c>
      <c r="IO173" s="191"/>
      <c r="IP173" s="191"/>
      <c r="IQ173" s="191"/>
      <c r="IR173" s="191"/>
      <c r="IS173" s="191"/>
      <c r="IT173" s="191"/>
      <c r="IU173" s="191"/>
      <c r="IV173" s="191"/>
      <c r="IW173" s="191"/>
      <c r="IX173" s="191"/>
      <c r="IY173" s="191"/>
      <c r="IZ173" s="191"/>
      <c r="JA173" s="191"/>
      <c r="JB173" s="191"/>
      <c r="JC173" s="191">
        <v>200</v>
      </c>
      <c r="JD173" s="191"/>
      <c r="JE173" s="192"/>
      <c r="JF173" s="190"/>
      <c r="JG173" s="191"/>
      <c r="JH173" s="191"/>
      <c r="JI173" s="191">
        <v>50</v>
      </c>
      <c r="JJ173" s="191"/>
      <c r="JK173" s="191"/>
      <c r="JL173" s="191"/>
      <c r="JM173" s="191"/>
      <c r="JN173" s="191"/>
      <c r="JO173" s="191"/>
      <c r="JP173" s="191">
        <v>100</v>
      </c>
      <c r="JQ173" s="191"/>
      <c r="JR173" s="191"/>
      <c r="JS173" s="191"/>
      <c r="JT173" s="191"/>
      <c r="JU173" s="191"/>
      <c r="JV173" s="191"/>
      <c r="JW173" s="191">
        <v>200</v>
      </c>
      <c r="JX173" s="191"/>
      <c r="JY173" s="191"/>
      <c r="JZ173" s="191"/>
      <c r="KA173" s="191"/>
      <c r="KB173" s="191"/>
      <c r="KC173" s="191"/>
      <c r="KD173" s="191">
        <v>50</v>
      </c>
      <c r="KE173" s="191"/>
      <c r="KF173" s="191"/>
      <c r="KG173" s="191"/>
      <c r="KH173" s="191"/>
      <c r="KI173" s="191"/>
      <c r="KJ173" s="193"/>
      <c r="KK173" s="194">
        <v>50</v>
      </c>
      <c r="KL173" s="191"/>
      <c r="KM173" s="191"/>
      <c r="KN173" s="191"/>
      <c r="KO173" s="191"/>
      <c r="KP173" s="191"/>
      <c r="KQ173" s="191"/>
      <c r="KR173" s="191">
        <v>100</v>
      </c>
      <c r="KS173" s="191"/>
      <c r="KT173" s="191"/>
      <c r="KU173" s="191"/>
      <c r="KV173" s="191"/>
      <c r="KW173" s="191"/>
      <c r="KX173" s="191"/>
      <c r="KY173" s="191">
        <v>150</v>
      </c>
      <c r="KZ173" s="191"/>
      <c r="LA173" s="191"/>
      <c r="LB173" s="191"/>
      <c r="LC173" s="191"/>
      <c r="LD173" s="191"/>
      <c r="LE173" s="191"/>
      <c r="LF173" s="191">
        <v>50</v>
      </c>
      <c r="LG173" s="191"/>
      <c r="LH173" s="191"/>
      <c r="LI173" s="191"/>
      <c r="LJ173" s="191"/>
      <c r="LK173" s="191"/>
      <c r="LL173" s="191"/>
      <c r="LM173" s="191"/>
      <c r="LN173" s="192"/>
      <c r="LO173" s="190"/>
      <c r="LP173" s="191"/>
      <c r="LQ173" s="191"/>
      <c r="LR173" s="191"/>
      <c r="LS173" s="191"/>
      <c r="LT173" s="191">
        <v>100</v>
      </c>
      <c r="LU173" s="191"/>
      <c r="LV173" s="191"/>
      <c r="LW173" s="191"/>
      <c r="LX173" s="191"/>
      <c r="LY173" s="191"/>
      <c r="LZ173" s="191"/>
      <c r="MA173" s="191"/>
      <c r="MB173" s="191"/>
      <c r="MC173" s="191"/>
      <c r="MD173" s="191"/>
      <c r="ME173" s="191"/>
      <c r="MF173" s="191"/>
      <c r="MG173" s="191"/>
      <c r="MH173" s="191"/>
      <c r="MI173" s="191"/>
      <c r="MJ173" s="191"/>
      <c r="MK173" s="191"/>
      <c r="ML173" s="191"/>
      <c r="MM173" s="191"/>
      <c r="MN173" s="191"/>
      <c r="MO173" s="191"/>
      <c r="MP173" s="191"/>
      <c r="MQ173" s="191"/>
      <c r="MR173" s="191"/>
      <c r="MS173" s="193"/>
      <c r="MT173" s="194"/>
      <c r="MU173" s="191"/>
      <c r="MV173" s="191"/>
      <c r="MW173" s="191"/>
      <c r="MX173" s="191"/>
      <c r="MY173" s="191"/>
      <c r="MZ173" s="191"/>
      <c r="NA173" s="191"/>
      <c r="NB173" s="191"/>
      <c r="NC173" s="191"/>
      <c r="ND173" s="191"/>
      <c r="NE173" s="191"/>
      <c r="NF173" s="191"/>
      <c r="NG173" s="191"/>
      <c r="NH173" s="191"/>
      <c r="NI173" s="191"/>
      <c r="NJ173" s="191"/>
      <c r="NK173" s="191"/>
      <c r="NL173" s="191"/>
      <c r="NM173" s="191"/>
      <c r="NN173" s="191"/>
      <c r="NO173" s="191"/>
      <c r="NP173" s="191"/>
      <c r="NQ173" s="191"/>
      <c r="NR173" s="191"/>
      <c r="NS173" s="191"/>
      <c r="NT173" s="191"/>
      <c r="NU173" s="191"/>
      <c r="NV173" s="191"/>
      <c r="NW173" s="192"/>
      <c r="NX173" s="190"/>
      <c r="NY173" s="191"/>
      <c r="NZ173" s="191"/>
      <c r="OA173" s="191"/>
      <c r="OB173" s="191"/>
      <c r="OC173" s="191"/>
      <c r="OD173" s="191"/>
      <c r="OE173" s="191"/>
      <c r="OF173" s="191"/>
      <c r="OG173" s="191"/>
      <c r="OH173" s="191"/>
      <c r="OI173" s="191"/>
      <c r="OJ173" s="191"/>
      <c r="OK173" s="191"/>
      <c r="OL173" s="191"/>
      <c r="OM173" s="191"/>
      <c r="ON173" s="191"/>
      <c r="OO173" s="191"/>
      <c r="OP173" s="191"/>
      <c r="OQ173" s="191"/>
      <c r="OR173" s="191"/>
      <c r="OS173" s="191"/>
      <c r="OT173" s="191"/>
      <c r="OU173" s="191"/>
      <c r="OV173" s="191"/>
      <c r="OW173" s="191"/>
      <c r="OX173" s="191"/>
      <c r="OY173" s="191"/>
      <c r="OZ173" s="191"/>
      <c r="PA173" s="191"/>
      <c r="PB173" s="193"/>
      <c r="PC173" s="47"/>
      <c r="PD173" s="154" t="s">
        <v>97</v>
      </c>
      <c r="PE173" s="155" t="s">
        <v>98</v>
      </c>
      <c r="PF173" s="155" t="s">
        <v>98</v>
      </c>
      <c r="PG173" s="155" t="s">
        <v>98</v>
      </c>
      <c r="PH173" s="155" t="s">
        <v>98</v>
      </c>
      <c r="PI173" s="155" t="s">
        <v>98</v>
      </c>
      <c r="PJ173" s="155" t="s">
        <v>98</v>
      </c>
      <c r="PK173" s="155" t="s">
        <v>98</v>
      </c>
      <c r="PL173" s="155" t="s">
        <v>98</v>
      </c>
      <c r="PM173" s="155" t="s">
        <v>98</v>
      </c>
      <c r="PN173" s="155" t="s">
        <v>98</v>
      </c>
      <c r="PO173" s="156"/>
      <c r="PP173" s="156"/>
      <c r="PQ173" s="156"/>
      <c r="PR173" s="156"/>
      <c r="PS173" s="156"/>
      <c r="PT173" s="156"/>
      <c r="PU173" s="156"/>
      <c r="PV173" s="156"/>
      <c r="PW173" s="156"/>
      <c r="PX173" s="195"/>
      <c r="PY173" s="1"/>
      <c r="PZ173" s="196">
        <f t="shared" si="126"/>
        <v>10</v>
      </c>
      <c r="QA173" s="176">
        <f t="shared" si="127"/>
        <v>8.3423709018102941E-5</v>
      </c>
      <c r="QB173" s="177" t="str">
        <f t="shared" ca="1" si="128"/>
        <v>Attente…</v>
      </c>
      <c r="QC173" s="197">
        <f t="shared" si="129"/>
        <v>170</v>
      </c>
      <c r="QD173" s="179">
        <f t="shared" si="130"/>
        <v>1.5917602996254681E-3</v>
      </c>
      <c r="QE173" s="180" t="str">
        <f t="shared" ca="1" si="131"/>
        <v>Attente…</v>
      </c>
      <c r="QF173" s="196">
        <f t="shared" si="132"/>
        <v>220</v>
      </c>
      <c r="QG173" s="176">
        <f t="shared" si="133"/>
        <v>1.7518713170887085E-3</v>
      </c>
      <c r="QH173" s="177" t="str">
        <f t="shared" ca="1" si="134"/>
        <v>Attente…</v>
      </c>
      <c r="QI173" s="197">
        <f t="shared" si="135"/>
        <v>150</v>
      </c>
      <c r="QJ173" s="179">
        <f t="shared" si="136"/>
        <v>1.0520409594613549E-3</v>
      </c>
      <c r="QK173" s="180" t="str">
        <f t="shared" ca="1" si="137"/>
        <v>Attente…</v>
      </c>
      <c r="QL173" s="196">
        <f t="shared" si="138"/>
        <v>310</v>
      </c>
      <c r="QM173" s="176">
        <f t="shared" si="139"/>
        <v>2.2680714076675447E-3</v>
      </c>
      <c r="QN173" s="177" t="str">
        <f t="shared" ca="1" si="140"/>
        <v>Attente…</v>
      </c>
      <c r="QO173" s="197">
        <f t="shared" si="141"/>
        <v>310</v>
      </c>
      <c r="QP173" s="179">
        <f t="shared" si="142"/>
        <v>2.4269944413998277E-3</v>
      </c>
      <c r="QQ173" s="180" t="str">
        <f t="shared" ca="1" si="143"/>
        <v>Attente…</v>
      </c>
      <c r="QR173" s="196">
        <f t="shared" si="144"/>
        <v>205</v>
      </c>
      <c r="QS173" s="176">
        <f t="shared" si="145"/>
        <v>1.4758288038587523E-3</v>
      </c>
      <c r="QT173" s="177" t="str">
        <f t="shared" ca="1" si="146"/>
        <v>Attente…</v>
      </c>
      <c r="QU173" s="197">
        <f t="shared" si="147"/>
        <v>400</v>
      </c>
      <c r="QV173" s="179">
        <f t="shared" si="148"/>
        <v>2.7578599007170436E-3</v>
      </c>
      <c r="QW173" s="180" t="str">
        <f t="shared" ca="1" si="149"/>
        <v>Attente…</v>
      </c>
      <c r="QX173" s="196">
        <f t="shared" si="150"/>
        <v>350</v>
      </c>
      <c r="QY173" s="176">
        <f t="shared" si="151"/>
        <v>2.5540733821769464E-3</v>
      </c>
      <c r="QZ173" s="177" t="str">
        <f t="shared" ca="1" si="152"/>
        <v>Attente…</v>
      </c>
      <c r="RA173" s="197">
        <f t="shared" si="153"/>
        <v>100</v>
      </c>
      <c r="RB173" s="179">
        <f t="shared" si="154"/>
        <v>7.8241139190986621E-4</v>
      </c>
      <c r="RC173" s="180" t="str">
        <f t="shared" ca="1" si="155"/>
        <v>Attente…</v>
      </c>
      <c r="RD173" s="196">
        <f t="shared" si="156"/>
        <v>0</v>
      </c>
      <c r="RE173" s="176">
        <f t="shared" si="157"/>
        <v>0</v>
      </c>
      <c r="RF173" s="177" t="str">
        <f t="shared" ca="1" si="158"/>
        <v>Attente…</v>
      </c>
      <c r="RG173" s="197">
        <f t="shared" si="159"/>
        <v>0</v>
      </c>
      <c r="RH173" s="179">
        <f t="shared" si="160"/>
        <v>0</v>
      </c>
      <c r="RI173" s="198" t="str">
        <f t="shared" ca="1" si="161"/>
        <v>Attente…</v>
      </c>
      <c r="RJ173" s="199">
        <f t="shared" si="162"/>
        <v>400</v>
      </c>
      <c r="RK173" s="200" t="str">
        <f t="shared" ca="1" si="119"/>
        <v>Attente…</v>
      </c>
      <c r="RL173" s="199">
        <f t="shared" si="163"/>
        <v>770</v>
      </c>
      <c r="RM173" s="200" t="str">
        <f t="shared" ca="1" si="164"/>
        <v>Atttente…</v>
      </c>
      <c r="RN173" s="199">
        <f t="shared" si="165"/>
        <v>955</v>
      </c>
      <c r="RO173" s="200" t="str">
        <f t="shared" ca="1" si="120"/>
        <v>Attente…</v>
      </c>
      <c r="RP173" s="199">
        <f t="shared" si="166"/>
        <v>100</v>
      </c>
      <c r="RQ173" s="200" t="str">
        <f t="shared" ca="1" si="121"/>
        <v>Attente…</v>
      </c>
      <c r="RR173" s="201">
        <f t="shared" si="167"/>
        <v>2225</v>
      </c>
      <c r="RS173" s="202" t="str">
        <f t="shared" ca="1" si="122"/>
        <v>Attente…</v>
      </c>
      <c r="RT173" s="103"/>
      <c r="RU173" s="203" t="str">
        <f t="shared" si="168"/>
        <v/>
      </c>
      <c r="RV173" s="204">
        <f t="shared" si="171"/>
        <v>0</v>
      </c>
      <c r="RW173" s="204">
        <f t="shared" si="171"/>
        <v>0</v>
      </c>
      <c r="RX173" s="204">
        <f t="shared" si="169"/>
        <v>31</v>
      </c>
      <c r="RY173" s="205" t="str">
        <f t="shared" si="170"/>
        <v>ROUEN - Rue Sénard (En face du 13 rue sénard)</v>
      </c>
      <c r="RZ173" s="189" t="str">
        <f>IF(OR(RZ172="",RZ172="  &lt;/Document&gt;
&lt;/kml&gt;"),"",
IF(B173="","  &lt;/Document&gt;
&lt;/kml&gt;",
IF(TournéesCAV!Q173=""," ",
"    &lt;Placemark&gt;
      &lt;description&gt;&lt;![CDATA["&amp;B173&amp;"&lt;br&gt;&lt;br&gt;"&amp;RV173&amp;" CAV&lt;br&gt;&lt;br&gt;Présent sur "&amp;RW173&amp;" tournée(s)&lt;br&gt;&lt;br&gt;Taux de remplissage moyen "&amp;TEXT(RU173*1000,"0 %")&amp;"]]&gt;&lt;/description&gt;
      &lt;Style&gt;
        &lt;IconStyle&gt;
          &lt;color&gt;ff"&amp;
          DEC2HEX(0,2)&amp;
          DEC2HEX(
            IF(RU173&lt;=0.5,
               INT(255*(RU173*2)),
               255
            ),2)&amp;
          DEC2HEX(
            IF(RU173&lt;=0.5,
               255,
               INT(255*(1-(RU173-0.5)*2))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&lt;Point&gt;&lt;coordinates&gt;"&amp;R173&amp;","&amp;Q173&amp;",0&lt;/coordinates&gt;&lt;/Point&gt;
    &lt;/Placemark&gt;"
)))</f>
        <v xml:space="preserve"> </v>
      </c>
    </row>
    <row r="174" spans="2:494" ht="15" customHeight="1" x14ac:dyDescent="0.35">
      <c r="B174" s="153" t="str">
        <f t="shared" si="123"/>
        <v>ROUEN - 27 Rue Verte (Gare)</v>
      </c>
      <c r="C174" s="154">
        <v>129</v>
      </c>
      <c r="D174" s="155"/>
      <c r="E174" s="155"/>
      <c r="F174" s="155"/>
      <c r="G174" s="155"/>
      <c r="H174" s="155"/>
      <c r="I174" s="155"/>
      <c r="J174" s="156"/>
      <c r="K174" s="157">
        <f t="shared" si="124"/>
        <v>1</v>
      </c>
      <c r="L174" s="157">
        <f t="shared" si="125"/>
        <v>2</v>
      </c>
      <c r="M174" s="158" t="s">
        <v>955</v>
      </c>
      <c r="N174" s="159" t="s">
        <v>956</v>
      </c>
      <c r="O174" s="159">
        <v>76000</v>
      </c>
      <c r="P174" s="159" t="s">
        <v>90</v>
      </c>
      <c r="Q174" s="159" t="s">
        <v>957</v>
      </c>
      <c r="R174" s="159" t="s">
        <v>958</v>
      </c>
      <c r="S174" s="159" t="s">
        <v>93</v>
      </c>
      <c r="T174" s="159" t="s">
        <v>94</v>
      </c>
      <c r="U174" s="159" t="s">
        <v>959</v>
      </c>
      <c r="V174" s="160" t="s">
        <v>96</v>
      </c>
      <c r="W174" s="210">
        <v>19</v>
      </c>
      <c r="X174" s="162">
        <v>19</v>
      </c>
      <c r="Y174" s="162"/>
      <c r="Z174" s="162"/>
      <c r="AA174" s="162"/>
      <c r="AB174" s="162"/>
      <c r="AC174" s="162"/>
      <c r="AD174" s="162"/>
      <c r="AE174" s="162"/>
      <c r="AF174" s="162"/>
      <c r="AG174" s="162"/>
      <c r="AH174" s="162"/>
      <c r="AI174" s="162"/>
      <c r="AJ174" s="162"/>
      <c r="AK174" s="162"/>
      <c r="AL174" s="162"/>
      <c r="AM174" s="162"/>
      <c r="AN174" s="162"/>
      <c r="AO174" s="162"/>
      <c r="AP174" s="164"/>
      <c r="AQ174" s="164"/>
      <c r="AR174" s="164"/>
      <c r="AS174" s="164"/>
      <c r="AT174" s="164"/>
      <c r="AU174" s="164"/>
      <c r="AV174" s="164"/>
      <c r="AW174" s="164"/>
      <c r="AX174" s="164"/>
      <c r="AY174" s="165"/>
      <c r="AZ174" s="41"/>
      <c r="BA174" s="190"/>
      <c r="BB174" s="191"/>
      <c r="BC174" s="191"/>
      <c r="BD174" s="191"/>
      <c r="BE174" s="191"/>
      <c r="BF174" s="191"/>
      <c r="BG174" s="191"/>
      <c r="BH174" s="191"/>
      <c r="BI174" s="191"/>
      <c r="BJ174" s="191">
        <v>50</v>
      </c>
      <c r="BK174" s="191"/>
      <c r="BL174" s="191"/>
      <c r="BM174" s="191">
        <v>50</v>
      </c>
      <c r="BN174" s="191"/>
      <c r="BO174" s="191"/>
      <c r="BP174" s="191"/>
      <c r="BQ174" s="191">
        <v>50</v>
      </c>
      <c r="BR174" s="191"/>
      <c r="BS174" s="191"/>
      <c r="BT174" s="191"/>
      <c r="BU174" s="191"/>
      <c r="BV174" s="191"/>
      <c r="BW174" s="191"/>
      <c r="BX174" s="191">
        <v>100</v>
      </c>
      <c r="BY174" s="191"/>
      <c r="BZ174" s="191"/>
      <c r="CA174" s="191"/>
      <c r="CB174" s="191"/>
      <c r="CC174" s="191"/>
      <c r="CD174" s="191"/>
      <c r="CE174" s="192">
        <v>50</v>
      </c>
      <c r="CF174" s="190"/>
      <c r="CG174" s="191"/>
      <c r="CH174" s="191">
        <v>100</v>
      </c>
      <c r="CI174" s="191"/>
      <c r="CJ174" s="191"/>
      <c r="CK174" s="191"/>
      <c r="CL174" s="191">
        <v>10</v>
      </c>
      <c r="CM174" s="191"/>
      <c r="CN174" s="191"/>
      <c r="CO174" s="191">
        <v>50</v>
      </c>
      <c r="CP174" s="191"/>
      <c r="CQ174" s="191"/>
      <c r="CR174" s="191"/>
      <c r="CS174" s="191">
        <v>50</v>
      </c>
      <c r="CT174" s="191"/>
      <c r="CU174" s="191"/>
      <c r="CV174" s="191">
        <v>10</v>
      </c>
      <c r="CW174" s="191"/>
      <c r="CX174" s="191"/>
      <c r="CY174" s="191"/>
      <c r="CZ174" s="191">
        <v>100</v>
      </c>
      <c r="DA174" s="191"/>
      <c r="DB174" s="191"/>
      <c r="DC174" s="191">
        <v>100</v>
      </c>
      <c r="DD174" s="191"/>
      <c r="DE174" s="191"/>
      <c r="DF174" s="191"/>
      <c r="DG174" s="191">
        <v>50</v>
      </c>
      <c r="DH174" s="193"/>
      <c r="DI174" s="194"/>
      <c r="DJ174" s="191"/>
      <c r="DK174" s="191">
        <v>10</v>
      </c>
      <c r="DL174" s="191"/>
      <c r="DM174" s="191"/>
      <c r="DN174" s="191"/>
      <c r="DO174" s="191"/>
      <c r="DP174" s="191"/>
      <c r="DQ174" s="191"/>
      <c r="DR174" s="191">
        <v>50</v>
      </c>
      <c r="DS174" s="191"/>
      <c r="DT174" s="191"/>
      <c r="DU174" s="191"/>
      <c r="DV174" s="191">
        <v>100</v>
      </c>
      <c r="DW174" s="191"/>
      <c r="DX174" s="191"/>
      <c r="DY174" s="191">
        <v>100</v>
      </c>
      <c r="DZ174" s="191"/>
      <c r="EA174" s="191"/>
      <c r="EB174" s="191"/>
      <c r="EC174" s="191">
        <v>50</v>
      </c>
      <c r="ED174" s="191"/>
      <c r="EE174" s="191"/>
      <c r="EF174" s="191">
        <v>50</v>
      </c>
      <c r="EG174" s="191"/>
      <c r="EH174" s="191"/>
      <c r="EI174" s="191"/>
      <c r="EJ174" s="191">
        <v>50</v>
      </c>
      <c r="EK174" s="191"/>
      <c r="EL174" s="191"/>
      <c r="EM174" s="192">
        <v>50</v>
      </c>
      <c r="EN174" s="190"/>
      <c r="EO174" s="191"/>
      <c r="EP174" s="191"/>
      <c r="EQ174" s="191">
        <v>50</v>
      </c>
      <c r="ER174" s="191"/>
      <c r="ES174" s="191"/>
      <c r="ET174" s="191">
        <v>50</v>
      </c>
      <c r="EU174" s="191"/>
      <c r="EV174" s="191"/>
      <c r="EW174" s="191"/>
      <c r="EX174" s="191">
        <v>100</v>
      </c>
      <c r="EY174" s="191"/>
      <c r="EZ174" s="191"/>
      <c r="FA174" s="191">
        <v>10</v>
      </c>
      <c r="FB174" s="191"/>
      <c r="FC174" s="191"/>
      <c r="FD174" s="191"/>
      <c r="FE174" s="191">
        <v>50</v>
      </c>
      <c r="FF174" s="191"/>
      <c r="FG174" s="191"/>
      <c r="FH174" s="191"/>
      <c r="FI174" s="191"/>
      <c r="FJ174" s="191"/>
      <c r="FK174" s="191">
        <v>50</v>
      </c>
      <c r="FL174" s="191"/>
      <c r="FM174" s="191"/>
      <c r="FN174" s="191"/>
      <c r="FO174" s="191">
        <v>50</v>
      </c>
      <c r="FP174" s="191"/>
      <c r="FQ174" s="193"/>
      <c r="FR174" s="194"/>
      <c r="FS174" s="191"/>
      <c r="FT174" s="191"/>
      <c r="FU174" s="191"/>
      <c r="FV174" s="191">
        <v>150</v>
      </c>
      <c r="FW174" s="191"/>
      <c r="FX174" s="191"/>
      <c r="FY174" s="191"/>
      <c r="FZ174" s="191">
        <v>50</v>
      </c>
      <c r="GA174" s="191"/>
      <c r="GB174" s="191"/>
      <c r="GC174" s="191">
        <v>50</v>
      </c>
      <c r="GD174" s="191"/>
      <c r="GE174" s="191"/>
      <c r="GF174" s="191"/>
      <c r="GG174" s="191">
        <v>50</v>
      </c>
      <c r="GH174" s="191"/>
      <c r="GI174" s="191"/>
      <c r="GJ174" s="191">
        <v>50</v>
      </c>
      <c r="GK174" s="191"/>
      <c r="GL174" s="191"/>
      <c r="GM174" s="191"/>
      <c r="GN174" s="191">
        <v>100</v>
      </c>
      <c r="GO174" s="191"/>
      <c r="GP174" s="191"/>
      <c r="GQ174" s="191">
        <v>100</v>
      </c>
      <c r="GR174" s="191"/>
      <c r="GS174" s="191"/>
      <c r="GT174" s="191"/>
      <c r="GU174" s="191"/>
      <c r="GV174" s="192"/>
      <c r="GW174" s="190"/>
      <c r="GX174" s="191">
        <v>100</v>
      </c>
      <c r="GY174" s="191"/>
      <c r="GZ174" s="191"/>
      <c r="HA174" s="191"/>
      <c r="HB174" s="191">
        <v>50</v>
      </c>
      <c r="HC174" s="191"/>
      <c r="HD174" s="191"/>
      <c r="HE174" s="191"/>
      <c r="HF174" s="191"/>
      <c r="HG174" s="191"/>
      <c r="HH174" s="191"/>
      <c r="HI174" s="191">
        <v>50</v>
      </c>
      <c r="HJ174" s="191"/>
      <c r="HK174" s="191"/>
      <c r="HL174" s="191"/>
      <c r="HM174" s="191"/>
      <c r="HN174" s="191"/>
      <c r="HO174" s="191">
        <v>100</v>
      </c>
      <c r="HP174" s="191"/>
      <c r="HQ174" s="191"/>
      <c r="HR174" s="191"/>
      <c r="HS174" s="191">
        <v>10</v>
      </c>
      <c r="HT174" s="191"/>
      <c r="HU174" s="191"/>
      <c r="HV174" s="191"/>
      <c r="HW174" s="191">
        <v>50</v>
      </c>
      <c r="HX174" s="191"/>
      <c r="HY174" s="191"/>
      <c r="HZ174" s="193">
        <v>50</v>
      </c>
      <c r="IA174" s="194"/>
      <c r="IB174" s="191"/>
      <c r="IC174" s="191"/>
      <c r="ID174" s="191">
        <v>50</v>
      </c>
      <c r="IE174" s="191"/>
      <c r="IF174" s="191"/>
      <c r="IG174" s="191"/>
      <c r="IH174" s="191"/>
      <c r="II174" s="191"/>
      <c r="IJ174" s="191">
        <v>100</v>
      </c>
      <c r="IK174" s="191"/>
      <c r="IL174" s="191"/>
      <c r="IM174" s="191"/>
      <c r="IN174" s="191">
        <v>100</v>
      </c>
      <c r="IO174" s="191"/>
      <c r="IP174" s="191"/>
      <c r="IQ174" s="191"/>
      <c r="IR174" s="191"/>
      <c r="IS174" s="191"/>
      <c r="IT174" s="191"/>
      <c r="IU174" s="191"/>
      <c r="IV174" s="191"/>
      <c r="IW174" s="191"/>
      <c r="IX174" s="191"/>
      <c r="IY174" s="191"/>
      <c r="IZ174" s="191"/>
      <c r="JA174" s="191"/>
      <c r="JB174" s="191"/>
      <c r="JC174" s="191">
        <v>200</v>
      </c>
      <c r="JD174" s="191"/>
      <c r="JE174" s="192"/>
      <c r="JF174" s="190">
        <v>100</v>
      </c>
      <c r="JG174" s="191"/>
      <c r="JH174" s="191"/>
      <c r="JI174" s="191">
        <v>100</v>
      </c>
      <c r="JJ174" s="191"/>
      <c r="JK174" s="191"/>
      <c r="JL174" s="191"/>
      <c r="JM174" s="191">
        <v>50</v>
      </c>
      <c r="JN174" s="191"/>
      <c r="JO174" s="191"/>
      <c r="JP174" s="191">
        <v>50</v>
      </c>
      <c r="JQ174" s="191"/>
      <c r="JR174" s="191"/>
      <c r="JS174" s="191"/>
      <c r="JT174" s="191"/>
      <c r="JU174" s="191"/>
      <c r="JV174" s="191"/>
      <c r="JW174" s="191">
        <v>150</v>
      </c>
      <c r="JX174" s="191"/>
      <c r="JY174" s="191"/>
      <c r="JZ174" s="191"/>
      <c r="KA174" s="191">
        <v>50</v>
      </c>
      <c r="KB174" s="191"/>
      <c r="KC174" s="191"/>
      <c r="KD174" s="191">
        <v>50</v>
      </c>
      <c r="KE174" s="191"/>
      <c r="KF174" s="191"/>
      <c r="KG174" s="191"/>
      <c r="KH174" s="191">
        <v>50</v>
      </c>
      <c r="KI174" s="191"/>
      <c r="KJ174" s="193"/>
      <c r="KK174" s="194">
        <v>100</v>
      </c>
      <c r="KL174" s="191"/>
      <c r="KM174" s="191"/>
      <c r="KN174" s="191"/>
      <c r="KO174" s="191"/>
      <c r="KP174" s="191"/>
      <c r="KQ174" s="191"/>
      <c r="KR174" s="191">
        <v>50</v>
      </c>
      <c r="KS174" s="191"/>
      <c r="KT174" s="191"/>
      <c r="KU174" s="191"/>
      <c r="KV174" s="191">
        <v>10</v>
      </c>
      <c r="KW174" s="191"/>
      <c r="KX174" s="191"/>
      <c r="KY174" s="191">
        <v>50</v>
      </c>
      <c r="KZ174" s="191"/>
      <c r="LA174" s="191"/>
      <c r="LB174" s="191"/>
      <c r="LC174" s="191">
        <v>50</v>
      </c>
      <c r="LD174" s="191"/>
      <c r="LE174" s="191"/>
      <c r="LF174" s="191">
        <v>50</v>
      </c>
      <c r="LG174" s="191"/>
      <c r="LH174" s="191"/>
      <c r="LI174" s="191"/>
      <c r="LJ174" s="191">
        <v>50</v>
      </c>
      <c r="LK174" s="191"/>
      <c r="LL174" s="191"/>
      <c r="LM174" s="191"/>
      <c r="LN174" s="192"/>
      <c r="LO174" s="190"/>
      <c r="LP174" s="191"/>
      <c r="LQ174" s="191"/>
      <c r="LR174" s="191"/>
      <c r="LS174" s="191"/>
      <c r="LT174" s="191">
        <v>200</v>
      </c>
      <c r="LU174" s="191"/>
      <c r="LV174" s="191"/>
      <c r="LW174" s="191"/>
      <c r="LX174" s="191">
        <v>50</v>
      </c>
      <c r="LY174" s="191"/>
      <c r="LZ174" s="191"/>
      <c r="MA174" s="191">
        <v>10</v>
      </c>
      <c r="MB174" s="191"/>
      <c r="MC174" s="191"/>
      <c r="MD174" s="191"/>
      <c r="ME174" s="191">
        <v>50</v>
      </c>
      <c r="MF174" s="191"/>
      <c r="MG174" s="191"/>
      <c r="MH174" s="191">
        <v>50</v>
      </c>
      <c r="MI174" s="191"/>
      <c r="MJ174" s="191"/>
      <c r="MK174" s="191"/>
      <c r="ML174" s="191">
        <v>10</v>
      </c>
      <c r="MM174" s="191"/>
      <c r="MN174" s="191"/>
      <c r="MO174" s="191">
        <v>50</v>
      </c>
      <c r="MP174" s="191"/>
      <c r="MQ174" s="191"/>
      <c r="MR174" s="191"/>
      <c r="MS174" s="193">
        <v>50</v>
      </c>
      <c r="MT174" s="194"/>
      <c r="MU174" s="191"/>
      <c r="MV174" s="191">
        <v>50</v>
      </c>
      <c r="MW174" s="191"/>
      <c r="MX174" s="191"/>
      <c r="MY174" s="191"/>
      <c r="MZ174" s="191">
        <v>50</v>
      </c>
      <c r="NA174" s="191"/>
      <c r="NB174" s="191"/>
      <c r="NC174" s="191">
        <v>50</v>
      </c>
      <c r="ND174" s="191"/>
      <c r="NE174" s="191"/>
      <c r="NF174" s="191"/>
      <c r="NG174" s="191">
        <v>100</v>
      </c>
      <c r="NH174" s="191"/>
      <c r="NI174" s="191"/>
      <c r="NJ174" s="191">
        <v>10</v>
      </c>
      <c r="NK174" s="191"/>
      <c r="NL174" s="191"/>
      <c r="NM174" s="191"/>
      <c r="NN174" s="191">
        <v>10</v>
      </c>
      <c r="NO174" s="191"/>
      <c r="NP174" s="191"/>
      <c r="NQ174" s="191">
        <v>50</v>
      </c>
      <c r="NR174" s="191"/>
      <c r="NS174" s="191"/>
      <c r="NT174" s="191"/>
      <c r="NU174" s="191">
        <v>50</v>
      </c>
      <c r="NV174" s="191"/>
      <c r="NW174" s="192"/>
      <c r="NX174" s="190">
        <v>100</v>
      </c>
      <c r="NY174" s="191"/>
      <c r="NZ174" s="191"/>
      <c r="OA174" s="191"/>
      <c r="OB174" s="191">
        <v>10</v>
      </c>
      <c r="OC174" s="191"/>
      <c r="OD174" s="191"/>
      <c r="OE174" s="191">
        <v>50</v>
      </c>
      <c r="OF174" s="191"/>
      <c r="OG174" s="191"/>
      <c r="OH174" s="191"/>
      <c r="OI174" s="191">
        <v>50</v>
      </c>
      <c r="OJ174" s="191"/>
      <c r="OK174" s="191"/>
      <c r="OL174" s="191"/>
      <c r="OM174" s="191">
        <v>50</v>
      </c>
      <c r="ON174" s="191"/>
      <c r="OO174" s="191"/>
      <c r="OP174" s="191"/>
      <c r="OQ174" s="191"/>
      <c r="OR174" s="191"/>
      <c r="OS174" s="191"/>
      <c r="OT174" s="191"/>
      <c r="OU174" s="191"/>
      <c r="OV174" s="191"/>
      <c r="OW174" s="191"/>
      <c r="OX174" s="191"/>
      <c r="OY174" s="191"/>
      <c r="OZ174" s="191"/>
      <c r="PA174" s="191"/>
      <c r="PB174" s="193"/>
      <c r="PC174" s="47"/>
      <c r="PD174" s="154" t="s">
        <v>97</v>
      </c>
      <c r="PE174" s="155" t="s">
        <v>98</v>
      </c>
      <c r="PF174" s="155" t="s">
        <v>98</v>
      </c>
      <c r="PG174" s="155" t="s">
        <v>98</v>
      </c>
      <c r="PH174" s="155" t="s">
        <v>98</v>
      </c>
      <c r="PI174" s="155" t="s">
        <v>98</v>
      </c>
      <c r="PJ174" s="155" t="s">
        <v>98</v>
      </c>
      <c r="PK174" s="155" t="s">
        <v>98</v>
      </c>
      <c r="PL174" s="155" t="s">
        <v>98</v>
      </c>
      <c r="PM174" s="155" t="s">
        <v>98</v>
      </c>
      <c r="PN174" s="155" t="s">
        <v>98</v>
      </c>
      <c r="PO174" s="156"/>
      <c r="PP174" s="156"/>
      <c r="PQ174" s="156"/>
      <c r="PR174" s="156"/>
      <c r="PS174" s="156"/>
      <c r="PT174" s="156"/>
      <c r="PU174" s="156"/>
      <c r="PV174" s="156"/>
      <c r="PW174" s="156"/>
      <c r="PX174" s="195"/>
      <c r="PY174" s="1"/>
      <c r="PZ174" s="196">
        <f t="shared" si="126"/>
        <v>300</v>
      </c>
      <c r="QA174" s="176">
        <f t="shared" si="127"/>
        <v>2.5027112705430883E-3</v>
      </c>
      <c r="QB174" s="177" t="str">
        <f t="shared" ca="1" si="128"/>
        <v>Attente…</v>
      </c>
      <c r="QC174" s="197">
        <f t="shared" si="129"/>
        <v>470</v>
      </c>
      <c r="QD174" s="179">
        <f t="shared" si="130"/>
        <v>4.4007490636704116E-3</v>
      </c>
      <c r="QE174" s="180" t="str">
        <f t="shared" ca="1" si="131"/>
        <v>Attente…</v>
      </c>
      <c r="QF174" s="196">
        <f t="shared" si="132"/>
        <v>460</v>
      </c>
      <c r="QG174" s="176">
        <f t="shared" si="133"/>
        <v>3.663003663003663E-3</v>
      </c>
      <c r="QH174" s="177" t="str">
        <f t="shared" ca="1" si="134"/>
        <v>Attente…</v>
      </c>
      <c r="QI174" s="197">
        <f t="shared" si="135"/>
        <v>360</v>
      </c>
      <c r="QJ174" s="179">
        <f t="shared" si="136"/>
        <v>2.5248983027072519E-3</v>
      </c>
      <c r="QK174" s="180" t="str">
        <f t="shared" ca="1" si="137"/>
        <v>Attente…</v>
      </c>
      <c r="QL174" s="196">
        <f t="shared" si="138"/>
        <v>550</v>
      </c>
      <c r="QM174" s="176">
        <f t="shared" si="139"/>
        <v>4.0239976587649988E-3</v>
      </c>
      <c r="QN174" s="177" t="str">
        <f t="shared" ca="1" si="140"/>
        <v>Attente…</v>
      </c>
      <c r="QO174" s="197">
        <f t="shared" si="141"/>
        <v>410</v>
      </c>
      <c r="QP174" s="179">
        <f t="shared" si="142"/>
        <v>3.2098958741094497E-3</v>
      </c>
      <c r="QQ174" s="180" t="str">
        <f t="shared" ca="1" si="143"/>
        <v>Attente…</v>
      </c>
      <c r="QR174" s="196">
        <f t="shared" si="144"/>
        <v>450</v>
      </c>
      <c r="QS174" s="176">
        <f t="shared" si="145"/>
        <v>3.2396242035923834E-3</v>
      </c>
      <c r="QT174" s="177" t="str">
        <f t="shared" ca="1" si="146"/>
        <v>Attente…</v>
      </c>
      <c r="QU174" s="197">
        <f t="shared" si="147"/>
        <v>600</v>
      </c>
      <c r="QV174" s="179">
        <f t="shared" si="148"/>
        <v>4.1367898510755651E-3</v>
      </c>
      <c r="QW174" s="180" t="str">
        <f t="shared" ca="1" si="149"/>
        <v>Attente…</v>
      </c>
      <c r="QX174" s="196">
        <f t="shared" si="150"/>
        <v>360</v>
      </c>
      <c r="QY174" s="176">
        <f t="shared" si="151"/>
        <v>2.6270469073820016E-3</v>
      </c>
      <c r="QZ174" s="177" t="str">
        <f t="shared" ca="1" si="152"/>
        <v>Attente…</v>
      </c>
      <c r="RA174" s="197">
        <f t="shared" si="153"/>
        <v>470</v>
      </c>
      <c r="RB174" s="179">
        <f t="shared" si="154"/>
        <v>3.677333541976371E-3</v>
      </c>
      <c r="RC174" s="180" t="str">
        <f t="shared" ca="1" si="155"/>
        <v>Attente…</v>
      </c>
      <c r="RD174" s="196">
        <f t="shared" si="156"/>
        <v>370</v>
      </c>
      <c r="RE174" s="176">
        <f t="shared" si="157"/>
        <v>3.6867277799920288E-3</v>
      </c>
      <c r="RF174" s="177" t="str">
        <f t="shared" ca="1" si="158"/>
        <v>Attente…</v>
      </c>
      <c r="RG174" s="197">
        <f t="shared" si="159"/>
        <v>260</v>
      </c>
      <c r="RH174" s="179">
        <f t="shared" si="160"/>
        <v>4.7820489240389917E-3</v>
      </c>
      <c r="RI174" s="198" t="str">
        <f t="shared" ca="1" si="161"/>
        <v>Attente…</v>
      </c>
      <c r="RJ174" s="199">
        <f t="shared" si="162"/>
        <v>1230</v>
      </c>
      <c r="RK174" s="200" t="str">
        <f t="shared" ca="1" si="119"/>
        <v>Attente…</v>
      </c>
      <c r="RL174" s="199">
        <f t="shared" si="163"/>
        <v>1320</v>
      </c>
      <c r="RM174" s="200" t="str">
        <f t="shared" ca="1" si="164"/>
        <v>Atttente…</v>
      </c>
      <c r="RN174" s="199">
        <f t="shared" si="165"/>
        <v>1410</v>
      </c>
      <c r="RO174" s="200" t="str">
        <f t="shared" ca="1" si="120"/>
        <v>Attente…</v>
      </c>
      <c r="RP174" s="199">
        <f t="shared" si="166"/>
        <v>1100</v>
      </c>
      <c r="RQ174" s="200" t="str">
        <f t="shared" ca="1" si="121"/>
        <v>Attente…</v>
      </c>
      <c r="RR174" s="201">
        <f t="shared" si="167"/>
        <v>5060</v>
      </c>
      <c r="RS174" s="202" t="str">
        <f t="shared" ca="1" si="122"/>
        <v>Attente…</v>
      </c>
      <c r="RT174" s="103"/>
      <c r="RU174" s="203">
        <f t="shared" si="168"/>
        <v>0.30853658536585366</v>
      </c>
      <c r="RV174" s="204">
        <f t="shared" si="171"/>
        <v>1</v>
      </c>
      <c r="RW174" s="204">
        <f t="shared" si="171"/>
        <v>2</v>
      </c>
      <c r="RX174" s="204">
        <f t="shared" si="169"/>
        <v>82</v>
      </c>
      <c r="RY174" s="205" t="str">
        <f t="shared" si="170"/>
        <v>ROUEN - 27 Rue Verte (Gare)</v>
      </c>
      <c r="RZ174" s="189" t="str">
        <f>IF(OR(RZ173="",RZ173="  &lt;/Document&gt;
&lt;/kml&gt;"),"",
IF(B174="","  &lt;/Document&gt;
&lt;/kml&gt;",
IF(TournéesCAV!Q175=""," ",
"    &lt;Placemark&gt;
      &lt;description&gt;&lt;![CDATA["&amp;B174&amp;"&lt;br&gt;&lt;br&gt;"&amp;RV174&amp;" CAV&lt;br&gt;&lt;br&gt;Présent sur "&amp;RW174&amp;" tournée(s)&lt;br&gt;&lt;br&gt;Taux de remplissage moyen "&amp;TEXT(RU174*1000,"0 %")&amp;"]]&gt;&lt;/description&gt;
      &lt;Style&gt;
        &lt;IconStyle&gt;
          &lt;color&gt;ff"&amp;
          DEC2HEX(0,2)&amp;
          DEC2HEX(
            IF(RU174&lt;=0.5,
               INT(255*(RU174*2)),
               255
            ),2)&amp;
          DEC2HEX(
            IF(RU174&lt;=0.5,
               255,
               INT(255*(1-(RU174-0.5)*2))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&lt;Point&gt;&lt;coordinates&gt;"&amp;R174&amp;","&amp;Q174&amp;",0&lt;/coordinates&gt;&lt;/Point&gt;
    &lt;/Placemark&gt;"
)))</f>
        <v xml:space="preserve">    &lt;Placemark&gt;
      &lt;description&gt;&lt;![CDATA[ROUEN - 27 Rue Verte (Gare)&lt;br&gt;&lt;br&gt;1 CAV&lt;br&gt;&lt;br&gt;Présent sur 2 tournée(s)&lt;br&gt;&lt;br&gt;Taux de remplissage moyen 31%]]&gt;&lt;/description&gt;
      &lt;Style&gt;
        &lt;IconStyle&gt;
          &lt;color&gt;ff009DFF&lt;/color&gt;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&lt;Point&gt;&lt;coordinates&gt;1.0931311,49.4487775,0&lt;/coordinates&gt;&lt;/Point&gt;
    &lt;/Placemark&gt;</v>
      </c>
    </row>
    <row r="175" spans="2:494" ht="15" customHeight="1" x14ac:dyDescent="0.35">
      <c r="B175" s="153" t="str">
        <f t="shared" si="123"/>
        <v>ROUEN - 44 Boulevard de la Marne (Angle Rampe Bouvreuil)</v>
      </c>
      <c r="C175" s="154">
        <v>87</v>
      </c>
      <c r="D175" s="155"/>
      <c r="E175" s="155"/>
      <c r="F175" s="155"/>
      <c r="G175" s="155"/>
      <c r="H175" s="155"/>
      <c r="I175" s="155"/>
      <c r="J175" s="156"/>
      <c r="K175" s="157">
        <f t="shared" si="124"/>
        <v>1</v>
      </c>
      <c r="L175" s="157">
        <f t="shared" si="125"/>
        <v>2</v>
      </c>
      <c r="M175" s="158" t="s">
        <v>960</v>
      </c>
      <c r="N175" s="159" t="s">
        <v>961</v>
      </c>
      <c r="O175" s="159">
        <v>76000</v>
      </c>
      <c r="P175" s="159" t="s">
        <v>90</v>
      </c>
      <c r="Q175" s="159" t="s">
        <v>962</v>
      </c>
      <c r="R175" s="159" t="s">
        <v>963</v>
      </c>
      <c r="S175" s="159" t="s">
        <v>93</v>
      </c>
      <c r="T175" s="159" t="s">
        <v>94</v>
      </c>
      <c r="U175" s="159" t="s">
        <v>964</v>
      </c>
      <c r="V175" s="160" t="s">
        <v>96</v>
      </c>
      <c r="W175" s="210">
        <v>20</v>
      </c>
      <c r="X175" s="162">
        <v>20</v>
      </c>
      <c r="Y175" s="162"/>
      <c r="Z175" s="162"/>
      <c r="AA175" s="162"/>
      <c r="AB175" s="162"/>
      <c r="AC175" s="162"/>
      <c r="AD175" s="162"/>
      <c r="AE175" s="162"/>
      <c r="AF175" s="162"/>
      <c r="AG175" s="162"/>
      <c r="AH175" s="162"/>
      <c r="AI175" s="162"/>
      <c r="AJ175" s="162"/>
      <c r="AK175" s="162"/>
      <c r="AL175" s="162"/>
      <c r="AM175" s="162"/>
      <c r="AN175" s="162"/>
      <c r="AO175" s="162"/>
      <c r="AP175" s="164"/>
      <c r="AQ175" s="164"/>
      <c r="AR175" s="164"/>
      <c r="AS175" s="164"/>
      <c r="AT175" s="164"/>
      <c r="AU175" s="164"/>
      <c r="AV175" s="164"/>
      <c r="AW175" s="164"/>
      <c r="AX175" s="164"/>
      <c r="AY175" s="165"/>
      <c r="AZ175" s="41"/>
      <c r="BA175" s="190"/>
      <c r="BB175" s="191"/>
      <c r="BC175" s="191"/>
      <c r="BD175" s="191"/>
      <c r="BE175" s="191"/>
      <c r="BF175" s="191"/>
      <c r="BG175" s="191"/>
      <c r="BH175" s="191"/>
      <c r="BI175" s="191"/>
      <c r="BJ175" s="191">
        <v>10</v>
      </c>
      <c r="BK175" s="191"/>
      <c r="BL175" s="191"/>
      <c r="BM175" s="191">
        <v>100</v>
      </c>
      <c r="BN175" s="191"/>
      <c r="BO175" s="191"/>
      <c r="BP175" s="191"/>
      <c r="BQ175" s="191">
        <v>10</v>
      </c>
      <c r="BR175" s="191"/>
      <c r="BS175" s="191"/>
      <c r="BT175" s="191"/>
      <c r="BU175" s="191"/>
      <c r="BV175" s="191"/>
      <c r="BW175" s="191"/>
      <c r="BX175" s="191">
        <v>50</v>
      </c>
      <c r="BY175" s="191"/>
      <c r="BZ175" s="191"/>
      <c r="CA175" s="191"/>
      <c r="CB175" s="191"/>
      <c r="CC175" s="191"/>
      <c r="CD175" s="191"/>
      <c r="CE175" s="192">
        <v>50</v>
      </c>
      <c r="CF175" s="190"/>
      <c r="CG175" s="191"/>
      <c r="CH175" s="191">
        <v>50</v>
      </c>
      <c r="CI175" s="191"/>
      <c r="CJ175" s="191"/>
      <c r="CK175" s="191"/>
      <c r="CL175" s="191">
        <v>50</v>
      </c>
      <c r="CM175" s="191"/>
      <c r="CN175" s="191"/>
      <c r="CO175" s="191">
        <v>50</v>
      </c>
      <c r="CP175" s="191"/>
      <c r="CQ175" s="191"/>
      <c r="CR175" s="191"/>
      <c r="CS175" s="191">
        <v>10</v>
      </c>
      <c r="CT175" s="191"/>
      <c r="CU175" s="191"/>
      <c r="CV175" s="191">
        <v>50</v>
      </c>
      <c r="CW175" s="191"/>
      <c r="CX175" s="191"/>
      <c r="CY175" s="191"/>
      <c r="CZ175" s="191">
        <v>10</v>
      </c>
      <c r="DA175" s="191"/>
      <c r="DB175" s="191"/>
      <c r="DC175" s="191">
        <v>100</v>
      </c>
      <c r="DD175" s="191"/>
      <c r="DE175" s="191"/>
      <c r="DF175" s="191"/>
      <c r="DG175" s="191">
        <v>50</v>
      </c>
      <c r="DH175" s="193"/>
      <c r="DI175" s="194"/>
      <c r="DJ175" s="191"/>
      <c r="DK175" s="191">
        <v>50</v>
      </c>
      <c r="DL175" s="191"/>
      <c r="DM175" s="191"/>
      <c r="DN175" s="191"/>
      <c r="DO175" s="191"/>
      <c r="DP175" s="191"/>
      <c r="DQ175" s="191"/>
      <c r="DR175" s="191">
        <v>50</v>
      </c>
      <c r="DS175" s="191"/>
      <c r="DT175" s="191"/>
      <c r="DU175" s="191"/>
      <c r="DV175" s="191">
        <v>100</v>
      </c>
      <c r="DW175" s="191"/>
      <c r="DX175" s="191"/>
      <c r="DY175" s="191">
        <v>50</v>
      </c>
      <c r="DZ175" s="191"/>
      <c r="EA175" s="191"/>
      <c r="EB175" s="191"/>
      <c r="EC175" s="191">
        <v>100</v>
      </c>
      <c r="ED175" s="191"/>
      <c r="EE175" s="191"/>
      <c r="EF175" s="191">
        <v>100</v>
      </c>
      <c r="EG175" s="191"/>
      <c r="EH175" s="191"/>
      <c r="EI175" s="191"/>
      <c r="EJ175" s="191">
        <v>100</v>
      </c>
      <c r="EK175" s="191"/>
      <c r="EL175" s="191"/>
      <c r="EM175" s="192">
        <v>100</v>
      </c>
      <c r="EN175" s="190"/>
      <c r="EO175" s="191"/>
      <c r="EP175" s="191"/>
      <c r="EQ175" s="191">
        <v>50</v>
      </c>
      <c r="ER175" s="191"/>
      <c r="ES175" s="191"/>
      <c r="ET175" s="191">
        <v>100</v>
      </c>
      <c r="EU175" s="191"/>
      <c r="EV175" s="191"/>
      <c r="EW175" s="191"/>
      <c r="EX175" s="191">
        <v>50</v>
      </c>
      <c r="EY175" s="191"/>
      <c r="EZ175" s="191"/>
      <c r="FA175" s="191">
        <v>50</v>
      </c>
      <c r="FB175" s="191"/>
      <c r="FC175" s="191"/>
      <c r="FD175" s="191"/>
      <c r="FE175" s="191">
        <v>50</v>
      </c>
      <c r="FF175" s="191"/>
      <c r="FG175" s="191"/>
      <c r="FH175" s="191"/>
      <c r="FI175" s="191"/>
      <c r="FJ175" s="191"/>
      <c r="FK175" s="191">
        <v>50</v>
      </c>
      <c r="FL175" s="191"/>
      <c r="FM175" s="191"/>
      <c r="FN175" s="191"/>
      <c r="FO175" s="191">
        <v>50</v>
      </c>
      <c r="FP175" s="191"/>
      <c r="FQ175" s="193"/>
      <c r="FR175" s="194"/>
      <c r="FS175" s="191"/>
      <c r="FT175" s="191"/>
      <c r="FU175" s="191"/>
      <c r="FV175" s="191"/>
      <c r="FW175" s="191"/>
      <c r="FX175" s="191"/>
      <c r="FY175" s="191"/>
      <c r="FZ175" s="191">
        <v>100</v>
      </c>
      <c r="GA175" s="191"/>
      <c r="GB175" s="191"/>
      <c r="GC175" s="191">
        <v>10</v>
      </c>
      <c r="GD175" s="191"/>
      <c r="GE175" s="191"/>
      <c r="GF175" s="191"/>
      <c r="GG175" s="191">
        <v>10</v>
      </c>
      <c r="GH175" s="191"/>
      <c r="GI175" s="191"/>
      <c r="GJ175" s="191">
        <v>100</v>
      </c>
      <c r="GK175" s="191"/>
      <c r="GL175" s="191"/>
      <c r="GM175" s="191"/>
      <c r="GN175" s="191">
        <v>100</v>
      </c>
      <c r="GO175" s="191"/>
      <c r="GP175" s="191"/>
      <c r="GQ175" s="191">
        <v>50</v>
      </c>
      <c r="GR175" s="191"/>
      <c r="GS175" s="191"/>
      <c r="GT175" s="191"/>
      <c r="GU175" s="191"/>
      <c r="GV175" s="192"/>
      <c r="GW175" s="190"/>
      <c r="GX175" s="191">
        <v>50</v>
      </c>
      <c r="GY175" s="191"/>
      <c r="GZ175" s="191"/>
      <c r="HA175" s="191"/>
      <c r="HB175" s="191">
        <v>50</v>
      </c>
      <c r="HC175" s="191"/>
      <c r="HD175" s="191"/>
      <c r="HE175" s="191"/>
      <c r="HF175" s="191"/>
      <c r="HG175" s="191"/>
      <c r="HH175" s="191"/>
      <c r="HI175" s="191">
        <v>50</v>
      </c>
      <c r="HJ175" s="191"/>
      <c r="HK175" s="191"/>
      <c r="HL175" s="191"/>
      <c r="HM175" s="191"/>
      <c r="HN175" s="191"/>
      <c r="HO175" s="191">
        <v>100</v>
      </c>
      <c r="HP175" s="191"/>
      <c r="HQ175" s="191"/>
      <c r="HR175" s="191"/>
      <c r="HS175" s="191">
        <v>100</v>
      </c>
      <c r="HT175" s="191"/>
      <c r="HU175" s="191"/>
      <c r="HV175" s="191"/>
      <c r="HW175" s="191">
        <v>50</v>
      </c>
      <c r="HX175" s="191"/>
      <c r="HY175" s="191"/>
      <c r="HZ175" s="193"/>
      <c r="IA175" s="194">
        <v>50</v>
      </c>
      <c r="IB175" s="191"/>
      <c r="IC175" s="191"/>
      <c r="ID175" s="191">
        <v>50</v>
      </c>
      <c r="IE175" s="191"/>
      <c r="IF175" s="191"/>
      <c r="IG175" s="191"/>
      <c r="IH175" s="191"/>
      <c r="II175" s="191"/>
      <c r="IJ175" s="191">
        <v>100</v>
      </c>
      <c r="IK175" s="191"/>
      <c r="IL175" s="191"/>
      <c r="IM175" s="191"/>
      <c r="IN175" s="191">
        <v>100</v>
      </c>
      <c r="IO175" s="191"/>
      <c r="IP175" s="191"/>
      <c r="IQ175" s="191"/>
      <c r="IR175" s="191"/>
      <c r="IS175" s="191"/>
      <c r="IT175" s="191"/>
      <c r="IU175" s="191"/>
      <c r="IV175" s="191"/>
      <c r="IW175" s="191"/>
      <c r="IX175" s="191"/>
      <c r="IY175" s="191"/>
      <c r="IZ175" s="191"/>
      <c r="JA175" s="191"/>
      <c r="JB175" s="191"/>
      <c r="JC175" s="191">
        <v>150</v>
      </c>
      <c r="JD175" s="191"/>
      <c r="JE175" s="192"/>
      <c r="JF175" s="190">
        <v>100</v>
      </c>
      <c r="JG175" s="191"/>
      <c r="JH175" s="191"/>
      <c r="JI175" s="191">
        <v>50</v>
      </c>
      <c r="JJ175" s="191"/>
      <c r="JK175" s="191"/>
      <c r="JL175" s="191"/>
      <c r="JM175" s="191">
        <v>50</v>
      </c>
      <c r="JN175" s="191"/>
      <c r="JO175" s="191"/>
      <c r="JP175" s="191">
        <v>50</v>
      </c>
      <c r="JQ175" s="191"/>
      <c r="JR175" s="191"/>
      <c r="JS175" s="191"/>
      <c r="JT175" s="191"/>
      <c r="JU175" s="191"/>
      <c r="JV175" s="191"/>
      <c r="JW175" s="191">
        <v>50</v>
      </c>
      <c r="JX175" s="191"/>
      <c r="JY175" s="191"/>
      <c r="JZ175" s="191"/>
      <c r="KA175" s="191">
        <v>50</v>
      </c>
      <c r="KB175" s="191"/>
      <c r="KC175" s="191"/>
      <c r="KD175" s="191">
        <v>50</v>
      </c>
      <c r="KE175" s="191"/>
      <c r="KF175" s="191"/>
      <c r="KG175" s="191"/>
      <c r="KH175" s="191">
        <v>50</v>
      </c>
      <c r="KI175" s="191"/>
      <c r="KJ175" s="193"/>
      <c r="KK175" s="194">
        <v>50</v>
      </c>
      <c r="KL175" s="191"/>
      <c r="KM175" s="191"/>
      <c r="KN175" s="191"/>
      <c r="KO175" s="191"/>
      <c r="KP175" s="191"/>
      <c r="KQ175" s="191"/>
      <c r="KR175" s="191"/>
      <c r="KS175" s="191"/>
      <c r="KT175" s="191"/>
      <c r="KU175" s="191"/>
      <c r="KV175" s="191">
        <v>50</v>
      </c>
      <c r="KW175" s="191"/>
      <c r="KX175" s="191"/>
      <c r="KY175" s="191">
        <v>50</v>
      </c>
      <c r="KZ175" s="191"/>
      <c r="LA175" s="191"/>
      <c r="LB175" s="191"/>
      <c r="LC175" s="191">
        <v>50</v>
      </c>
      <c r="LD175" s="191"/>
      <c r="LE175" s="191"/>
      <c r="LF175" s="191">
        <v>50</v>
      </c>
      <c r="LG175" s="191"/>
      <c r="LH175" s="191"/>
      <c r="LI175" s="191"/>
      <c r="LJ175" s="191">
        <v>10</v>
      </c>
      <c r="LK175" s="191"/>
      <c r="LL175" s="191"/>
      <c r="LM175" s="191"/>
      <c r="LN175" s="192"/>
      <c r="LO175" s="190"/>
      <c r="LP175" s="191"/>
      <c r="LQ175" s="191"/>
      <c r="LR175" s="191"/>
      <c r="LS175" s="191"/>
      <c r="LT175" s="191"/>
      <c r="LU175" s="191"/>
      <c r="LV175" s="191"/>
      <c r="LW175" s="191"/>
      <c r="LX175" s="191">
        <v>50</v>
      </c>
      <c r="LY175" s="191"/>
      <c r="LZ175" s="191"/>
      <c r="MA175" s="191">
        <v>100</v>
      </c>
      <c r="MB175" s="191"/>
      <c r="MC175" s="191"/>
      <c r="MD175" s="191"/>
      <c r="ME175" s="191">
        <v>50</v>
      </c>
      <c r="MF175" s="191"/>
      <c r="MG175" s="191"/>
      <c r="MH175" s="191">
        <v>50</v>
      </c>
      <c r="MI175" s="191"/>
      <c r="MJ175" s="191"/>
      <c r="MK175" s="191"/>
      <c r="ML175" s="191">
        <v>50</v>
      </c>
      <c r="MM175" s="191"/>
      <c r="MN175" s="191"/>
      <c r="MO175" s="191">
        <v>50</v>
      </c>
      <c r="MP175" s="191"/>
      <c r="MQ175" s="191"/>
      <c r="MR175" s="191"/>
      <c r="MS175" s="193">
        <v>50</v>
      </c>
      <c r="MT175" s="194"/>
      <c r="MU175" s="191"/>
      <c r="MV175" s="191">
        <v>50</v>
      </c>
      <c r="MW175" s="191"/>
      <c r="MX175" s="191"/>
      <c r="MY175" s="191"/>
      <c r="MZ175" s="191">
        <v>50</v>
      </c>
      <c r="NA175" s="191"/>
      <c r="NB175" s="191"/>
      <c r="NC175" s="191">
        <v>50</v>
      </c>
      <c r="ND175" s="191"/>
      <c r="NE175" s="191"/>
      <c r="NF175" s="191"/>
      <c r="NG175" s="191">
        <v>50</v>
      </c>
      <c r="NH175" s="191"/>
      <c r="NI175" s="191"/>
      <c r="NJ175" s="191">
        <v>10</v>
      </c>
      <c r="NK175" s="191"/>
      <c r="NL175" s="191"/>
      <c r="NM175" s="191"/>
      <c r="NN175" s="191">
        <v>10</v>
      </c>
      <c r="NO175" s="191"/>
      <c r="NP175" s="191"/>
      <c r="NQ175" s="191">
        <v>10</v>
      </c>
      <c r="NR175" s="191"/>
      <c r="NS175" s="191"/>
      <c r="NT175" s="191"/>
      <c r="NU175" s="191">
        <v>10</v>
      </c>
      <c r="NV175" s="191"/>
      <c r="NW175" s="192"/>
      <c r="NX175" s="190">
        <v>50</v>
      </c>
      <c r="NY175" s="191"/>
      <c r="NZ175" s="191"/>
      <c r="OA175" s="191"/>
      <c r="OB175" s="191">
        <v>50</v>
      </c>
      <c r="OC175" s="191"/>
      <c r="OD175" s="191"/>
      <c r="OE175" s="191">
        <v>50</v>
      </c>
      <c r="OF175" s="191"/>
      <c r="OG175" s="191"/>
      <c r="OH175" s="191"/>
      <c r="OI175" s="191">
        <v>10</v>
      </c>
      <c r="OJ175" s="191"/>
      <c r="OK175" s="191"/>
      <c r="OL175" s="191"/>
      <c r="OM175" s="191">
        <v>50</v>
      </c>
      <c r="ON175" s="191"/>
      <c r="OO175" s="191"/>
      <c r="OP175" s="191"/>
      <c r="OQ175" s="191"/>
      <c r="OR175" s="191"/>
      <c r="OS175" s="191"/>
      <c r="OT175" s="191"/>
      <c r="OU175" s="191"/>
      <c r="OV175" s="191"/>
      <c r="OW175" s="191"/>
      <c r="OX175" s="191"/>
      <c r="OY175" s="191"/>
      <c r="OZ175" s="191"/>
      <c r="PA175" s="191"/>
      <c r="PB175" s="193"/>
      <c r="PC175" s="47"/>
      <c r="PD175" s="154" t="s">
        <v>97</v>
      </c>
      <c r="PE175" s="155" t="s">
        <v>98</v>
      </c>
      <c r="PF175" s="155" t="s">
        <v>98</v>
      </c>
      <c r="PG175" s="155" t="s">
        <v>98</v>
      </c>
      <c r="PH175" s="155" t="s">
        <v>98</v>
      </c>
      <c r="PI175" s="155" t="s">
        <v>98</v>
      </c>
      <c r="PJ175" s="155" t="s">
        <v>98</v>
      </c>
      <c r="PK175" s="155" t="s">
        <v>98</v>
      </c>
      <c r="PL175" s="155" t="s">
        <v>98</v>
      </c>
      <c r="PM175" s="155" t="s">
        <v>98</v>
      </c>
      <c r="PN175" s="155" t="s">
        <v>98</v>
      </c>
      <c r="PO175" s="156"/>
      <c r="PP175" s="156"/>
      <c r="PQ175" s="156"/>
      <c r="PR175" s="156"/>
      <c r="PS175" s="156"/>
      <c r="PT175" s="156"/>
      <c r="PU175" s="156"/>
      <c r="PV175" s="156"/>
      <c r="PW175" s="156"/>
      <c r="PX175" s="195"/>
      <c r="PY175" s="1"/>
      <c r="PZ175" s="196">
        <f t="shared" si="126"/>
        <v>220</v>
      </c>
      <c r="QA175" s="176">
        <f t="shared" si="127"/>
        <v>1.8353215983982648E-3</v>
      </c>
      <c r="QB175" s="177" t="str">
        <f t="shared" ca="1" si="128"/>
        <v>Attente…</v>
      </c>
      <c r="QC175" s="197">
        <f t="shared" si="129"/>
        <v>370</v>
      </c>
      <c r="QD175" s="179">
        <f t="shared" si="130"/>
        <v>3.4644194756554307E-3</v>
      </c>
      <c r="QE175" s="180" t="str">
        <f t="shared" ca="1" si="131"/>
        <v>Attente…</v>
      </c>
      <c r="QF175" s="196">
        <f t="shared" si="132"/>
        <v>650</v>
      </c>
      <c r="QG175" s="176">
        <f t="shared" si="133"/>
        <v>5.175983436853002E-3</v>
      </c>
      <c r="QH175" s="177" t="str">
        <f t="shared" ca="1" si="134"/>
        <v>Attente…</v>
      </c>
      <c r="QI175" s="197">
        <f t="shared" si="135"/>
        <v>400</v>
      </c>
      <c r="QJ175" s="179">
        <f t="shared" si="136"/>
        <v>2.8054425585636133E-3</v>
      </c>
      <c r="QK175" s="180" t="str">
        <f t="shared" ca="1" si="137"/>
        <v>Attente…</v>
      </c>
      <c r="QL175" s="196">
        <f t="shared" si="138"/>
        <v>370</v>
      </c>
      <c r="QM175" s="176">
        <f t="shared" si="139"/>
        <v>2.707052970441908E-3</v>
      </c>
      <c r="QN175" s="177" t="str">
        <f t="shared" ca="1" si="140"/>
        <v>Attente…</v>
      </c>
      <c r="QO175" s="197">
        <f t="shared" si="141"/>
        <v>400</v>
      </c>
      <c r="QP175" s="179">
        <f t="shared" si="142"/>
        <v>3.1316057308384874E-3</v>
      </c>
      <c r="QQ175" s="180" t="str">
        <f t="shared" ca="1" si="143"/>
        <v>Attente…</v>
      </c>
      <c r="QR175" s="196">
        <f t="shared" si="144"/>
        <v>450</v>
      </c>
      <c r="QS175" s="176">
        <f t="shared" si="145"/>
        <v>3.2396242035923834E-3</v>
      </c>
      <c r="QT175" s="177" t="str">
        <f t="shared" ca="1" si="146"/>
        <v>Attente…</v>
      </c>
      <c r="QU175" s="197">
        <f t="shared" si="147"/>
        <v>450</v>
      </c>
      <c r="QV175" s="179">
        <f t="shared" si="148"/>
        <v>3.1025923883066741E-3</v>
      </c>
      <c r="QW175" s="180" t="str">
        <f t="shared" ca="1" si="149"/>
        <v>Attente…</v>
      </c>
      <c r="QX175" s="196">
        <f t="shared" si="150"/>
        <v>260</v>
      </c>
      <c r="QY175" s="176">
        <f t="shared" si="151"/>
        <v>1.8973116553314458E-3</v>
      </c>
      <c r="QZ175" s="177" t="str">
        <f t="shared" ca="1" si="152"/>
        <v>Attente…</v>
      </c>
      <c r="RA175" s="197">
        <f t="shared" si="153"/>
        <v>400</v>
      </c>
      <c r="RB175" s="179">
        <f t="shared" si="154"/>
        <v>3.1296455676394649E-3</v>
      </c>
      <c r="RC175" s="180" t="str">
        <f t="shared" ca="1" si="155"/>
        <v>Attente…</v>
      </c>
      <c r="RD175" s="196">
        <f t="shared" si="156"/>
        <v>240</v>
      </c>
      <c r="RE175" s="176">
        <f t="shared" si="157"/>
        <v>2.3913909924272616E-3</v>
      </c>
      <c r="RF175" s="177" t="str">
        <f t="shared" ca="1" si="158"/>
        <v>Attente…</v>
      </c>
      <c r="RG175" s="197">
        <f t="shared" si="159"/>
        <v>210</v>
      </c>
      <c r="RH175" s="179">
        <f t="shared" si="160"/>
        <v>3.8624241309545707E-3</v>
      </c>
      <c r="RI175" s="198" t="str">
        <f t="shared" ca="1" si="161"/>
        <v>Attente…</v>
      </c>
      <c r="RJ175" s="199">
        <f t="shared" si="162"/>
        <v>1240</v>
      </c>
      <c r="RK175" s="200" t="str">
        <f t="shared" ca="1" si="119"/>
        <v>Attente…</v>
      </c>
      <c r="RL175" s="199">
        <f t="shared" si="163"/>
        <v>1170</v>
      </c>
      <c r="RM175" s="200" t="str">
        <f t="shared" ca="1" si="164"/>
        <v>Atttente…</v>
      </c>
      <c r="RN175" s="199">
        <f t="shared" si="165"/>
        <v>1160</v>
      </c>
      <c r="RO175" s="200" t="str">
        <f t="shared" ca="1" si="120"/>
        <v>Attente…</v>
      </c>
      <c r="RP175" s="199">
        <f t="shared" si="166"/>
        <v>850</v>
      </c>
      <c r="RQ175" s="200" t="str">
        <f t="shared" ca="1" si="121"/>
        <v>Attente…</v>
      </c>
      <c r="RR175" s="201">
        <f t="shared" si="167"/>
        <v>4420</v>
      </c>
      <c r="RS175" s="202" t="str">
        <f t="shared" ca="1" si="122"/>
        <v>Attente…</v>
      </c>
      <c r="RT175" s="103"/>
      <c r="RU175" s="203">
        <f t="shared" si="168"/>
        <v>0.27974683544303797</v>
      </c>
      <c r="RV175" s="204">
        <f t="shared" si="171"/>
        <v>1</v>
      </c>
      <c r="RW175" s="204">
        <f t="shared" si="171"/>
        <v>2</v>
      </c>
      <c r="RX175" s="204">
        <f t="shared" si="169"/>
        <v>79</v>
      </c>
      <c r="RY175" s="205" t="str">
        <f t="shared" si="170"/>
        <v>ROUEN - 44 Boulevard de la Marne (Angle Rampe Bouvreuil)</v>
      </c>
      <c r="RZ175" s="189" t="str">
        <f>IF(OR(RZ174="",RZ174="  &lt;/Document&gt;
&lt;/kml&gt;"),"",
IF(B175="","  &lt;/Document&gt;
&lt;/kml&gt;",
IF(TournéesCAV!Q176=""," ",
"    &lt;Placemark&gt;
      &lt;description&gt;&lt;![CDATA["&amp;B175&amp;"&lt;br&gt;&lt;br&gt;"&amp;RV175&amp;" CAV&lt;br&gt;&lt;br&gt;Présent sur "&amp;RW175&amp;" tournée(s)&lt;br&gt;&lt;br&gt;Taux de remplissage moyen "&amp;TEXT(RU175*1000,"0 %")&amp;"]]&gt;&lt;/description&gt;
      &lt;Style&gt;
        &lt;IconStyle&gt;
          &lt;color&gt;ff"&amp;
          DEC2HEX(0,2)&amp;
          DEC2HEX(
            IF(RU175&lt;=0.5,
               INT(255*(RU175*2)),
               255
            ),2)&amp;
          DEC2HEX(
            IF(RU175&lt;=0.5,
               255,
               INT(255*(1-(RU175-0.5)*2))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&lt;Point&gt;&lt;coordinates&gt;"&amp;R175&amp;","&amp;Q175&amp;",0&lt;/coordinates&gt;&lt;/Point&gt;
    &lt;/Placemark&gt;"
)))</f>
        <v xml:space="preserve">    &lt;Placemark&gt;
      &lt;description&gt;&lt;![CDATA[ROUEN - 44 Boulevard de la Marne (Angle Rampe Bouvreuil)&lt;br&gt;&lt;br&gt;1 CAV&lt;br&gt;&lt;br&gt;Présent sur 2 tournée(s)&lt;br&gt;&lt;br&gt;Taux de remplissage moyen 28%]]&gt;&lt;/description&gt;
      &lt;Style&gt;
        &lt;IconStyle&gt;
          &lt;color&gt;ff008EFF&lt;/color&gt;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&lt;Point&gt;&lt;coordinates&gt;1.0920252,49.4469485,0&lt;/coordinates&gt;&lt;/Point&gt;
    &lt;/Placemark&gt;</v>
      </c>
    </row>
    <row r="176" spans="2:494" ht="15" hidden="1" customHeight="1" x14ac:dyDescent="0.35">
      <c r="B176" s="153" t="str">
        <f t="shared" si="123"/>
        <v>ROUEN - 59 Rue Crevier (Angle rue d'Herbouville)</v>
      </c>
      <c r="C176" s="154">
        <v>133</v>
      </c>
      <c r="D176" s="155"/>
      <c r="E176" s="155"/>
      <c r="F176" s="155"/>
      <c r="G176" s="155"/>
      <c r="H176" s="155"/>
      <c r="I176" s="155"/>
      <c r="J176" s="156"/>
      <c r="K176" s="157">
        <f t="shared" si="124"/>
        <v>1</v>
      </c>
      <c r="L176" s="157">
        <f t="shared" si="125"/>
        <v>1</v>
      </c>
      <c r="M176" s="158" t="s">
        <v>965</v>
      </c>
      <c r="N176" s="159" t="s">
        <v>966</v>
      </c>
      <c r="O176" s="159">
        <v>76000</v>
      </c>
      <c r="P176" s="159" t="s">
        <v>90</v>
      </c>
      <c r="Q176" s="159" t="s">
        <v>967</v>
      </c>
      <c r="R176" s="159" t="s">
        <v>968</v>
      </c>
      <c r="S176" s="159" t="s">
        <v>93</v>
      </c>
      <c r="T176" s="159" t="s">
        <v>94</v>
      </c>
      <c r="U176" s="159" t="s">
        <v>969</v>
      </c>
      <c r="V176" s="160" t="s">
        <v>96</v>
      </c>
      <c r="W176" s="161"/>
      <c r="X176" s="162">
        <v>21</v>
      </c>
      <c r="Y176" s="163"/>
      <c r="Z176" s="162"/>
      <c r="AA176" s="163"/>
      <c r="AB176" s="162"/>
      <c r="AC176" s="163"/>
      <c r="AD176" s="162"/>
      <c r="AE176" s="163"/>
      <c r="AF176" s="162"/>
      <c r="AG176" s="163"/>
      <c r="AH176" s="163"/>
      <c r="AI176" s="162"/>
      <c r="AJ176" s="163"/>
      <c r="AK176" s="162"/>
      <c r="AL176" s="163"/>
      <c r="AM176" s="162"/>
      <c r="AN176" s="163"/>
      <c r="AO176" s="162"/>
      <c r="AP176" s="164"/>
      <c r="AQ176" s="164"/>
      <c r="AR176" s="164"/>
      <c r="AS176" s="164"/>
      <c r="AT176" s="164"/>
      <c r="AU176" s="164"/>
      <c r="AV176" s="164"/>
      <c r="AW176" s="164"/>
      <c r="AX176" s="164"/>
      <c r="AY176" s="165"/>
      <c r="AZ176" s="41"/>
      <c r="BA176" s="190"/>
      <c r="BB176" s="191"/>
      <c r="BC176" s="191"/>
      <c r="BD176" s="191"/>
      <c r="BE176" s="191"/>
      <c r="BF176" s="191"/>
      <c r="BG176" s="191"/>
      <c r="BH176" s="191"/>
      <c r="BI176" s="191"/>
      <c r="BJ176" s="191">
        <v>50</v>
      </c>
      <c r="BK176" s="191"/>
      <c r="BL176" s="191"/>
      <c r="BM176" s="191"/>
      <c r="BN176" s="191"/>
      <c r="BO176" s="191"/>
      <c r="BP176" s="191"/>
      <c r="BQ176" s="191">
        <v>10</v>
      </c>
      <c r="BR176" s="191"/>
      <c r="BS176" s="191"/>
      <c r="BT176" s="191"/>
      <c r="BU176" s="191"/>
      <c r="BV176" s="191"/>
      <c r="BW176" s="191"/>
      <c r="BX176" s="191">
        <v>150</v>
      </c>
      <c r="BY176" s="191"/>
      <c r="BZ176" s="191"/>
      <c r="CA176" s="191"/>
      <c r="CB176" s="191"/>
      <c r="CC176" s="191"/>
      <c r="CD176" s="191"/>
      <c r="CE176" s="192">
        <v>10</v>
      </c>
      <c r="CF176" s="190"/>
      <c r="CG176" s="191"/>
      <c r="CH176" s="191"/>
      <c r="CI176" s="191"/>
      <c r="CJ176" s="191"/>
      <c r="CK176" s="191"/>
      <c r="CL176" s="191">
        <v>10</v>
      </c>
      <c r="CM176" s="191"/>
      <c r="CN176" s="191"/>
      <c r="CO176" s="191"/>
      <c r="CP176" s="191"/>
      <c r="CQ176" s="191"/>
      <c r="CR176" s="191"/>
      <c r="CS176" s="191">
        <v>10</v>
      </c>
      <c r="CT176" s="191"/>
      <c r="CU176" s="191"/>
      <c r="CV176" s="191"/>
      <c r="CW176" s="191"/>
      <c r="CX176" s="191"/>
      <c r="CY176" s="191"/>
      <c r="CZ176" s="191">
        <v>50</v>
      </c>
      <c r="DA176" s="191"/>
      <c r="DB176" s="191"/>
      <c r="DC176" s="191"/>
      <c r="DD176" s="191"/>
      <c r="DE176" s="191"/>
      <c r="DF176" s="191"/>
      <c r="DG176" s="191">
        <v>50</v>
      </c>
      <c r="DH176" s="193"/>
      <c r="DI176" s="194"/>
      <c r="DJ176" s="191"/>
      <c r="DK176" s="191"/>
      <c r="DL176" s="191"/>
      <c r="DM176" s="191"/>
      <c r="DN176" s="191"/>
      <c r="DO176" s="191"/>
      <c r="DP176" s="191"/>
      <c r="DQ176" s="191"/>
      <c r="DR176" s="191"/>
      <c r="DS176" s="191"/>
      <c r="DT176" s="191"/>
      <c r="DU176" s="191"/>
      <c r="DV176" s="191">
        <v>50</v>
      </c>
      <c r="DW176" s="191"/>
      <c r="DX176" s="191"/>
      <c r="DY176" s="191"/>
      <c r="DZ176" s="191"/>
      <c r="EA176" s="191"/>
      <c r="EB176" s="191"/>
      <c r="EC176" s="191">
        <v>100</v>
      </c>
      <c r="ED176" s="191"/>
      <c r="EE176" s="191"/>
      <c r="EF176" s="191"/>
      <c r="EG176" s="191"/>
      <c r="EH176" s="191"/>
      <c r="EI176" s="191"/>
      <c r="EJ176" s="191">
        <v>100</v>
      </c>
      <c r="EK176" s="191"/>
      <c r="EL176" s="191"/>
      <c r="EM176" s="192"/>
      <c r="EN176" s="190"/>
      <c r="EO176" s="191"/>
      <c r="EP176" s="191"/>
      <c r="EQ176" s="191">
        <v>50</v>
      </c>
      <c r="ER176" s="191"/>
      <c r="ES176" s="191"/>
      <c r="ET176" s="191"/>
      <c r="EU176" s="191"/>
      <c r="EV176" s="191"/>
      <c r="EW176" s="191"/>
      <c r="EX176" s="191">
        <v>100</v>
      </c>
      <c r="EY176" s="191"/>
      <c r="EZ176" s="191"/>
      <c r="FA176" s="191"/>
      <c r="FB176" s="191"/>
      <c r="FC176" s="191"/>
      <c r="FD176" s="191"/>
      <c r="FE176" s="191">
        <v>150</v>
      </c>
      <c r="FF176" s="191"/>
      <c r="FG176" s="191"/>
      <c r="FH176" s="191"/>
      <c r="FI176" s="191"/>
      <c r="FJ176" s="191"/>
      <c r="FK176" s="191">
        <v>50</v>
      </c>
      <c r="FL176" s="191"/>
      <c r="FM176" s="191"/>
      <c r="FN176" s="191"/>
      <c r="FO176" s="191"/>
      <c r="FP176" s="191"/>
      <c r="FQ176" s="193"/>
      <c r="FR176" s="194"/>
      <c r="FS176" s="191"/>
      <c r="FT176" s="191"/>
      <c r="FU176" s="191"/>
      <c r="FV176" s="191"/>
      <c r="FW176" s="191"/>
      <c r="FX176" s="191"/>
      <c r="FY176" s="191"/>
      <c r="FZ176" s="191">
        <v>150</v>
      </c>
      <c r="GA176" s="191"/>
      <c r="GB176" s="191"/>
      <c r="GC176" s="191"/>
      <c r="GD176" s="191"/>
      <c r="GE176" s="191"/>
      <c r="GF176" s="191"/>
      <c r="GG176" s="191">
        <v>100</v>
      </c>
      <c r="GH176" s="191"/>
      <c r="GI176" s="191"/>
      <c r="GJ176" s="191"/>
      <c r="GK176" s="191"/>
      <c r="GL176" s="191"/>
      <c r="GM176" s="191"/>
      <c r="GN176" s="191"/>
      <c r="GO176" s="191"/>
      <c r="GP176" s="191"/>
      <c r="GQ176" s="191"/>
      <c r="GR176" s="191"/>
      <c r="GS176" s="191"/>
      <c r="GT176" s="191"/>
      <c r="GU176" s="191"/>
      <c r="GV176" s="192"/>
      <c r="GW176" s="190"/>
      <c r="GX176" s="191"/>
      <c r="GY176" s="191"/>
      <c r="GZ176" s="191"/>
      <c r="HA176" s="191"/>
      <c r="HB176" s="191">
        <v>10</v>
      </c>
      <c r="HC176" s="191"/>
      <c r="HD176" s="191"/>
      <c r="HE176" s="191"/>
      <c r="HF176" s="191"/>
      <c r="HG176" s="191"/>
      <c r="HH176" s="191"/>
      <c r="HI176" s="191">
        <v>50</v>
      </c>
      <c r="HJ176" s="191"/>
      <c r="HK176" s="191"/>
      <c r="HL176" s="191"/>
      <c r="HM176" s="191"/>
      <c r="HN176" s="191"/>
      <c r="HO176" s="191"/>
      <c r="HP176" s="191"/>
      <c r="HQ176" s="191"/>
      <c r="HR176" s="191"/>
      <c r="HS176" s="191"/>
      <c r="HT176" s="191"/>
      <c r="HU176" s="191"/>
      <c r="HV176" s="191"/>
      <c r="HW176" s="191"/>
      <c r="HX176" s="191"/>
      <c r="HY176" s="191"/>
      <c r="HZ176" s="193"/>
      <c r="IA176" s="194"/>
      <c r="IB176" s="191"/>
      <c r="IC176" s="191"/>
      <c r="ID176" s="191">
        <v>10</v>
      </c>
      <c r="IE176" s="191"/>
      <c r="IF176" s="191"/>
      <c r="IG176" s="191"/>
      <c r="IH176" s="191"/>
      <c r="II176" s="191"/>
      <c r="IJ176" s="191">
        <v>200</v>
      </c>
      <c r="IK176" s="191"/>
      <c r="IL176" s="191"/>
      <c r="IM176" s="191"/>
      <c r="IN176" s="191"/>
      <c r="IO176" s="191"/>
      <c r="IP176" s="191"/>
      <c r="IQ176" s="191"/>
      <c r="IR176" s="191"/>
      <c r="IS176" s="191"/>
      <c r="IT176" s="191"/>
      <c r="IU176" s="191"/>
      <c r="IV176" s="191"/>
      <c r="IW176" s="191"/>
      <c r="IX176" s="191"/>
      <c r="IY176" s="191"/>
      <c r="IZ176" s="191"/>
      <c r="JA176" s="191"/>
      <c r="JB176" s="191"/>
      <c r="JC176" s="191"/>
      <c r="JD176" s="191"/>
      <c r="JE176" s="192"/>
      <c r="JF176" s="190">
        <v>100</v>
      </c>
      <c r="JG176" s="191"/>
      <c r="JH176" s="191"/>
      <c r="JI176" s="191"/>
      <c r="JJ176" s="191"/>
      <c r="JK176" s="191"/>
      <c r="JL176" s="191"/>
      <c r="JM176" s="191">
        <v>10</v>
      </c>
      <c r="JN176" s="191"/>
      <c r="JO176" s="191"/>
      <c r="JP176" s="191"/>
      <c r="JQ176" s="191"/>
      <c r="JR176" s="191"/>
      <c r="JS176" s="191"/>
      <c r="JT176" s="191"/>
      <c r="JU176" s="191"/>
      <c r="JV176" s="191"/>
      <c r="JW176" s="191"/>
      <c r="JX176" s="191"/>
      <c r="JY176" s="191"/>
      <c r="JZ176" s="191"/>
      <c r="KA176" s="191">
        <v>100</v>
      </c>
      <c r="KB176" s="191"/>
      <c r="KC176" s="191"/>
      <c r="KD176" s="191"/>
      <c r="KE176" s="191"/>
      <c r="KF176" s="191"/>
      <c r="KG176" s="191"/>
      <c r="KH176" s="191">
        <v>50</v>
      </c>
      <c r="KI176" s="191"/>
      <c r="KJ176" s="193"/>
      <c r="KK176" s="194"/>
      <c r="KL176" s="191"/>
      <c r="KM176" s="191"/>
      <c r="KN176" s="191"/>
      <c r="KO176" s="191"/>
      <c r="KP176" s="191"/>
      <c r="KQ176" s="191"/>
      <c r="KR176" s="191"/>
      <c r="KS176" s="191"/>
      <c r="KT176" s="191"/>
      <c r="KU176" s="191"/>
      <c r="KV176" s="191">
        <v>10</v>
      </c>
      <c r="KW176" s="191"/>
      <c r="KX176" s="191"/>
      <c r="KY176" s="191"/>
      <c r="KZ176" s="191"/>
      <c r="LA176" s="191"/>
      <c r="LB176" s="191"/>
      <c r="LC176" s="191"/>
      <c r="LD176" s="191"/>
      <c r="LE176" s="191"/>
      <c r="LF176" s="191"/>
      <c r="LG176" s="191"/>
      <c r="LH176" s="191"/>
      <c r="LI176" s="191"/>
      <c r="LJ176" s="191"/>
      <c r="LK176" s="191"/>
      <c r="LL176" s="191"/>
      <c r="LM176" s="191"/>
      <c r="LN176" s="192"/>
      <c r="LO176" s="190"/>
      <c r="LP176" s="191"/>
      <c r="LQ176" s="191"/>
      <c r="LR176" s="191"/>
      <c r="LS176" s="191"/>
      <c r="LT176" s="191"/>
      <c r="LU176" s="191"/>
      <c r="LV176" s="191"/>
      <c r="LW176" s="191"/>
      <c r="LX176" s="191"/>
      <c r="LY176" s="191"/>
      <c r="LZ176" s="191"/>
      <c r="MA176" s="191"/>
      <c r="MB176" s="191"/>
      <c r="MC176" s="191"/>
      <c r="MD176" s="191"/>
      <c r="ME176" s="191">
        <v>200</v>
      </c>
      <c r="MF176" s="191"/>
      <c r="MG176" s="191"/>
      <c r="MH176" s="191"/>
      <c r="MI176" s="191"/>
      <c r="MJ176" s="191"/>
      <c r="MK176" s="191"/>
      <c r="ML176" s="191">
        <v>50</v>
      </c>
      <c r="MM176" s="191"/>
      <c r="MN176" s="191"/>
      <c r="MO176" s="191"/>
      <c r="MP176" s="191"/>
      <c r="MQ176" s="191"/>
      <c r="MR176" s="191"/>
      <c r="MS176" s="193">
        <v>50</v>
      </c>
      <c r="MT176" s="194"/>
      <c r="MU176" s="191"/>
      <c r="MV176" s="191"/>
      <c r="MW176" s="191"/>
      <c r="MX176" s="191"/>
      <c r="MY176" s="191"/>
      <c r="MZ176" s="191">
        <v>10</v>
      </c>
      <c r="NA176" s="191"/>
      <c r="NB176" s="191"/>
      <c r="NC176" s="191"/>
      <c r="ND176" s="191"/>
      <c r="NE176" s="191"/>
      <c r="NF176" s="191"/>
      <c r="NG176" s="191">
        <v>10</v>
      </c>
      <c r="NH176" s="191"/>
      <c r="NI176" s="191"/>
      <c r="NJ176" s="191"/>
      <c r="NK176" s="191"/>
      <c r="NL176" s="191"/>
      <c r="NM176" s="191"/>
      <c r="NN176" s="191">
        <v>10</v>
      </c>
      <c r="NO176" s="191"/>
      <c r="NP176" s="191"/>
      <c r="NQ176" s="191"/>
      <c r="NR176" s="191"/>
      <c r="NS176" s="191"/>
      <c r="NT176" s="191"/>
      <c r="NU176" s="191">
        <v>50</v>
      </c>
      <c r="NV176" s="191"/>
      <c r="NW176" s="192"/>
      <c r="NX176" s="190"/>
      <c r="NY176" s="191"/>
      <c r="NZ176" s="191"/>
      <c r="OA176" s="191"/>
      <c r="OB176" s="191">
        <v>50</v>
      </c>
      <c r="OC176" s="191"/>
      <c r="OD176" s="191"/>
      <c r="OE176" s="191"/>
      <c r="OF176" s="191"/>
      <c r="OG176" s="191"/>
      <c r="OH176" s="191"/>
      <c r="OI176" s="191">
        <v>50</v>
      </c>
      <c r="OJ176" s="191"/>
      <c r="OK176" s="191"/>
      <c r="OL176" s="191"/>
      <c r="OM176" s="191"/>
      <c r="ON176" s="191"/>
      <c r="OO176" s="191"/>
      <c r="OP176" s="191"/>
      <c r="OQ176" s="191"/>
      <c r="OR176" s="191"/>
      <c r="OS176" s="191"/>
      <c r="OT176" s="191"/>
      <c r="OU176" s="191"/>
      <c r="OV176" s="191"/>
      <c r="OW176" s="191"/>
      <c r="OX176" s="191"/>
      <c r="OY176" s="191"/>
      <c r="OZ176" s="191"/>
      <c r="PA176" s="191"/>
      <c r="PB176" s="193"/>
      <c r="PC176" s="47"/>
      <c r="PD176" s="154" t="s">
        <v>97</v>
      </c>
      <c r="PE176" s="155" t="s">
        <v>98</v>
      </c>
      <c r="PF176" s="155" t="s">
        <v>98</v>
      </c>
      <c r="PG176" s="155" t="s">
        <v>98</v>
      </c>
      <c r="PH176" s="155" t="s">
        <v>98</v>
      </c>
      <c r="PI176" s="155" t="s">
        <v>98</v>
      </c>
      <c r="PJ176" s="155" t="s">
        <v>98</v>
      </c>
      <c r="PK176" s="155" t="s">
        <v>98</v>
      </c>
      <c r="PL176" s="155" t="s">
        <v>98</v>
      </c>
      <c r="PM176" s="155" t="s">
        <v>98</v>
      </c>
      <c r="PN176" s="155" t="s">
        <v>98</v>
      </c>
      <c r="PO176" s="156"/>
      <c r="PP176" s="156"/>
      <c r="PQ176" s="156"/>
      <c r="PR176" s="156"/>
      <c r="PS176" s="156"/>
      <c r="PT176" s="156"/>
      <c r="PU176" s="156"/>
      <c r="PV176" s="156"/>
      <c r="PW176" s="156"/>
      <c r="PX176" s="195"/>
      <c r="PY176" s="1"/>
      <c r="PZ176" s="196">
        <f t="shared" si="126"/>
        <v>220</v>
      </c>
      <c r="QA176" s="176">
        <f t="shared" si="127"/>
        <v>1.8353215983982648E-3</v>
      </c>
      <c r="QB176" s="177" t="str">
        <f t="shared" ca="1" si="128"/>
        <v>Attente…</v>
      </c>
      <c r="QC176" s="197">
        <f t="shared" si="129"/>
        <v>120</v>
      </c>
      <c r="QD176" s="179">
        <f t="shared" si="130"/>
        <v>1.1235955056179776E-3</v>
      </c>
      <c r="QE176" s="180" t="str">
        <f t="shared" ca="1" si="131"/>
        <v>Attente…</v>
      </c>
      <c r="QF176" s="196">
        <f t="shared" si="132"/>
        <v>250</v>
      </c>
      <c r="QG176" s="176">
        <f t="shared" si="133"/>
        <v>1.9907628603280775E-3</v>
      </c>
      <c r="QH176" s="177" t="str">
        <f t="shared" ca="1" si="134"/>
        <v>Attente…</v>
      </c>
      <c r="QI176" s="197">
        <f t="shared" si="135"/>
        <v>350</v>
      </c>
      <c r="QJ176" s="179">
        <f t="shared" si="136"/>
        <v>2.4547622387431616E-3</v>
      </c>
      <c r="QK176" s="180" t="str">
        <f t="shared" ca="1" si="137"/>
        <v>Attente…</v>
      </c>
      <c r="QL176" s="196">
        <f t="shared" si="138"/>
        <v>250</v>
      </c>
      <c r="QM176" s="176">
        <f t="shared" si="139"/>
        <v>1.8290898448931811E-3</v>
      </c>
      <c r="QN176" s="177" t="str">
        <f t="shared" ca="1" si="140"/>
        <v>Attente…</v>
      </c>
      <c r="QO176" s="197">
        <f t="shared" si="141"/>
        <v>60</v>
      </c>
      <c r="QP176" s="179">
        <f t="shared" si="142"/>
        <v>4.6974085962577314E-4</v>
      </c>
      <c r="QQ176" s="180" t="str">
        <f t="shared" ca="1" si="143"/>
        <v>Attente…</v>
      </c>
      <c r="QR176" s="196">
        <f t="shared" si="144"/>
        <v>210</v>
      </c>
      <c r="QS176" s="176">
        <f t="shared" si="145"/>
        <v>1.5118246283431123E-3</v>
      </c>
      <c r="QT176" s="177" t="str">
        <f t="shared" ca="1" si="146"/>
        <v>Attente…</v>
      </c>
      <c r="QU176" s="197">
        <f t="shared" si="147"/>
        <v>260</v>
      </c>
      <c r="QV176" s="179">
        <f t="shared" si="148"/>
        <v>1.7926089354660783E-3</v>
      </c>
      <c r="QW176" s="180" t="str">
        <f t="shared" ca="1" si="149"/>
        <v>Attente…</v>
      </c>
      <c r="QX176" s="196">
        <f t="shared" si="150"/>
        <v>10</v>
      </c>
      <c r="QY176" s="176">
        <f t="shared" si="151"/>
        <v>7.2973525205055601E-5</v>
      </c>
      <c r="QZ176" s="177" t="str">
        <f t="shared" ca="1" si="152"/>
        <v>Attente…</v>
      </c>
      <c r="RA176" s="197">
        <f t="shared" si="153"/>
        <v>300</v>
      </c>
      <c r="RB176" s="179">
        <f t="shared" si="154"/>
        <v>2.3472341757295985E-3</v>
      </c>
      <c r="RC176" s="180" t="str">
        <f t="shared" ca="1" si="155"/>
        <v>Attente…</v>
      </c>
      <c r="RD176" s="196">
        <f t="shared" si="156"/>
        <v>80</v>
      </c>
      <c r="RE176" s="176">
        <f t="shared" si="157"/>
        <v>7.9713033080908732E-4</v>
      </c>
      <c r="RF176" s="177" t="str">
        <f t="shared" ca="1" si="158"/>
        <v>Attente…</v>
      </c>
      <c r="RG176" s="197">
        <f t="shared" si="159"/>
        <v>100</v>
      </c>
      <c r="RH176" s="179">
        <f t="shared" si="160"/>
        <v>1.8392495861688431E-3</v>
      </c>
      <c r="RI176" s="198" t="str">
        <f t="shared" ca="1" si="161"/>
        <v>Attente…</v>
      </c>
      <c r="RJ176" s="199">
        <f t="shared" si="162"/>
        <v>590</v>
      </c>
      <c r="RK176" s="200" t="str">
        <f t="shared" ca="1" si="119"/>
        <v>Attente…</v>
      </c>
      <c r="RL176" s="199">
        <f t="shared" si="163"/>
        <v>660</v>
      </c>
      <c r="RM176" s="200" t="str">
        <f t="shared" ca="1" si="164"/>
        <v>Atttente…</v>
      </c>
      <c r="RN176" s="199">
        <f t="shared" si="165"/>
        <v>480</v>
      </c>
      <c r="RO176" s="200" t="str">
        <f t="shared" ca="1" si="120"/>
        <v>Attente…</v>
      </c>
      <c r="RP176" s="199">
        <f t="shared" si="166"/>
        <v>480</v>
      </c>
      <c r="RQ176" s="200" t="str">
        <f t="shared" ca="1" si="121"/>
        <v>Attente…</v>
      </c>
      <c r="RR176" s="201">
        <f t="shared" si="167"/>
        <v>2210</v>
      </c>
      <c r="RS176" s="202" t="str">
        <f t="shared" ca="1" si="122"/>
        <v>Attente…</v>
      </c>
      <c r="RT176" s="103"/>
      <c r="RU176" s="203">
        <f t="shared" si="168"/>
        <v>0.31571428571428573</v>
      </c>
      <c r="RV176" s="204">
        <f t="shared" si="171"/>
        <v>1</v>
      </c>
      <c r="RW176" s="204">
        <f t="shared" si="171"/>
        <v>1</v>
      </c>
      <c r="RX176" s="204">
        <f t="shared" si="169"/>
        <v>35</v>
      </c>
      <c r="RY176" s="205" t="str">
        <f t="shared" si="170"/>
        <v>ROUEN - 59 Rue Crevier (Angle rue d'Herbouville)</v>
      </c>
      <c r="RZ176" s="189" t="str">
        <f>IF(OR(RZ175="",RZ175="  &lt;/Document&gt;
&lt;/kml&gt;"),"",
IF(B176="","  &lt;/Document&gt;
&lt;/kml&gt;",
IF(TournéesCAV!Q174=""," ",
"    &lt;Placemark&gt;
      &lt;description&gt;&lt;![CDATA["&amp;B176&amp;"&lt;br&gt;&lt;br&gt;"&amp;RV176&amp;" CAV&lt;br&gt;&lt;br&gt;Présent sur "&amp;RW176&amp;" tournée(s)&lt;br&gt;&lt;br&gt;Taux de remplissage moyen "&amp;TEXT(RU176*1000,"0 %")&amp;"]]&gt;&lt;/description&gt;
      &lt;Style&gt;
        &lt;IconStyle&gt;
          &lt;color&gt;ff"&amp;
          DEC2HEX(0,2)&amp;
          DEC2HEX(
            IF(RU176&lt;=0.5,
               INT(255*(RU176*2)),
               255
            ),2)&amp;
          DEC2HEX(
            IF(RU176&lt;=0.5,
               255,
               INT(255*(1-(RU176-0.5)*2))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&lt;Point&gt;&lt;coordinates&gt;"&amp;R176&amp;","&amp;Q176&amp;",0&lt;/coordinates&gt;&lt;/Point&gt;
    &lt;/Placemark&gt;"
)))</f>
        <v xml:space="preserve">    &lt;Placemark&gt;
      &lt;description&gt;&lt;![CDATA[ROUEN - 59 Rue Crevier (Angle rue d'Herbouville)&lt;br&gt;&lt;br&gt;1 CAV&lt;br&gt;&lt;br&gt;Présent sur 1 tournée(s)&lt;br&gt;&lt;br&gt;Taux de remplissage moyen 32%]]&gt;&lt;/description&gt;
      &lt;Style&gt;
        &lt;IconStyle&gt;
          &lt;color&gt;ff00A1FF&lt;/color&gt;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&lt;Point&gt;&lt;coordinates&gt;1.086073,49.449081,0&lt;/coordinates&gt;&lt;/Point&gt;
    &lt;/Placemark&gt;</v>
      </c>
    </row>
    <row r="177" spans="2:494" ht="15" hidden="1" customHeight="1" x14ac:dyDescent="0.35">
      <c r="B177" s="153" t="str">
        <f t="shared" si="123"/>
        <v>ROUEN - 15 Rue Tabouret (Angle rue de la Cavée St Gervais)</v>
      </c>
      <c r="C177" s="154">
        <v>127</v>
      </c>
      <c r="D177" s="155"/>
      <c r="E177" s="155"/>
      <c r="F177" s="155"/>
      <c r="G177" s="155"/>
      <c r="H177" s="155"/>
      <c r="I177" s="155"/>
      <c r="J177" s="156"/>
      <c r="K177" s="157">
        <f t="shared" si="124"/>
        <v>1</v>
      </c>
      <c r="L177" s="157">
        <f t="shared" si="125"/>
        <v>1</v>
      </c>
      <c r="M177" s="158" t="s">
        <v>970</v>
      </c>
      <c r="N177" s="159" t="s">
        <v>971</v>
      </c>
      <c r="O177" s="159">
        <v>76000</v>
      </c>
      <c r="P177" s="159" t="s">
        <v>90</v>
      </c>
      <c r="Q177" s="159" t="s">
        <v>972</v>
      </c>
      <c r="R177" s="159" t="s">
        <v>973</v>
      </c>
      <c r="S177" s="159" t="s">
        <v>93</v>
      </c>
      <c r="T177" s="159" t="s">
        <v>94</v>
      </c>
      <c r="U177" s="159" t="s">
        <v>974</v>
      </c>
      <c r="V177" s="160" t="s">
        <v>96</v>
      </c>
      <c r="W177" s="161"/>
      <c r="X177" s="162">
        <v>22</v>
      </c>
      <c r="Y177" s="163"/>
      <c r="Z177" s="162"/>
      <c r="AA177" s="163"/>
      <c r="AB177" s="162"/>
      <c r="AC177" s="163"/>
      <c r="AD177" s="162"/>
      <c r="AE177" s="163"/>
      <c r="AF177" s="162"/>
      <c r="AG177" s="163"/>
      <c r="AH177" s="163"/>
      <c r="AI177" s="162"/>
      <c r="AJ177" s="163"/>
      <c r="AK177" s="162"/>
      <c r="AL177" s="163"/>
      <c r="AM177" s="162"/>
      <c r="AN177" s="163"/>
      <c r="AO177" s="162"/>
      <c r="AP177" s="164"/>
      <c r="AQ177" s="164"/>
      <c r="AR177" s="164"/>
      <c r="AS177" s="164"/>
      <c r="AT177" s="164"/>
      <c r="AU177" s="164"/>
      <c r="AV177" s="164"/>
      <c r="AW177" s="164"/>
      <c r="AX177" s="164"/>
      <c r="AY177" s="165"/>
      <c r="AZ177" s="41"/>
      <c r="BA177" s="190"/>
      <c r="BB177" s="191"/>
      <c r="BC177" s="191">
        <v>100</v>
      </c>
      <c r="BD177" s="191"/>
      <c r="BE177" s="191"/>
      <c r="BF177" s="191"/>
      <c r="BG177" s="191"/>
      <c r="BH177" s="191"/>
      <c r="BI177" s="191"/>
      <c r="BJ177" s="191">
        <v>50</v>
      </c>
      <c r="BK177" s="191"/>
      <c r="BL177" s="191"/>
      <c r="BM177" s="191"/>
      <c r="BN177" s="191"/>
      <c r="BO177" s="191"/>
      <c r="BP177" s="191"/>
      <c r="BQ177" s="191">
        <v>10</v>
      </c>
      <c r="BR177" s="191"/>
      <c r="BS177" s="191"/>
      <c r="BT177" s="191"/>
      <c r="BU177" s="191"/>
      <c r="BV177" s="191"/>
      <c r="BW177" s="191"/>
      <c r="BX177" s="191">
        <v>50</v>
      </c>
      <c r="BY177" s="191"/>
      <c r="BZ177" s="191"/>
      <c r="CA177" s="191"/>
      <c r="CB177" s="191"/>
      <c r="CC177" s="191"/>
      <c r="CD177" s="191"/>
      <c r="CE177" s="192">
        <v>10</v>
      </c>
      <c r="CF177" s="190"/>
      <c r="CG177" s="191"/>
      <c r="CH177" s="191"/>
      <c r="CI177" s="191"/>
      <c r="CJ177" s="191"/>
      <c r="CK177" s="191"/>
      <c r="CL177" s="191">
        <v>50</v>
      </c>
      <c r="CM177" s="191"/>
      <c r="CN177" s="191"/>
      <c r="CO177" s="191"/>
      <c r="CP177" s="191"/>
      <c r="CQ177" s="191"/>
      <c r="CR177" s="191"/>
      <c r="CS177" s="191">
        <v>50</v>
      </c>
      <c r="CT177" s="191"/>
      <c r="CU177" s="191"/>
      <c r="CV177" s="191"/>
      <c r="CW177" s="191"/>
      <c r="CX177" s="191"/>
      <c r="CY177" s="191"/>
      <c r="CZ177" s="191">
        <v>50</v>
      </c>
      <c r="DA177" s="191"/>
      <c r="DB177" s="191"/>
      <c r="DC177" s="191"/>
      <c r="DD177" s="191"/>
      <c r="DE177" s="191"/>
      <c r="DF177" s="191"/>
      <c r="DG177" s="191">
        <v>50</v>
      </c>
      <c r="DH177" s="193"/>
      <c r="DI177" s="194"/>
      <c r="DJ177" s="191"/>
      <c r="DK177" s="191"/>
      <c r="DL177" s="191"/>
      <c r="DM177" s="191"/>
      <c r="DN177" s="191"/>
      <c r="DO177" s="191"/>
      <c r="DP177" s="191"/>
      <c r="DQ177" s="191"/>
      <c r="DR177" s="191"/>
      <c r="DS177" s="191"/>
      <c r="DT177" s="191"/>
      <c r="DU177" s="191"/>
      <c r="DV177" s="191">
        <v>10</v>
      </c>
      <c r="DW177" s="191"/>
      <c r="DX177" s="191"/>
      <c r="DY177" s="191"/>
      <c r="DZ177" s="191"/>
      <c r="EA177" s="191"/>
      <c r="EB177" s="191"/>
      <c r="EC177" s="191">
        <v>100</v>
      </c>
      <c r="ED177" s="191"/>
      <c r="EE177" s="191"/>
      <c r="EF177" s="191"/>
      <c r="EG177" s="191"/>
      <c r="EH177" s="191"/>
      <c r="EI177" s="191"/>
      <c r="EJ177" s="191">
        <v>50</v>
      </c>
      <c r="EK177" s="191"/>
      <c r="EL177" s="191"/>
      <c r="EM177" s="192"/>
      <c r="EN177" s="190"/>
      <c r="EO177" s="191"/>
      <c r="EP177" s="191"/>
      <c r="EQ177" s="191">
        <v>50</v>
      </c>
      <c r="ER177" s="191"/>
      <c r="ES177" s="191"/>
      <c r="ET177" s="191"/>
      <c r="EU177" s="191"/>
      <c r="EV177" s="191"/>
      <c r="EW177" s="191"/>
      <c r="EX177" s="191">
        <v>150</v>
      </c>
      <c r="EY177" s="191"/>
      <c r="EZ177" s="191"/>
      <c r="FA177" s="191"/>
      <c r="FB177" s="191"/>
      <c r="FC177" s="191"/>
      <c r="FD177" s="191"/>
      <c r="FE177" s="191">
        <v>100</v>
      </c>
      <c r="FF177" s="191"/>
      <c r="FG177" s="191"/>
      <c r="FH177" s="191"/>
      <c r="FI177" s="191"/>
      <c r="FJ177" s="191"/>
      <c r="FK177" s="191">
        <v>50</v>
      </c>
      <c r="FL177" s="191"/>
      <c r="FM177" s="191"/>
      <c r="FN177" s="191"/>
      <c r="FO177" s="191"/>
      <c r="FP177" s="191"/>
      <c r="FQ177" s="193"/>
      <c r="FR177" s="194"/>
      <c r="FS177" s="191"/>
      <c r="FT177" s="191"/>
      <c r="FU177" s="191"/>
      <c r="FV177" s="191"/>
      <c r="FW177" s="191"/>
      <c r="FX177" s="191"/>
      <c r="FY177" s="191"/>
      <c r="FZ177" s="191">
        <v>100</v>
      </c>
      <c r="GA177" s="191"/>
      <c r="GB177" s="191"/>
      <c r="GC177" s="191"/>
      <c r="GD177" s="191"/>
      <c r="GE177" s="191"/>
      <c r="GF177" s="191"/>
      <c r="GG177" s="191">
        <v>50</v>
      </c>
      <c r="GH177" s="191"/>
      <c r="GI177" s="191"/>
      <c r="GJ177" s="191"/>
      <c r="GK177" s="191"/>
      <c r="GL177" s="191"/>
      <c r="GM177" s="191"/>
      <c r="GN177" s="191">
        <v>100</v>
      </c>
      <c r="GO177" s="191"/>
      <c r="GP177" s="191"/>
      <c r="GQ177" s="191"/>
      <c r="GR177" s="191"/>
      <c r="GS177" s="191"/>
      <c r="GT177" s="191"/>
      <c r="GU177" s="191"/>
      <c r="GV177" s="192"/>
      <c r="GW177" s="190"/>
      <c r="GX177" s="191"/>
      <c r="GY177" s="191"/>
      <c r="GZ177" s="191"/>
      <c r="HA177" s="191"/>
      <c r="HB177" s="191">
        <v>100</v>
      </c>
      <c r="HC177" s="191"/>
      <c r="HD177" s="191"/>
      <c r="HE177" s="191"/>
      <c r="HF177" s="191"/>
      <c r="HG177" s="191"/>
      <c r="HH177" s="191"/>
      <c r="HI177" s="191">
        <v>50</v>
      </c>
      <c r="HJ177" s="191"/>
      <c r="HK177" s="191"/>
      <c r="HL177" s="191"/>
      <c r="HM177" s="191"/>
      <c r="HN177" s="191"/>
      <c r="HO177" s="191">
        <v>50</v>
      </c>
      <c r="HP177" s="191"/>
      <c r="HQ177" s="191"/>
      <c r="HR177" s="191"/>
      <c r="HS177" s="191"/>
      <c r="HT177" s="191"/>
      <c r="HU177" s="191"/>
      <c r="HV177" s="191"/>
      <c r="HW177" s="191">
        <v>50</v>
      </c>
      <c r="HX177" s="191"/>
      <c r="HY177" s="191"/>
      <c r="HZ177" s="193"/>
      <c r="IA177" s="194"/>
      <c r="IB177" s="191"/>
      <c r="IC177" s="191"/>
      <c r="ID177" s="191">
        <v>50</v>
      </c>
      <c r="IE177" s="191"/>
      <c r="IF177" s="191"/>
      <c r="IG177" s="191"/>
      <c r="IH177" s="191"/>
      <c r="II177" s="191"/>
      <c r="IJ177" s="191">
        <v>10</v>
      </c>
      <c r="IK177" s="191"/>
      <c r="IL177" s="191"/>
      <c r="IM177" s="191"/>
      <c r="IN177" s="191"/>
      <c r="IO177" s="191"/>
      <c r="IP177" s="191"/>
      <c r="IQ177" s="191"/>
      <c r="IR177" s="191"/>
      <c r="IS177" s="191"/>
      <c r="IT177" s="191"/>
      <c r="IU177" s="191"/>
      <c r="IV177" s="191"/>
      <c r="IW177" s="191"/>
      <c r="IX177" s="191"/>
      <c r="IY177" s="191"/>
      <c r="IZ177" s="191"/>
      <c r="JA177" s="191"/>
      <c r="JB177" s="191"/>
      <c r="JC177" s="191"/>
      <c r="JD177" s="191"/>
      <c r="JE177" s="192"/>
      <c r="JF177" s="190">
        <v>50</v>
      </c>
      <c r="JG177" s="191"/>
      <c r="JH177" s="191"/>
      <c r="JI177" s="191"/>
      <c r="JJ177" s="191"/>
      <c r="JK177" s="191"/>
      <c r="JL177" s="191"/>
      <c r="JM177" s="191">
        <v>100</v>
      </c>
      <c r="JN177" s="191"/>
      <c r="JO177" s="191"/>
      <c r="JP177" s="191"/>
      <c r="JQ177" s="191"/>
      <c r="JR177" s="191"/>
      <c r="JS177" s="191"/>
      <c r="JT177" s="191"/>
      <c r="JU177" s="191"/>
      <c r="JV177" s="191"/>
      <c r="JW177" s="191"/>
      <c r="JX177" s="191"/>
      <c r="JY177" s="191"/>
      <c r="JZ177" s="191"/>
      <c r="KA177" s="191">
        <v>100</v>
      </c>
      <c r="KB177" s="191"/>
      <c r="KC177" s="191"/>
      <c r="KD177" s="191"/>
      <c r="KE177" s="191"/>
      <c r="KF177" s="191"/>
      <c r="KG177" s="191"/>
      <c r="KH177" s="191">
        <v>50</v>
      </c>
      <c r="KI177" s="191"/>
      <c r="KJ177" s="193"/>
      <c r="KK177" s="194"/>
      <c r="KL177" s="191"/>
      <c r="KM177" s="191"/>
      <c r="KN177" s="191">
        <v>50</v>
      </c>
      <c r="KO177" s="191"/>
      <c r="KP177" s="191"/>
      <c r="KQ177" s="191"/>
      <c r="KR177" s="191"/>
      <c r="KS177" s="191"/>
      <c r="KT177" s="191"/>
      <c r="KU177" s="191"/>
      <c r="KV177" s="191">
        <v>10</v>
      </c>
      <c r="KW177" s="191"/>
      <c r="KX177" s="191"/>
      <c r="KY177" s="191"/>
      <c r="KZ177" s="191"/>
      <c r="LA177" s="191"/>
      <c r="LB177" s="191"/>
      <c r="LC177" s="191">
        <v>50</v>
      </c>
      <c r="LD177" s="191"/>
      <c r="LE177" s="191"/>
      <c r="LF177" s="191"/>
      <c r="LG177" s="191"/>
      <c r="LH177" s="191"/>
      <c r="LI177" s="191"/>
      <c r="LJ177" s="191">
        <v>50</v>
      </c>
      <c r="LK177" s="191"/>
      <c r="LL177" s="191"/>
      <c r="LM177" s="191"/>
      <c r="LN177" s="192"/>
      <c r="LO177" s="190"/>
      <c r="LP177" s="191"/>
      <c r="LQ177" s="191"/>
      <c r="LR177" s="191"/>
      <c r="LS177" s="191"/>
      <c r="LT177" s="191"/>
      <c r="LU177" s="191"/>
      <c r="LV177" s="191"/>
      <c r="LW177" s="191"/>
      <c r="LX177" s="191">
        <v>100</v>
      </c>
      <c r="LY177" s="191"/>
      <c r="LZ177" s="191"/>
      <c r="MA177" s="191"/>
      <c r="MB177" s="191"/>
      <c r="MC177" s="191"/>
      <c r="MD177" s="191"/>
      <c r="ME177" s="191">
        <v>10</v>
      </c>
      <c r="MF177" s="191"/>
      <c r="MG177" s="191"/>
      <c r="MH177" s="191"/>
      <c r="MI177" s="191"/>
      <c r="MJ177" s="191"/>
      <c r="MK177" s="191"/>
      <c r="ML177" s="191">
        <v>50</v>
      </c>
      <c r="MM177" s="191"/>
      <c r="MN177" s="191"/>
      <c r="MO177" s="191"/>
      <c r="MP177" s="191"/>
      <c r="MQ177" s="191"/>
      <c r="MR177" s="191"/>
      <c r="MS177" s="193">
        <v>100</v>
      </c>
      <c r="MT177" s="194"/>
      <c r="MU177" s="191"/>
      <c r="MV177" s="191"/>
      <c r="MW177" s="191"/>
      <c r="MX177" s="191"/>
      <c r="MY177" s="191"/>
      <c r="MZ177" s="191">
        <v>50</v>
      </c>
      <c r="NA177" s="191"/>
      <c r="NB177" s="191"/>
      <c r="NC177" s="191"/>
      <c r="ND177" s="191"/>
      <c r="NE177" s="191"/>
      <c r="NF177" s="191"/>
      <c r="NG177" s="191">
        <v>50</v>
      </c>
      <c r="NH177" s="191"/>
      <c r="NI177" s="191"/>
      <c r="NJ177" s="191"/>
      <c r="NK177" s="191"/>
      <c r="NL177" s="191"/>
      <c r="NM177" s="191"/>
      <c r="NN177" s="191">
        <v>10</v>
      </c>
      <c r="NO177" s="191"/>
      <c r="NP177" s="191"/>
      <c r="NQ177" s="191"/>
      <c r="NR177" s="191"/>
      <c r="NS177" s="191"/>
      <c r="NT177" s="191"/>
      <c r="NU177" s="191">
        <v>10</v>
      </c>
      <c r="NV177" s="191"/>
      <c r="NW177" s="192"/>
      <c r="NX177" s="190"/>
      <c r="NY177" s="191"/>
      <c r="NZ177" s="191"/>
      <c r="OA177" s="191"/>
      <c r="OB177" s="191">
        <v>50</v>
      </c>
      <c r="OC177" s="191"/>
      <c r="OD177" s="191"/>
      <c r="OE177" s="191"/>
      <c r="OF177" s="191"/>
      <c r="OG177" s="191"/>
      <c r="OH177" s="191"/>
      <c r="OI177" s="191">
        <v>10</v>
      </c>
      <c r="OJ177" s="191"/>
      <c r="OK177" s="191"/>
      <c r="OL177" s="191"/>
      <c r="OM177" s="191"/>
      <c r="ON177" s="191"/>
      <c r="OO177" s="191"/>
      <c r="OP177" s="191"/>
      <c r="OQ177" s="191"/>
      <c r="OR177" s="191"/>
      <c r="OS177" s="191"/>
      <c r="OT177" s="191"/>
      <c r="OU177" s="191"/>
      <c r="OV177" s="191"/>
      <c r="OW177" s="191"/>
      <c r="OX177" s="191"/>
      <c r="OY177" s="191"/>
      <c r="OZ177" s="191"/>
      <c r="PA177" s="191"/>
      <c r="PB177" s="193"/>
      <c r="PC177" s="47"/>
      <c r="PD177" s="154" t="s">
        <v>97</v>
      </c>
      <c r="PE177" s="155" t="s">
        <v>98</v>
      </c>
      <c r="PF177" s="155" t="s">
        <v>98</v>
      </c>
      <c r="PG177" s="155" t="s">
        <v>98</v>
      </c>
      <c r="PH177" s="155" t="s">
        <v>98</v>
      </c>
      <c r="PI177" s="155" t="s">
        <v>98</v>
      </c>
      <c r="PJ177" s="155" t="s">
        <v>98</v>
      </c>
      <c r="PK177" s="155" t="s">
        <v>98</v>
      </c>
      <c r="PL177" s="155" t="s">
        <v>98</v>
      </c>
      <c r="PM177" s="155" t="s">
        <v>98</v>
      </c>
      <c r="PN177" s="155" t="s">
        <v>98</v>
      </c>
      <c r="PO177" s="156"/>
      <c r="PP177" s="156"/>
      <c r="PQ177" s="156"/>
      <c r="PR177" s="156"/>
      <c r="PS177" s="156"/>
      <c r="PT177" s="156"/>
      <c r="PU177" s="156"/>
      <c r="PV177" s="156"/>
      <c r="PW177" s="156"/>
      <c r="PX177" s="195"/>
      <c r="PY177" s="1"/>
      <c r="PZ177" s="196">
        <f t="shared" si="126"/>
        <v>220</v>
      </c>
      <c r="QA177" s="176">
        <f t="shared" si="127"/>
        <v>1.8353215983982648E-3</v>
      </c>
      <c r="QB177" s="177" t="str">
        <f t="shared" ca="1" si="128"/>
        <v>Attente…</v>
      </c>
      <c r="QC177" s="197">
        <f t="shared" si="129"/>
        <v>200</v>
      </c>
      <c r="QD177" s="179">
        <f t="shared" si="130"/>
        <v>1.8726591760299626E-3</v>
      </c>
      <c r="QE177" s="180" t="str">
        <f t="shared" ca="1" si="131"/>
        <v>Attente…</v>
      </c>
      <c r="QF177" s="196">
        <f t="shared" si="132"/>
        <v>160</v>
      </c>
      <c r="QG177" s="176">
        <f t="shared" si="133"/>
        <v>1.2740882306099697E-3</v>
      </c>
      <c r="QH177" s="177" t="str">
        <f t="shared" ca="1" si="134"/>
        <v>Attente…</v>
      </c>
      <c r="QI177" s="197">
        <f t="shared" si="135"/>
        <v>350</v>
      </c>
      <c r="QJ177" s="179">
        <f t="shared" si="136"/>
        <v>2.4547622387431616E-3</v>
      </c>
      <c r="QK177" s="180" t="str">
        <f t="shared" ca="1" si="137"/>
        <v>Attente…</v>
      </c>
      <c r="QL177" s="196">
        <f t="shared" si="138"/>
        <v>250</v>
      </c>
      <c r="QM177" s="176">
        <f t="shared" si="139"/>
        <v>1.8290898448931811E-3</v>
      </c>
      <c r="QN177" s="177" t="str">
        <f t="shared" ca="1" si="140"/>
        <v>Attente…</v>
      </c>
      <c r="QO177" s="197">
        <f t="shared" si="141"/>
        <v>250</v>
      </c>
      <c r="QP177" s="179">
        <f t="shared" si="142"/>
        <v>1.9572535817740547E-3</v>
      </c>
      <c r="QQ177" s="180" t="str">
        <f t="shared" ca="1" si="143"/>
        <v>Attente…</v>
      </c>
      <c r="QR177" s="196">
        <f t="shared" si="144"/>
        <v>60</v>
      </c>
      <c r="QS177" s="176">
        <f t="shared" si="145"/>
        <v>4.3194989381231777E-4</v>
      </c>
      <c r="QT177" s="177" t="str">
        <f t="shared" ca="1" si="146"/>
        <v>Attente…</v>
      </c>
      <c r="QU177" s="197">
        <f t="shared" si="147"/>
        <v>300</v>
      </c>
      <c r="QV177" s="179">
        <f t="shared" si="148"/>
        <v>2.0683949255377826E-3</v>
      </c>
      <c r="QW177" s="180" t="str">
        <f t="shared" ca="1" si="149"/>
        <v>Attente…</v>
      </c>
      <c r="QX177" s="196">
        <f t="shared" si="150"/>
        <v>160</v>
      </c>
      <c r="QY177" s="176">
        <f t="shared" si="151"/>
        <v>1.1675764032808896E-3</v>
      </c>
      <c r="QZ177" s="177" t="str">
        <f t="shared" ca="1" si="152"/>
        <v>Attente…</v>
      </c>
      <c r="RA177" s="197">
        <f t="shared" si="153"/>
        <v>260</v>
      </c>
      <c r="RB177" s="179">
        <f t="shared" si="154"/>
        <v>2.0342696189656522E-3</v>
      </c>
      <c r="RC177" s="180" t="str">
        <f t="shared" ca="1" si="155"/>
        <v>Attente…</v>
      </c>
      <c r="RD177" s="196">
        <f t="shared" si="156"/>
        <v>120</v>
      </c>
      <c r="RE177" s="176">
        <f t="shared" si="157"/>
        <v>1.1956954962136308E-3</v>
      </c>
      <c r="RF177" s="177" t="str">
        <f t="shared" ca="1" si="158"/>
        <v>Attente…</v>
      </c>
      <c r="RG177" s="197">
        <f t="shared" si="159"/>
        <v>60</v>
      </c>
      <c r="RH177" s="179">
        <f t="shared" si="160"/>
        <v>1.1035497517013059E-3</v>
      </c>
      <c r="RI177" s="198" t="str">
        <f t="shared" ca="1" si="161"/>
        <v>Attente…</v>
      </c>
      <c r="RJ177" s="199">
        <f t="shared" si="162"/>
        <v>580</v>
      </c>
      <c r="RK177" s="200" t="str">
        <f t="shared" ca="1" si="119"/>
        <v>Attente…</v>
      </c>
      <c r="RL177" s="199">
        <f t="shared" si="163"/>
        <v>850</v>
      </c>
      <c r="RM177" s="200" t="str">
        <f t="shared" ca="1" si="164"/>
        <v>Atttente…</v>
      </c>
      <c r="RN177" s="199">
        <f t="shared" si="165"/>
        <v>520</v>
      </c>
      <c r="RO177" s="200" t="str">
        <f t="shared" ca="1" si="120"/>
        <v>Attente…</v>
      </c>
      <c r="RP177" s="199">
        <f t="shared" si="166"/>
        <v>440</v>
      </c>
      <c r="RQ177" s="200" t="str">
        <f t="shared" ca="1" si="121"/>
        <v>Attente…</v>
      </c>
      <c r="RR177" s="201">
        <f t="shared" si="167"/>
        <v>2390</v>
      </c>
      <c r="RS177" s="202" t="str">
        <f t="shared" ca="1" si="122"/>
        <v>Attente…</v>
      </c>
      <c r="RT177" s="103"/>
      <c r="RU177" s="203">
        <f t="shared" si="168"/>
        <v>0.27790697674418607</v>
      </c>
      <c r="RV177" s="204">
        <f t="shared" si="171"/>
        <v>1</v>
      </c>
      <c r="RW177" s="204">
        <f t="shared" si="171"/>
        <v>1</v>
      </c>
      <c r="RX177" s="204">
        <f t="shared" si="169"/>
        <v>43</v>
      </c>
      <c r="RY177" s="205" t="str">
        <f t="shared" si="170"/>
        <v>ROUEN - 15 Rue Tabouret (Angle rue de la Cavée St Gervais)</v>
      </c>
      <c r="RZ177" s="189" t="str">
        <f>IF(OR(RZ176="",RZ176="  &lt;/Document&gt;
&lt;/kml&gt;"),"",
IF(B177="","  &lt;/Document&gt;
&lt;/kml&gt;",
IF(TournéesCAV!Q178=""," ",
"    &lt;Placemark&gt;
      &lt;description&gt;&lt;![CDATA["&amp;B177&amp;"&lt;br&gt;&lt;br&gt;"&amp;RV177&amp;" CAV&lt;br&gt;&lt;br&gt;Présent sur "&amp;RW177&amp;" tournée(s)&lt;br&gt;&lt;br&gt;Taux de remplissage moyen "&amp;TEXT(RU177*1000,"0 %")&amp;"]]&gt;&lt;/description&gt;
      &lt;Style&gt;
        &lt;IconStyle&gt;
          &lt;color&gt;ff"&amp;
          DEC2HEX(0,2)&amp;
          DEC2HEX(
            IF(RU177&lt;=0.5,
               INT(255*(RU177*2)),
               255
            ),2)&amp;
          DEC2HEX(
            IF(RU177&lt;=0.5,
               255,
               INT(255*(1-(RU177-0.5)*2))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&lt;Point&gt;&lt;coordinates&gt;"&amp;R177&amp;","&amp;Q177&amp;",0&lt;/coordinates&gt;&lt;/Point&gt;
    &lt;/Placemark&gt;"
)))</f>
        <v xml:space="preserve">    &lt;Placemark&gt;
      &lt;description&gt;&lt;![CDATA[ROUEN - 15 Rue Tabouret (Angle rue de la Cavée St Gervais)&lt;br&gt;&lt;br&gt;1 CAV&lt;br&gt;&lt;br&gt;Présent sur 1 tournée(s)&lt;br&gt;&lt;br&gt;Taux de remplissage moyen 28%]]&gt;&lt;/description&gt;
      &lt;Style&gt;
        &lt;IconStyle&gt;
          &lt;color&gt;ff008DFF&lt;/color&gt;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&lt;Point&gt;&lt;coordinates&gt;1.0840698,49.449783,0&lt;/coordinates&gt;&lt;/Point&gt;
    &lt;/Placemark&gt;</v>
      </c>
    </row>
    <row r="178" spans="2:494" ht="15" customHeight="1" x14ac:dyDescent="0.35">
      <c r="B178" s="153" t="str">
        <f t="shared" si="123"/>
        <v>ROUEN - 65 Rue Saint Maur (Angle rue Maladrerie)</v>
      </c>
      <c r="C178" s="154">
        <v>128</v>
      </c>
      <c r="D178" s="155"/>
      <c r="E178" s="155"/>
      <c r="F178" s="155"/>
      <c r="G178" s="155"/>
      <c r="H178" s="155"/>
      <c r="I178" s="155"/>
      <c r="J178" s="156"/>
      <c r="K178" s="157">
        <f t="shared" si="124"/>
        <v>1</v>
      </c>
      <c r="L178" s="157">
        <f t="shared" si="125"/>
        <v>2</v>
      </c>
      <c r="M178" s="158" t="s">
        <v>975</v>
      </c>
      <c r="N178" s="159" t="s">
        <v>976</v>
      </c>
      <c r="O178" s="159">
        <v>76000</v>
      </c>
      <c r="P178" s="159" t="s">
        <v>90</v>
      </c>
      <c r="Q178" s="159" t="s">
        <v>977</v>
      </c>
      <c r="R178" s="159" t="s">
        <v>978</v>
      </c>
      <c r="S178" s="159" t="s">
        <v>93</v>
      </c>
      <c r="T178" s="159" t="s">
        <v>94</v>
      </c>
      <c r="U178" s="159" t="s">
        <v>979</v>
      </c>
      <c r="V178" s="160" t="s">
        <v>96</v>
      </c>
      <c r="W178" s="210">
        <v>21</v>
      </c>
      <c r="X178" s="162">
        <v>24</v>
      </c>
      <c r="Y178" s="162"/>
      <c r="Z178" s="162"/>
      <c r="AA178" s="162"/>
      <c r="AB178" s="162"/>
      <c r="AC178" s="162"/>
      <c r="AD178" s="162"/>
      <c r="AE178" s="162"/>
      <c r="AF178" s="162"/>
      <c r="AG178" s="162"/>
      <c r="AH178" s="162"/>
      <c r="AI178" s="162"/>
      <c r="AJ178" s="162"/>
      <c r="AK178" s="162"/>
      <c r="AL178" s="162"/>
      <c r="AM178" s="162"/>
      <c r="AN178" s="162"/>
      <c r="AO178" s="162"/>
      <c r="AP178" s="164"/>
      <c r="AQ178" s="164"/>
      <c r="AR178" s="164"/>
      <c r="AS178" s="164"/>
      <c r="AT178" s="164"/>
      <c r="AU178" s="164"/>
      <c r="AV178" s="164"/>
      <c r="AW178" s="164"/>
      <c r="AX178" s="164"/>
      <c r="AY178" s="165"/>
      <c r="AZ178" s="41"/>
      <c r="BA178" s="190"/>
      <c r="BB178" s="191"/>
      <c r="BC178" s="191"/>
      <c r="BD178" s="191"/>
      <c r="BE178" s="191"/>
      <c r="BF178" s="191"/>
      <c r="BG178" s="191"/>
      <c r="BH178" s="191"/>
      <c r="BI178" s="191"/>
      <c r="BJ178" s="191">
        <v>10</v>
      </c>
      <c r="BK178" s="191"/>
      <c r="BL178" s="191"/>
      <c r="BM178" s="191">
        <v>10</v>
      </c>
      <c r="BN178" s="191"/>
      <c r="BO178" s="191"/>
      <c r="BP178" s="191"/>
      <c r="BQ178" s="191">
        <v>10</v>
      </c>
      <c r="BR178" s="191"/>
      <c r="BS178" s="191"/>
      <c r="BT178" s="191"/>
      <c r="BU178" s="191"/>
      <c r="BV178" s="191"/>
      <c r="BW178" s="191"/>
      <c r="BX178" s="191">
        <v>100</v>
      </c>
      <c r="BY178" s="191"/>
      <c r="BZ178" s="191"/>
      <c r="CA178" s="191">
        <v>100</v>
      </c>
      <c r="CB178" s="191"/>
      <c r="CC178" s="191"/>
      <c r="CD178" s="191"/>
      <c r="CE178" s="192">
        <v>50</v>
      </c>
      <c r="CF178" s="190"/>
      <c r="CG178" s="191"/>
      <c r="CH178" s="191">
        <v>10</v>
      </c>
      <c r="CI178" s="191"/>
      <c r="CJ178" s="191"/>
      <c r="CK178" s="191"/>
      <c r="CL178" s="191">
        <v>10</v>
      </c>
      <c r="CM178" s="191"/>
      <c r="CN178" s="191"/>
      <c r="CO178" s="191">
        <v>50</v>
      </c>
      <c r="CP178" s="191"/>
      <c r="CQ178" s="191"/>
      <c r="CR178" s="191"/>
      <c r="CS178" s="191">
        <v>10</v>
      </c>
      <c r="CT178" s="191"/>
      <c r="CU178" s="191"/>
      <c r="CV178" s="191">
        <v>10</v>
      </c>
      <c r="CW178" s="191"/>
      <c r="CX178" s="191"/>
      <c r="CY178" s="191"/>
      <c r="CZ178" s="191">
        <v>100</v>
      </c>
      <c r="DA178" s="191"/>
      <c r="DB178" s="191"/>
      <c r="DC178" s="191">
        <v>10</v>
      </c>
      <c r="DD178" s="191"/>
      <c r="DE178" s="191"/>
      <c r="DF178" s="191"/>
      <c r="DG178" s="191">
        <v>50</v>
      </c>
      <c r="DH178" s="193"/>
      <c r="DI178" s="194"/>
      <c r="DJ178" s="191"/>
      <c r="DK178" s="191">
        <v>10</v>
      </c>
      <c r="DL178" s="191"/>
      <c r="DM178" s="191"/>
      <c r="DN178" s="191"/>
      <c r="DO178" s="191"/>
      <c r="DP178" s="191"/>
      <c r="DQ178" s="191"/>
      <c r="DR178" s="191">
        <v>100</v>
      </c>
      <c r="DS178" s="191"/>
      <c r="DT178" s="191"/>
      <c r="DU178" s="191"/>
      <c r="DV178" s="191">
        <v>50</v>
      </c>
      <c r="DW178" s="191"/>
      <c r="DX178" s="191"/>
      <c r="DY178" s="191">
        <v>100</v>
      </c>
      <c r="DZ178" s="191"/>
      <c r="EA178" s="191"/>
      <c r="EB178" s="191"/>
      <c r="EC178" s="191">
        <v>50</v>
      </c>
      <c r="ED178" s="191"/>
      <c r="EE178" s="191"/>
      <c r="EF178" s="191">
        <v>50</v>
      </c>
      <c r="EG178" s="191"/>
      <c r="EH178" s="191"/>
      <c r="EI178" s="191"/>
      <c r="EJ178" s="191">
        <v>50</v>
      </c>
      <c r="EK178" s="191"/>
      <c r="EL178" s="191"/>
      <c r="EM178" s="192">
        <v>50</v>
      </c>
      <c r="EN178" s="190"/>
      <c r="EO178" s="191"/>
      <c r="EP178" s="191"/>
      <c r="EQ178" s="191">
        <v>10</v>
      </c>
      <c r="ER178" s="191"/>
      <c r="ES178" s="191"/>
      <c r="ET178" s="191">
        <v>50</v>
      </c>
      <c r="EU178" s="191"/>
      <c r="EV178" s="191"/>
      <c r="EW178" s="191"/>
      <c r="EX178" s="191"/>
      <c r="EY178" s="191"/>
      <c r="EZ178" s="191"/>
      <c r="FA178" s="191">
        <v>10</v>
      </c>
      <c r="FB178" s="191"/>
      <c r="FC178" s="191"/>
      <c r="FD178" s="191"/>
      <c r="FE178" s="191">
        <v>10</v>
      </c>
      <c r="FF178" s="191"/>
      <c r="FG178" s="191"/>
      <c r="FH178" s="191"/>
      <c r="FI178" s="191"/>
      <c r="FJ178" s="191"/>
      <c r="FK178" s="191">
        <v>100</v>
      </c>
      <c r="FL178" s="191"/>
      <c r="FM178" s="191"/>
      <c r="FN178" s="191"/>
      <c r="FO178" s="191">
        <v>150</v>
      </c>
      <c r="FP178" s="191"/>
      <c r="FQ178" s="193"/>
      <c r="FR178" s="194"/>
      <c r="FS178" s="191"/>
      <c r="FT178" s="191"/>
      <c r="FU178" s="191"/>
      <c r="FV178" s="191">
        <v>100</v>
      </c>
      <c r="FW178" s="191"/>
      <c r="FX178" s="191"/>
      <c r="FY178" s="191"/>
      <c r="FZ178" s="191">
        <v>50</v>
      </c>
      <c r="GA178" s="191"/>
      <c r="GB178" s="191"/>
      <c r="GC178" s="191">
        <v>10</v>
      </c>
      <c r="GD178" s="191"/>
      <c r="GE178" s="191"/>
      <c r="GF178" s="191"/>
      <c r="GG178" s="191">
        <v>50</v>
      </c>
      <c r="GH178" s="191"/>
      <c r="GI178" s="191"/>
      <c r="GJ178" s="191">
        <v>150</v>
      </c>
      <c r="GK178" s="191"/>
      <c r="GL178" s="191"/>
      <c r="GM178" s="191"/>
      <c r="GN178" s="191">
        <v>10</v>
      </c>
      <c r="GO178" s="191"/>
      <c r="GP178" s="191"/>
      <c r="GQ178" s="191">
        <v>100</v>
      </c>
      <c r="GR178" s="191"/>
      <c r="GS178" s="191"/>
      <c r="GT178" s="191"/>
      <c r="GU178" s="191"/>
      <c r="GV178" s="192"/>
      <c r="GW178" s="190"/>
      <c r="GX178" s="191">
        <v>100</v>
      </c>
      <c r="GY178" s="191"/>
      <c r="GZ178" s="191"/>
      <c r="HA178" s="191"/>
      <c r="HB178" s="191">
        <v>50</v>
      </c>
      <c r="HC178" s="191"/>
      <c r="HD178" s="191"/>
      <c r="HE178" s="191"/>
      <c r="HF178" s="191"/>
      <c r="HG178" s="191"/>
      <c r="HH178" s="191"/>
      <c r="HI178" s="191">
        <v>50</v>
      </c>
      <c r="HJ178" s="191"/>
      <c r="HK178" s="191"/>
      <c r="HL178" s="191"/>
      <c r="HM178" s="191"/>
      <c r="HN178" s="191"/>
      <c r="HO178" s="191">
        <v>50</v>
      </c>
      <c r="HP178" s="191"/>
      <c r="HQ178" s="191"/>
      <c r="HR178" s="191"/>
      <c r="HS178" s="191">
        <v>200</v>
      </c>
      <c r="HT178" s="191"/>
      <c r="HU178" s="191"/>
      <c r="HV178" s="191"/>
      <c r="HW178" s="191">
        <v>50</v>
      </c>
      <c r="HX178" s="191"/>
      <c r="HY178" s="191"/>
      <c r="HZ178" s="193">
        <v>10</v>
      </c>
      <c r="IA178" s="194">
        <v>50</v>
      </c>
      <c r="IB178" s="191"/>
      <c r="IC178" s="191"/>
      <c r="ID178" s="191">
        <v>50</v>
      </c>
      <c r="IE178" s="191"/>
      <c r="IF178" s="191"/>
      <c r="IG178" s="191"/>
      <c r="IH178" s="191"/>
      <c r="II178" s="191"/>
      <c r="IJ178" s="191">
        <v>150</v>
      </c>
      <c r="IK178" s="191"/>
      <c r="IL178" s="191"/>
      <c r="IM178" s="191"/>
      <c r="IN178" s="191">
        <v>50</v>
      </c>
      <c r="IO178" s="191"/>
      <c r="IP178" s="191"/>
      <c r="IQ178" s="191"/>
      <c r="IR178" s="191"/>
      <c r="IS178" s="191"/>
      <c r="IT178" s="191"/>
      <c r="IU178" s="191"/>
      <c r="IV178" s="191"/>
      <c r="IW178" s="191"/>
      <c r="IX178" s="191"/>
      <c r="IY178" s="191"/>
      <c r="IZ178" s="191"/>
      <c r="JA178" s="191"/>
      <c r="JB178" s="191"/>
      <c r="JC178" s="191">
        <v>100</v>
      </c>
      <c r="JD178" s="191"/>
      <c r="JE178" s="192"/>
      <c r="JF178" s="190">
        <v>100</v>
      </c>
      <c r="JG178" s="191"/>
      <c r="JH178" s="191"/>
      <c r="JI178" s="191"/>
      <c r="JJ178" s="191"/>
      <c r="JK178" s="191"/>
      <c r="JL178" s="191"/>
      <c r="JM178" s="191">
        <v>50</v>
      </c>
      <c r="JN178" s="191"/>
      <c r="JO178" s="191"/>
      <c r="JP178" s="191">
        <v>150</v>
      </c>
      <c r="JQ178" s="191"/>
      <c r="JR178" s="191"/>
      <c r="JS178" s="191"/>
      <c r="JT178" s="191"/>
      <c r="JU178" s="191"/>
      <c r="JV178" s="191"/>
      <c r="JW178" s="191">
        <v>100</v>
      </c>
      <c r="JX178" s="191"/>
      <c r="JY178" s="191"/>
      <c r="JZ178" s="191"/>
      <c r="KA178" s="191">
        <v>50</v>
      </c>
      <c r="KB178" s="191"/>
      <c r="KC178" s="191"/>
      <c r="KD178" s="191"/>
      <c r="KE178" s="191"/>
      <c r="KF178" s="191"/>
      <c r="KG178" s="191"/>
      <c r="KH178" s="191">
        <v>50</v>
      </c>
      <c r="KI178" s="191"/>
      <c r="KJ178" s="193"/>
      <c r="KK178" s="194">
        <v>100</v>
      </c>
      <c r="KL178" s="191"/>
      <c r="KM178" s="191"/>
      <c r="KN178" s="191"/>
      <c r="KO178" s="191"/>
      <c r="KP178" s="191"/>
      <c r="KQ178" s="191"/>
      <c r="KR178" s="191"/>
      <c r="KS178" s="191"/>
      <c r="KT178" s="191"/>
      <c r="KU178" s="191"/>
      <c r="KV178" s="191">
        <v>100</v>
      </c>
      <c r="KW178" s="191"/>
      <c r="KX178" s="191"/>
      <c r="KY178" s="191">
        <v>100</v>
      </c>
      <c r="KZ178" s="191"/>
      <c r="LA178" s="191"/>
      <c r="LB178" s="191"/>
      <c r="LC178" s="191">
        <v>50</v>
      </c>
      <c r="LD178" s="191"/>
      <c r="LE178" s="191"/>
      <c r="LF178" s="191">
        <v>50</v>
      </c>
      <c r="LG178" s="191"/>
      <c r="LH178" s="191"/>
      <c r="LI178" s="191"/>
      <c r="LJ178" s="191">
        <v>50</v>
      </c>
      <c r="LK178" s="191"/>
      <c r="LL178" s="191"/>
      <c r="LM178" s="191"/>
      <c r="LN178" s="192"/>
      <c r="LO178" s="190"/>
      <c r="LP178" s="191"/>
      <c r="LQ178" s="191"/>
      <c r="LR178" s="191"/>
      <c r="LS178" s="191"/>
      <c r="LT178" s="191"/>
      <c r="LU178" s="191">
        <v>100</v>
      </c>
      <c r="LV178" s="191"/>
      <c r="LW178" s="191"/>
      <c r="LX178" s="191">
        <v>10</v>
      </c>
      <c r="LY178" s="191"/>
      <c r="LZ178" s="191"/>
      <c r="MA178" s="191">
        <v>100</v>
      </c>
      <c r="MB178" s="191"/>
      <c r="MC178" s="191"/>
      <c r="MD178" s="191"/>
      <c r="ME178" s="191">
        <v>50</v>
      </c>
      <c r="MF178" s="191"/>
      <c r="MG178" s="191"/>
      <c r="MH178" s="191">
        <v>10</v>
      </c>
      <c r="MI178" s="191"/>
      <c r="MJ178" s="191"/>
      <c r="MK178" s="191"/>
      <c r="ML178" s="191">
        <v>10</v>
      </c>
      <c r="MM178" s="191"/>
      <c r="MN178" s="191"/>
      <c r="MO178" s="191">
        <v>50</v>
      </c>
      <c r="MP178" s="191"/>
      <c r="MQ178" s="191"/>
      <c r="MR178" s="191"/>
      <c r="MS178" s="193">
        <v>50</v>
      </c>
      <c r="MT178" s="194"/>
      <c r="MU178" s="191"/>
      <c r="MV178" s="191">
        <v>50</v>
      </c>
      <c r="MW178" s="191"/>
      <c r="MX178" s="191"/>
      <c r="MY178" s="191"/>
      <c r="MZ178" s="191">
        <v>50</v>
      </c>
      <c r="NA178" s="191"/>
      <c r="NB178" s="191"/>
      <c r="NC178" s="191">
        <v>50</v>
      </c>
      <c r="ND178" s="191"/>
      <c r="NE178" s="191"/>
      <c r="NF178" s="191"/>
      <c r="NG178" s="191">
        <v>50</v>
      </c>
      <c r="NH178" s="191"/>
      <c r="NI178" s="191"/>
      <c r="NJ178" s="191">
        <v>10</v>
      </c>
      <c r="NK178" s="191"/>
      <c r="NL178" s="191"/>
      <c r="NM178" s="191"/>
      <c r="NN178" s="191">
        <v>100</v>
      </c>
      <c r="NO178" s="191"/>
      <c r="NP178" s="191"/>
      <c r="NQ178" s="191">
        <v>10</v>
      </c>
      <c r="NR178" s="191"/>
      <c r="NS178" s="191"/>
      <c r="NT178" s="191"/>
      <c r="NU178" s="191">
        <v>10</v>
      </c>
      <c r="NV178" s="191"/>
      <c r="NW178" s="192"/>
      <c r="NX178" s="190">
        <v>10</v>
      </c>
      <c r="NY178" s="191"/>
      <c r="NZ178" s="191"/>
      <c r="OA178" s="191"/>
      <c r="OB178" s="191">
        <v>10</v>
      </c>
      <c r="OC178" s="191"/>
      <c r="OD178" s="191"/>
      <c r="OE178" s="191">
        <v>10</v>
      </c>
      <c r="OF178" s="191"/>
      <c r="OG178" s="191"/>
      <c r="OH178" s="191"/>
      <c r="OI178" s="191">
        <v>100</v>
      </c>
      <c r="OJ178" s="191"/>
      <c r="OK178" s="191"/>
      <c r="OL178" s="191"/>
      <c r="OM178" s="191">
        <v>10</v>
      </c>
      <c r="ON178" s="191"/>
      <c r="OO178" s="191"/>
      <c r="OP178" s="191"/>
      <c r="OQ178" s="191"/>
      <c r="OR178" s="191"/>
      <c r="OS178" s="191"/>
      <c r="OT178" s="191"/>
      <c r="OU178" s="191"/>
      <c r="OV178" s="191"/>
      <c r="OW178" s="191"/>
      <c r="OX178" s="191"/>
      <c r="OY178" s="191"/>
      <c r="OZ178" s="191"/>
      <c r="PA178" s="191"/>
      <c r="PB178" s="193"/>
      <c r="PC178" s="47"/>
      <c r="PD178" s="154" t="s">
        <v>97</v>
      </c>
      <c r="PE178" s="155" t="s">
        <v>98</v>
      </c>
      <c r="PF178" s="155" t="s">
        <v>98</v>
      </c>
      <c r="PG178" s="155" t="s">
        <v>98</v>
      </c>
      <c r="PH178" s="155" t="s">
        <v>98</v>
      </c>
      <c r="PI178" s="155" t="s">
        <v>98</v>
      </c>
      <c r="PJ178" s="155" t="s">
        <v>98</v>
      </c>
      <c r="PK178" s="155" t="s">
        <v>98</v>
      </c>
      <c r="PL178" s="155" t="s">
        <v>98</v>
      </c>
      <c r="PM178" s="155" t="s">
        <v>98</v>
      </c>
      <c r="PN178" s="155" t="s">
        <v>98</v>
      </c>
      <c r="PO178" s="156"/>
      <c r="PP178" s="156"/>
      <c r="PQ178" s="156"/>
      <c r="PR178" s="156"/>
      <c r="PS178" s="156"/>
      <c r="PT178" s="156"/>
      <c r="PU178" s="156"/>
      <c r="PV178" s="156"/>
      <c r="PW178" s="156"/>
      <c r="PX178" s="195"/>
      <c r="PY178" s="1"/>
      <c r="PZ178" s="196">
        <f t="shared" si="126"/>
        <v>280</v>
      </c>
      <c r="QA178" s="176">
        <f t="shared" si="127"/>
        <v>2.3358638525068825E-3</v>
      </c>
      <c r="QB178" s="177" t="str">
        <f t="shared" ca="1" si="128"/>
        <v>Attente…</v>
      </c>
      <c r="QC178" s="197">
        <f t="shared" si="129"/>
        <v>250</v>
      </c>
      <c r="QD178" s="179">
        <f t="shared" si="130"/>
        <v>2.3408239700374533E-3</v>
      </c>
      <c r="QE178" s="180" t="str">
        <f t="shared" ca="1" si="131"/>
        <v>Attente…</v>
      </c>
      <c r="QF178" s="196">
        <f t="shared" si="132"/>
        <v>460</v>
      </c>
      <c r="QG178" s="176">
        <f t="shared" si="133"/>
        <v>3.663003663003663E-3</v>
      </c>
      <c r="QH178" s="177" t="str">
        <f t="shared" ca="1" si="134"/>
        <v>Attente…</v>
      </c>
      <c r="QI178" s="197">
        <f t="shared" si="135"/>
        <v>330</v>
      </c>
      <c r="QJ178" s="179">
        <f t="shared" si="136"/>
        <v>2.3144901108149811E-3</v>
      </c>
      <c r="QK178" s="180" t="str">
        <f t="shared" ca="1" si="137"/>
        <v>Attente…</v>
      </c>
      <c r="QL178" s="196">
        <f t="shared" si="138"/>
        <v>470</v>
      </c>
      <c r="QM178" s="176">
        <f t="shared" si="139"/>
        <v>3.4386889083991806E-3</v>
      </c>
      <c r="QN178" s="177" t="str">
        <f t="shared" ca="1" si="140"/>
        <v>Attente…</v>
      </c>
      <c r="QO178" s="197">
        <f t="shared" si="141"/>
        <v>510</v>
      </c>
      <c r="QP178" s="179">
        <f t="shared" si="142"/>
        <v>3.9927973068190712E-3</v>
      </c>
      <c r="QQ178" s="180" t="str">
        <f t="shared" ca="1" si="143"/>
        <v>Attente…</v>
      </c>
      <c r="QR178" s="196">
        <f t="shared" si="144"/>
        <v>400</v>
      </c>
      <c r="QS178" s="176">
        <f t="shared" si="145"/>
        <v>2.8796659587487852E-3</v>
      </c>
      <c r="QT178" s="177" t="str">
        <f t="shared" ca="1" si="146"/>
        <v>Attente…</v>
      </c>
      <c r="QU178" s="197">
        <f t="shared" si="147"/>
        <v>500</v>
      </c>
      <c r="QV178" s="179">
        <f t="shared" si="148"/>
        <v>3.4473248758963046E-3</v>
      </c>
      <c r="QW178" s="180" t="str">
        <f t="shared" ca="1" si="149"/>
        <v>Attente…</v>
      </c>
      <c r="QX178" s="196">
        <f t="shared" si="150"/>
        <v>450</v>
      </c>
      <c r="QY178" s="176">
        <f t="shared" si="151"/>
        <v>3.2838086342275022E-3</v>
      </c>
      <c r="QZ178" s="177" t="str">
        <f t="shared" ca="1" si="152"/>
        <v>Attente…</v>
      </c>
      <c r="RA178" s="197">
        <f t="shared" si="153"/>
        <v>380</v>
      </c>
      <c r="RB178" s="179">
        <f t="shared" si="154"/>
        <v>2.9731632892574917E-3</v>
      </c>
      <c r="RC178" s="180" t="str">
        <f t="shared" ca="1" si="155"/>
        <v>Attente…</v>
      </c>
      <c r="RD178" s="196">
        <f t="shared" si="156"/>
        <v>330</v>
      </c>
      <c r="RE178" s="176">
        <f t="shared" si="157"/>
        <v>3.2881626145874849E-3</v>
      </c>
      <c r="RF178" s="177" t="str">
        <f t="shared" ca="1" si="158"/>
        <v>Attente…</v>
      </c>
      <c r="RG178" s="197">
        <f t="shared" si="159"/>
        <v>140</v>
      </c>
      <c r="RH178" s="179">
        <f t="shared" si="160"/>
        <v>2.5749494206363803E-3</v>
      </c>
      <c r="RI178" s="198" t="str">
        <f t="shared" ca="1" si="161"/>
        <v>Attente…</v>
      </c>
      <c r="RJ178" s="199">
        <f t="shared" si="162"/>
        <v>990</v>
      </c>
      <c r="RK178" s="200" t="str">
        <f t="shared" ca="1" si="119"/>
        <v>Attente…</v>
      </c>
      <c r="RL178" s="199">
        <f t="shared" si="163"/>
        <v>1310</v>
      </c>
      <c r="RM178" s="200" t="str">
        <f t="shared" ca="1" si="164"/>
        <v>Atttente…</v>
      </c>
      <c r="RN178" s="199">
        <f t="shared" si="165"/>
        <v>1350</v>
      </c>
      <c r="RO178" s="200" t="str">
        <f t="shared" ca="1" si="120"/>
        <v>Attente…</v>
      </c>
      <c r="RP178" s="199">
        <f t="shared" si="166"/>
        <v>850</v>
      </c>
      <c r="RQ178" s="200" t="str">
        <f t="shared" ca="1" si="121"/>
        <v>Attente…</v>
      </c>
      <c r="RR178" s="201">
        <f t="shared" si="167"/>
        <v>4500</v>
      </c>
      <c r="RS178" s="202" t="str">
        <f t="shared" ca="1" si="122"/>
        <v>Attente…</v>
      </c>
      <c r="RT178" s="103"/>
      <c r="RU178" s="203">
        <f t="shared" si="168"/>
        <v>0.28125</v>
      </c>
      <c r="RV178" s="204">
        <f t="shared" si="171"/>
        <v>1</v>
      </c>
      <c r="RW178" s="204">
        <f t="shared" si="171"/>
        <v>2</v>
      </c>
      <c r="RX178" s="204">
        <f t="shared" si="169"/>
        <v>80</v>
      </c>
      <c r="RY178" s="205" t="str">
        <f t="shared" si="170"/>
        <v>ROUEN - 65 Rue Saint Maur (Angle rue Maladrerie)</v>
      </c>
      <c r="RZ178" s="189" t="str">
        <f>IF(OR(RZ177="",RZ177="  &lt;/Document&gt;
&lt;/kml&gt;"),"",
IF(B178="","  &lt;/Document&gt;
&lt;/kml&gt;",
IF(TournéesCAV!Q177=""," ",
"    &lt;Placemark&gt;
      &lt;description&gt;&lt;![CDATA["&amp;B178&amp;"&lt;br&gt;&lt;br&gt;"&amp;RV178&amp;" CAV&lt;br&gt;&lt;br&gt;Présent sur "&amp;RW178&amp;" tournée(s)&lt;br&gt;&lt;br&gt;Taux de remplissage moyen "&amp;TEXT(RU178*1000,"0 %")&amp;"]]&gt;&lt;/description&gt;
      &lt;Style&gt;
        &lt;IconStyle&gt;
          &lt;color&gt;ff"&amp;
          DEC2HEX(0,2)&amp;
          DEC2HEX(
            IF(RU178&lt;=0.5,
               INT(255*(RU178*2)),
               255
            ),2)&amp;
          DEC2HEX(
            IF(RU178&lt;=0.5,
               255,
               INT(255*(1-(RU178-0.5)*2))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&lt;Point&gt;&lt;coordinates&gt;"&amp;R178&amp;","&amp;Q178&amp;",0&lt;/coordinates&gt;&lt;/Point&gt;
    &lt;/Placemark&gt;"
)))</f>
        <v xml:space="preserve">    &lt;Placemark&gt;
      &lt;description&gt;&lt;![CDATA[ROUEN - 65 Rue Saint Maur (Angle rue Maladrerie)&lt;br&gt;&lt;br&gt;1 CAV&lt;br&gt;&lt;br&gt;Présent sur 2 tournée(s)&lt;br&gt;&lt;br&gt;Taux de remplissage moyen 28%]]&gt;&lt;/description&gt;
      &lt;Style&gt;
        &lt;IconStyle&gt;
          &lt;color&gt;ff008FFF&lt;/color&gt;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&lt;Point&gt;&lt;coordinates&gt;1.0878016,49.4513399,0&lt;/coordinates&gt;&lt;/Point&gt;
    &lt;/Placemark&gt;</v>
      </c>
    </row>
    <row r="179" spans="2:494" ht="15" customHeight="1" x14ac:dyDescent="0.35">
      <c r="B179" s="153" t="str">
        <f t="shared" si="123"/>
        <v>ROUEN - 3 Place Eglise Saint Gervais</v>
      </c>
      <c r="C179" s="154">
        <v>126</v>
      </c>
      <c r="D179" s="155"/>
      <c r="E179" s="155"/>
      <c r="F179" s="155"/>
      <c r="G179" s="155"/>
      <c r="H179" s="155"/>
      <c r="I179" s="155"/>
      <c r="J179" s="156"/>
      <c r="K179" s="157">
        <f t="shared" si="124"/>
        <v>1</v>
      </c>
      <c r="L179" s="157">
        <f t="shared" si="125"/>
        <v>2</v>
      </c>
      <c r="M179" s="158" t="s">
        <v>980</v>
      </c>
      <c r="N179" s="159"/>
      <c r="O179" s="159">
        <v>76000</v>
      </c>
      <c r="P179" s="159" t="s">
        <v>90</v>
      </c>
      <c r="Q179" s="159" t="s">
        <v>981</v>
      </c>
      <c r="R179" s="159" t="s">
        <v>982</v>
      </c>
      <c r="S179" s="159" t="s">
        <v>93</v>
      </c>
      <c r="T179" s="159" t="s">
        <v>94</v>
      </c>
      <c r="U179" s="159" t="s">
        <v>983</v>
      </c>
      <c r="V179" s="160" t="s">
        <v>96</v>
      </c>
      <c r="W179" s="210">
        <v>22</v>
      </c>
      <c r="X179" s="162">
        <v>25</v>
      </c>
      <c r="Y179" s="162"/>
      <c r="Z179" s="162"/>
      <c r="AA179" s="162"/>
      <c r="AB179" s="162"/>
      <c r="AC179" s="162"/>
      <c r="AD179" s="162"/>
      <c r="AE179" s="162"/>
      <c r="AF179" s="162"/>
      <c r="AG179" s="162"/>
      <c r="AH179" s="162"/>
      <c r="AI179" s="162"/>
      <c r="AJ179" s="162"/>
      <c r="AK179" s="162"/>
      <c r="AL179" s="162"/>
      <c r="AM179" s="162"/>
      <c r="AN179" s="162"/>
      <c r="AO179" s="162"/>
      <c r="AP179" s="164"/>
      <c r="AQ179" s="164"/>
      <c r="AR179" s="164"/>
      <c r="AS179" s="164"/>
      <c r="AT179" s="164"/>
      <c r="AU179" s="164"/>
      <c r="AV179" s="164"/>
      <c r="AW179" s="164"/>
      <c r="AX179" s="164"/>
      <c r="AY179" s="165"/>
      <c r="AZ179" s="41"/>
      <c r="BA179" s="190"/>
      <c r="BB179" s="191"/>
      <c r="BC179" s="191">
        <v>100</v>
      </c>
      <c r="BD179" s="191"/>
      <c r="BE179" s="191"/>
      <c r="BF179" s="191"/>
      <c r="BG179" s="191"/>
      <c r="BH179" s="191"/>
      <c r="BI179" s="191"/>
      <c r="BJ179" s="191">
        <v>50</v>
      </c>
      <c r="BK179" s="191"/>
      <c r="BL179" s="191"/>
      <c r="BM179" s="191">
        <v>50</v>
      </c>
      <c r="BN179" s="191"/>
      <c r="BO179" s="191"/>
      <c r="BP179" s="191"/>
      <c r="BQ179" s="191"/>
      <c r="BR179" s="191"/>
      <c r="BS179" s="191"/>
      <c r="BT179" s="191"/>
      <c r="BU179" s="191"/>
      <c r="BV179" s="191"/>
      <c r="BW179" s="191"/>
      <c r="BX179" s="191">
        <v>150</v>
      </c>
      <c r="BY179" s="191"/>
      <c r="BZ179" s="191"/>
      <c r="CA179" s="191">
        <v>50</v>
      </c>
      <c r="CB179" s="191"/>
      <c r="CC179" s="191"/>
      <c r="CD179" s="191"/>
      <c r="CE179" s="192">
        <v>10</v>
      </c>
      <c r="CF179" s="190"/>
      <c r="CG179" s="191"/>
      <c r="CH179" s="191">
        <v>50</v>
      </c>
      <c r="CI179" s="191"/>
      <c r="CJ179" s="191"/>
      <c r="CK179" s="191"/>
      <c r="CL179" s="191">
        <v>10</v>
      </c>
      <c r="CM179" s="191"/>
      <c r="CN179" s="191"/>
      <c r="CO179" s="191">
        <v>50</v>
      </c>
      <c r="CP179" s="191"/>
      <c r="CQ179" s="191"/>
      <c r="CR179" s="191"/>
      <c r="CS179" s="191">
        <v>10</v>
      </c>
      <c r="CT179" s="191"/>
      <c r="CU179" s="191"/>
      <c r="CV179" s="191">
        <v>10</v>
      </c>
      <c r="CW179" s="191"/>
      <c r="CX179" s="191"/>
      <c r="CY179" s="191"/>
      <c r="CZ179" s="191">
        <v>50</v>
      </c>
      <c r="DA179" s="191"/>
      <c r="DB179" s="191"/>
      <c r="DC179" s="191">
        <v>50</v>
      </c>
      <c r="DD179" s="191"/>
      <c r="DE179" s="191"/>
      <c r="DF179" s="191"/>
      <c r="DG179" s="191">
        <v>10</v>
      </c>
      <c r="DH179" s="193"/>
      <c r="DI179" s="194"/>
      <c r="DJ179" s="191"/>
      <c r="DK179" s="191">
        <v>10</v>
      </c>
      <c r="DL179" s="191"/>
      <c r="DM179" s="191"/>
      <c r="DN179" s="191"/>
      <c r="DO179" s="191"/>
      <c r="DP179" s="191"/>
      <c r="DQ179" s="191"/>
      <c r="DR179" s="191">
        <v>100</v>
      </c>
      <c r="DS179" s="191"/>
      <c r="DT179" s="191"/>
      <c r="DU179" s="191"/>
      <c r="DV179" s="191">
        <v>100</v>
      </c>
      <c r="DW179" s="191"/>
      <c r="DX179" s="191"/>
      <c r="DY179" s="191">
        <v>50</v>
      </c>
      <c r="DZ179" s="191"/>
      <c r="EA179" s="191"/>
      <c r="EB179" s="191"/>
      <c r="EC179" s="191">
        <v>50</v>
      </c>
      <c r="ED179" s="191"/>
      <c r="EE179" s="191"/>
      <c r="EF179" s="191">
        <v>100</v>
      </c>
      <c r="EG179" s="191"/>
      <c r="EH179" s="191"/>
      <c r="EI179" s="191"/>
      <c r="EJ179" s="191">
        <v>50</v>
      </c>
      <c r="EK179" s="191"/>
      <c r="EL179" s="191"/>
      <c r="EM179" s="192">
        <v>100</v>
      </c>
      <c r="EN179" s="190"/>
      <c r="EO179" s="191"/>
      <c r="EP179" s="191"/>
      <c r="EQ179" s="191">
        <v>10</v>
      </c>
      <c r="ER179" s="191"/>
      <c r="ES179" s="191"/>
      <c r="ET179" s="191">
        <v>50</v>
      </c>
      <c r="EU179" s="191"/>
      <c r="EV179" s="191"/>
      <c r="EW179" s="191"/>
      <c r="EX179" s="191">
        <v>100</v>
      </c>
      <c r="EY179" s="191"/>
      <c r="EZ179" s="191"/>
      <c r="FA179" s="191">
        <v>10</v>
      </c>
      <c r="FB179" s="191"/>
      <c r="FC179" s="191"/>
      <c r="FD179" s="191"/>
      <c r="FE179" s="191">
        <v>50</v>
      </c>
      <c r="FF179" s="191"/>
      <c r="FG179" s="191"/>
      <c r="FH179" s="191"/>
      <c r="FI179" s="191"/>
      <c r="FJ179" s="191"/>
      <c r="FK179" s="191">
        <v>50</v>
      </c>
      <c r="FL179" s="191"/>
      <c r="FM179" s="191"/>
      <c r="FN179" s="191"/>
      <c r="FO179" s="191">
        <v>10</v>
      </c>
      <c r="FP179" s="191"/>
      <c r="FQ179" s="193"/>
      <c r="FR179" s="194"/>
      <c r="FS179" s="191"/>
      <c r="FT179" s="191"/>
      <c r="FU179" s="191"/>
      <c r="FV179" s="191"/>
      <c r="FW179" s="191"/>
      <c r="FX179" s="191"/>
      <c r="FY179" s="191"/>
      <c r="FZ179" s="191">
        <v>150</v>
      </c>
      <c r="GA179" s="191"/>
      <c r="GB179" s="191"/>
      <c r="GC179" s="191">
        <v>50</v>
      </c>
      <c r="GD179" s="191"/>
      <c r="GE179" s="191"/>
      <c r="GF179" s="191"/>
      <c r="GG179" s="191">
        <v>10</v>
      </c>
      <c r="GH179" s="191"/>
      <c r="GI179" s="191"/>
      <c r="GJ179" s="191">
        <v>100</v>
      </c>
      <c r="GK179" s="191"/>
      <c r="GL179" s="191"/>
      <c r="GM179" s="191"/>
      <c r="GN179" s="191">
        <v>10</v>
      </c>
      <c r="GO179" s="191"/>
      <c r="GP179" s="191"/>
      <c r="GQ179" s="191">
        <v>50</v>
      </c>
      <c r="GR179" s="191"/>
      <c r="GS179" s="191"/>
      <c r="GT179" s="191"/>
      <c r="GU179" s="191"/>
      <c r="GV179" s="192"/>
      <c r="GW179" s="190"/>
      <c r="GX179" s="191">
        <v>100</v>
      </c>
      <c r="GY179" s="191"/>
      <c r="GZ179" s="191"/>
      <c r="HA179" s="191"/>
      <c r="HB179" s="191">
        <v>10</v>
      </c>
      <c r="HC179" s="191"/>
      <c r="HD179" s="191"/>
      <c r="HE179" s="191"/>
      <c r="HF179" s="191"/>
      <c r="HG179" s="191"/>
      <c r="HH179" s="191"/>
      <c r="HI179" s="191">
        <v>50</v>
      </c>
      <c r="HJ179" s="191"/>
      <c r="HK179" s="191"/>
      <c r="HL179" s="191"/>
      <c r="HM179" s="191"/>
      <c r="HN179" s="191"/>
      <c r="HO179" s="191">
        <v>100</v>
      </c>
      <c r="HP179" s="191"/>
      <c r="HQ179" s="191"/>
      <c r="HR179" s="191"/>
      <c r="HS179" s="191">
        <v>60</v>
      </c>
      <c r="HT179" s="191"/>
      <c r="HU179" s="191"/>
      <c r="HV179" s="191"/>
      <c r="HW179" s="191">
        <v>50</v>
      </c>
      <c r="HX179" s="191"/>
      <c r="HY179" s="191"/>
      <c r="HZ179" s="193"/>
      <c r="IA179" s="194">
        <v>100</v>
      </c>
      <c r="IB179" s="191"/>
      <c r="IC179" s="191"/>
      <c r="ID179" s="191">
        <v>10</v>
      </c>
      <c r="IE179" s="191"/>
      <c r="IF179" s="191"/>
      <c r="IG179" s="191"/>
      <c r="IH179" s="191"/>
      <c r="II179" s="191"/>
      <c r="IJ179" s="191">
        <v>50</v>
      </c>
      <c r="IK179" s="191"/>
      <c r="IL179" s="191"/>
      <c r="IM179" s="191"/>
      <c r="IN179" s="191">
        <v>50</v>
      </c>
      <c r="IO179" s="191"/>
      <c r="IP179" s="191"/>
      <c r="IQ179" s="191"/>
      <c r="IR179" s="191"/>
      <c r="IS179" s="191"/>
      <c r="IT179" s="191"/>
      <c r="IU179" s="191"/>
      <c r="IV179" s="191"/>
      <c r="IW179" s="191"/>
      <c r="IX179" s="191"/>
      <c r="IY179" s="191"/>
      <c r="IZ179" s="191"/>
      <c r="JA179" s="191"/>
      <c r="JB179" s="191"/>
      <c r="JC179" s="191">
        <v>150</v>
      </c>
      <c r="JD179" s="191"/>
      <c r="JE179" s="192"/>
      <c r="JF179" s="190">
        <v>10</v>
      </c>
      <c r="JG179" s="191"/>
      <c r="JH179" s="191"/>
      <c r="JI179" s="191"/>
      <c r="JJ179" s="191"/>
      <c r="JK179" s="191"/>
      <c r="JL179" s="191"/>
      <c r="JM179" s="191">
        <v>50</v>
      </c>
      <c r="JN179" s="191"/>
      <c r="JO179" s="191"/>
      <c r="JP179" s="191">
        <v>50</v>
      </c>
      <c r="JQ179" s="191"/>
      <c r="JR179" s="191"/>
      <c r="JS179" s="191"/>
      <c r="JT179" s="191"/>
      <c r="JU179" s="191"/>
      <c r="JV179" s="191"/>
      <c r="JW179" s="191">
        <v>150</v>
      </c>
      <c r="JX179" s="191"/>
      <c r="JY179" s="191"/>
      <c r="JZ179" s="191"/>
      <c r="KA179" s="191">
        <v>50</v>
      </c>
      <c r="KB179" s="191"/>
      <c r="KC179" s="191"/>
      <c r="KD179" s="191">
        <v>100</v>
      </c>
      <c r="KE179" s="191"/>
      <c r="KF179" s="191"/>
      <c r="KG179" s="191"/>
      <c r="KH179" s="191">
        <v>10</v>
      </c>
      <c r="KI179" s="191"/>
      <c r="KJ179" s="193"/>
      <c r="KK179" s="194">
        <v>100</v>
      </c>
      <c r="KL179" s="191"/>
      <c r="KM179" s="191"/>
      <c r="KN179" s="191">
        <v>10</v>
      </c>
      <c r="KO179" s="191"/>
      <c r="KP179" s="191"/>
      <c r="KQ179" s="191"/>
      <c r="KR179" s="191"/>
      <c r="KS179" s="191"/>
      <c r="KT179" s="191"/>
      <c r="KU179" s="191"/>
      <c r="KV179" s="191">
        <v>100</v>
      </c>
      <c r="KW179" s="191"/>
      <c r="KX179" s="191"/>
      <c r="KY179" s="191"/>
      <c r="KZ179" s="191"/>
      <c r="LA179" s="191"/>
      <c r="LB179" s="191"/>
      <c r="LC179" s="191">
        <v>100</v>
      </c>
      <c r="LD179" s="191"/>
      <c r="LE179" s="191"/>
      <c r="LF179" s="191">
        <v>50</v>
      </c>
      <c r="LG179" s="191"/>
      <c r="LH179" s="191"/>
      <c r="LI179" s="191"/>
      <c r="LJ179" s="191">
        <v>10</v>
      </c>
      <c r="LK179" s="191"/>
      <c r="LL179" s="191"/>
      <c r="LM179" s="191"/>
      <c r="LN179" s="192"/>
      <c r="LO179" s="190"/>
      <c r="LP179" s="191"/>
      <c r="LQ179" s="191"/>
      <c r="LR179" s="191"/>
      <c r="LS179" s="191"/>
      <c r="LT179" s="191"/>
      <c r="LU179" s="191">
        <v>100</v>
      </c>
      <c r="LV179" s="191"/>
      <c r="LW179" s="191"/>
      <c r="LX179" s="191">
        <v>50</v>
      </c>
      <c r="LY179" s="191"/>
      <c r="LZ179" s="191"/>
      <c r="MA179" s="191">
        <v>50</v>
      </c>
      <c r="MB179" s="191"/>
      <c r="MC179" s="191"/>
      <c r="MD179" s="191"/>
      <c r="ME179" s="191">
        <v>50</v>
      </c>
      <c r="MF179" s="191"/>
      <c r="MG179" s="191"/>
      <c r="MH179" s="191">
        <v>50</v>
      </c>
      <c r="MI179" s="191"/>
      <c r="MJ179" s="191"/>
      <c r="MK179" s="191"/>
      <c r="ML179" s="191">
        <v>10</v>
      </c>
      <c r="MM179" s="191"/>
      <c r="MN179" s="191"/>
      <c r="MO179" s="191">
        <v>10</v>
      </c>
      <c r="MP179" s="191"/>
      <c r="MQ179" s="191"/>
      <c r="MR179" s="191"/>
      <c r="MS179" s="193">
        <v>50</v>
      </c>
      <c r="MT179" s="194"/>
      <c r="MU179" s="191"/>
      <c r="MV179" s="191">
        <v>50</v>
      </c>
      <c r="MW179" s="191"/>
      <c r="MX179" s="191"/>
      <c r="MY179" s="191"/>
      <c r="MZ179" s="191">
        <v>10</v>
      </c>
      <c r="NA179" s="191"/>
      <c r="NB179" s="191"/>
      <c r="NC179" s="191">
        <v>10</v>
      </c>
      <c r="ND179" s="191"/>
      <c r="NE179" s="191"/>
      <c r="NF179" s="191"/>
      <c r="NG179" s="191">
        <v>50</v>
      </c>
      <c r="NH179" s="191"/>
      <c r="NI179" s="191"/>
      <c r="NJ179" s="191">
        <v>50</v>
      </c>
      <c r="NK179" s="191"/>
      <c r="NL179" s="191"/>
      <c r="NM179" s="191"/>
      <c r="NN179" s="191">
        <v>200</v>
      </c>
      <c r="NO179" s="191"/>
      <c r="NP179" s="191"/>
      <c r="NQ179" s="191">
        <v>10</v>
      </c>
      <c r="NR179" s="191"/>
      <c r="NS179" s="191"/>
      <c r="NT179" s="191"/>
      <c r="NU179" s="191">
        <v>10</v>
      </c>
      <c r="NV179" s="191"/>
      <c r="NW179" s="192"/>
      <c r="NX179" s="190">
        <v>10</v>
      </c>
      <c r="NY179" s="191"/>
      <c r="NZ179" s="191"/>
      <c r="OA179" s="191"/>
      <c r="OB179" s="191">
        <v>10</v>
      </c>
      <c r="OC179" s="191"/>
      <c r="OD179" s="191"/>
      <c r="OE179" s="191">
        <v>10</v>
      </c>
      <c r="OF179" s="191"/>
      <c r="OG179" s="191"/>
      <c r="OH179" s="191"/>
      <c r="OI179" s="191">
        <v>10</v>
      </c>
      <c r="OJ179" s="191"/>
      <c r="OK179" s="191"/>
      <c r="OL179" s="191"/>
      <c r="OM179" s="191"/>
      <c r="ON179" s="191"/>
      <c r="OO179" s="191"/>
      <c r="OP179" s="191"/>
      <c r="OQ179" s="191"/>
      <c r="OR179" s="191"/>
      <c r="OS179" s="191"/>
      <c r="OT179" s="191"/>
      <c r="OU179" s="191"/>
      <c r="OV179" s="191"/>
      <c r="OW179" s="191"/>
      <c r="OX179" s="191"/>
      <c r="OY179" s="191"/>
      <c r="OZ179" s="191"/>
      <c r="PA179" s="191"/>
      <c r="PB179" s="193"/>
      <c r="PC179" s="47"/>
      <c r="PD179" s="154" t="s">
        <v>97</v>
      </c>
      <c r="PE179" s="155" t="s">
        <v>98</v>
      </c>
      <c r="PF179" s="155" t="s">
        <v>98</v>
      </c>
      <c r="PG179" s="155" t="s">
        <v>98</v>
      </c>
      <c r="PH179" s="155" t="s">
        <v>98</v>
      </c>
      <c r="PI179" s="155" t="s">
        <v>98</v>
      </c>
      <c r="PJ179" s="155" t="s">
        <v>98</v>
      </c>
      <c r="PK179" s="155" t="s">
        <v>98</v>
      </c>
      <c r="PL179" s="155" t="s">
        <v>98</v>
      </c>
      <c r="PM179" s="155" t="s">
        <v>98</v>
      </c>
      <c r="PN179" s="155" t="s">
        <v>98</v>
      </c>
      <c r="PO179" s="156"/>
      <c r="PP179" s="156"/>
      <c r="PQ179" s="156"/>
      <c r="PR179" s="156"/>
      <c r="PS179" s="156"/>
      <c r="PT179" s="156"/>
      <c r="PU179" s="156"/>
      <c r="PV179" s="156"/>
      <c r="PW179" s="156"/>
      <c r="PX179" s="195"/>
      <c r="PY179" s="1"/>
      <c r="PZ179" s="196">
        <f t="shared" si="126"/>
        <v>410</v>
      </c>
      <c r="QA179" s="176">
        <f t="shared" si="127"/>
        <v>3.4203720697422208E-3</v>
      </c>
      <c r="QB179" s="177" t="str">
        <f t="shared" ca="1" si="128"/>
        <v>Attente…</v>
      </c>
      <c r="QC179" s="197">
        <f t="shared" si="129"/>
        <v>240</v>
      </c>
      <c r="QD179" s="179">
        <f t="shared" si="130"/>
        <v>2.2471910112359553E-3</v>
      </c>
      <c r="QE179" s="180" t="str">
        <f t="shared" ca="1" si="131"/>
        <v>Attente…</v>
      </c>
      <c r="QF179" s="196">
        <f t="shared" si="132"/>
        <v>560</v>
      </c>
      <c r="QG179" s="176">
        <f t="shared" si="133"/>
        <v>4.459308807134894E-3</v>
      </c>
      <c r="QH179" s="177" t="str">
        <f t="shared" ca="1" si="134"/>
        <v>Attente…</v>
      </c>
      <c r="QI179" s="197">
        <f t="shared" si="135"/>
        <v>280</v>
      </c>
      <c r="QJ179" s="179">
        <f t="shared" si="136"/>
        <v>1.9638097909945294E-3</v>
      </c>
      <c r="QK179" s="180" t="str">
        <f t="shared" ca="1" si="137"/>
        <v>Attente…</v>
      </c>
      <c r="QL179" s="196">
        <f t="shared" si="138"/>
        <v>370</v>
      </c>
      <c r="QM179" s="176">
        <f t="shared" si="139"/>
        <v>2.707052970441908E-3</v>
      </c>
      <c r="QN179" s="177" t="str">
        <f t="shared" ca="1" si="140"/>
        <v>Attente…</v>
      </c>
      <c r="QO179" s="197">
        <f t="shared" si="141"/>
        <v>370</v>
      </c>
      <c r="QP179" s="179">
        <f t="shared" si="142"/>
        <v>2.8967353010256008E-3</v>
      </c>
      <c r="QQ179" s="180" t="str">
        <f t="shared" ca="1" si="143"/>
        <v>Attente…</v>
      </c>
      <c r="QR179" s="196">
        <f t="shared" si="144"/>
        <v>360</v>
      </c>
      <c r="QS179" s="176">
        <f t="shared" si="145"/>
        <v>2.5916993628739065E-3</v>
      </c>
      <c r="QT179" s="177" t="str">
        <f t="shared" ca="1" si="146"/>
        <v>Attente…</v>
      </c>
      <c r="QU179" s="197">
        <f t="shared" si="147"/>
        <v>420</v>
      </c>
      <c r="QV179" s="179">
        <f t="shared" si="148"/>
        <v>2.8957528957528956E-3</v>
      </c>
      <c r="QW179" s="180" t="str">
        <f t="shared" ca="1" si="149"/>
        <v>Attente…</v>
      </c>
      <c r="QX179" s="196">
        <f t="shared" si="150"/>
        <v>370</v>
      </c>
      <c r="QY179" s="176">
        <f t="shared" si="151"/>
        <v>2.7000204325870573E-3</v>
      </c>
      <c r="QZ179" s="177" t="str">
        <f t="shared" ca="1" si="152"/>
        <v>Attente…</v>
      </c>
      <c r="RA179" s="197">
        <f t="shared" si="153"/>
        <v>370</v>
      </c>
      <c r="RB179" s="179">
        <f t="shared" si="154"/>
        <v>2.8949221500665051E-3</v>
      </c>
      <c r="RC179" s="180" t="str">
        <f t="shared" ca="1" si="155"/>
        <v>Attente…</v>
      </c>
      <c r="RD179" s="196">
        <f t="shared" si="156"/>
        <v>390</v>
      </c>
      <c r="RE179" s="176">
        <f t="shared" si="157"/>
        <v>3.8860103626943004E-3</v>
      </c>
      <c r="RF179" s="177" t="str">
        <f t="shared" ca="1" si="158"/>
        <v>Attente…</v>
      </c>
      <c r="RG179" s="197">
        <f t="shared" si="159"/>
        <v>40</v>
      </c>
      <c r="RH179" s="179">
        <f t="shared" si="160"/>
        <v>7.356998344675372E-4</v>
      </c>
      <c r="RI179" s="198" t="str">
        <f t="shared" ca="1" si="161"/>
        <v>Attente…</v>
      </c>
      <c r="RJ179" s="199">
        <f t="shared" si="162"/>
        <v>1210</v>
      </c>
      <c r="RK179" s="200" t="str">
        <f t="shared" ca="1" si="119"/>
        <v>Attente…</v>
      </c>
      <c r="RL179" s="199">
        <f t="shared" si="163"/>
        <v>1020</v>
      </c>
      <c r="RM179" s="200" t="str">
        <f t="shared" ca="1" si="164"/>
        <v>Atttente…</v>
      </c>
      <c r="RN179" s="199">
        <f t="shared" si="165"/>
        <v>1150</v>
      </c>
      <c r="RO179" s="200" t="str">
        <f t="shared" ca="1" si="120"/>
        <v>Attente…</v>
      </c>
      <c r="RP179" s="199">
        <f t="shared" si="166"/>
        <v>800</v>
      </c>
      <c r="RQ179" s="200" t="str">
        <f t="shared" ca="1" si="121"/>
        <v>Attente…</v>
      </c>
      <c r="RR179" s="201">
        <f t="shared" si="167"/>
        <v>4180</v>
      </c>
      <c r="RS179" s="202" t="str">
        <f t="shared" ca="1" si="122"/>
        <v>Attente…</v>
      </c>
      <c r="RT179" s="103"/>
      <c r="RU179" s="203">
        <f t="shared" si="168"/>
        <v>0.26455696202531642</v>
      </c>
      <c r="RV179" s="204">
        <f t="shared" si="171"/>
        <v>1</v>
      </c>
      <c r="RW179" s="204">
        <f t="shared" si="171"/>
        <v>2</v>
      </c>
      <c r="RX179" s="204">
        <f t="shared" si="169"/>
        <v>79</v>
      </c>
      <c r="RY179" s="205" t="str">
        <f t="shared" si="170"/>
        <v>ROUEN - 3 Place Eglise Saint Gervais</v>
      </c>
      <c r="RZ179" s="189" t="str">
        <f>IF(OR(RZ178="",RZ178="  &lt;/Document&gt;
&lt;/kml&gt;"),"",
IF(B179="","  &lt;/Document&gt;
&lt;/kml&gt;",
IF(TournéesCAV!Q179=""," ",
"    &lt;Placemark&gt;
      &lt;description&gt;&lt;![CDATA["&amp;B179&amp;"&lt;br&gt;&lt;br&gt;"&amp;RV179&amp;" CAV&lt;br&gt;&lt;br&gt;Présent sur "&amp;RW179&amp;" tournée(s)&lt;br&gt;&lt;br&gt;Taux de remplissage moyen "&amp;TEXT(RU179*1000,"0 %")&amp;"]]&gt;&lt;/description&gt;
      &lt;Style&gt;
        &lt;IconStyle&gt;
          &lt;color&gt;ff"&amp;
          DEC2HEX(0,2)&amp;
          DEC2HEX(
            IF(RU179&lt;=0.5,
               INT(255*(RU179*2)),
               255
            ),2)&amp;
          DEC2HEX(
            IF(RU179&lt;=0.5,
               255,
               INT(255*(1-(RU179-0.5)*2))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&lt;Point&gt;&lt;coordinates&gt;"&amp;R179&amp;","&amp;Q179&amp;",0&lt;/coordinates&gt;&lt;/Point&gt;
    &lt;/Placemark&gt;"
)))</f>
        <v xml:space="preserve">    &lt;Placemark&gt;
      &lt;description&gt;&lt;![CDATA[ROUEN - 3 Place Eglise Saint Gervais&lt;br&gt;&lt;br&gt;1 CAV&lt;br&gt;&lt;br&gt;Présent sur 2 tournée(s)&lt;br&gt;&lt;br&gt;Taux de remplissage moyen 26%]]&gt;&lt;/description&gt;
      &lt;Style&gt;
        &lt;IconStyle&gt;
          &lt;color&gt;ff0086FF&lt;/color&gt;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&lt;Point&gt;&lt;coordinates&gt;1.0820767,49.4493018,0&lt;/coordinates&gt;&lt;/Point&gt;
    &lt;/Placemark&gt;</v>
      </c>
    </row>
    <row r="180" spans="2:494" ht="15" customHeight="1" x14ac:dyDescent="0.35">
      <c r="B180" s="153" t="str">
        <f t="shared" si="123"/>
        <v>ROUEN - 43 Rue Stanislas Girardin (Angle rue A. Flaubert)</v>
      </c>
      <c r="C180" s="154">
        <v>138</v>
      </c>
      <c r="D180" s="155"/>
      <c r="E180" s="155"/>
      <c r="F180" s="155"/>
      <c r="G180" s="155"/>
      <c r="H180" s="155"/>
      <c r="I180" s="155"/>
      <c r="J180" s="156"/>
      <c r="K180" s="157">
        <f t="shared" si="124"/>
        <v>1</v>
      </c>
      <c r="L180" s="157">
        <f t="shared" si="125"/>
        <v>2</v>
      </c>
      <c r="M180" s="158" t="s">
        <v>984</v>
      </c>
      <c r="N180" s="159" t="s">
        <v>985</v>
      </c>
      <c r="O180" s="159">
        <v>76000</v>
      </c>
      <c r="P180" s="159" t="s">
        <v>90</v>
      </c>
      <c r="Q180" s="159" t="s">
        <v>986</v>
      </c>
      <c r="R180" s="159" t="s">
        <v>987</v>
      </c>
      <c r="S180" s="159" t="s">
        <v>93</v>
      </c>
      <c r="T180" s="159" t="s">
        <v>94</v>
      </c>
      <c r="U180" s="159" t="s">
        <v>988</v>
      </c>
      <c r="V180" s="160" t="s">
        <v>96</v>
      </c>
      <c r="W180" s="210">
        <v>23</v>
      </c>
      <c r="X180" s="162">
        <v>26</v>
      </c>
      <c r="Y180" s="162"/>
      <c r="Z180" s="162"/>
      <c r="AA180" s="162"/>
      <c r="AB180" s="162"/>
      <c r="AC180" s="162"/>
      <c r="AD180" s="162"/>
      <c r="AE180" s="162"/>
      <c r="AF180" s="162"/>
      <c r="AG180" s="162"/>
      <c r="AH180" s="162"/>
      <c r="AI180" s="162"/>
      <c r="AJ180" s="162"/>
      <c r="AK180" s="162"/>
      <c r="AL180" s="162"/>
      <c r="AM180" s="162"/>
      <c r="AN180" s="162"/>
      <c r="AO180" s="162"/>
      <c r="AP180" s="164"/>
      <c r="AQ180" s="164"/>
      <c r="AR180" s="164"/>
      <c r="AS180" s="164"/>
      <c r="AT180" s="164"/>
      <c r="AU180" s="164"/>
      <c r="AV180" s="164"/>
      <c r="AW180" s="164"/>
      <c r="AX180" s="164"/>
      <c r="AY180" s="165"/>
      <c r="AZ180" s="41"/>
      <c r="BA180" s="190"/>
      <c r="BB180" s="191"/>
      <c r="BC180" s="191">
        <v>100</v>
      </c>
      <c r="BD180" s="191"/>
      <c r="BE180" s="191"/>
      <c r="BF180" s="191"/>
      <c r="BG180" s="191"/>
      <c r="BH180" s="191"/>
      <c r="BI180" s="191"/>
      <c r="BJ180" s="191">
        <v>100</v>
      </c>
      <c r="BK180" s="191"/>
      <c r="BL180" s="191"/>
      <c r="BM180" s="191">
        <v>50</v>
      </c>
      <c r="BN180" s="191"/>
      <c r="BO180" s="191"/>
      <c r="BP180" s="191"/>
      <c r="BQ180" s="191"/>
      <c r="BR180" s="191"/>
      <c r="BS180" s="191"/>
      <c r="BT180" s="191"/>
      <c r="BU180" s="191"/>
      <c r="BV180" s="191"/>
      <c r="BW180" s="191"/>
      <c r="BX180" s="191">
        <v>100</v>
      </c>
      <c r="BY180" s="191"/>
      <c r="BZ180" s="191"/>
      <c r="CA180" s="191">
        <v>10</v>
      </c>
      <c r="CB180" s="191"/>
      <c r="CC180" s="191"/>
      <c r="CD180" s="191"/>
      <c r="CE180" s="192">
        <v>10</v>
      </c>
      <c r="CF180" s="190"/>
      <c r="CG180" s="191"/>
      <c r="CH180" s="191">
        <v>100</v>
      </c>
      <c r="CI180" s="191"/>
      <c r="CJ180" s="191"/>
      <c r="CK180" s="191"/>
      <c r="CL180" s="191">
        <v>50</v>
      </c>
      <c r="CM180" s="191"/>
      <c r="CN180" s="191"/>
      <c r="CO180" s="191">
        <v>10</v>
      </c>
      <c r="CP180" s="191"/>
      <c r="CQ180" s="191"/>
      <c r="CR180" s="191"/>
      <c r="CS180" s="191">
        <v>10</v>
      </c>
      <c r="CT180" s="191"/>
      <c r="CU180" s="191"/>
      <c r="CV180" s="191">
        <v>10</v>
      </c>
      <c r="CW180" s="191"/>
      <c r="CX180" s="191"/>
      <c r="CY180" s="191"/>
      <c r="CZ180" s="191">
        <v>50</v>
      </c>
      <c r="DA180" s="191"/>
      <c r="DB180" s="191"/>
      <c r="DC180" s="191">
        <v>10</v>
      </c>
      <c r="DD180" s="191"/>
      <c r="DE180" s="191"/>
      <c r="DF180" s="191"/>
      <c r="DG180" s="191">
        <v>50</v>
      </c>
      <c r="DH180" s="193"/>
      <c r="DI180" s="194"/>
      <c r="DJ180" s="191"/>
      <c r="DK180" s="191">
        <v>50</v>
      </c>
      <c r="DL180" s="191"/>
      <c r="DM180" s="191"/>
      <c r="DN180" s="191"/>
      <c r="DO180" s="191"/>
      <c r="DP180" s="191"/>
      <c r="DQ180" s="191"/>
      <c r="DR180" s="191">
        <v>50</v>
      </c>
      <c r="DS180" s="191"/>
      <c r="DT180" s="191"/>
      <c r="DU180" s="191"/>
      <c r="DV180" s="191">
        <v>50</v>
      </c>
      <c r="DW180" s="191"/>
      <c r="DX180" s="191"/>
      <c r="DY180" s="191">
        <v>50</v>
      </c>
      <c r="DZ180" s="191"/>
      <c r="EA180" s="191"/>
      <c r="EB180" s="191"/>
      <c r="EC180" s="191">
        <v>50</v>
      </c>
      <c r="ED180" s="191"/>
      <c r="EE180" s="191"/>
      <c r="EF180" s="191">
        <v>100</v>
      </c>
      <c r="EG180" s="191"/>
      <c r="EH180" s="191"/>
      <c r="EI180" s="191"/>
      <c r="EJ180" s="191">
        <v>100</v>
      </c>
      <c r="EK180" s="191"/>
      <c r="EL180" s="191"/>
      <c r="EM180" s="192">
        <v>50</v>
      </c>
      <c r="EN180" s="190"/>
      <c r="EO180" s="191"/>
      <c r="EP180" s="191"/>
      <c r="EQ180" s="191">
        <v>50</v>
      </c>
      <c r="ER180" s="191"/>
      <c r="ES180" s="191"/>
      <c r="ET180" s="191">
        <v>100</v>
      </c>
      <c r="EU180" s="191"/>
      <c r="EV180" s="191"/>
      <c r="EW180" s="191"/>
      <c r="EX180" s="191">
        <v>50</v>
      </c>
      <c r="EY180" s="191"/>
      <c r="EZ180" s="191"/>
      <c r="FA180" s="191">
        <v>100</v>
      </c>
      <c r="FB180" s="191"/>
      <c r="FC180" s="191"/>
      <c r="FD180" s="191"/>
      <c r="FE180" s="191">
        <v>50</v>
      </c>
      <c r="FF180" s="191"/>
      <c r="FG180" s="191"/>
      <c r="FH180" s="191"/>
      <c r="FI180" s="191"/>
      <c r="FJ180" s="191"/>
      <c r="FK180" s="191">
        <v>50</v>
      </c>
      <c r="FL180" s="191"/>
      <c r="FM180" s="191"/>
      <c r="FN180" s="191"/>
      <c r="FO180" s="191">
        <v>100</v>
      </c>
      <c r="FP180" s="191"/>
      <c r="FQ180" s="193"/>
      <c r="FR180" s="194"/>
      <c r="FS180" s="191"/>
      <c r="FT180" s="191"/>
      <c r="FU180" s="191"/>
      <c r="FV180" s="191"/>
      <c r="FW180" s="191"/>
      <c r="FX180" s="191"/>
      <c r="FY180" s="191"/>
      <c r="FZ180" s="191">
        <v>150</v>
      </c>
      <c r="GA180" s="191"/>
      <c r="GB180" s="191"/>
      <c r="GC180" s="191">
        <v>50</v>
      </c>
      <c r="GD180" s="191"/>
      <c r="GE180" s="191"/>
      <c r="GF180" s="191"/>
      <c r="GG180" s="191">
        <v>50</v>
      </c>
      <c r="GH180" s="191"/>
      <c r="GI180" s="191"/>
      <c r="GJ180" s="191">
        <v>50</v>
      </c>
      <c r="GK180" s="191"/>
      <c r="GL180" s="191"/>
      <c r="GM180" s="191"/>
      <c r="GN180" s="191">
        <v>50</v>
      </c>
      <c r="GO180" s="191"/>
      <c r="GP180" s="191"/>
      <c r="GQ180" s="191">
        <v>50</v>
      </c>
      <c r="GR180" s="191"/>
      <c r="GS180" s="191"/>
      <c r="GT180" s="191"/>
      <c r="GU180" s="191"/>
      <c r="GV180" s="192"/>
      <c r="GW180" s="190"/>
      <c r="GX180" s="191">
        <v>100</v>
      </c>
      <c r="GY180" s="191"/>
      <c r="GZ180" s="191"/>
      <c r="HA180" s="191"/>
      <c r="HB180" s="191">
        <v>100</v>
      </c>
      <c r="HC180" s="191"/>
      <c r="HD180" s="191"/>
      <c r="HE180" s="191"/>
      <c r="HF180" s="191"/>
      <c r="HG180" s="191"/>
      <c r="HH180" s="191"/>
      <c r="HI180" s="191">
        <v>50</v>
      </c>
      <c r="HJ180" s="191"/>
      <c r="HK180" s="191"/>
      <c r="HL180" s="191"/>
      <c r="HM180" s="191"/>
      <c r="HN180" s="191"/>
      <c r="HO180" s="191">
        <v>150</v>
      </c>
      <c r="HP180" s="191"/>
      <c r="HQ180" s="191"/>
      <c r="HR180" s="191"/>
      <c r="HS180" s="191">
        <v>100</v>
      </c>
      <c r="HT180" s="191"/>
      <c r="HU180" s="191"/>
      <c r="HV180" s="191"/>
      <c r="HW180" s="191">
        <v>50</v>
      </c>
      <c r="HX180" s="191"/>
      <c r="HY180" s="191"/>
      <c r="HZ180" s="193"/>
      <c r="IA180" s="194">
        <v>50</v>
      </c>
      <c r="IB180" s="191"/>
      <c r="IC180" s="191">
        <v>10</v>
      </c>
      <c r="ID180" s="191">
        <v>10</v>
      </c>
      <c r="IE180" s="191"/>
      <c r="IF180" s="191"/>
      <c r="IG180" s="191"/>
      <c r="IH180" s="191"/>
      <c r="II180" s="191"/>
      <c r="IJ180" s="191">
        <v>100</v>
      </c>
      <c r="IK180" s="191"/>
      <c r="IL180" s="191"/>
      <c r="IM180" s="191"/>
      <c r="IN180" s="191">
        <v>100</v>
      </c>
      <c r="IO180" s="191"/>
      <c r="IP180" s="191"/>
      <c r="IQ180" s="191"/>
      <c r="IR180" s="191"/>
      <c r="IS180" s="191"/>
      <c r="IT180" s="191"/>
      <c r="IU180" s="191"/>
      <c r="IV180" s="191"/>
      <c r="IW180" s="191"/>
      <c r="IX180" s="191"/>
      <c r="IY180" s="191"/>
      <c r="IZ180" s="191"/>
      <c r="JA180" s="191"/>
      <c r="JB180" s="191"/>
      <c r="JC180" s="191">
        <v>200</v>
      </c>
      <c r="JD180" s="191"/>
      <c r="JE180" s="192"/>
      <c r="JF180" s="190">
        <v>50</v>
      </c>
      <c r="JG180" s="191"/>
      <c r="JH180" s="191"/>
      <c r="JI180" s="191"/>
      <c r="JJ180" s="191"/>
      <c r="JK180" s="191"/>
      <c r="JL180" s="191"/>
      <c r="JM180" s="191">
        <v>50</v>
      </c>
      <c r="JN180" s="191"/>
      <c r="JO180" s="191"/>
      <c r="JP180" s="191">
        <v>50</v>
      </c>
      <c r="JQ180" s="191"/>
      <c r="JR180" s="191"/>
      <c r="JS180" s="191"/>
      <c r="JT180" s="191"/>
      <c r="JU180" s="191"/>
      <c r="JV180" s="191"/>
      <c r="JW180" s="191"/>
      <c r="JX180" s="191"/>
      <c r="JY180" s="191"/>
      <c r="JZ180" s="191"/>
      <c r="KA180" s="191">
        <v>100</v>
      </c>
      <c r="KB180" s="191"/>
      <c r="KC180" s="191"/>
      <c r="KD180" s="191">
        <v>100</v>
      </c>
      <c r="KE180" s="191"/>
      <c r="KF180" s="191"/>
      <c r="KG180" s="191"/>
      <c r="KH180" s="191">
        <v>50</v>
      </c>
      <c r="KI180" s="191"/>
      <c r="KJ180" s="193"/>
      <c r="KK180" s="194"/>
      <c r="KL180" s="191"/>
      <c r="KM180" s="191"/>
      <c r="KN180" s="191">
        <v>10</v>
      </c>
      <c r="KO180" s="191"/>
      <c r="KP180" s="191"/>
      <c r="KQ180" s="191"/>
      <c r="KR180" s="191"/>
      <c r="KS180" s="191"/>
      <c r="KT180" s="191"/>
      <c r="KU180" s="191"/>
      <c r="KV180" s="191">
        <v>150</v>
      </c>
      <c r="KW180" s="191"/>
      <c r="KX180" s="191"/>
      <c r="KY180" s="191"/>
      <c r="KZ180" s="191"/>
      <c r="LA180" s="191"/>
      <c r="LB180" s="191"/>
      <c r="LC180" s="191">
        <v>100</v>
      </c>
      <c r="LD180" s="191"/>
      <c r="LE180" s="191"/>
      <c r="LF180" s="191">
        <v>100</v>
      </c>
      <c r="LG180" s="191"/>
      <c r="LH180" s="191"/>
      <c r="LI180" s="191"/>
      <c r="LJ180" s="191">
        <v>50</v>
      </c>
      <c r="LK180" s="191"/>
      <c r="LL180" s="191"/>
      <c r="LM180" s="191"/>
      <c r="LN180" s="192"/>
      <c r="LO180" s="190"/>
      <c r="LP180" s="191"/>
      <c r="LQ180" s="191"/>
      <c r="LR180" s="191"/>
      <c r="LS180" s="191"/>
      <c r="LT180" s="191"/>
      <c r="LU180" s="191">
        <v>150</v>
      </c>
      <c r="LV180" s="191"/>
      <c r="LW180" s="191"/>
      <c r="LX180" s="191">
        <v>50</v>
      </c>
      <c r="LY180" s="191"/>
      <c r="LZ180" s="191"/>
      <c r="MA180" s="191">
        <v>10</v>
      </c>
      <c r="MB180" s="191"/>
      <c r="MC180" s="191"/>
      <c r="MD180" s="191"/>
      <c r="ME180" s="191">
        <v>50</v>
      </c>
      <c r="MF180" s="191"/>
      <c r="MG180" s="191"/>
      <c r="MH180" s="191">
        <v>50</v>
      </c>
      <c r="MI180" s="191"/>
      <c r="MJ180" s="191"/>
      <c r="MK180" s="191"/>
      <c r="ML180" s="191">
        <v>10</v>
      </c>
      <c r="MM180" s="191"/>
      <c r="MN180" s="191"/>
      <c r="MO180" s="191">
        <v>10</v>
      </c>
      <c r="MP180" s="191"/>
      <c r="MQ180" s="191"/>
      <c r="MR180" s="191"/>
      <c r="MS180" s="193">
        <v>50</v>
      </c>
      <c r="MT180" s="194"/>
      <c r="MU180" s="191"/>
      <c r="MV180" s="191">
        <v>50</v>
      </c>
      <c r="MW180" s="191"/>
      <c r="MX180" s="191"/>
      <c r="MY180" s="191"/>
      <c r="MZ180" s="191">
        <v>10</v>
      </c>
      <c r="NA180" s="191"/>
      <c r="NB180" s="191"/>
      <c r="NC180" s="191">
        <v>50</v>
      </c>
      <c r="ND180" s="191"/>
      <c r="NE180" s="191"/>
      <c r="NF180" s="191"/>
      <c r="NG180" s="191">
        <v>50</v>
      </c>
      <c r="NH180" s="191"/>
      <c r="NI180" s="191"/>
      <c r="NJ180" s="191">
        <v>10</v>
      </c>
      <c r="NK180" s="191"/>
      <c r="NL180" s="191"/>
      <c r="NM180" s="191"/>
      <c r="NN180" s="191">
        <v>50</v>
      </c>
      <c r="NO180" s="191"/>
      <c r="NP180" s="191"/>
      <c r="NQ180" s="191">
        <v>10</v>
      </c>
      <c r="NR180" s="191"/>
      <c r="NS180" s="191"/>
      <c r="NT180" s="191"/>
      <c r="NU180" s="191">
        <v>50</v>
      </c>
      <c r="NV180" s="191"/>
      <c r="NW180" s="192"/>
      <c r="NX180" s="190">
        <v>50</v>
      </c>
      <c r="NY180" s="191"/>
      <c r="NZ180" s="191"/>
      <c r="OA180" s="191"/>
      <c r="OB180" s="191">
        <v>50</v>
      </c>
      <c r="OC180" s="191"/>
      <c r="OD180" s="191"/>
      <c r="OE180" s="191">
        <v>10</v>
      </c>
      <c r="OF180" s="191"/>
      <c r="OG180" s="191"/>
      <c r="OH180" s="191"/>
      <c r="OI180" s="191">
        <v>50</v>
      </c>
      <c r="OJ180" s="191"/>
      <c r="OK180" s="191"/>
      <c r="OL180" s="191">
        <v>50</v>
      </c>
      <c r="OM180" s="191"/>
      <c r="ON180" s="191"/>
      <c r="OO180" s="191"/>
      <c r="OP180" s="191"/>
      <c r="OQ180" s="191"/>
      <c r="OR180" s="191"/>
      <c r="OS180" s="191"/>
      <c r="OT180" s="191"/>
      <c r="OU180" s="191"/>
      <c r="OV180" s="191"/>
      <c r="OW180" s="191"/>
      <c r="OX180" s="191"/>
      <c r="OY180" s="191"/>
      <c r="OZ180" s="191"/>
      <c r="PA180" s="191"/>
      <c r="PB180" s="193"/>
      <c r="PC180" s="47"/>
      <c r="PD180" s="154" t="s">
        <v>97</v>
      </c>
      <c r="PE180" s="155" t="s">
        <v>98</v>
      </c>
      <c r="PF180" s="155" t="s">
        <v>98</v>
      </c>
      <c r="PG180" s="155" t="s">
        <v>98</v>
      </c>
      <c r="PH180" s="155" t="s">
        <v>98</v>
      </c>
      <c r="PI180" s="155" t="s">
        <v>98</v>
      </c>
      <c r="PJ180" s="155" t="s">
        <v>98</v>
      </c>
      <c r="PK180" s="155" t="s">
        <v>98</v>
      </c>
      <c r="PL180" s="155" t="s">
        <v>98</v>
      </c>
      <c r="PM180" s="155" t="s">
        <v>98</v>
      </c>
      <c r="PN180" s="155" t="s">
        <v>98</v>
      </c>
      <c r="PO180" s="156"/>
      <c r="PP180" s="156"/>
      <c r="PQ180" s="156"/>
      <c r="PR180" s="156"/>
      <c r="PS180" s="156"/>
      <c r="PT180" s="156"/>
      <c r="PU180" s="156"/>
      <c r="PV180" s="156"/>
      <c r="PW180" s="156"/>
      <c r="PX180" s="195"/>
      <c r="PY180" s="1"/>
      <c r="PZ180" s="196">
        <f t="shared" si="126"/>
        <v>370</v>
      </c>
      <c r="QA180" s="176">
        <f t="shared" si="127"/>
        <v>3.0866772336698091E-3</v>
      </c>
      <c r="QB180" s="177" t="str">
        <f t="shared" ca="1" si="128"/>
        <v>Attente…</v>
      </c>
      <c r="QC180" s="197">
        <f t="shared" si="129"/>
        <v>290</v>
      </c>
      <c r="QD180" s="179">
        <f t="shared" si="130"/>
        <v>2.7153558052434457E-3</v>
      </c>
      <c r="QE180" s="180" t="str">
        <f t="shared" ca="1" si="131"/>
        <v>Attente…</v>
      </c>
      <c r="QF180" s="196">
        <f t="shared" si="132"/>
        <v>500</v>
      </c>
      <c r="QG180" s="176">
        <f t="shared" si="133"/>
        <v>3.9815257206561551E-3</v>
      </c>
      <c r="QH180" s="177" t="str">
        <f t="shared" ca="1" si="134"/>
        <v>Attente…</v>
      </c>
      <c r="QI180" s="197">
        <f t="shared" si="135"/>
        <v>500</v>
      </c>
      <c r="QJ180" s="179">
        <f t="shared" si="136"/>
        <v>3.5068031982045168E-3</v>
      </c>
      <c r="QK180" s="180" t="str">
        <f t="shared" ca="1" si="137"/>
        <v>Attente…</v>
      </c>
      <c r="QL180" s="196">
        <f t="shared" si="138"/>
        <v>400</v>
      </c>
      <c r="QM180" s="176">
        <f t="shared" si="139"/>
        <v>2.9265437518290896E-3</v>
      </c>
      <c r="QN180" s="177" t="str">
        <f t="shared" ca="1" si="140"/>
        <v>Attente…</v>
      </c>
      <c r="QO180" s="197">
        <f t="shared" si="141"/>
        <v>550</v>
      </c>
      <c r="QP180" s="179">
        <f t="shared" si="142"/>
        <v>4.3059578799029205E-3</v>
      </c>
      <c r="QQ180" s="180" t="str">
        <f t="shared" ca="1" si="143"/>
        <v>Attente…</v>
      </c>
      <c r="QR180" s="196">
        <f t="shared" si="144"/>
        <v>470</v>
      </c>
      <c r="QS180" s="176">
        <f t="shared" si="145"/>
        <v>3.3836075015298227E-3</v>
      </c>
      <c r="QT180" s="177" t="str">
        <f t="shared" ca="1" si="146"/>
        <v>Attente…</v>
      </c>
      <c r="QU180" s="197">
        <f t="shared" si="147"/>
        <v>400</v>
      </c>
      <c r="QV180" s="179">
        <f t="shared" si="148"/>
        <v>2.7578599007170436E-3</v>
      </c>
      <c r="QW180" s="180" t="str">
        <f t="shared" ca="1" si="149"/>
        <v>Attente…</v>
      </c>
      <c r="QX180" s="196">
        <f t="shared" si="150"/>
        <v>410</v>
      </c>
      <c r="QY180" s="176">
        <f t="shared" si="151"/>
        <v>2.9919145334072797E-3</v>
      </c>
      <c r="QZ180" s="177" t="str">
        <f t="shared" ca="1" si="152"/>
        <v>Attente…</v>
      </c>
      <c r="RA180" s="197">
        <f t="shared" si="153"/>
        <v>380</v>
      </c>
      <c r="RB180" s="179">
        <f t="shared" si="154"/>
        <v>2.9731632892574917E-3</v>
      </c>
      <c r="RC180" s="180" t="str">
        <f t="shared" ca="1" si="155"/>
        <v>Attente…</v>
      </c>
      <c r="RD180" s="196">
        <f t="shared" si="156"/>
        <v>280</v>
      </c>
      <c r="RE180" s="176">
        <f t="shared" si="157"/>
        <v>2.7899561578318055E-3</v>
      </c>
      <c r="RF180" s="177" t="str">
        <f t="shared" ca="1" si="158"/>
        <v>Attente…</v>
      </c>
      <c r="RG180" s="197">
        <f t="shared" si="159"/>
        <v>210</v>
      </c>
      <c r="RH180" s="179">
        <f t="shared" si="160"/>
        <v>3.8624241309545707E-3</v>
      </c>
      <c r="RI180" s="198" t="str">
        <f t="shared" ca="1" si="161"/>
        <v>Attente…</v>
      </c>
      <c r="RJ180" s="199">
        <f t="shared" si="162"/>
        <v>1160</v>
      </c>
      <c r="RK180" s="200" t="str">
        <f t="shared" ca="1" si="119"/>
        <v>Attente…</v>
      </c>
      <c r="RL180" s="199">
        <f t="shared" si="163"/>
        <v>1450</v>
      </c>
      <c r="RM180" s="200" t="str">
        <f t="shared" ca="1" si="164"/>
        <v>Atttente…</v>
      </c>
      <c r="RN180" s="199">
        <f t="shared" si="165"/>
        <v>1280</v>
      </c>
      <c r="RO180" s="200" t="str">
        <f t="shared" ca="1" si="120"/>
        <v>Attente…</v>
      </c>
      <c r="RP180" s="199">
        <f t="shared" si="166"/>
        <v>870</v>
      </c>
      <c r="RQ180" s="200" t="str">
        <f t="shared" ca="1" si="121"/>
        <v>Attente…</v>
      </c>
      <c r="RR180" s="201">
        <f t="shared" si="167"/>
        <v>4760</v>
      </c>
      <c r="RS180" s="202" t="str">
        <f t="shared" ca="1" si="122"/>
        <v>Attente…</v>
      </c>
      <c r="RT180" s="103"/>
      <c r="RU180" s="203">
        <f t="shared" si="168"/>
        <v>0.30126582278481012</v>
      </c>
      <c r="RV180" s="204">
        <f t="shared" si="171"/>
        <v>1</v>
      </c>
      <c r="RW180" s="204">
        <f t="shared" si="171"/>
        <v>2</v>
      </c>
      <c r="RX180" s="204">
        <f t="shared" si="169"/>
        <v>79</v>
      </c>
      <c r="RY180" s="205" t="str">
        <f t="shared" si="170"/>
        <v>ROUEN - 43 Rue Stanislas Girardin (Angle rue A. Flaubert)</v>
      </c>
      <c r="RZ180" s="189" t="str">
        <f>IF(OR(RZ179="",RZ179="  &lt;/Document&gt;
&lt;/kml&gt;"),"",
IF(B180="","  &lt;/Document&gt;
&lt;/kml&gt;",
IF(TournéesCAV!Q182=""," ",
"    &lt;Placemark&gt;
      &lt;description&gt;&lt;![CDATA["&amp;B180&amp;"&lt;br&gt;&lt;br&gt;"&amp;RV180&amp;" CAV&lt;br&gt;&lt;br&gt;Présent sur "&amp;RW180&amp;" tournée(s)&lt;br&gt;&lt;br&gt;Taux de remplissage moyen "&amp;TEXT(RU180*1000,"0 %")&amp;"]]&gt;&lt;/description&gt;
      &lt;Style&gt;
        &lt;IconStyle&gt;
          &lt;color&gt;ff"&amp;
          DEC2HEX(0,2)&amp;
          DEC2HEX(
            IF(RU180&lt;=0.5,
               INT(255*(RU180*2)),
               255
            ),2)&amp;
          DEC2HEX(
            IF(RU180&lt;=0.5,
               255,
               INT(255*(1-(RU180-0.5)*2))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&lt;Point&gt;&lt;coordinates&gt;"&amp;R180&amp;","&amp;Q180&amp;",0&lt;/coordinates&gt;&lt;/Point&gt;
    &lt;/Placemark&gt;"
)))</f>
        <v xml:space="preserve">    &lt;Placemark&gt;
      &lt;description&gt;&lt;![CDATA[ROUEN - 43 Rue Stanislas Girardin (Angle rue A. Flaubert)&lt;br&gt;&lt;br&gt;1 CAV&lt;br&gt;&lt;br&gt;Présent sur 2 tournée(s)&lt;br&gt;&lt;br&gt;Taux de remplissage moyen 30%]]&gt;&lt;/description&gt;
      &lt;Style&gt;
        &lt;IconStyle&gt;
          &lt;color&gt;ff0099FF&lt;/color&gt;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&lt;Point&gt;&lt;coordinates&gt;1.0805579,49.4472438,0&lt;/coordinates&gt;&lt;/Point&gt;
    &lt;/Placemark&gt;</v>
      </c>
    </row>
    <row r="181" spans="2:494" ht="15" customHeight="1" x14ac:dyDescent="0.35">
      <c r="B181" s="153" t="str">
        <f t="shared" si="123"/>
        <v>ROUEN - 23 rue Guillaume d'Estouteville</v>
      </c>
      <c r="C181" s="154">
        <v>124</v>
      </c>
      <c r="D181" s="155"/>
      <c r="E181" s="155"/>
      <c r="F181" s="155"/>
      <c r="G181" s="155"/>
      <c r="H181" s="155"/>
      <c r="I181" s="155"/>
      <c r="J181" s="156"/>
      <c r="K181" s="157">
        <f t="shared" si="124"/>
        <v>1</v>
      </c>
      <c r="L181" s="157">
        <f t="shared" si="125"/>
        <v>1</v>
      </c>
      <c r="M181" s="158" t="s">
        <v>989</v>
      </c>
      <c r="N181" s="159"/>
      <c r="O181" s="159">
        <v>76000</v>
      </c>
      <c r="P181" s="159" t="s">
        <v>90</v>
      </c>
      <c r="Q181" s="159" t="s">
        <v>990</v>
      </c>
      <c r="R181" s="159" t="s">
        <v>991</v>
      </c>
      <c r="S181" s="159" t="s">
        <v>93</v>
      </c>
      <c r="T181" s="159" t="s">
        <v>94</v>
      </c>
      <c r="U181" s="159" t="s">
        <v>992</v>
      </c>
      <c r="V181" s="160" t="s">
        <v>96</v>
      </c>
      <c r="W181" s="210">
        <v>24</v>
      </c>
      <c r="X181" s="162"/>
      <c r="Y181" s="162"/>
      <c r="Z181" s="162"/>
      <c r="AA181" s="162"/>
      <c r="AB181" s="162"/>
      <c r="AC181" s="162"/>
      <c r="AD181" s="162"/>
      <c r="AE181" s="162"/>
      <c r="AF181" s="162"/>
      <c r="AG181" s="162"/>
      <c r="AH181" s="162"/>
      <c r="AI181" s="162"/>
      <c r="AJ181" s="162"/>
      <c r="AK181" s="162"/>
      <c r="AL181" s="162"/>
      <c r="AM181" s="162"/>
      <c r="AN181" s="162"/>
      <c r="AO181" s="162"/>
      <c r="AP181" s="164"/>
      <c r="AQ181" s="164"/>
      <c r="AR181" s="164"/>
      <c r="AS181" s="164"/>
      <c r="AT181" s="164"/>
      <c r="AU181" s="164"/>
      <c r="AV181" s="164"/>
      <c r="AW181" s="164"/>
      <c r="AX181" s="164"/>
      <c r="AY181" s="165"/>
      <c r="AZ181" s="41"/>
      <c r="BA181" s="190"/>
      <c r="BB181" s="191"/>
      <c r="BC181" s="191"/>
      <c r="BD181" s="191"/>
      <c r="BE181" s="191"/>
      <c r="BF181" s="191"/>
      <c r="BG181" s="191"/>
      <c r="BH181" s="191"/>
      <c r="BI181" s="191"/>
      <c r="BJ181" s="191"/>
      <c r="BK181" s="191"/>
      <c r="BL181" s="191"/>
      <c r="BM181" s="191">
        <v>10</v>
      </c>
      <c r="BN181" s="191"/>
      <c r="BO181" s="191"/>
      <c r="BP181" s="191"/>
      <c r="BQ181" s="191"/>
      <c r="BR181" s="191"/>
      <c r="BS181" s="191"/>
      <c r="BT181" s="191"/>
      <c r="BU181" s="191"/>
      <c r="BV181" s="191"/>
      <c r="BW181" s="191"/>
      <c r="BX181" s="191"/>
      <c r="BY181" s="191"/>
      <c r="BZ181" s="191"/>
      <c r="CA181" s="191"/>
      <c r="CB181" s="191"/>
      <c r="CC181" s="191"/>
      <c r="CD181" s="191"/>
      <c r="CE181" s="192"/>
      <c r="CF181" s="190"/>
      <c r="CG181" s="191"/>
      <c r="CH181" s="191">
        <v>100</v>
      </c>
      <c r="CI181" s="191"/>
      <c r="CJ181" s="191"/>
      <c r="CK181" s="191"/>
      <c r="CL181" s="191"/>
      <c r="CM181" s="191"/>
      <c r="CN181" s="191"/>
      <c r="CO181" s="191">
        <v>10</v>
      </c>
      <c r="CP181" s="191"/>
      <c r="CQ181" s="191"/>
      <c r="CR181" s="191"/>
      <c r="CS181" s="191"/>
      <c r="CT181" s="191"/>
      <c r="CU181" s="191"/>
      <c r="CV181" s="191">
        <v>50</v>
      </c>
      <c r="CW181" s="191"/>
      <c r="CX181" s="191"/>
      <c r="CY181" s="191"/>
      <c r="CZ181" s="191"/>
      <c r="DA181" s="191"/>
      <c r="DB181" s="191"/>
      <c r="DC181" s="191">
        <v>150</v>
      </c>
      <c r="DD181" s="191"/>
      <c r="DE181" s="191"/>
      <c r="DF181" s="191"/>
      <c r="DG181" s="191"/>
      <c r="DH181" s="193"/>
      <c r="DI181" s="194"/>
      <c r="DJ181" s="191"/>
      <c r="DK181" s="191">
        <v>50</v>
      </c>
      <c r="DL181" s="191"/>
      <c r="DM181" s="191"/>
      <c r="DN181" s="191"/>
      <c r="DO181" s="191"/>
      <c r="DP181" s="191"/>
      <c r="DQ181" s="191"/>
      <c r="DR181" s="191">
        <v>50</v>
      </c>
      <c r="DS181" s="191"/>
      <c r="DT181" s="191"/>
      <c r="DU181" s="191"/>
      <c r="DV181" s="191"/>
      <c r="DW181" s="191"/>
      <c r="DX181" s="191"/>
      <c r="DY181" s="191">
        <v>50</v>
      </c>
      <c r="DZ181" s="191"/>
      <c r="EA181" s="191"/>
      <c r="EB181" s="191"/>
      <c r="EC181" s="191"/>
      <c r="ED181" s="191"/>
      <c r="EE181" s="191"/>
      <c r="EF181" s="191">
        <v>100</v>
      </c>
      <c r="EG181" s="191"/>
      <c r="EH181" s="191"/>
      <c r="EI181" s="191"/>
      <c r="EJ181" s="191"/>
      <c r="EK181" s="191"/>
      <c r="EL181" s="191"/>
      <c r="EM181" s="192">
        <v>50</v>
      </c>
      <c r="EN181" s="190"/>
      <c r="EO181" s="191"/>
      <c r="EP181" s="191"/>
      <c r="EQ181" s="191"/>
      <c r="ER181" s="191"/>
      <c r="ES181" s="191"/>
      <c r="ET181" s="191">
        <v>100</v>
      </c>
      <c r="EU181" s="191"/>
      <c r="EV181" s="191"/>
      <c r="EW181" s="191"/>
      <c r="EX181" s="191"/>
      <c r="EY181" s="191"/>
      <c r="EZ181" s="191"/>
      <c r="FA181" s="191">
        <v>50</v>
      </c>
      <c r="FB181" s="191"/>
      <c r="FC181" s="191"/>
      <c r="FD181" s="191"/>
      <c r="FE181" s="191"/>
      <c r="FF181" s="191"/>
      <c r="FG181" s="191"/>
      <c r="FH181" s="191"/>
      <c r="FI181" s="191"/>
      <c r="FJ181" s="191"/>
      <c r="FK181" s="191"/>
      <c r="FL181" s="191"/>
      <c r="FM181" s="191"/>
      <c r="FN181" s="191"/>
      <c r="FO181" s="191">
        <v>10</v>
      </c>
      <c r="FP181" s="191"/>
      <c r="FQ181" s="193"/>
      <c r="FR181" s="194"/>
      <c r="FS181" s="191"/>
      <c r="FT181" s="191"/>
      <c r="FU181" s="191"/>
      <c r="FV181" s="191"/>
      <c r="FW181" s="191"/>
      <c r="FX181" s="191"/>
      <c r="FY181" s="191"/>
      <c r="FZ181" s="191"/>
      <c r="GA181" s="191"/>
      <c r="GB181" s="191"/>
      <c r="GC181" s="191">
        <v>10</v>
      </c>
      <c r="GD181" s="191"/>
      <c r="GE181" s="191"/>
      <c r="GF181" s="191"/>
      <c r="GG181" s="191"/>
      <c r="GH181" s="191"/>
      <c r="GI181" s="191"/>
      <c r="GJ181" s="191">
        <v>150</v>
      </c>
      <c r="GK181" s="191"/>
      <c r="GL181" s="191"/>
      <c r="GM181" s="191"/>
      <c r="GN181" s="191"/>
      <c r="GO181" s="191"/>
      <c r="GP181" s="191"/>
      <c r="GQ181" s="191">
        <v>50</v>
      </c>
      <c r="GR181" s="191"/>
      <c r="GS181" s="191"/>
      <c r="GT181" s="191"/>
      <c r="GU181" s="191"/>
      <c r="GV181" s="192"/>
      <c r="GW181" s="190"/>
      <c r="GX181" s="191">
        <v>150</v>
      </c>
      <c r="GY181" s="191"/>
      <c r="GZ181" s="191"/>
      <c r="HA181" s="191"/>
      <c r="HB181" s="191"/>
      <c r="HC181" s="191"/>
      <c r="HD181" s="191"/>
      <c r="HE181" s="191"/>
      <c r="HF181" s="191"/>
      <c r="HG181" s="191"/>
      <c r="HH181" s="191"/>
      <c r="HI181" s="191"/>
      <c r="HJ181" s="191"/>
      <c r="HK181" s="191"/>
      <c r="HL181" s="191"/>
      <c r="HM181" s="191"/>
      <c r="HN181" s="191"/>
      <c r="HO181" s="191"/>
      <c r="HP181" s="191"/>
      <c r="HQ181" s="191"/>
      <c r="HR181" s="191"/>
      <c r="HS181" s="191">
        <v>150</v>
      </c>
      <c r="HT181" s="191"/>
      <c r="HU181" s="191"/>
      <c r="HV181" s="191"/>
      <c r="HW181" s="191"/>
      <c r="HX181" s="191"/>
      <c r="HY181" s="191"/>
      <c r="HZ181" s="193"/>
      <c r="IA181" s="194"/>
      <c r="IB181" s="191"/>
      <c r="IC181" s="191"/>
      <c r="ID181" s="191"/>
      <c r="IE181" s="191"/>
      <c r="IF181" s="191"/>
      <c r="IG181" s="191"/>
      <c r="IH181" s="191"/>
      <c r="II181" s="191"/>
      <c r="IJ181" s="191"/>
      <c r="IK181" s="191"/>
      <c r="IL181" s="191"/>
      <c r="IM181" s="191"/>
      <c r="IN181" s="191">
        <v>100</v>
      </c>
      <c r="IO181" s="191"/>
      <c r="IP181" s="191"/>
      <c r="IQ181" s="191"/>
      <c r="IR181" s="191"/>
      <c r="IS181" s="191"/>
      <c r="IT181" s="191"/>
      <c r="IU181" s="191"/>
      <c r="IV181" s="191"/>
      <c r="IW181" s="191"/>
      <c r="IX181" s="191"/>
      <c r="IY181" s="191"/>
      <c r="IZ181" s="191"/>
      <c r="JA181" s="191"/>
      <c r="JB181" s="191"/>
      <c r="JC181" s="191">
        <v>150</v>
      </c>
      <c r="JD181" s="191"/>
      <c r="JE181" s="192"/>
      <c r="JF181" s="190"/>
      <c r="JG181" s="191"/>
      <c r="JH181" s="191"/>
      <c r="JI181" s="191"/>
      <c r="JJ181" s="191"/>
      <c r="JK181" s="191"/>
      <c r="JL181" s="191"/>
      <c r="JM181" s="191"/>
      <c r="JN181" s="191"/>
      <c r="JO181" s="191"/>
      <c r="JP181" s="191">
        <v>100</v>
      </c>
      <c r="JQ181" s="191"/>
      <c r="JR181" s="191"/>
      <c r="JS181" s="191"/>
      <c r="JT181" s="191"/>
      <c r="JU181" s="191"/>
      <c r="JV181" s="191"/>
      <c r="JW181" s="191">
        <v>100</v>
      </c>
      <c r="JX181" s="191"/>
      <c r="JY181" s="191"/>
      <c r="JZ181" s="191"/>
      <c r="KA181" s="191"/>
      <c r="KB181" s="191"/>
      <c r="KC181" s="191"/>
      <c r="KD181" s="191"/>
      <c r="KE181" s="191"/>
      <c r="KF181" s="191"/>
      <c r="KG181" s="191"/>
      <c r="KH181" s="191"/>
      <c r="KI181" s="191"/>
      <c r="KJ181" s="193"/>
      <c r="KK181" s="194">
        <v>100</v>
      </c>
      <c r="KL181" s="191"/>
      <c r="KM181" s="191"/>
      <c r="KN181" s="191"/>
      <c r="KO181" s="191"/>
      <c r="KP181" s="191"/>
      <c r="KQ181" s="191"/>
      <c r="KR181" s="191"/>
      <c r="KS181" s="191"/>
      <c r="KT181" s="191"/>
      <c r="KU181" s="191"/>
      <c r="KV181" s="191"/>
      <c r="KW181" s="191"/>
      <c r="KX181" s="191"/>
      <c r="KY181" s="191"/>
      <c r="KZ181" s="191"/>
      <c r="LA181" s="191"/>
      <c r="LB181" s="191"/>
      <c r="LC181" s="191"/>
      <c r="LD181" s="191"/>
      <c r="LE181" s="191"/>
      <c r="LF181" s="191">
        <v>150</v>
      </c>
      <c r="LG181" s="191"/>
      <c r="LH181" s="191"/>
      <c r="LI181" s="191"/>
      <c r="LJ181" s="191"/>
      <c r="LK181" s="191"/>
      <c r="LL181" s="191"/>
      <c r="LM181" s="191">
        <v>50</v>
      </c>
      <c r="LN181" s="192"/>
      <c r="LO181" s="190"/>
      <c r="LP181" s="191"/>
      <c r="LQ181" s="191"/>
      <c r="LR181" s="191"/>
      <c r="LS181" s="191"/>
      <c r="LT181" s="191"/>
      <c r="LU181" s="191">
        <v>150</v>
      </c>
      <c r="LV181" s="191"/>
      <c r="LW181" s="191"/>
      <c r="LX181" s="191"/>
      <c r="LY181" s="191"/>
      <c r="LZ181" s="191"/>
      <c r="MA181" s="191">
        <v>50</v>
      </c>
      <c r="MB181" s="191"/>
      <c r="MC181" s="191"/>
      <c r="MD181" s="191"/>
      <c r="ME181" s="191"/>
      <c r="MF181" s="191"/>
      <c r="MG181" s="191"/>
      <c r="MH181" s="191">
        <v>50</v>
      </c>
      <c r="MI181" s="191"/>
      <c r="MJ181" s="191"/>
      <c r="MK181" s="191"/>
      <c r="ML181" s="191"/>
      <c r="MM181" s="191"/>
      <c r="MN181" s="191"/>
      <c r="MO181" s="191">
        <v>50</v>
      </c>
      <c r="MP181" s="191"/>
      <c r="MQ181" s="191"/>
      <c r="MR181" s="191"/>
      <c r="MS181" s="193"/>
      <c r="MT181" s="194"/>
      <c r="MU181" s="191"/>
      <c r="MV181" s="191">
        <v>50</v>
      </c>
      <c r="MW181" s="191"/>
      <c r="MX181" s="191"/>
      <c r="MY181" s="191"/>
      <c r="MZ181" s="191"/>
      <c r="NA181" s="191"/>
      <c r="NB181" s="191"/>
      <c r="NC181" s="191">
        <v>50</v>
      </c>
      <c r="ND181" s="191"/>
      <c r="NE181" s="191"/>
      <c r="NF181" s="191"/>
      <c r="NG181" s="191"/>
      <c r="NH181" s="191"/>
      <c r="NI181" s="191"/>
      <c r="NJ181" s="191">
        <v>50</v>
      </c>
      <c r="NK181" s="191"/>
      <c r="NL181" s="191"/>
      <c r="NM181" s="191"/>
      <c r="NN181" s="191"/>
      <c r="NO181" s="191"/>
      <c r="NP181" s="191"/>
      <c r="NQ181" s="191">
        <v>100</v>
      </c>
      <c r="NR181" s="191"/>
      <c r="NS181" s="191"/>
      <c r="NT181" s="191"/>
      <c r="NU181" s="191"/>
      <c r="NV181" s="191"/>
      <c r="NW181" s="192"/>
      <c r="NX181" s="190">
        <v>50</v>
      </c>
      <c r="NY181" s="191"/>
      <c r="NZ181" s="191"/>
      <c r="OA181" s="191"/>
      <c r="OB181" s="191"/>
      <c r="OC181" s="191"/>
      <c r="OD181" s="191"/>
      <c r="OE181" s="191">
        <v>50</v>
      </c>
      <c r="OF181" s="191"/>
      <c r="OG181" s="191"/>
      <c r="OH181" s="191"/>
      <c r="OI181" s="191"/>
      <c r="OJ181" s="191"/>
      <c r="OK181" s="191"/>
      <c r="OL181" s="191">
        <v>50</v>
      </c>
      <c r="OM181" s="191"/>
      <c r="ON181" s="191"/>
      <c r="OO181" s="191"/>
      <c r="OP181" s="191"/>
      <c r="OQ181" s="191"/>
      <c r="OR181" s="191"/>
      <c r="OS181" s="191"/>
      <c r="OT181" s="191"/>
      <c r="OU181" s="191"/>
      <c r="OV181" s="191"/>
      <c r="OW181" s="191"/>
      <c r="OX181" s="191"/>
      <c r="OY181" s="191"/>
      <c r="OZ181" s="191"/>
      <c r="PA181" s="191"/>
      <c r="PB181" s="193"/>
      <c r="PC181" s="47"/>
      <c r="PD181" s="154" t="s">
        <v>97</v>
      </c>
      <c r="PE181" s="155" t="s">
        <v>98</v>
      </c>
      <c r="PF181" s="155" t="s">
        <v>98</v>
      </c>
      <c r="PG181" s="155" t="s">
        <v>98</v>
      </c>
      <c r="PH181" s="155" t="s">
        <v>98</v>
      </c>
      <c r="PI181" s="155" t="s">
        <v>98</v>
      </c>
      <c r="PJ181" s="155" t="s">
        <v>98</v>
      </c>
      <c r="PK181" s="155" t="s">
        <v>98</v>
      </c>
      <c r="PL181" s="155" t="s">
        <v>98</v>
      </c>
      <c r="PM181" s="155" t="s">
        <v>98</v>
      </c>
      <c r="PN181" s="155" t="s">
        <v>98</v>
      </c>
      <c r="PO181" s="156"/>
      <c r="PP181" s="156"/>
      <c r="PQ181" s="156"/>
      <c r="PR181" s="156"/>
      <c r="PS181" s="156"/>
      <c r="PT181" s="156"/>
      <c r="PU181" s="156"/>
      <c r="PV181" s="156"/>
      <c r="PW181" s="156"/>
      <c r="PX181" s="195"/>
      <c r="PY181" s="1"/>
      <c r="PZ181" s="196">
        <f t="shared" si="126"/>
        <v>10</v>
      </c>
      <c r="QA181" s="176">
        <f t="shared" si="127"/>
        <v>8.3423709018102941E-5</v>
      </c>
      <c r="QB181" s="177" t="str">
        <f t="shared" ca="1" si="128"/>
        <v>Attente…</v>
      </c>
      <c r="QC181" s="197">
        <f t="shared" si="129"/>
        <v>310</v>
      </c>
      <c r="QD181" s="179">
        <f t="shared" si="130"/>
        <v>2.9026217228464418E-3</v>
      </c>
      <c r="QE181" s="180" t="str">
        <f t="shared" ca="1" si="131"/>
        <v>Attente…</v>
      </c>
      <c r="QF181" s="196">
        <f t="shared" si="132"/>
        <v>300</v>
      </c>
      <c r="QG181" s="176">
        <f t="shared" si="133"/>
        <v>2.3889154323936935E-3</v>
      </c>
      <c r="QH181" s="177" t="str">
        <f t="shared" ca="1" si="134"/>
        <v>Attente…</v>
      </c>
      <c r="QI181" s="197">
        <f t="shared" si="135"/>
        <v>160</v>
      </c>
      <c r="QJ181" s="179">
        <f t="shared" si="136"/>
        <v>1.1221770234254454E-3</v>
      </c>
      <c r="QK181" s="180" t="str">
        <f t="shared" ca="1" si="137"/>
        <v>Attente…</v>
      </c>
      <c r="QL181" s="196">
        <f t="shared" si="138"/>
        <v>210</v>
      </c>
      <c r="QM181" s="176">
        <f t="shared" si="139"/>
        <v>1.5364354697102723E-3</v>
      </c>
      <c r="QN181" s="177" t="str">
        <f t="shared" ca="1" si="140"/>
        <v>Attente…</v>
      </c>
      <c r="QO181" s="197">
        <f t="shared" si="141"/>
        <v>300</v>
      </c>
      <c r="QP181" s="179">
        <f t="shared" si="142"/>
        <v>2.3487042981288654E-3</v>
      </c>
      <c r="QQ181" s="180" t="str">
        <f t="shared" ca="1" si="143"/>
        <v>Attente…</v>
      </c>
      <c r="QR181" s="196">
        <f t="shared" si="144"/>
        <v>250</v>
      </c>
      <c r="QS181" s="176">
        <f t="shared" si="145"/>
        <v>1.7997912242179908E-3</v>
      </c>
      <c r="QT181" s="177" t="str">
        <f t="shared" ca="1" si="146"/>
        <v>Attente…</v>
      </c>
      <c r="QU181" s="197">
        <f t="shared" si="147"/>
        <v>200</v>
      </c>
      <c r="QV181" s="179">
        <f t="shared" si="148"/>
        <v>1.3789299503585218E-3</v>
      </c>
      <c r="QW181" s="180" t="str">
        <f t="shared" ca="1" si="149"/>
        <v>Attente…</v>
      </c>
      <c r="QX181" s="196">
        <f t="shared" si="150"/>
        <v>300</v>
      </c>
      <c r="QY181" s="176">
        <f t="shared" si="151"/>
        <v>2.1892057561516682E-3</v>
      </c>
      <c r="QZ181" s="177" t="str">
        <f t="shared" ca="1" si="152"/>
        <v>Attente…</v>
      </c>
      <c r="RA181" s="197">
        <f t="shared" si="153"/>
        <v>300</v>
      </c>
      <c r="RB181" s="179">
        <f t="shared" si="154"/>
        <v>2.3472341757295985E-3</v>
      </c>
      <c r="RC181" s="180" t="str">
        <f t="shared" ca="1" si="155"/>
        <v>Attente…</v>
      </c>
      <c r="RD181" s="196">
        <f t="shared" si="156"/>
        <v>250</v>
      </c>
      <c r="RE181" s="176">
        <f t="shared" si="157"/>
        <v>2.4910322837783977E-3</v>
      </c>
      <c r="RF181" s="177" t="str">
        <f t="shared" ca="1" si="158"/>
        <v>Attente…</v>
      </c>
      <c r="RG181" s="197">
        <f t="shared" si="159"/>
        <v>150</v>
      </c>
      <c r="RH181" s="179">
        <f t="shared" si="160"/>
        <v>2.7588743792532648E-3</v>
      </c>
      <c r="RI181" s="198" t="str">
        <f t="shared" ca="1" si="161"/>
        <v>Attente…</v>
      </c>
      <c r="RJ181" s="199">
        <f t="shared" si="162"/>
        <v>620</v>
      </c>
      <c r="RK181" s="200" t="str">
        <f t="shared" ca="1" si="119"/>
        <v>Attente…</v>
      </c>
      <c r="RL181" s="199">
        <f t="shared" si="163"/>
        <v>670</v>
      </c>
      <c r="RM181" s="200" t="str">
        <f t="shared" ca="1" si="164"/>
        <v>Atttente…</v>
      </c>
      <c r="RN181" s="199">
        <f t="shared" si="165"/>
        <v>750</v>
      </c>
      <c r="RO181" s="200" t="str">
        <f t="shared" ca="1" si="120"/>
        <v>Attente…</v>
      </c>
      <c r="RP181" s="199">
        <f t="shared" si="166"/>
        <v>700</v>
      </c>
      <c r="RQ181" s="200" t="str">
        <f t="shared" ca="1" si="121"/>
        <v>Attente…</v>
      </c>
      <c r="RR181" s="201">
        <f t="shared" si="167"/>
        <v>2740</v>
      </c>
      <c r="RS181" s="202" t="str">
        <f t="shared" ca="1" si="122"/>
        <v>Attente…</v>
      </c>
      <c r="RT181" s="103"/>
      <c r="RU181" s="203">
        <f t="shared" si="168"/>
        <v>0.38055555555555559</v>
      </c>
      <c r="RV181" s="204">
        <f t="shared" si="171"/>
        <v>1</v>
      </c>
      <c r="RW181" s="204">
        <f t="shared" si="171"/>
        <v>1</v>
      </c>
      <c r="RX181" s="204">
        <f t="shared" si="169"/>
        <v>36</v>
      </c>
      <c r="RY181" s="205" t="str">
        <f t="shared" si="170"/>
        <v>ROUEN - 23 rue Guillaume d'Estouteville</v>
      </c>
      <c r="RZ181" s="189" t="str">
        <f>IF(OR(RZ180="",RZ180="  &lt;/Document&gt;
&lt;/kml&gt;"),"",
IF(B181="","  &lt;/Document&gt;
&lt;/kml&gt;",
IF(TournéesCAV!Q181=""," ",
"    &lt;Placemark&gt;
      &lt;description&gt;&lt;![CDATA["&amp;B181&amp;"&lt;br&gt;&lt;br&gt;"&amp;RV181&amp;" CAV&lt;br&gt;&lt;br&gt;Présent sur "&amp;RW181&amp;" tournée(s)&lt;br&gt;&lt;br&gt;Taux de remplissage moyen "&amp;TEXT(RU181*1000,"0 %")&amp;"]]&gt;&lt;/description&gt;
      &lt;Style&gt;
        &lt;IconStyle&gt;
          &lt;color&gt;ff"&amp;
          DEC2HEX(0,2)&amp;
          DEC2HEX(
            IF(RU181&lt;=0.5,
               INT(255*(RU181*2)),
               255
            ),2)&amp;
          DEC2HEX(
            IF(RU181&lt;=0.5,
               255,
               INT(255*(1-(RU181-0.5)*2))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&lt;Point&gt;&lt;coordinates&gt;"&amp;R181&amp;","&amp;Q181&amp;",0&lt;/coordinates&gt;&lt;/Point&gt;
    &lt;/Placemark&gt;"
)))</f>
        <v xml:space="preserve">    &lt;Placemark&gt;
      &lt;description&gt;&lt;![CDATA[ROUEN - 23 rue Guillaume d'Estouteville&lt;br&gt;&lt;br&gt;1 CAV&lt;br&gt;&lt;br&gt;Présent sur 1 tournée(s)&lt;br&gt;&lt;br&gt;Taux de remplissage moyen 38%]]&gt;&lt;/description&gt;
      &lt;Style&gt;
        &lt;IconStyle&gt;
          &lt;color&gt;ff00C2FF&lt;/color&gt;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&lt;Point&gt;&lt;coordinates&gt;1.0699945,49.452936,0&lt;/coordinates&gt;&lt;/Point&gt;
    &lt;/Placemark&gt;</v>
      </c>
    </row>
    <row r="182" spans="2:494" ht="15" customHeight="1" x14ac:dyDescent="0.35">
      <c r="B182" s="153" t="str">
        <f t="shared" si="123"/>
        <v>ROUEN - 84 Rue du Renard (Ecole Achille Lefort)</v>
      </c>
      <c r="C182" s="154">
        <v>118</v>
      </c>
      <c r="D182" s="155"/>
      <c r="E182" s="155"/>
      <c r="F182" s="155"/>
      <c r="G182" s="155"/>
      <c r="H182" s="155"/>
      <c r="I182" s="155"/>
      <c r="J182" s="156"/>
      <c r="K182" s="157">
        <f t="shared" si="124"/>
        <v>1</v>
      </c>
      <c r="L182" s="157">
        <f t="shared" si="125"/>
        <v>2</v>
      </c>
      <c r="M182" s="158" t="s">
        <v>993</v>
      </c>
      <c r="N182" s="159" t="s">
        <v>994</v>
      </c>
      <c r="O182" s="159">
        <v>76000</v>
      </c>
      <c r="P182" s="159" t="s">
        <v>90</v>
      </c>
      <c r="Q182" s="159" t="s">
        <v>995</v>
      </c>
      <c r="R182" s="159" t="s">
        <v>996</v>
      </c>
      <c r="S182" s="159" t="s">
        <v>93</v>
      </c>
      <c r="T182" s="159" t="s">
        <v>94</v>
      </c>
      <c r="U182" s="159" t="s">
        <v>997</v>
      </c>
      <c r="V182" s="160" t="s">
        <v>96</v>
      </c>
      <c r="W182" s="210">
        <v>25</v>
      </c>
      <c r="X182" s="162">
        <v>27</v>
      </c>
      <c r="Y182" s="162"/>
      <c r="Z182" s="162"/>
      <c r="AA182" s="162"/>
      <c r="AB182" s="162"/>
      <c r="AC182" s="162"/>
      <c r="AD182" s="162"/>
      <c r="AE182" s="162"/>
      <c r="AF182" s="162"/>
      <c r="AG182" s="162"/>
      <c r="AH182" s="162"/>
      <c r="AI182" s="162"/>
      <c r="AJ182" s="162"/>
      <c r="AK182" s="162"/>
      <c r="AL182" s="162"/>
      <c r="AM182" s="162"/>
      <c r="AN182" s="162"/>
      <c r="AO182" s="162"/>
      <c r="AP182" s="164"/>
      <c r="AQ182" s="164"/>
      <c r="AR182" s="164"/>
      <c r="AS182" s="164"/>
      <c r="AT182" s="164"/>
      <c r="AU182" s="164"/>
      <c r="AV182" s="164"/>
      <c r="AW182" s="164"/>
      <c r="AX182" s="164"/>
      <c r="AY182" s="165"/>
      <c r="AZ182" s="41"/>
      <c r="BA182" s="190"/>
      <c r="BB182" s="191"/>
      <c r="BC182" s="191">
        <v>100</v>
      </c>
      <c r="BD182" s="191"/>
      <c r="BE182" s="191"/>
      <c r="BF182" s="191"/>
      <c r="BG182" s="191"/>
      <c r="BH182" s="191"/>
      <c r="BI182" s="191"/>
      <c r="BJ182" s="191">
        <v>50</v>
      </c>
      <c r="BK182" s="191"/>
      <c r="BL182" s="191"/>
      <c r="BM182" s="191">
        <v>50</v>
      </c>
      <c r="BN182" s="191"/>
      <c r="BO182" s="191"/>
      <c r="BP182" s="191"/>
      <c r="BQ182" s="191">
        <v>10</v>
      </c>
      <c r="BR182" s="191"/>
      <c r="BS182" s="191"/>
      <c r="BT182" s="191"/>
      <c r="BU182" s="191"/>
      <c r="BV182" s="191"/>
      <c r="BW182" s="191"/>
      <c r="BX182" s="191">
        <v>50</v>
      </c>
      <c r="BY182" s="191"/>
      <c r="BZ182" s="191"/>
      <c r="CA182" s="191">
        <v>10</v>
      </c>
      <c r="CB182" s="191"/>
      <c r="CC182" s="191"/>
      <c r="CD182" s="191"/>
      <c r="CE182" s="192">
        <v>50</v>
      </c>
      <c r="CF182" s="190"/>
      <c r="CG182" s="191"/>
      <c r="CH182" s="191">
        <v>10</v>
      </c>
      <c r="CI182" s="191"/>
      <c r="CJ182" s="191"/>
      <c r="CK182" s="191"/>
      <c r="CL182" s="191">
        <v>50</v>
      </c>
      <c r="CM182" s="191"/>
      <c r="CN182" s="191"/>
      <c r="CO182" s="191">
        <v>10</v>
      </c>
      <c r="CP182" s="191"/>
      <c r="CQ182" s="191"/>
      <c r="CR182" s="191"/>
      <c r="CS182" s="191">
        <v>10</v>
      </c>
      <c r="CT182" s="191"/>
      <c r="CU182" s="191"/>
      <c r="CV182" s="191">
        <v>50</v>
      </c>
      <c r="CW182" s="191"/>
      <c r="CX182" s="191"/>
      <c r="CY182" s="191"/>
      <c r="CZ182" s="191">
        <v>50</v>
      </c>
      <c r="DA182" s="191"/>
      <c r="DB182" s="191"/>
      <c r="DC182" s="191">
        <v>10</v>
      </c>
      <c r="DD182" s="191"/>
      <c r="DE182" s="191"/>
      <c r="DF182" s="191"/>
      <c r="DG182" s="191">
        <v>10</v>
      </c>
      <c r="DH182" s="193"/>
      <c r="DI182" s="194"/>
      <c r="DJ182" s="191"/>
      <c r="DK182" s="191">
        <v>50</v>
      </c>
      <c r="DL182" s="191"/>
      <c r="DM182" s="191"/>
      <c r="DN182" s="191"/>
      <c r="DO182" s="191"/>
      <c r="DP182" s="191"/>
      <c r="DQ182" s="191"/>
      <c r="DR182" s="191">
        <v>10</v>
      </c>
      <c r="DS182" s="191"/>
      <c r="DT182" s="191"/>
      <c r="DU182" s="191"/>
      <c r="DV182" s="191">
        <v>10</v>
      </c>
      <c r="DW182" s="191"/>
      <c r="DX182" s="191"/>
      <c r="DY182" s="191">
        <v>100</v>
      </c>
      <c r="DZ182" s="191"/>
      <c r="EA182" s="191"/>
      <c r="EB182" s="191"/>
      <c r="EC182" s="191">
        <v>50</v>
      </c>
      <c r="ED182" s="191"/>
      <c r="EE182" s="191"/>
      <c r="EF182" s="191">
        <v>50</v>
      </c>
      <c r="EG182" s="191"/>
      <c r="EH182" s="191"/>
      <c r="EI182" s="191"/>
      <c r="EJ182" s="191">
        <v>50</v>
      </c>
      <c r="EK182" s="191"/>
      <c r="EL182" s="191"/>
      <c r="EM182" s="192">
        <v>50</v>
      </c>
      <c r="EN182" s="190"/>
      <c r="EO182" s="191"/>
      <c r="EP182" s="191"/>
      <c r="EQ182" s="191">
        <v>10</v>
      </c>
      <c r="ER182" s="191"/>
      <c r="ES182" s="191"/>
      <c r="ET182" s="191">
        <v>50</v>
      </c>
      <c r="EU182" s="191"/>
      <c r="EV182" s="191"/>
      <c r="EW182" s="191"/>
      <c r="EX182" s="191">
        <v>100</v>
      </c>
      <c r="EY182" s="191"/>
      <c r="EZ182" s="191"/>
      <c r="FA182" s="191">
        <v>50</v>
      </c>
      <c r="FB182" s="191"/>
      <c r="FC182" s="191"/>
      <c r="FD182" s="191"/>
      <c r="FE182" s="191">
        <v>50</v>
      </c>
      <c r="FF182" s="191"/>
      <c r="FG182" s="191"/>
      <c r="FH182" s="191"/>
      <c r="FI182" s="191"/>
      <c r="FJ182" s="191"/>
      <c r="FK182" s="191">
        <v>50</v>
      </c>
      <c r="FL182" s="191"/>
      <c r="FM182" s="191"/>
      <c r="FN182" s="191"/>
      <c r="FO182" s="191">
        <v>10</v>
      </c>
      <c r="FP182" s="191"/>
      <c r="FQ182" s="193"/>
      <c r="FR182" s="194"/>
      <c r="FS182" s="191"/>
      <c r="FT182" s="191"/>
      <c r="FU182" s="191"/>
      <c r="FV182" s="191"/>
      <c r="FW182" s="191"/>
      <c r="FX182" s="191"/>
      <c r="FY182" s="191"/>
      <c r="FZ182" s="191">
        <v>100</v>
      </c>
      <c r="GA182" s="191"/>
      <c r="GB182" s="191"/>
      <c r="GC182" s="191">
        <v>150</v>
      </c>
      <c r="GD182" s="191"/>
      <c r="GE182" s="191"/>
      <c r="GF182" s="191"/>
      <c r="GG182" s="191">
        <v>50</v>
      </c>
      <c r="GH182" s="191"/>
      <c r="GI182" s="191"/>
      <c r="GJ182" s="191">
        <v>150</v>
      </c>
      <c r="GK182" s="191"/>
      <c r="GL182" s="191"/>
      <c r="GM182" s="191"/>
      <c r="GN182" s="191">
        <v>10</v>
      </c>
      <c r="GO182" s="191"/>
      <c r="GP182" s="191"/>
      <c r="GQ182" s="191">
        <v>50</v>
      </c>
      <c r="GR182" s="191"/>
      <c r="GS182" s="191"/>
      <c r="GT182" s="191"/>
      <c r="GU182" s="191"/>
      <c r="GV182" s="192"/>
      <c r="GW182" s="190"/>
      <c r="GX182" s="191">
        <v>50</v>
      </c>
      <c r="GY182" s="191"/>
      <c r="GZ182" s="191"/>
      <c r="HA182" s="191"/>
      <c r="HB182" s="191">
        <v>50</v>
      </c>
      <c r="HC182" s="191"/>
      <c r="HD182" s="191"/>
      <c r="HE182" s="191"/>
      <c r="HF182" s="191"/>
      <c r="HG182" s="191"/>
      <c r="HH182" s="191"/>
      <c r="HI182" s="191">
        <v>50</v>
      </c>
      <c r="HJ182" s="191"/>
      <c r="HK182" s="191"/>
      <c r="HL182" s="191"/>
      <c r="HM182" s="191"/>
      <c r="HN182" s="191"/>
      <c r="HO182" s="191">
        <v>100</v>
      </c>
      <c r="HP182" s="191"/>
      <c r="HQ182" s="191"/>
      <c r="HR182" s="191"/>
      <c r="HS182" s="191">
        <v>100</v>
      </c>
      <c r="HT182" s="191"/>
      <c r="HU182" s="191"/>
      <c r="HV182" s="191"/>
      <c r="HW182" s="191">
        <v>10</v>
      </c>
      <c r="HX182" s="191"/>
      <c r="HY182" s="191"/>
      <c r="HZ182" s="193"/>
      <c r="IA182" s="194">
        <v>50</v>
      </c>
      <c r="IB182" s="191"/>
      <c r="IC182" s="191">
        <v>50</v>
      </c>
      <c r="ID182" s="191">
        <v>10</v>
      </c>
      <c r="IE182" s="191"/>
      <c r="IF182" s="191"/>
      <c r="IG182" s="191"/>
      <c r="IH182" s="191"/>
      <c r="II182" s="191"/>
      <c r="IJ182" s="191">
        <v>100</v>
      </c>
      <c r="IK182" s="191"/>
      <c r="IL182" s="191"/>
      <c r="IM182" s="191"/>
      <c r="IN182" s="191">
        <v>50</v>
      </c>
      <c r="IO182" s="191"/>
      <c r="IP182" s="191"/>
      <c r="IQ182" s="191"/>
      <c r="IR182" s="191"/>
      <c r="IS182" s="191"/>
      <c r="IT182" s="191"/>
      <c r="IU182" s="191"/>
      <c r="IV182" s="191"/>
      <c r="IW182" s="191"/>
      <c r="IX182" s="191"/>
      <c r="IY182" s="191"/>
      <c r="IZ182" s="191"/>
      <c r="JA182" s="191"/>
      <c r="JB182" s="191"/>
      <c r="JC182" s="191">
        <v>200</v>
      </c>
      <c r="JD182" s="191"/>
      <c r="JE182" s="192"/>
      <c r="JF182" s="190">
        <v>50</v>
      </c>
      <c r="JG182" s="191"/>
      <c r="JH182" s="191"/>
      <c r="JI182" s="191"/>
      <c r="JJ182" s="191"/>
      <c r="JK182" s="191"/>
      <c r="JL182" s="191"/>
      <c r="JM182" s="191">
        <v>100</v>
      </c>
      <c r="JN182" s="191"/>
      <c r="JO182" s="191"/>
      <c r="JP182" s="191">
        <v>50</v>
      </c>
      <c r="JQ182" s="191"/>
      <c r="JR182" s="191"/>
      <c r="JS182" s="191"/>
      <c r="JT182" s="191"/>
      <c r="JU182" s="191"/>
      <c r="JV182" s="191"/>
      <c r="JW182" s="191">
        <v>150</v>
      </c>
      <c r="JX182" s="191"/>
      <c r="JY182" s="191"/>
      <c r="JZ182" s="191"/>
      <c r="KA182" s="191">
        <v>50</v>
      </c>
      <c r="KB182" s="191"/>
      <c r="KC182" s="191"/>
      <c r="KD182" s="191">
        <v>50</v>
      </c>
      <c r="KE182" s="191"/>
      <c r="KF182" s="191"/>
      <c r="KG182" s="191"/>
      <c r="KH182" s="191">
        <v>10</v>
      </c>
      <c r="KI182" s="191"/>
      <c r="KJ182" s="193"/>
      <c r="KK182" s="194">
        <v>100</v>
      </c>
      <c r="KL182" s="191"/>
      <c r="KM182" s="191"/>
      <c r="KN182" s="191">
        <v>50</v>
      </c>
      <c r="KO182" s="191"/>
      <c r="KP182" s="191"/>
      <c r="KQ182" s="191"/>
      <c r="KR182" s="191"/>
      <c r="KS182" s="191"/>
      <c r="KT182" s="191"/>
      <c r="KU182" s="191"/>
      <c r="KV182" s="191">
        <v>150</v>
      </c>
      <c r="KW182" s="191"/>
      <c r="KX182" s="191"/>
      <c r="KY182" s="191"/>
      <c r="KZ182" s="191"/>
      <c r="LA182" s="191"/>
      <c r="LB182" s="191"/>
      <c r="LC182" s="191">
        <v>100</v>
      </c>
      <c r="LD182" s="191"/>
      <c r="LE182" s="191"/>
      <c r="LF182" s="191">
        <v>100</v>
      </c>
      <c r="LG182" s="191"/>
      <c r="LH182" s="191"/>
      <c r="LI182" s="191"/>
      <c r="LJ182" s="191">
        <v>50</v>
      </c>
      <c r="LK182" s="191"/>
      <c r="LL182" s="191"/>
      <c r="LM182" s="191"/>
      <c r="LN182" s="192"/>
      <c r="LO182" s="190"/>
      <c r="LP182" s="191"/>
      <c r="LQ182" s="191"/>
      <c r="LR182" s="191"/>
      <c r="LS182" s="191"/>
      <c r="LT182" s="191"/>
      <c r="LU182" s="191">
        <v>100</v>
      </c>
      <c r="LV182" s="191"/>
      <c r="LW182" s="191"/>
      <c r="LX182" s="191">
        <v>50</v>
      </c>
      <c r="LY182" s="191"/>
      <c r="LZ182" s="191"/>
      <c r="MA182" s="191">
        <v>100</v>
      </c>
      <c r="MB182" s="191"/>
      <c r="MC182" s="191"/>
      <c r="MD182" s="191"/>
      <c r="ME182" s="191">
        <v>50</v>
      </c>
      <c r="MF182" s="191"/>
      <c r="MG182" s="191"/>
      <c r="MH182" s="191">
        <v>50</v>
      </c>
      <c r="MI182" s="191"/>
      <c r="MJ182" s="191"/>
      <c r="MK182" s="191"/>
      <c r="ML182" s="191">
        <v>10</v>
      </c>
      <c r="MM182" s="191"/>
      <c r="MN182" s="191"/>
      <c r="MO182" s="191">
        <v>50</v>
      </c>
      <c r="MP182" s="191"/>
      <c r="MQ182" s="191"/>
      <c r="MR182" s="191"/>
      <c r="MS182" s="193">
        <v>50</v>
      </c>
      <c r="MT182" s="194"/>
      <c r="MU182" s="191"/>
      <c r="MV182" s="191">
        <v>50</v>
      </c>
      <c r="MW182" s="191"/>
      <c r="MX182" s="191"/>
      <c r="MY182" s="191"/>
      <c r="MZ182" s="191">
        <v>50</v>
      </c>
      <c r="NA182" s="191"/>
      <c r="NB182" s="191"/>
      <c r="NC182" s="191">
        <v>50</v>
      </c>
      <c r="ND182" s="191"/>
      <c r="NE182" s="191"/>
      <c r="NF182" s="191"/>
      <c r="NG182" s="191">
        <v>50</v>
      </c>
      <c r="NH182" s="191"/>
      <c r="NI182" s="191"/>
      <c r="NJ182" s="191">
        <v>50</v>
      </c>
      <c r="NK182" s="191"/>
      <c r="NL182" s="191"/>
      <c r="NM182" s="191"/>
      <c r="NN182" s="191">
        <v>10</v>
      </c>
      <c r="NO182" s="191"/>
      <c r="NP182" s="191"/>
      <c r="NQ182" s="191">
        <v>100</v>
      </c>
      <c r="NR182" s="191"/>
      <c r="NS182" s="191"/>
      <c r="NT182" s="191"/>
      <c r="NU182" s="191">
        <v>10</v>
      </c>
      <c r="NV182" s="191"/>
      <c r="NW182" s="192"/>
      <c r="NX182" s="190">
        <v>50</v>
      </c>
      <c r="NY182" s="191"/>
      <c r="NZ182" s="191"/>
      <c r="OA182" s="191"/>
      <c r="OB182" s="191">
        <v>10</v>
      </c>
      <c r="OC182" s="191"/>
      <c r="OD182" s="191"/>
      <c r="OE182" s="191">
        <v>100</v>
      </c>
      <c r="OF182" s="191"/>
      <c r="OG182" s="191"/>
      <c r="OH182" s="191"/>
      <c r="OI182" s="191">
        <v>50</v>
      </c>
      <c r="OJ182" s="191"/>
      <c r="OK182" s="191"/>
      <c r="OL182" s="191">
        <v>50</v>
      </c>
      <c r="OM182" s="191"/>
      <c r="ON182" s="191"/>
      <c r="OO182" s="191"/>
      <c r="OP182" s="191"/>
      <c r="OQ182" s="191"/>
      <c r="OR182" s="191"/>
      <c r="OS182" s="191"/>
      <c r="OT182" s="191"/>
      <c r="OU182" s="191"/>
      <c r="OV182" s="191"/>
      <c r="OW182" s="191"/>
      <c r="OX182" s="191"/>
      <c r="OY182" s="191"/>
      <c r="OZ182" s="191"/>
      <c r="PA182" s="191"/>
      <c r="PB182" s="193"/>
      <c r="PC182" s="47"/>
      <c r="PD182" s="154" t="s">
        <v>97</v>
      </c>
      <c r="PE182" s="155" t="s">
        <v>98</v>
      </c>
      <c r="PF182" s="155" t="s">
        <v>98</v>
      </c>
      <c r="PG182" s="155" t="s">
        <v>98</v>
      </c>
      <c r="PH182" s="155" t="s">
        <v>98</v>
      </c>
      <c r="PI182" s="155" t="s">
        <v>98</v>
      </c>
      <c r="PJ182" s="155" t="s">
        <v>98</v>
      </c>
      <c r="PK182" s="155" t="s">
        <v>98</v>
      </c>
      <c r="PL182" s="155" t="s">
        <v>98</v>
      </c>
      <c r="PM182" s="155" t="s">
        <v>98</v>
      </c>
      <c r="PN182" s="155" t="s">
        <v>98</v>
      </c>
      <c r="PO182" s="156"/>
      <c r="PP182" s="156"/>
      <c r="PQ182" s="156"/>
      <c r="PR182" s="156"/>
      <c r="PS182" s="156"/>
      <c r="PT182" s="156"/>
      <c r="PU182" s="156"/>
      <c r="PV182" s="156"/>
      <c r="PW182" s="156"/>
      <c r="PX182" s="195"/>
      <c r="PY182" s="1"/>
      <c r="PZ182" s="196">
        <f t="shared" si="126"/>
        <v>320</v>
      </c>
      <c r="QA182" s="176">
        <f t="shared" si="127"/>
        <v>2.6695586885792941E-3</v>
      </c>
      <c r="QB182" s="177" t="str">
        <f t="shared" ca="1" si="128"/>
        <v>Attente…</v>
      </c>
      <c r="QC182" s="197">
        <f t="shared" si="129"/>
        <v>200</v>
      </c>
      <c r="QD182" s="179">
        <f t="shared" si="130"/>
        <v>1.8726591760299626E-3</v>
      </c>
      <c r="QE182" s="180" t="str">
        <f t="shared" ca="1" si="131"/>
        <v>Attente…</v>
      </c>
      <c r="QF182" s="196">
        <f t="shared" si="132"/>
        <v>370</v>
      </c>
      <c r="QG182" s="176">
        <f t="shared" si="133"/>
        <v>2.946329033285555E-3</v>
      </c>
      <c r="QH182" s="177" t="str">
        <f t="shared" ca="1" si="134"/>
        <v>Attente…</v>
      </c>
      <c r="QI182" s="197">
        <f t="shared" si="135"/>
        <v>320</v>
      </c>
      <c r="QJ182" s="179">
        <f t="shared" si="136"/>
        <v>2.2443540468508908E-3</v>
      </c>
      <c r="QK182" s="180" t="str">
        <f t="shared" ca="1" si="137"/>
        <v>Attente…</v>
      </c>
      <c r="QL182" s="196">
        <f t="shared" si="138"/>
        <v>510</v>
      </c>
      <c r="QM182" s="176">
        <f t="shared" si="139"/>
        <v>3.7313432835820895E-3</v>
      </c>
      <c r="QN182" s="177" t="str">
        <f t="shared" ca="1" si="140"/>
        <v>Attente…</v>
      </c>
      <c r="QO182" s="197">
        <f t="shared" si="141"/>
        <v>360</v>
      </c>
      <c r="QP182" s="179">
        <f t="shared" si="142"/>
        <v>2.8184451577546385E-3</v>
      </c>
      <c r="QQ182" s="180" t="str">
        <f t="shared" ca="1" si="143"/>
        <v>Attente…</v>
      </c>
      <c r="QR182" s="196">
        <f t="shared" si="144"/>
        <v>460</v>
      </c>
      <c r="QS182" s="176">
        <f t="shared" si="145"/>
        <v>3.3116158525611028E-3</v>
      </c>
      <c r="QT182" s="177" t="str">
        <f t="shared" ca="1" si="146"/>
        <v>Attente…</v>
      </c>
      <c r="QU182" s="197">
        <f t="shared" si="147"/>
        <v>460</v>
      </c>
      <c r="QV182" s="179">
        <f t="shared" si="148"/>
        <v>3.1715388858246001E-3</v>
      </c>
      <c r="QW182" s="180" t="str">
        <f t="shared" ca="1" si="149"/>
        <v>Attente…</v>
      </c>
      <c r="QX182" s="196">
        <f t="shared" si="150"/>
        <v>550</v>
      </c>
      <c r="QY182" s="176">
        <f t="shared" si="151"/>
        <v>4.0135438862780584E-3</v>
      </c>
      <c r="QZ182" s="177" t="str">
        <f t="shared" ca="1" si="152"/>
        <v>Attente…</v>
      </c>
      <c r="RA182" s="197">
        <f t="shared" si="153"/>
        <v>460</v>
      </c>
      <c r="RB182" s="179">
        <f t="shared" si="154"/>
        <v>3.5990924027853844E-3</v>
      </c>
      <c r="RC182" s="180" t="str">
        <f t="shared" ca="1" si="155"/>
        <v>Attente…</v>
      </c>
      <c r="RD182" s="196">
        <f t="shared" si="156"/>
        <v>370</v>
      </c>
      <c r="RE182" s="176">
        <f t="shared" si="157"/>
        <v>3.6867277799920288E-3</v>
      </c>
      <c r="RF182" s="177" t="str">
        <f t="shared" ca="1" si="158"/>
        <v>Attente…</v>
      </c>
      <c r="RG182" s="197">
        <f t="shared" si="159"/>
        <v>260</v>
      </c>
      <c r="RH182" s="179">
        <f t="shared" si="160"/>
        <v>4.7820489240389917E-3</v>
      </c>
      <c r="RI182" s="198" t="str">
        <f t="shared" ca="1" si="161"/>
        <v>Attente…</v>
      </c>
      <c r="RJ182" s="199">
        <f t="shared" si="162"/>
        <v>890</v>
      </c>
      <c r="RK182" s="200" t="str">
        <f t="shared" ca="1" si="119"/>
        <v>Attente…</v>
      </c>
      <c r="RL182" s="199">
        <f t="shared" si="163"/>
        <v>1190</v>
      </c>
      <c r="RM182" s="200" t="str">
        <f t="shared" ca="1" si="164"/>
        <v>Atttente…</v>
      </c>
      <c r="RN182" s="199">
        <f t="shared" si="165"/>
        <v>1470</v>
      </c>
      <c r="RO182" s="200" t="str">
        <f t="shared" ca="1" si="120"/>
        <v>Attente…</v>
      </c>
      <c r="RP182" s="199">
        <f t="shared" si="166"/>
        <v>1090</v>
      </c>
      <c r="RQ182" s="200" t="str">
        <f t="shared" ca="1" si="121"/>
        <v>Attente…</v>
      </c>
      <c r="RR182" s="201">
        <f t="shared" si="167"/>
        <v>4640</v>
      </c>
      <c r="RS182" s="202" t="str">
        <f t="shared" ca="1" si="122"/>
        <v>Attente…</v>
      </c>
      <c r="RT182" s="103"/>
      <c r="RU182" s="203">
        <f t="shared" si="168"/>
        <v>0.28292682926829271</v>
      </c>
      <c r="RV182" s="204">
        <f t="shared" si="171"/>
        <v>1</v>
      </c>
      <c r="RW182" s="204">
        <f t="shared" si="171"/>
        <v>2</v>
      </c>
      <c r="RX182" s="204">
        <f t="shared" si="169"/>
        <v>82</v>
      </c>
      <c r="RY182" s="205" t="str">
        <f t="shared" si="170"/>
        <v>ROUEN - 84 Rue du Renard (Ecole Achille Lefort)</v>
      </c>
      <c r="RZ182" s="189" t="str">
        <f>IF(OR(RZ181="",RZ181="  &lt;/Document&gt;
&lt;/kml&gt;"),"",
IF(B182="","  &lt;/Document&gt;
&lt;/kml&gt;",
IF(TournéesCAV!Q180=""," ",
"    &lt;Placemark&gt;
      &lt;description&gt;&lt;![CDATA["&amp;B182&amp;"&lt;br&gt;&lt;br&gt;"&amp;RV182&amp;" CAV&lt;br&gt;&lt;br&gt;Présent sur "&amp;RW182&amp;" tournée(s)&lt;br&gt;&lt;br&gt;Taux de remplissage moyen "&amp;TEXT(RU182*1000,"0 %")&amp;"]]&gt;&lt;/description&gt;
      &lt;Style&gt;
        &lt;IconStyle&gt;
          &lt;color&gt;ff"&amp;
          DEC2HEX(0,2)&amp;
          DEC2HEX(
            IF(RU182&lt;=0.5,
               INT(255*(RU182*2)),
               255
            ),2)&amp;
          DEC2HEX(
            IF(RU182&lt;=0.5,
               255,
               INT(255*(1-(RU182-0.5)*2))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&lt;Point&gt;&lt;coordinates&gt;"&amp;R182&amp;","&amp;Q182&amp;",0&lt;/coordinates&gt;&lt;/Point&gt;
    &lt;/Placemark&gt;"
)))</f>
        <v xml:space="preserve">    &lt;Placemark&gt;
      &lt;description&gt;&lt;![CDATA[ROUEN - 84 Rue du Renard (Ecole Achille Lefort)&lt;br&gt;&lt;br&gt;1 CAV&lt;br&gt;&lt;br&gt;Présent sur 2 tournée(s)&lt;br&gt;&lt;br&gt;Taux de remplissage moyen 28%]]&gt;&lt;/description&gt;
      &lt;Style&gt;
        &lt;IconStyle&gt;
          &lt;color&gt;ff0090FF&lt;/color&gt;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&lt;Point&gt;&lt;coordinates&gt;1.080758,49.448144,0&lt;/coordinates&gt;&lt;/Point&gt;
    &lt;/Placemark&gt;</v>
      </c>
    </row>
    <row r="183" spans="2:494" ht="15" customHeight="1" x14ac:dyDescent="0.35">
      <c r="B183" s="153" t="str">
        <f t="shared" si="123"/>
        <v>ROUEN - 1 Place de la Madeleine (Angle rue Constantine)</v>
      </c>
      <c r="C183" s="154">
        <v>139</v>
      </c>
      <c r="D183" s="155"/>
      <c r="E183" s="155"/>
      <c r="F183" s="155"/>
      <c r="G183" s="155"/>
      <c r="H183" s="155"/>
      <c r="I183" s="155"/>
      <c r="J183" s="156"/>
      <c r="K183" s="157">
        <f t="shared" si="124"/>
        <v>1</v>
      </c>
      <c r="L183" s="157">
        <f t="shared" si="125"/>
        <v>2</v>
      </c>
      <c r="M183" s="158" t="s">
        <v>998</v>
      </c>
      <c r="N183" s="159" t="s">
        <v>999</v>
      </c>
      <c r="O183" s="159">
        <v>76000</v>
      </c>
      <c r="P183" s="159" t="s">
        <v>90</v>
      </c>
      <c r="Q183" s="159" t="s">
        <v>1000</v>
      </c>
      <c r="R183" s="159" t="s">
        <v>1001</v>
      </c>
      <c r="S183" s="159" t="s">
        <v>93</v>
      </c>
      <c r="T183" s="159" t="s">
        <v>94</v>
      </c>
      <c r="U183" s="159" t="s">
        <v>1002</v>
      </c>
      <c r="V183" s="160" t="s">
        <v>96</v>
      </c>
      <c r="W183" s="210">
        <v>26</v>
      </c>
      <c r="X183" s="162">
        <v>28</v>
      </c>
      <c r="Y183" s="162"/>
      <c r="Z183" s="162"/>
      <c r="AA183" s="162"/>
      <c r="AB183" s="162"/>
      <c r="AC183" s="162"/>
      <c r="AD183" s="162"/>
      <c r="AE183" s="162"/>
      <c r="AF183" s="162"/>
      <c r="AG183" s="162"/>
      <c r="AH183" s="162"/>
      <c r="AI183" s="162"/>
      <c r="AJ183" s="162"/>
      <c r="AK183" s="162"/>
      <c r="AL183" s="162"/>
      <c r="AM183" s="162"/>
      <c r="AN183" s="162"/>
      <c r="AO183" s="162"/>
      <c r="AP183" s="164"/>
      <c r="AQ183" s="164"/>
      <c r="AR183" s="164"/>
      <c r="AS183" s="164"/>
      <c r="AT183" s="164"/>
      <c r="AU183" s="164"/>
      <c r="AV183" s="164"/>
      <c r="AW183" s="164"/>
      <c r="AX183" s="164"/>
      <c r="AY183" s="165"/>
      <c r="AZ183" s="41"/>
      <c r="BA183" s="190"/>
      <c r="BB183" s="191"/>
      <c r="BC183" s="191">
        <v>100</v>
      </c>
      <c r="BD183" s="191"/>
      <c r="BE183" s="191"/>
      <c r="BF183" s="191"/>
      <c r="BG183" s="191"/>
      <c r="BH183" s="191"/>
      <c r="BI183" s="191"/>
      <c r="BJ183" s="191">
        <v>100</v>
      </c>
      <c r="BK183" s="191"/>
      <c r="BL183" s="191"/>
      <c r="BM183" s="191">
        <v>100</v>
      </c>
      <c r="BN183" s="191"/>
      <c r="BO183" s="191"/>
      <c r="BP183" s="191"/>
      <c r="BQ183" s="191"/>
      <c r="BR183" s="191"/>
      <c r="BS183" s="191"/>
      <c r="BT183" s="191"/>
      <c r="BU183" s="191"/>
      <c r="BV183" s="191"/>
      <c r="BW183" s="191"/>
      <c r="BX183" s="191">
        <v>50</v>
      </c>
      <c r="BY183" s="191"/>
      <c r="BZ183" s="191"/>
      <c r="CA183" s="191">
        <v>10</v>
      </c>
      <c r="CB183" s="191"/>
      <c r="CC183" s="191"/>
      <c r="CD183" s="191"/>
      <c r="CE183" s="192">
        <v>50</v>
      </c>
      <c r="CF183" s="190"/>
      <c r="CG183" s="191"/>
      <c r="CH183" s="191">
        <v>50</v>
      </c>
      <c r="CI183" s="191"/>
      <c r="CJ183" s="191"/>
      <c r="CK183" s="191"/>
      <c r="CL183" s="191"/>
      <c r="CM183" s="191"/>
      <c r="CN183" s="191"/>
      <c r="CO183" s="191">
        <v>10</v>
      </c>
      <c r="CP183" s="191"/>
      <c r="CQ183" s="191"/>
      <c r="CR183" s="191"/>
      <c r="CS183" s="191"/>
      <c r="CT183" s="191"/>
      <c r="CU183" s="191"/>
      <c r="CV183" s="191">
        <v>50</v>
      </c>
      <c r="CW183" s="191"/>
      <c r="CX183" s="191"/>
      <c r="CY183" s="191"/>
      <c r="CZ183" s="191">
        <v>100</v>
      </c>
      <c r="DA183" s="191"/>
      <c r="DB183" s="191"/>
      <c r="DC183" s="191">
        <v>10</v>
      </c>
      <c r="DD183" s="191"/>
      <c r="DE183" s="191"/>
      <c r="DF183" s="191"/>
      <c r="DG183" s="191">
        <v>50</v>
      </c>
      <c r="DH183" s="193"/>
      <c r="DI183" s="194"/>
      <c r="DJ183" s="191"/>
      <c r="DK183" s="191">
        <v>100</v>
      </c>
      <c r="DL183" s="191"/>
      <c r="DM183" s="191"/>
      <c r="DN183" s="191"/>
      <c r="DO183" s="191"/>
      <c r="DP183" s="191"/>
      <c r="DQ183" s="191"/>
      <c r="DR183" s="191">
        <v>10</v>
      </c>
      <c r="DS183" s="191"/>
      <c r="DT183" s="191"/>
      <c r="DU183" s="191"/>
      <c r="DV183" s="191">
        <v>100</v>
      </c>
      <c r="DW183" s="191"/>
      <c r="DX183" s="191"/>
      <c r="DY183" s="191">
        <v>100</v>
      </c>
      <c r="DZ183" s="191"/>
      <c r="EA183" s="191"/>
      <c r="EB183" s="191"/>
      <c r="EC183" s="191"/>
      <c r="ED183" s="191"/>
      <c r="EE183" s="191"/>
      <c r="EF183" s="191">
        <v>100</v>
      </c>
      <c r="EG183" s="191"/>
      <c r="EH183" s="191"/>
      <c r="EI183" s="191"/>
      <c r="EJ183" s="191">
        <v>50</v>
      </c>
      <c r="EK183" s="191"/>
      <c r="EL183" s="191"/>
      <c r="EM183" s="192">
        <v>100</v>
      </c>
      <c r="EN183" s="190"/>
      <c r="EO183" s="191"/>
      <c r="EP183" s="191"/>
      <c r="EQ183" s="191">
        <v>50</v>
      </c>
      <c r="ER183" s="191"/>
      <c r="ES183" s="191"/>
      <c r="ET183" s="191">
        <v>100</v>
      </c>
      <c r="EU183" s="191"/>
      <c r="EV183" s="191"/>
      <c r="EW183" s="191"/>
      <c r="EX183" s="191">
        <v>50</v>
      </c>
      <c r="EY183" s="191"/>
      <c r="EZ183" s="191"/>
      <c r="FA183" s="191">
        <v>50</v>
      </c>
      <c r="FB183" s="191"/>
      <c r="FC183" s="191"/>
      <c r="FD183" s="191"/>
      <c r="FE183" s="191">
        <v>10</v>
      </c>
      <c r="FF183" s="191"/>
      <c r="FG183" s="191"/>
      <c r="FH183" s="191"/>
      <c r="FI183" s="191"/>
      <c r="FJ183" s="191"/>
      <c r="FK183" s="191">
        <v>50</v>
      </c>
      <c r="FL183" s="191"/>
      <c r="FM183" s="191"/>
      <c r="FN183" s="191"/>
      <c r="FO183" s="191">
        <v>10</v>
      </c>
      <c r="FP183" s="191"/>
      <c r="FQ183" s="193"/>
      <c r="FR183" s="194"/>
      <c r="FS183" s="191"/>
      <c r="FT183" s="191"/>
      <c r="FU183" s="191"/>
      <c r="FV183" s="191"/>
      <c r="FW183" s="191"/>
      <c r="FX183" s="191"/>
      <c r="FY183" s="191"/>
      <c r="FZ183" s="191">
        <v>100</v>
      </c>
      <c r="GA183" s="191"/>
      <c r="GB183" s="191"/>
      <c r="GC183" s="191">
        <v>10</v>
      </c>
      <c r="GD183" s="191"/>
      <c r="GE183" s="191"/>
      <c r="GF183" s="191"/>
      <c r="GG183" s="191"/>
      <c r="GH183" s="191"/>
      <c r="GI183" s="191"/>
      <c r="GJ183" s="191">
        <v>50</v>
      </c>
      <c r="GK183" s="191"/>
      <c r="GL183" s="191"/>
      <c r="GM183" s="191"/>
      <c r="GN183" s="191"/>
      <c r="GO183" s="191"/>
      <c r="GP183" s="191"/>
      <c r="GQ183" s="191">
        <v>50</v>
      </c>
      <c r="GR183" s="191"/>
      <c r="GS183" s="191"/>
      <c r="GT183" s="191"/>
      <c r="GU183" s="191"/>
      <c r="GV183" s="192"/>
      <c r="GW183" s="190"/>
      <c r="GX183" s="191">
        <v>100</v>
      </c>
      <c r="GY183" s="191"/>
      <c r="GZ183" s="191"/>
      <c r="HA183" s="191"/>
      <c r="HB183" s="191">
        <v>50</v>
      </c>
      <c r="HC183" s="191"/>
      <c r="HD183" s="191"/>
      <c r="HE183" s="191"/>
      <c r="HF183" s="191"/>
      <c r="HG183" s="191"/>
      <c r="HH183" s="191"/>
      <c r="HI183" s="191">
        <v>50</v>
      </c>
      <c r="HJ183" s="191"/>
      <c r="HK183" s="191"/>
      <c r="HL183" s="191"/>
      <c r="HM183" s="191"/>
      <c r="HN183" s="191"/>
      <c r="HO183" s="191">
        <v>200</v>
      </c>
      <c r="HP183" s="191"/>
      <c r="HQ183" s="191"/>
      <c r="HR183" s="191"/>
      <c r="HS183" s="191">
        <v>50</v>
      </c>
      <c r="HT183" s="191"/>
      <c r="HU183" s="191"/>
      <c r="HV183" s="191"/>
      <c r="HW183" s="191">
        <v>150</v>
      </c>
      <c r="HX183" s="191"/>
      <c r="HY183" s="191"/>
      <c r="HZ183" s="193"/>
      <c r="IA183" s="194">
        <v>50</v>
      </c>
      <c r="IB183" s="191"/>
      <c r="IC183" s="191">
        <v>100</v>
      </c>
      <c r="ID183" s="191">
        <v>50</v>
      </c>
      <c r="IE183" s="191"/>
      <c r="IF183" s="191"/>
      <c r="IG183" s="191"/>
      <c r="IH183" s="191"/>
      <c r="II183" s="191"/>
      <c r="IJ183" s="191">
        <v>100</v>
      </c>
      <c r="IK183" s="191"/>
      <c r="IL183" s="191"/>
      <c r="IM183" s="191"/>
      <c r="IN183" s="191">
        <v>100</v>
      </c>
      <c r="IO183" s="191"/>
      <c r="IP183" s="191"/>
      <c r="IQ183" s="191"/>
      <c r="IR183" s="191"/>
      <c r="IS183" s="191"/>
      <c r="IT183" s="191"/>
      <c r="IU183" s="191">
        <v>50</v>
      </c>
      <c r="IV183" s="191"/>
      <c r="IW183" s="191"/>
      <c r="IX183" s="191"/>
      <c r="IY183" s="191"/>
      <c r="IZ183" s="191"/>
      <c r="JA183" s="191"/>
      <c r="JB183" s="191"/>
      <c r="JC183" s="191">
        <v>200</v>
      </c>
      <c r="JD183" s="191"/>
      <c r="JE183" s="192"/>
      <c r="JF183" s="190">
        <v>10</v>
      </c>
      <c r="JG183" s="191"/>
      <c r="JH183" s="191"/>
      <c r="JI183" s="191"/>
      <c r="JJ183" s="191"/>
      <c r="JK183" s="191"/>
      <c r="JL183" s="191"/>
      <c r="JM183" s="191">
        <v>50</v>
      </c>
      <c r="JN183" s="191"/>
      <c r="JO183" s="191"/>
      <c r="JP183" s="191">
        <v>50</v>
      </c>
      <c r="JQ183" s="191"/>
      <c r="JR183" s="191"/>
      <c r="JS183" s="191"/>
      <c r="JT183" s="191"/>
      <c r="JU183" s="191"/>
      <c r="JV183" s="191"/>
      <c r="JW183" s="191"/>
      <c r="JX183" s="191"/>
      <c r="JY183" s="191"/>
      <c r="JZ183" s="191"/>
      <c r="KA183" s="191">
        <v>50</v>
      </c>
      <c r="KB183" s="191"/>
      <c r="KC183" s="191"/>
      <c r="KD183" s="191"/>
      <c r="KE183" s="191"/>
      <c r="KF183" s="191"/>
      <c r="KG183" s="191"/>
      <c r="KH183" s="191">
        <v>50</v>
      </c>
      <c r="KI183" s="191"/>
      <c r="KJ183" s="193"/>
      <c r="KK183" s="194">
        <v>50</v>
      </c>
      <c r="KL183" s="191"/>
      <c r="KM183" s="191"/>
      <c r="KN183" s="191"/>
      <c r="KO183" s="191"/>
      <c r="KP183" s="191"/>
      <c r="KQ183" s="191"/>
      <c r="KR183" s="191"/>
      <c r="KS183" s="191"/>
      <c r="KT183" s="191"/>
      <c r="KU183" s="191"/>
      <c r="KV183" s="191">
        <v>50</v>
      </c>
      <c r="KW183" s="191"/>
      <c r="KX183" s="191"/>
      <c r="KY183" s="191"/>
      <c r="KZ183" s="191"/>
      <c r="LA183" s="191"/>
      <c r="LB183" s="191"/>
      <c r="LC183" s="191">
        <v>50</v>
      </c>
      <c r="LD183" s="191"/>
      <c r="LE183" s="191"/>
      <c r="LF183" s="191">
        <v>10</v>
      </c>
      <c r="LG183" s="191"/>
      <c r="LH183" s="191"/>
      <c r="LI183" s="191"/>
      <c r="LJ183" s="191">
        <v>10</v>
      </c>
      <c r="LK183" s="191"/>
      <c r="LL183" s="191"/>
      <c r="LM183" s="191"/>
      <c r="LN183" s="192"/>
      <c r="LO183" s="190"/>
      <c r="LP183" s="191"/>
      <c r="LQ183" s="191"/>
      <c r="LR183" s="191"/>
      <c r="LS183" s="191"/>
      <c r="LT183" s="191"/>
      <c r="LU183" s="191">
        <v>100</v>
      </c>
      <c r="LV183" s="191"/>
      <c r="LW183" s="191"/>
      <c r="LX183" s="191">
        <v>50</v>
      </c>
      <c r="LY183" s="191"/>
      <c r="LZ183" s="191"/>
      <c r="MA183" s="191">
        <v>10</v>
      </c>
      <c r="MB183" s="191"/>
      <c r="MC183" s="191"/>
      <c r="MD183" s="191"/>
      <c r="ME183" s="191">
        <v>100</v>
      </c>
      <c r="MF183" s="191"/>
      <c r="MG183" s="191"/>
      <c r="MH183" s="191">
        <v>100</v>
      </c>
      <c r="MI183" s="191"/>
      <c r="MJ183" s="191"/>
      <c r="MK183" s="191"/>
      <c r="ML183" s="191">
        <v>10</v>
      </c>
      <c r="MM183" s="191"/>
      <c r="MN183" s="191"/>
      <c r="MO183" s="191">
        <v>50</v>
      </c>
      <c r="MP183" s="191"/>
      <c r="MQ183" s="191"/>
      <c r="MR183" s="191"/>
      <c r="MS183" s="193">
        <v>50</v>
      </c>
      <c r="MT183" s="194"/>
      <c r="MU183" s="191"/>
      <c r="MV183" s="191">
        <v>50</v>
      </c>
      <c r="MW183" s="191"/>
      <c r="MX183" s="191"/>
      <c r="MY183" s="191"/>
      <c r="MZ183" s="191">
        <v>50</v>
      </c>
      <c r="NA183" s="191"/>
      <c r="NB183" s="191"/>
      <c r="NC183" s="191">
        <v>10</v>
      </c>
      <c r="ND183" s="191"/>
      <c r="NE183" s="191"/>
      <c r="NF183" s="191"/>
      <c r="NG183" s="191">
        <v>50</v>
      </c>
      <c r="NH183" s="191"/>
      <c r="NI183" s="191"/>
      <c r="NJ183" s="191">
        <v>50</v>
      </c>
      <c r="NK183" s="191"/>
      <c r="NL183" s="191"/>
      <c r="NM183" s="191"/>
      <c r="NN183" s="191">
        <v>50</v>
      </c>
      <c r="NO183" s="191"/>
      <c r="NP183" s="191"/>
      <c r="NQ183" s="191">
        <v>10</v>
      </c>
      <c r="NR183" s="191"/>
      <c r="NS183" s="191"/>
      <c r="NT183" s="191"/>
      <c r="NU183" s="191">
        <v>50</v>
      </c>
      <c r="NV183" s="191"/>
      <c r="NW183" s="192"/>
      <c r="NX183" s="190">
        <v>50</v>
      </c>
      <c r="NY183" s="191"/>
      <c r="NZ183" s="191"/>
      <c r="OA183" s="191"/>
      <c r="OB183" s="191">
        <v>10</v>
      </c>
      <c r="OC183" s="191"/>
      <c r="OD183" s="191"/>
      <c r="OE183" s="191">
        <v>100</v>
      </c>
      <c r="OF183" s="191"/>
      <c r="OG183" s="191"/>
      <c r="OH183" s="191"/>
      <c r="OI183" s="191">
        <v>10</v>
      </c>
      <c r="OJ183" s="191"/>
      <c r="OK183" s="191"/>
      <c r="OL183" s="191">
        <v>50</v>
      </c>
      <c r="OM183" s="191"/>
      <c r="ON183" s="191"/>
      <c r="OO183" s="191"/>
      <c r="OP183" s="191"/>
      <c r="OQ183" s="191"/>
      <c r="OR183" s="191"/>
      <c r="OS183" s="191"/>
      <c r="OT183" s="191"/>
      <c r="OU183" s="191"/>
      <c r="OV183" s="191"/>
      <c r="OW183" s="191"/>
      <c r="OX183" s="191"/>
      <c r="OY183" s="191"/>
      <c r="OZ183" s="191"/>
      <c r="PA183" s="191"/>
      <c r="PB183" s="193"/>
      <c r="PC183" s="47"/>
      <c r="PD183" s="154" t="s">
        <v>97</v>
      </c>
      <c r="PE183" s="155" t="s">
        <v>98</v>
      </c>
      <c r="PF183" s="155" t="s">
        <v>98</v>
      </c>
      <c r="PG183" s="155" t="s">
        <v>98</v>
      </c>
      <c r="PH183" s="155" t="s">
        <v>98</v>
      </c>
      <c r="PI183" s="155" t="s">
        <v>98</v>
      </c>
      <c r="PJ183" s="155" t="s">
        <v>98</v>
      </c>
      <c r="PK183" s="155" t="s">
        <v>98</v>
      </c>
      <c r="PL183" s="155" t="s">
        <v>98</v>
      </c>
      <c r="PM183" s="155" t="s">
        <v>98</v>
      </c>
      <c r="PN183" s="155" t="s">
        <v>98</v>
      </c>
      <c r="PO183" s="156"/>
      <c r="PP183" s="156"/>
      <c r="PQ183" s="156"/>
      <c r="PR183" s="156"/>
      <c r="PS183" s="156"/>
      <c r="PT183" s="156"/>
      <c r="PU183" s="156"/>
      <c r="PV183" s="156"/>
      <c r="PW183" s="156"/>
      <c r="PX183" s="195"/>
      <c r="PY183" s="1"/>
      <c r="PZ183" s="196">
        <f t="shared" si="126"/>
        <v>410</v>
      </c>
      <c r="QA183" s="176">
        <f t="shared" si="127"/>
        <v>3.4203720697422208E-3</v>
      </c>
      <c r="QB183" s="177" t="str">
        <f t="shared" ca="1" si="128"/>
        <v>Attente…</v>
      </c>
      <c r="QC183" s="197">
        <f t="shared" si="129"/>
        <v>270</v>
      </c>
      <c r="QD183" s="179">
        <f t="shared" si="130"/>
        <v>2.5280898876404493E-3</v>
      </c>
      <c r="QE183" s="180" t="str">
        <f t="shared" ca="1" si="131"/>
        <v>Attente…</v>
      </c>
      <c r="QF183" s="196">
        <f t="shared" si="132"/>
        <v>560</v>
      </c>
      <c r="QG183" s="176">
        <f t="shared" si="133"/>
        <v>4.459308807134894E-3</v>
      </c>
      <c r="QH183" s="177" t="str">
        <f t="shared" ca="1" si="134"/>
        <v>Attente…</v>
      </c>
      <c r="QI183" s="197">
        <f t="shared" si="135"/>
        <v>320</v>
      </c>
      <c r="QJ183" s="179">
        <f t="shared" si="136"/>
        <v>2.2443540468508908E-3</v>
      </c>
      <c r="QK183" s="180" t="str">
        <f t="shared" ca="1" si="137"/>
        <v>Attente…</v>
      </c>
      <c r="QL183" s="196">
        <f t="shared" si="138"/>
        <v>210</v>
      </c>
      <c r="QM183" s="176">
        <f t="shared" si="139"/>
        <v>1.5364354697102723E-3</v>
      </c>
      <c r="QN183" s="177" t="str">
        <f t="shared" ca="1" si="140"/>
        <v>Attente…</v>
      </c>
      <c r="QO183" s="197">
        <f t="shared" si="141"/>
        <v>600</v>
      </c>
      <c r="QP183" s="179">
        <f t="shared" si="142"/>
        <v>4.6974085962577308E-3</v>
      </c>
      <c r="QQ183" s="180" t="str">
        <f t="shared" ca="1" si="143"/>
        <v>Attente…</v>
      </c>
      <c r="QR183" s="196">
        <f t="shared" si="144"/>
        <v>650</v>
      </c>
      <c r="QS183" s="176">
        <f t="shared" si="145"/>
        <v>4.679457182966776E-3</v>
      </c>
      <c r="QT183" s="177" t="str">
        <f t="shared" ca="1" si="146"/>
        <v>Attente…</v>
      </c>
      <c r="QU183" s="197">
        <f t="shared" si="147"/>
        <v>210</v>
      </c>
      <c r="QV183" s="179">
        <f t="shared" si="148"/>
        <v>1.4478764478764478E-3</v>
      </c>
      <c r="QW183" s="180" t="str">
        <f t="shared" ca="1" si="149"/>
        <v>Attente…</v>
      </c>
      <c r="QX183" s="196">
        <f t="shared" si="150"/>
        <v>170</v>
      </c>
      <c r="QY183" s="176">
        <f t="shared" si="151"/>
        <v>1.2405499284859453E-3</v>
      </c>
      <c r="QZ183" s="177" t="str">
        <f t="shared" ca="1" si="152"/>
        <v>Attente…</v>
      </c>
      <c r="RA183" s="197">
        <f t="shared" si="153"/>
        <v>470</v>
      </c>
      <c r="RB183" s="179">
        <f t="shared" si="154"/>
        <v>3.677333541976371E-3</v>
      </c>
      <c r="RC183" s="180" t="str">
        <f t="shared" ca="1" si="155"/>
        <v>Attente…</v>
      </c>
      <c r="RD183" s="196">
        <f t="shared" si="156"/>
        <v>320</v>
      </c>
      <c r="RE183" s="176">
        <f t="shared" si="157"/>
        <v>3.1885213232363493E-3</v>
      </c>
      <c r="RF183" s="177" t="str">
        <f t="shared" ca="1" si="158"/>
        <v>Attente…</v>
      </c>
      <c r="RG183" s="197">
        <f t="shared" si="159"/>
        <v>220</v>
      </c>
      <c r="RH183" s="179">
        <f t="shared" si="160"/>
        <v>4.0463490895714547E-3</v>
      </c>
      <c r="RI183" s="198" t="str">
        <f t="shared" ca="1" si="161"/>
        <v>Attente…</v>
      </c>
      <c r="RJ183" s="199">
        <f t="shared" si="162"/>
        <v>1240</v>
      </c>
      <c r="RK183" s="200" t="str">
        <f t="shared" ca="1" si="119"/>
        <v>Attente…</v>
      </c>
      <c r="RL183" s="199">
        <f t="shared" si="163"/>
        <v>1130</v>
      </c>
      <c r="RM183" s="200" t="str">
        <f t="shared" ca="1" si="164"/>
        <v>Atttente…</v>
      </c>
      <c r="RN183" s="199">
        <f t="shared" si="165"/>
        <v>1030</v>
      </c>
      <c r="RO183" s="200" t="str">
        <f t="shared" ca="1" si="120"/>
        <v>Attente…</v>
      </c>
      <c r="RP183" s="199">
        <f t="shared" si="166"/>
        <v>1010</v>
      </c>
      <c r="RQ183" s="200" t="str">
        <f t="shared" ca="1" si="121"/>
        <v>Attente…</v>
      </c>
      <c r="RR183" s="201">
        <f t="shared" si="167"/>
        <v>4410</v>
      </c>
      <c r="RS183" s="202" t="str">
        <f t="shared" ca="1" si="122"/>
        <v>Attente…</v>
      </c>
      <c r="RT183" s="103"/>
      <c r="RU183" s="203">
        <f t="shared" si="168"/>
        <v>0.29797297297297298</v>
      </c>
      <c r="RV183" s="204">
        <f t="shared" si="171"/>
        <v>1</v>
      </c>
      <c r="RW183" s="204">
        <f t="shared" si="171"/>
        <v>2</v>
      </c>
      <c r="RX183" s="204">
        <f t="shared" si="169"/>
        <v>74</v>
      </c>
      <c r="RY183" s="205" t="str">
        <f t="shared" si="170"/>
        <v>ROUEN - 1 Place de la Madeleine (Angle rue Constantine)</v>
      </c>
      <c r="RZ183" s="189" t="str">
        <f>IF(OR(RZ182="",RZ182="  &lt;/Document&gt;
&lt;/kml&gt;"),"",
IF(B183="","  &lt;/Document&gt;
&lt;/kml&gt;",
IF(TournéesCAV!Q183=""," ",
"    &lt;Placemark&gt;
      &lt;description&gt;&lt;![CDATA["&amp;B183&amp;"&lt;br&gt;&lt;br&gt;"&amp;RV183&amp;" CAV&lt;br&gt;&lt;br&gt;Présent sur "&amp;RW183&amp;" tournée(s)&lt;br&gt;&lt;br&gt;Taux de remplissage moyen "&amp;TEXT(RU183*1000,"0 %")&amp;"]]&gt;&lt;/description&gt;
      &lt;Style&gt;
        &lt;IconStyle&gt;
          &lt;color&gt;ff"&amp;
          DEC2HEX(0,2)&amp;
          DEC2HEX(
            IF(RU183&lt;=0.5,
               INT(255*(RU183*2)),
               255
            ),2)&amp;
          DEC2HEX(
            IF(RU183&lt;=0.5,
               255,
               INT(255*(1-(RU183-0.5)*2))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&lt;Point&gt;&lt;coordinates&gt;"&amp;R183&amp;","&amp;Q183&amp;",0&lt;/coordinates&gt;&lt;/Point&gt;
    &lt;/Placemark&gt;"
)))</f>
        <v xml:space="preserve">    &lt;Placemark&gt;
      &lt;description&gt;&lt;![CDATA[ROUEN - 1 Place de la Madeleine (Angle rue Constantine)&lt;br&gt;&lt;br&gt;1 CAV&lt;br&gt;&lt;br&gt;Présent sur 2 tournée(s)&lt;br&gt;&lt;br&gt;Taux de remplissage moyen 30%]]&gt;&lt;/description&gt;
      &lt;Style&gt;
        &lt;IconStyle&gt;
          &lt;color&gt;ff0097FF&lt;/color&gt;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&lt;Point&gt;&lt;coordinates&gt;1.0788793,49.4455345,0&lt;/coordinates&gt;&lt;/Point&gt;
    &lt;/Placemark&gt;</v>
      </c>
    </row>
    <row r="184" spans="2:494" ht="15" hidden="1" customHeight="1" x14ac:dyDescent="0.35">
      <c r="B184" s="153" t="str">
        <f t="shared" si="123"/>
        <v>SAINT-ÉTIENNE-DU-ROUVRAY - 135 rue du Madrillet (Bâtiment AFPA)</v>
      </c>
      <c r="C184" s="154" t="s">
        <v>104</v>
      </c>
      <c r="D184" s="155"/>
      <c r="E184" s="155"/>
      <c r="F184" s="155"/>
      <c r="G184" s="155"/>
      <c r="H184" s="155"/>
      <c r="I184" s="155"/>
      <c r="J184" s="156"/>
      <c r="K184" s="157">
        <f t="shared" si="124"/>
        <v>1</v>
      </c>
      <c r="L184" s="157">
        <f t="shared" si="125"/>
        <v>1</v>
      </c>
      <c r="M184" s="158" t="s">
        <v>1003</v>
      </c>
      <c r="N184" s="159" t="s">
        <v>1004</v>
      </c>
      <c r="O184" s="159">
        <v>76800</v>
      </c>
      <c r="P184" s="159" t="s">
        <v>876</v>
      </c>
      <c r="Q184" s="159" t="s">
        <v>1005</v>
      </c>
      <c r="R184" s="159" t="s">
        <v>1006</v>
      </c>
      <c r="S184" s="159" t="s">
        <v>93</v>
      </c>
      <c r="T184" s="159" t="s">
        <v>620</v>
      </c>
      <c r="U184" s="159" t="s">
        <v>1007</v>
      </c>
      <c r="V184" s="160" t="s">
        <v>96</v>
      </c>
      <c r="W184" s="161"/>
      <c r="X184" s="162"/>
      <c r="Y184" s="163"/>
      <c r="Z184" s="162"/>
      <c r="AA184" s="163"/>
      <c r="AB184" s="162"/>
      <c r="AC184" s="163"/>
      <c r="AD184" s="162"/>
      <c r="AE184" s="163"/>
      <c r="AF184" s="162"/>
      <c r="AG184" s="163">
        <v>12</v>
      </c>
      <c r="AH184" s="163"/>
      <c r="AI184" s="162"/>
      <c r="AJ184" s="163"/>
      <c r="AK184" s="162"/>
      <c r="AL184" s="163"/>
      <c r="AM184" s="162"/>
      <c r="AN184" s="163"/>
      <c r="AO184" s="162"/>
      <c r="AP184" s="164"/>
      <c r="AQ184" s="164"/>
      <c r="AR184" s="164"/>
      <c r="AS184" s="164"/>
      <c r="AT184" s="164"/>
      <c r="AU184" s="164"/>
      <c r="AV184" s="164"/>
      <c r="AW184" s="164"/>
      <c r="AX184" s="164"/>
      <c r="AY184" s="165"/>
      <c r="AZ184" s="41"/>
      <c r="BA184" s="190"/>
      <c r="BB184" s="191"/>
      <c r="BC184" s="191"/>
      <c r="BD184" s="191"/>
      <c r="BE184" s="191"/>
      <c r="BF184" s="191"/>
      <c r="BG184" s="191"/>
      <c r="BH184" s="191"/>
      <c r="BI184" s="191"/>
      <c r="BJ184" s="191"/>
      <c r="BK184" s="191"/>
      <c r="BL184" s="191"/>
      <c r="BM184" s="191"/>
      <c r="BN184" s="191"/>
      <c r="BO184" s="191"/>
      <c r="BP184" s="191"/>
      <c r="BQ184" s="191"/>
      <c r="BR184" s="191"/>
      <c r="BS184" s="191"/>
      <c r="BT184" s="191"/>
      <c r="BU184" s="191"/>
      <c r="BV184" s="191"/>
      <c r="BW184" s="191"/>
      <c r="BX184" s="191"/>
      <c r="BY184" s="191"/>
      <c r="BZ184" s="191"/>
      <c r="CA184" s="191"/>
      <c r="CB184" s="191"/>
      <c r="CC184" s="191"/>
      <c r="CD184" s="191"/>
      <c r="CE184" s="192"/>
      <c r="CF184" s="190"/>
      <c r="CG184" s="191"/>
      <c r="CH184" s="191"/>
      <c r="CI184" s="191"/>
      <c r="CJ184" s="191"/>
      <c r="CK184" s="191"/>
      <c r="CL184" s="191"/>
      <c r="CM184" s="191"/>
      <c r="CN184" s="191"/>
      <c r="CO184" s="191"/>
      <c r="CP184" s="191"/>
      <c r="CQ184" s="191"/>
      <c r="CR184" s="191"/>
      <c r="CS184" s="191"/>
      <c r="CT184" s="191"/>
      <c r="CU184" s="191"/>
      <c r="CV184" s="191"/>
      <c r="CW184" s="191"/>
      <c r="CX184" s="191"/>
      <c r="CY184" s="191"/>
      <c r="CZ184" s="191"/>
      <c r="DA184" s="191"/>
      <c r="DB184" s="191"/>
      <c r="DC184" s="191"/>
      <c r="DD184" s="191"/>
      <c r="DE184" s="191"/>
      <c r="DF184" s="191"/>
      <c r="DG184" s="191"/>
      <c r="DH184" s="193"/>
      <c r="DI184" s="194"/>
      <c r="DJ184" s="191"/>
      <c r="DK184" s="191"/>
      <c r="DL184" s="191"/>
      <c r="DM184" s="191"/>
      <c r="DN184" s="191"/>
      <c r="DO184" s="191"/>
      <c r="DP184" s="191"/>
      <c r="DQ184" s="191"/>
      <c r="DR184" s="191"/>
      <c r="DS184" s="191"/>
      <c r="DT184" s="191"/>
      <c r="DU184" s="191"/>
      <c r="DV184" s="191"/>
      <c r="DW184" s="191"/>
      <c r="DX184" s="191"/>
      <c r="DY184" s="191"/>
      <c r="DZ184" s="191"/>
      <c r="EA184" s="191"/>
      <c r="EB184" s="191"/>
      <c r="EC184" s="191"/>
      <c r="ED184" s="191"/>
      <c r="EE184" s="191"/>
      <c r="EF184" s="191"/>
      <c r="EG184" s="191"/>
      <c r="EH184" s="191"/>
      <c r="EI184" s="191"/>
      <c r="EJ184" s="191"/>
      <c r="EK184" s="191"/>
      <c r="EL184" s="191"/>
      <c r="EM184" s="192"/>
      <c r="EN184" s="190"/>
      <c r="EO184" s="191"/>
      <c r="EP184" s="191"/>
      <c r="EQ184" s="191"/>
      <c r="ER184" s="191"/>
      <c r="ES184" s="191"/>
      <c r="ET184" s="191"/>
      <c r="EU184" s="191"/>
      <c r="EV184" s="191"/>
      <c r="EW184" s="191"/>
      <c r="EX184" s="191"/>
      <c r="EY184" s="191"/>
      <c r="EZ184" s="191"/>
      <c r="FA184" s="191"/>
      <c r="FB184" s="191"/>
      <c r="FC184" s="191"/>
      <c r="FD184" s="191"/>
      <c r="FE184" s="191"/>
      <c r="FF184" s="191"/>
      <c r="FG184" s="191"/>
      <c r="FH184" s="191"/>
      <c r="FI184" s="191"/>
      <c r="FJ184" s="191"/>
      <c r="FK184" s="191"/>
      <c r="FL184" s="191"/>
      <c r="FM184" s="191"/>
      <c r="FN184" s="191"/>
      <c r="FO184" s="191"/>
      <c r="FP184" s="191"/>
      <c r="FQ184" s="193"/>
      <c r="FR184" s="194"/>
      <c r="FS184" s="191"/>
      <c r="FT184" s="191"/>
      <c r="FU184" s="191"/>
      <c r="FV184" s="191"/>
      <c r="FW184" s="191"/>
      <c r="FX184" s="191"/>
      <c r="FY184" s="191"/>
      <c r="FZ184" s="191"/>
      <c r="GA184" s="191"/>
      <c r="GB184" s="191"/>
      <c r="GC184" s="191"/>
      <c r="GD184" s="191"/>
      <c r="GE184" s="191">
        <v>10</v>
      </c>
      <c r="GF184" s="191"/>
      <c r="GG184" s="191"/>
      <c r="GH184" s="191"/>
      <c r="GI184" s="191"/>
      <c r="GJ184" s="191"/>
      <c r="GK184" s="191"/>
      <c r="GL184" s="191">
        <v>10</v>
      </c>
      <c r="GM184" s="191"/>
      <c r="GN184" s="191"/>
      <c r="GO184" s="191"/>
      <c r="GP184" s="191"/>
      <c r="GQ184" s="191"/>
      <c r="GR184" s="191"/>
      <c r="GS184" s="191">
        <v>10</v>
      </c>
      <c r="GT184" s="191"/>
      <c r="GU184" s="191"/>
      <c r="GV184" s="192"/>
      <c r="GW184" s="190"/>
      <c r="GX184" s="191"/>
      <c r="GY184" s="191"/>
      <c r="GZ184" s="191"/>
      <c r="HA184" s="191"/>
      <c r="HB184" s="191"/>
      <c r="HC184" s="191"/>
      <c r="HD184" s="191"/>
      <c r="HE184" s="191"/>
      <c r="HF184" s="191"/>
      <c r="HG184" s="191">
        <v>50</v>
      </c>
      <c r="HH184" s="191"/>
      <c r="HI184" s="191"/>
      <c r="HJ184" s="191"/>
      <c r="HK184" s="191"/>
      <c r="HL184" s="191"/>
      <c r="HM184" s="191"/>
      <c r="HN184" s="191"/>
      <c r="HO184" s="191"/>
      <c r="HP184" s="191"/>
      <c r="HQ184" s="191"/>
      <c r="HR184" s="191"/>
      <c r="HS184" s="191"/>
      <c r="HT184" s="191"/>
      <c r="HU184" s="191">
        <v>100</v>
      </c>
      <c r="HV184" s="191"/>
      <c r="HW184" s="191"/>
      <c r="HX184" s="191"/>
      <c r="HY184" s="191"/>
      <c r="HZ184" s="193"/>
      <c r="IA184" s="194"/>
      <c r="IB184" s="191">
        <v>10</v>
      </c>
      <c r="IC184" s="191"/>
      <c r="ID184" s="191"/>
      <c r="IE184" s="191"/>
      <c r="IF184" s="191"/>
      <c r="IG184" s="191"/>
      <c r="IH184" s="191"/>
      <c r="II184" s="191">
        <v>10</v>
      </c>
      <c r="IJ184" s="191"/>
      <c r="IK184" s="191"/>
      <c r="IL184" s="191"/>
      <c r="IM184" s="191"/>
      <c r="IN184" s="191"/>
      <c r="IO184" s="191"/>
      <c r="IP184" s="191"/>
      <c r="IQ184" s="191"/>
      <c r="IR184" s="191">
        <v>10</v>
      </c>
      <c r="IS184" s="191"/>
      <c r="IT184" s="191"/>
      <c r="IU184" s="191"/>
      <c r="IV184" s="191"/>
      <c r="IW184" s="191">
        <v>10</v>
      </c>
      <c r="IX184" s="191"/>
      <c r="IY184" s="191"/>
      <c r="IZ184" s="191"/>
      <c r="JA184" s="191"/>
      <c r="JB184" s="191"/>
      <c r="JC184" s="191"/>
      <c r="JD184" s="191">
        <v>50</v>
      </c>
      <c r="JE184" s="192"/>
      <c r="JF184" s="190"/>
      <c r="JG184" s="191"/>
      <c r="JH184" s="191"/>
      <c r="JI184" s="191"/>
      <c r="JJ184" s="191"/>
      <c r="JK184" s="191">
        <v>10</v>
      </c>
      <c r="JL184" s="191"/>
      <c r="JM184" s="191"/>
      <c r="JN184" s="191"/>
      <c r="JO184" s="191"/>
      <c r="JP184" s="191"/>
      <c r="JQ184" s="191"/>
      <c r="JR184" s="191">
        <v>10</v>
      </c>
      <c r="JS184" s="191"/>
      <c r="JT184" s="191"/>
      <c r="JU184" s="191"/>
      <c r="JV184" s="191"/>
      <c r="JW184" s="191"/>
      <c r="JX184" s="191"/>
      <c r="JY184" s="191"/>
      <c r="JZ184" s="191">
        <v>10</v>
      </c>
      <c r="KA184" s="191"/>
      <c r="KB184" s="191"/>
      <c r="KC184" s="191"/>
      <c r="KD184" s="191"/>
      <c r="KE184" s="191"/>
      <c r="KF184" s="191">
        <v>10</v>
      </c>
      <c r="KG184" s="191"/>
      <c r="KH184" s="191"/>
      <c r="KI184" s="191"/>
      <c r="KJ184" s="193"/>
      <c r="KK184" s="194"/>
      <c r="KL184" s="191"/>
      <c r="KM184" s="191"/>
      <c r="KN184" s="191"/>
      <c r="KO184" s="191"/>
      <c r="KP184" s="191"/>
      <c r="KQ184" s="191"/>
      <c r="KR184" s="191"/>
      <c r="KS184" s="191"/>
      <c r="KT184" s="191"/>
      <c r="KU184" s="191">
        <v>10</v>
      </c>
      <c r="KV184" s="191"/>
      <c r="KW184" s="191"/>
      <c r="KX184" s="191"/>
      <c r="KY184" s="191"/>
      <c r="KZ184" s="191"/>
      <c r="LA184" s="191">
        <v>10</v>
      </c>
      <c r="LB184" s="191"/>
      <c r="LC184" s="191"/>
      <c r="LD184" s="191"/>
      <c r="LE184" s="191"/>
      <c r="LF184" s="191"/>
      <c r="LG184" s="191"/>
      <c r="LH184" s="191">
        <v>100</v>
      </c>
      <c r="LI184" s="191"/>
      <c r="LJ184" s="191"/>
      <c r="LK184" s="191"/>
      <c r="LL184" s="191"/>
      <c r="LM184" s="191"/>
      <c r="LN184" s="192"/>
      <c r="LO184" s="190">
        <v>10</v>
      </c>
      <c r="LP184" s="191"/>
      <c r="LQ184" s="191"/>
      <c r="LR184" s="191"/>
      <c r="LS184" s="191"/>
      <c r="LT184" s="191"/>
      <c r="LU184" s="191"/>
      <c r="LV184" s="191">
        <v>10</v>
      </c>
      <c r="LW184" s="191"/>
      <c r="LX184" s="191"/>
      <c r="LY184" s="191"/>
      <c r="LZ184" s="191"/>
      <c r="MA184" s="191"/>
      <c r="MB184" s="191"/>
      <c r="MC184" s="191">
        <v>10</v>
      </c>
      <c r="MD184" s="191"/>
      <c r="ME184" s="191"/>
      <c r="MF184" s="191"/>
      <c r="MG184" s="191"/>
      <c r="MH184" s="191"/>
      <c r="MI184" s="191"/>
      <c r="MJ184" s="191">
        <v>10</v>
      </c>
      <c r="MK184" s="191"/>
      <c r="ML184" s="191"/>
      <c r="MM184" s="191"/>
      <c r="MN184" s="191"/>
      <c r="MO184" s="191"/>
      <c r="MP184" s="191"/>
      <c r="MQ184" s="191">
        <v>10</v>
      </c>
      <c r="MR184" s="191"/>
      <c r="MS184" s="193"/>
      <c r="MT184" s="194"/>
      <c r="MU184" s="191"/>
      <c r="MV184" s="191"/>
      <c r="MW184" s="191"/>
      <c r="MX184" s="191">
        <v>10</v>
      </c>
      <c r="MY184" s="191"/>
      <c r="MZ184" s="191"/>
      <c r="NA184" s="191"/>
      <c r="NB184" s="191"/>
      <c r="NC184" s="191"/>
      <c r="ND184" s="191"/>
      <c r="NE184" s="191"/>
      <c r="NF184" s="191">
        <v>10</v>
      </c>
      <c r="NG184" s="191"/>
      <c r="NH184" s="191"/>
      <c r="NI184" s="191"/>
      <c r="NJ184" s="191"/>
      <c r="NK184" s="191"/>
      <c r="NL184" s="191">
        <v>10</v>
      </c>
      <c r="NM184" s="191"/>
      <c r="NN184" s="191"/>
      <c r="NO184" s="191"/>
      <c r="NP184" s="191"/>
      <c r="NQ184" s="191"/>
      <c r="NR184" s="191"/>
      <c r="NS184" s="191">
        <v>10</v>
      </c>
      <c r="NT184" s="191"/>
      <c r="NU184" s="191"/>
      <c r="NV184" s="191"/>
      <c r="NW184" s="192"/>
      <c r="NX184" s="190"/>
      <c r="NY184" s="191"/>
      <c r="NZ184" s="191">
        <v>10</v>
      </c>
      <c r="OA184" s="191"/>
      <c r="OB184" s="191"/>
      <c r="OC184" s="191"/>
      <c r="OD184" s="191"/>
      <c r="OE184" s="191"/>
      <c r="OF184" s="191"/>
      <c r="OG184" s="191">
        <v>10</v>
      </c>
      <c r="OH184" s="191"/>
      <c r="OI184" s="191"/>
      <c r="OJ184" s="191"/>
      <c r="OK184" s="191"/>
      <c r="OL184" s="191"/>
      <c r="OM184" s="191"/>
      <c r="ON184" s="191"/>
      <c r="OO184" s="191"/>
      <c r="OP184" s="191"/>
      <c r="OQ184" s="191"/>
      <c r="OR184" s="191"/>
      <c r="OS184" s="191"/>
      <c r="OT184" s="191"/>
      <c r="OU184" s="191"/>
      <c r="OV184" s="191"/>
      <c r="OW184" s="191"/>
      <c r="OX184" s="191"/>
      <c r="OY184" s="191"/>
      <c r="OZ184" s="191"/>
      <c r="PA184" s="191"/>
      <c r="PB184" s="193"/>
      <c r="PC184" s="47"/>
      <c r="PD184" s="154" t="s">
        <v>97</v>
      </c>
      <c r="PE184" s="155" t="s">
        <v>98</v>
      </c>
      <c r="PF184" s="155" t="s">
        <v>98</v>
      </c>
      <c r="PG184" s="155" t="s">
        <v>98</v>
      </c>
      <c r="PH184" s="155" t="s">
        <v>98</v>
      </c>
      <c r="PI184" s="155" t="s">
        <v>98</v>
      </c>
      <c r="PJ184" s="155" t="s">
        <v>98</v>
      </c>
      <c r="PK184" s="155" t="s">
        <v>98</v>
      </c>
      <c r="PL184" s="155" t="s">
        <v>98</v>
      </c>
      <c r="PM184" s="155" t="s">
        <v>98</v>
      </c>
      <c r="PN184" s="155" t="s">
        <v>98</v>
      </c>
      <c r="PO184" s="156"/>
      <c r="PP184" s="156"/>
      <c r="PQ184" s="156"/>
      <c r="PR184" s="156"/>
      <c r="PS184" s="156"/>
      <c r="PT184" s="156"/>
      <c r="PU184" s="156"/>
      <c r="PV184" s="156"/>
      <c r="PW184" s="156"/>
      <c r="PX184" s="195"/>
      <c r="PY184" s="1"/>
      <c r="PZ184" s="196">
        <f t="shared" si="126"/>
        <v>0</v>
      </c>
      <c r="QA184" s="176">
        <f t="shared" si="127"/>
        <v>0</v>
      </c>
      <c r="QB184" s="177" t="str">
        <f t="shared" ca="1" si="128"/>
        <v>Attente…</v>
      </c>
      <c r="QC184" s="197">
        <f t="shared" si="129"/>
        <v>0</v>
      </c>
      <c r="QD184" s="179">
        <f t="shared" si="130"/>
        <v>0</v>
      </c>
      <c r="QE184" s="180" t="str">
        <f t="shared" ca="1" si="131"/>
        <v>Attente…</v>
      </c>
      <c r="QF184" s="196">
        <f t="shared" si="132"/>
        <v>0</v>
      </c>
      <c r="QG184" s="176">
        <f t="shared" si="133"/>
        <v>0</v>
      </c>
      <c r="QH184" s="177" t="str">
        <f t="shared" ca="1" si="134"/>
        <v>Attente…</v>
      </c>
      <c r="QI184" s="197">
        <f t="shared" si="135"/>
        <v>0</v>
      </c>
      <c r="QJ184" s="179">
        <f t="shared" si="136"/>
        <v>0</v>
      </c>
      <c r="QK184" s="180" t="str">
        <f t="shared" ca="1" si="137"/>
        <v>Attente…</v>
      </c>
      <c r="QL184" s="196">
        <f t="shared" si="138"/>
        <v>30</v>
      </c>
      <c r="QM184" s="176">
        <f t="shared" si="139"/>
        <v>2.1949078138718174E-4</v>
      </c>
      <c r="QN184" s="177" t="str">
        <f t="shared" ca="1" si="140"/>
        <v>Attente…</v>
      </c>
      <c r="QO184" s="197">
        <f t="shared" si="141"/>
        <v>150</v>
      </c>
      <c r="QP184" s="179">
        <f t="shared" si="142"/>
        <v>1.1743521490644327E-3</v>
      </c>
      <c r="QQ184" s="180" t="str">
        <f t="shared" ca="1" si="143"/>
        <v>Attente…</v>
      </c>
      <c r="QR184" s="196">
        <f t="shared" si="144"/>
        <v>90</v>
      </c>
      <c r="QS184" s="176">
        <f t="shared" si="145"/>
        <v>6.4792484071847663E-4</v>
      </c>
      <c r="QT184" s="177" t="str">
        <f t="shared" ca="1" si="146"/>
        <v>Attente…</v>
      </c>
      <c r="QU184" s="197">
        <f t="shared" si="147"/>
        <v>40</v>
      </c>
      <c r="QV184" s="179">
        <f t="shared" si="148"/>
        <v>2.7578599007170438E-4</v>
      </c>
      <c r="QW184" s="180" t="str">
        <f t="shared" ca="1" si="149"/>
        <v>Attente…</v>
      </c>
      <c r="QX184" s="196">
        <f t="shared" si="150"/>
        <v>120</v>
      </c>
      <c r="QY184" s="176">
        <f t="shared" si="151"/>
        <v>8.7568230246066732E-4</v>
      </c>
      <c r="QZ184" s="177" t="str">
        <f t="shared" ca="1" si="152"/>
        <v>Attente…</v>
      </c>
      <c r="RA184" s="197">
        <f t="shared" si="153"/>
        <v>50</v>
      </c>
      <c r="RB184" s="179">
        <f t="shared" si="154"/>
        <v>3.9120569595493311E-4</v>
      </c>
      <c r="RC184" s="180" t="str">
        <f t="shared" ca="1" si="155"/>
        <v>Attente…</v>
      </c>
      <c r="RD184" s="196">
        <f t="shared" si="156"/>
        <v>40</v>
      </c>
      <c r="RE184" s="176">
        <f t="shared" si="157"/>
        <v>3.9856516540454366E-4</v>
      </c>
      <c r="RF184" s="177" t="str">
        <f t="shared" ca="1" si="158"/>
        <v>Attente…</v>
      </c>
      <c r="RG184" s="197">
        <f t="shared" si="159"/>
        <v>20</v>
      </c>
      <c r="RH184" s="179">
        <f t="shared" si="160"/>
        <v>3.678499172337686E-4</v>
      </c>
      <c r="RI184" s="198" t="str">
        <f t="shared" ca="1" si="161"/>
        <v>Attente…</v>
      </c>
      <c r="RJ184" s="199">
        <f t="shared" si="162"/>
        <v>0</v>
      </c>
      <c r="RK184" s="200" t="str">
        <f t="shared" ca="1" si="119"/>
        <v>Attente…</v>
      </c>
      <c r="RL184" s="199">
        <f t="shared" si="163"/>
        <v>180</v>
      </c>
      <c r="RM184" s="200" t="str">
        <f t="shared" ca="1" si="164"/>
        <v>Atttente…</v>
      </c>
      <c r="RN184" s="199">
        <f t="shared" si="165"/>
        <v>250</v>
      </c>
      <c r="RO184" s="200" t="str">
        <f t="shared" ca="1" si="120"/>
        <v>Attente…</v>
      </c>
      <c r="RP184" s="199">
        <f t="shared" si="166"/>
        <v>110</v>
      </c>
      <c r="RQ184" s="200" t="str">
        <f t="shared" ca="1" si="121"/>
        <v>Attente…</v>
      </c>
      <c r="RR184" s="201">
        <f t="shared" si="167"/>
        <v>540</v>
      </c>
      <c r="RS184" s="202" t="str">
        <f t="shared" ca="1" si="122"/>
        <v>Attente…</v>
      </c>
      <c r="RT184" s="103"/>
      <c r="RU184" s="203">
        <f t="shared" si="168"/>
        <v>9.6428571428571419E-2</v>
      </c>
      <c r="RV184" s="204">
        <f t="shared" si="171"/>
        <v>1</v>
      </c>
      <c r="RW184" s="204">
        <f t="shared" si="171"/>
        <v>1</v>
      </c>
      <c r="RX184" s="204">
        <f t="shared" si="169"/>
        <v>28</v>
      </c>
      <c r="RY184" s="205" t="str">
        <f t="shared" si="170"/>
        <v>SAINT-ÉTIENNE-DU-ROUVRAY - 135 rue du Madrillet (Bâtiment AFPA)</v>
      </c>
      <c r="RZ184" s="189" t="str">
        <f>IF(OR(RZ183="",RZ183="  &lt;/Document&gt;
&lt;/kml&gt;"),"",
IF(B184="","  &lt;/Document&gt;
&lt;/kml&gt;",
IF(TournéesCAV!Q184=""," ",
"    &lt;Placemark&gt;
      &lt;description&gt;&lt;![CDATA["&amp;B184&amp;"&lt;br&gt;&lt;br&gt;"&amp;RV184&amp;" CAV&lt;br&gt;&lt;br&gt;Présent sur "&amp;RW184&amp;" tournée(s)&lt;br&gt;&lt;br&gt;Taux de remplissage moyen "&amp;TEXT(RU184*1000,"0 %")&amp;"]]&gt;&lt;/description&gt;
      &lt;Style&gt;
        &lt;IconStyle&gt;
          &lt;color&gt;ff"&amp;
          DEC2HEX(0,2)&amp;
          DEC2HEX(
            IF(RU184&lt;=0.5,
               INT(255*(RU184*2)),
               255
            ),2)&amp;
          DEC2HEX(
            IF(RU184&lt;=0.5,
               255,
               INT(255*(1-(RU184-0.5)*2))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&lt;Point&gt;&lt;coordinates&gt;"&amp;R184&amp;","&amp;Q184&amp;",0&lt;/coordinates&gt;&lt;/Point&gt;
    &lt;/Placemark&gt;"
)))</f>
        <v xml:space="preserve">    &lt;Placemark&gt;
      &lt;description&gt;&lt;![CDATA[SAINT-ÉTIENNE-DU-ROUVRAY - 135 rue du Madrillet (Bâtiment AFPA)&lt;br&gt;&lt;br&gt;1 CAV&lt;br&gt;&lt;br&gt;Présent sur 1 tournée(s)&lt;br&gt;&lt;br&gt;Taux de remplissage moyen 10%]]&gt;&lt;/description&gt;
      &lt;Style&gt;
        &lt;IconStyle&gt;
          &lt;color&gt;ff0031FF&lt;/color&gt;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&lt;Point&gt;&lt;coordinates&gt;1.0731051,49.3909564,0&lt;/coordinates&gt;&lt;/Point&gt;
    &lt;/Placemark&gt;</v>
      </c>
    </row>
    <row r="185" spans="2:494" ht="15" hidden="1" customHeight="1" x14ac:dyDescent="0.35">
      <c r="B185" s="153" t="str">
        <f t="shared" si="123"/>
        <v>CANTELEU - 1 Avenue Charles Gounod (En face du collège)</v>
      </c>
      <c r="C185" s="154">
        <v>161</v>
      </c>
      <c r="D185" s="155"/>
      <c r="E185" s="155"/>
      <c r="F185" s="155"/>
      <c r="G185" s="155"/>
      <c r="H185" s="155"/>
      <c r="I185" s="155"/>
      <c r="J185" s="156"/>
      <c r="K185" s="157">
        <f t="shared" si="124"/>
        <v>1</v>
      </c>
      <c r="L185" s="157">
        <f t="shared" si="125"/>
        <v>1</v>
      </c>
      <c r="M185" s="158" t="s">
        <v>1008</v>
      </c>
      <c r="N185" s="159" t="s">
        <v>1009</v>
      </c>
      <c r="O185" s="159">
        <v>76380</v>
      </c>
      <c r="P185" s="159" t="s">
        <v>1010</v>
      </c>
      <c r="Q185" s="159" t="s">
        <v>1011</v>
      </c>
      <c r="R185" s="159" t="s">
        <v>1012</v>
      </c>
      <c r="S185" s="159" t="s">
        <v>93</v>
      </c>
      <c r="T185" s="159" t="s">
        <v>278</v>
      </c>
      <c r="U185" s="159" t="s">
        <v>1013</v>
      </c>
      <c r="V185" s="160" t="s">
        <v>96</v>
      </c>
      <c r="W185" s="161"/>
      <c r="X185" s="162"/>
      <c r="Y185" s="163"/>
      <c r="Z185" s="162"/>
      <c r="AA185" s="163"/>
      <c r="AB185" s="162"/>
      <c r="AC185" s="163"/>
      <c r="AD185" s="162"/>
      <c r="AE185" s="163"/>
      <c r="AF185" s="162"/>
      <c r="AG185" s="207">
        <v>13</v>
      </c>
      <c r="AH185" s="163"/>
      <c r="AI185" s="162"/>
      <c r="AJ185" s="163"/>
      <c r="AK185" s="162"/>
      <c r="AL185" s="163"/>
      <c r="AM185" s="162"/>
      <c r="AN185" s="163"/>
      <c r="AO185" s="162"/>
      <c r="AP185" s="164"/>
      <c r="AQ185" s="164"/>
      <c r="AR185" s="164"/>
      <c r="AS185" s="164"/>
      <c r="AT185" s="164"/>
      <c r="AU185" s="164"/>
      <c r="AV185" s="164"/>
      <c r="AW185" s="164"/>
      <c r="AX185" s="164"/>
      <c r="AY185" s="165"/>
      <c r="AZ185" s="41"/>
      <c r="BA185" s="190"/>
      <c r="BB185" s="191">
        <v>200</v>
      </c>
      <c r="BC185" s="191"/>
      <c r="BD185" s="191"/>
      <c r="BE185" s="191"/>
      <c r="BF185" s="191"/>
      <c r="BG185" s="191"/>
      <c r="BH185" s="191"/>
      <c r="BI185" s="191"/>
      <c r="BJ185" s="191"/>
      <c r="BK185" s="191"/>
      <c r="BL185" s="191"/>
      <c r="BM185" s="191"/>
      <c r="BN185" s="191"/>
      <c r="BO185" s="191">
        <v>200</v>
      </c>
      <c r="BP185" s="191"/>
      <c r="BQ185" s="191"/>
      <c r="BR185" s="191"/>
      <c r="BS185" s="191"/>
      <c r="BT185" s="191"/>
      <c r="BU185" s="191"/>
      <c r="BV185" s="191">
        <v>100</v>
      </c>
      <c r="BW185" s="191"/>
      <c r="BX185" s="191"/>
      <c r="BY185" s="191"/>
      <c r="BZ185" s="191"/>
      <c r="CA185" s="191"/>
      <c r="CB185" s="191"/>
      <c r="CC185" s="191">
        <v>100</v>
      </c>
      <c r="CD185" s="191"/>
      <c r="CE185" s="192"/>
      <c r="CF185" s="190"/>
      <c r="CG185" s="191"/>
      <c r="CH185" s="191"/>
      <c r="CI185" s="191"/>
      <c r="CJ185" s="191">
        <v>100</v>
      </c>
      <c r="CK185" s="191"/>
      <c r="CL185" s="191"/>
      <c r="CM185" s="191"/>
      <c r="CN185" s="191"/>
      <c r="CO185" s="191"/>
      <c r="CP185" s="191"/>
      <c r="CQ185" s="191">
        <v>100</v>
      </c>
      <c r="CR185" s="191"/>
      <c r="CS185" s="191"/>
      <c r="CT185" s="191"/>
      <c r="CU185" s="191"/>
      <c r="CV185" s="191"/>
      <c r="CW185" s="191"/>
      <c r="CX185" s="191">
        <v>150</v>
      </c>
      <c r="CY185" s="191"/>
      <c r="CZ185" s="191"/>
      <c r="DA185" s="191"/>
      <c r="DB185" s="191"/>
      <c r="DC185" s="191"/>
      <c r="DD185" s="191"/>
      <c r="DE185" s="191">
        <v>150</v>
      </c>
      <c r="DF185" s="191"/>
      <c r="DG185" s="191"/>
      <c r="DH185" s="193"/>
      <c r="DI185" s="194"/>
      <c r="DJ185" s="191"/>
      <c r="DK185" s="191"/>
      <c r="DL185" s="191"/>
      <c r="DM185" s="191">
        <v>100</v>
      </c>
      <c r="DN185" s="191"/>
      <c r="DO185" s="191"/>
      <c r="DP185" s="191"/>
      <c r="DQ185" s="191"/>
      <c r="DR185" s="191"/>
      <c r="DS185" s="191"/>
      <c r="DT185" s="191">
        <v>200</v>
      </c>
      <c r="DU185" s="191"/>
      <c r="DV185" s="191"/>
      <c r="DW185" s="191"/>
      <c r="DX185" s="191"/>
      <c r="DY185" s="191"/>
      <c r="DZ185" s="191"/>
      <c r="EA185" s="191">
        <v>50</v>
      </c>
      <c r="EB185" s="191"/>
      <c r="EC185" s="191"/>
      <c r="ED185" s="191"/>
      <c r="EE185" s="191"/>
      <c r="EF185" s="191"/>
      <c r="EG185" s="191"/>
      <c r="EH185" s="191">
        <v>150</v>
      </c>
      <c r="EI185" s="191"/>
      <c r="EJ185" s="191"/>
      <c r="EK185" s="191"/>
      <c r="EL185" s="191"/>
      <c r="EM185" s="192"/>
      <c r="EN185" s="190"/>
      <c r="EO185" s="191">
        <v>100</v>
      </c>
      <c r="EP185" s="191"/>
      <c r="EQ185" s="191"/>
      <c r="ER185" s="191"/>
      <c r="ES185" s="191"/>
      <c r="ET185" s="191"/>
      <c r="EU185" s="191"/>
      <c r="EV185" s="191">
        <v>100</v>
      </c>
      <c r="EW185" s="191"/>
      <c r="EX185" s="191"/>
      <c r="EY185" s="191"/>
      <c r="EZ185" s="191"/>
      <c r="FA185" s="191"/>
      <c r="FB185" s="191"/>
      <c r="FC185" s="191">
        <v>200</v>
      </c>
      <c r="FD185" s="191"/>
      <c r="FE185" s="191"/>
      <c r="FF185" s="191"/>
      <c r="FG185" s="191"/>
      <c r="FH185" s="191"/>
      <c r="FI185" s="191"/>
      <c r="FJ185" s="191">
        <v>150</v>
      </c>
      <c r="FK185" s="191"/>
      <c r="FL185" s="191"/>
      <c r="FM185" s="191"/>
      <c r="FN185" s="191"/>
      <c r="FO185" s="191"/>
      <c r="FP185" s="191"/>
      <c r="FQ185" s="193">
        <v>150</v>
      </c>
      <c r="FR185" s="194"/>
      <c r="FS185" s="191"/>
      <c r="FT185" s="191"/>
      <c r="FU185" s="191"/>
      <c r="FV185" s="191"/>
      <c r="FW185" s="191"/>
      <c r="FX185" s="191">
        <v>200</v>
      </c>
      <c r="FY185" s="191"/>
      <c r="FZ185" s="191"/>
      <c r="GA185" s="191"/>
      <c r="GB185" s="191"/>
      <c r="GC185" s="191"/>
      <c r="GD185" s="191"/>
      <c r="GE185" s="191">
        <v>150</v>
      </c>
      <c r="GF185" s="191"/>
      <c r="GG185" s="191"/>
      <c r="GH185" s="191"/>
      <c r="GI185" s="191"/>
      <c r="GJ185" s="191"/>
      <c r="GK185" s="191"/>
      <c r="GL185" s="191">
        <v>200</v>
      </c>
      <c r="GM185" s="191"/>
      <c r="GN185" s="191"/>
      <c r="GO185" s="191"/>
      <c r="GP185" s="191"/>
      <c r="GQ185" s="191"/>
      <c r="GR185" s="191"/>
      <c r="GS185" s="191">
        <v>150</v>
      </c>
      <c r="GT185" s="191"/>
      <c r="GU185" s="191"/>
      <c r="GV185" s="192"/>
      <c r="GW185" s="190"/>
      <c r="GX185" s="191"/>
      <c r="GY185" s="191"/>
      <c r="GZ185" s="191">
        <v>100</v>
      </c>
      <c r="HA185" s="191"/>
      <c r="HB185" s="191"/>
      <c r="HC185" s="191"/>
      <c r="HD185" s="191"/>
      <c r="HE185" s="191"/>
      <c r="HF185" s="191"/>
      <c r="HG185" s="191">
        <v>200</v>
      </c>
      <c r="HH185" s="191"/>
      <c r="HI185" s="191"/>
      <c r="HJ185" s="191"/>
      <c r="HK185" s="191"/>
      <c r="HL185" s="191"/>
      <c r="HM185" s="191"/>
      <c r="HN185" s="191">
        <v>200</v>
      </c>
      <c r="HO185" s="191"/>
      <c r="HP185" s="191"/>
      <c r="HQ185" s="191"/>
      <c r="HR185" s="191"/>
      <c r="HS185" s="191"/>
      <c r="HT185" s="191"/>
      <c r="HU185" s="191">
        <v>150</v>
      </c>
      <c r="HV185" s="191"/>
      <c r="HW185" s="191"/>
      <c r="HX185" s="191"/>
      <c r="HY185" s="191"/>
      <c r="HZ185" s="193"/>
      <c r="IA185" s="194"/>
      <c r="IB185" s="191">
        <v>150</v>
      </c>
      <c r="IC185" s="191"/>
      <c r="ID185" s="191"/>
      <c r="IE185" s="191"/>
      <c r="IF185" s="191"/>
      <c r="IG185" s="191"/>
      <c r="IH185" s="191"/>
      <c r="II185" s="191">
        <v>200</v>
      </c>
      <c r="IJ185" s="191"/>
      <c r="IK185" s="191"/>
      <c r="IL185" s="191"/>
      <c r="IM185" s="191"/>
      <c r="IN185" s="191"/>
      <c r="IO185" s="191"/>
      <c r="IP185" s="191"/>
      <c r="IQ185" s="191"/>
      <c r="IR185" s="191">
        <v>200</v>
      </c>
      <c r="IS185" s="191"/>
      <c r="IT185" s="191"/>
      <c r="IU185" s="191"/>
      <c r="IV185" s="191"/>
      <c r="IW185" s="191">
        <v>150</v>
      </c>
      <c r="IX185" s="191"/>
      <c r="IY185" s="191"/>
      <c r="IZ185" s="191"/>
      <c r="JA185" s="191"/>
      <c r="JB185" s="191"/>
      <c r="JC185" s="191"/>
      <c r="JD185" s="191">
        <v>150</v>
      </c>
      <c r="JE185" s="192"/>
      <c r="JF185" s="190"/>
      <c r="JG185" s="191"/>
      <c r="JH185" s="191"/>
      <c r="JI185" s="191"/>
      <c r="JJ185" s="191"/>
      <c r="JK185" s="191">
        <v>100</v>
      </c>
      <c r="JL185" s="191"/>
      <c r="JM185" s="191"/>
      <c r="JN185" s="191"/>
      <c r="JO185" s="191"/>
      <c r="JP185" s="191"/>
      <c r="JQ185" s="191"/>
      <c r="JR185" s="191">
        <v>150</v>
      </c>
      <c r="JS185" s="191"/>
      <c r="JT185" s="191"/>
      <c r="JU185" s="191"/>
      <c r="JV185" s="191"/>
      <c r="JW185" s="191"/>
      <c r="JX185" s="191"/>
      <c r="JY185" s="191"/>
      <c r="JZ185" s="191">
        <v>200</v>
      </c>
      <c r="KA185" s="191"/>
      <c r="KB185" s="191"/>
      <c r="KC185" s="191"/>
      <c r="KD185" s="191"/>
      <c r="KE185" s="191"/>
      <c r="KF185" s="191">
        <v>150</v>
      </c>
      <c r="KG185" s="191"/>
      <c r="KH185" s="191"/>
      <c r="KI185" s="191"/>
      <c r="KJ185" s="193"/>
      <c r="KK185" s="194"/>
      <c r="KL185" s="191"/>
      <c r="KM185" s="191">
        <v>200</v>
      </c>
      <c r="KN185" s="191"/>
      <c r="KO185" s="191"/>
      <c r="KP185" s="191"/>
      <c r="KQ185" s="191"/>
      <c r="KR185" s="191"/>
      <c r="KS185" s="191"/>
      <c r="KT185" s="191"/>
      <c r="KU185" s="191">
        <v>200</v>
      </c>
      <c r="KV185" s="191"/>
      <c r="KW185" s="191"/>
      <c r="KX185" s="191"/>
      <c r="KY185" s="191"/>
      <c r="KZ185" s="191"/>
      <c r="LA185" s="191">
        <v>50</v>
      </c>
      <c r="LB185" s="191"/>
      <c r="LC185" s="191"/>
      <c r="LD185" s="191"/>
      <c r="LE185" s="191"/>
      <c r="LF185" s="191"/>
      <c r="LG185" s="191"/>
      <c r="LH185" s="191">
        <v>100</v>
      </c>
      <c r="LI185" s="191"/>
      <c r="LJ185" s="191"/>
      <c r="LK185" s="191"/>
      <c r="LL185" s="191"/>
      <c r="LM185" s="191"/>
      <c r="LN185" s="192"/>
      <c r="LO185" s="190">
        <v>100</v>
      </c>
      <c r="LP185" s="191"/>
      <c r="LQ185" s="191"/>
      <c r="LR185" s="191"/>
      <c r="LS185" s="191"/>
      <c r="LT185" s="191"/>
      <c r="LU185" s="191"/>
      <c r="LV185" s="191">
        <v>150</v>
      </c>
      <c r="LW185" s="191"/>
      <c r="LX185" s="191"/>
      <c r="LY185" s="191"/>
      <c r="LZ185" s="191"/>
      <c r="MA185" s="191"/>
      <c r="MB185" s="191"/>
      <c r="MC185" s="191">
        <v>150</v>
      </c>
      <c r="MD185" s="191"/>
      <c r="ME185" s="191"/>
      <c r="MF185" s="191"/>
      <c r="MG185" s="191"/>
      <c r="MH185" s="191"/>
      <c r="MI185" s="191"/>
      <c r="MJ185" s="191">
        <v>100</v>
      </c>
      <c r="MK185" s="191"/>
      <c r="ML185" s="191"/>
      <c r="MM185" s="191"/>
      <c r="MN185" s="191"/>
      <c r="MO185" s="191"/>
      <c r="MP185" s="191"/>
      <c r="MQ185" s="191">
        <v>150</v>
      </c>
      <c r="MR185" s="191"/>
      <c r="MS185" s="193"/>
      <c r="MT185" s="194"/>
      <c r="MU185" s="191"/>
      <c r="MV185" s="191"/>
      <c r="MW185" s="191"/>
      <c r="MX185" s="191">
        <v>200</v>
      </c>
      <c r="MY185" s="191"/>
      <c r="MZ185" s="191"/>
      <c r="NA185" s="191"/>
      <c r="NB185" s="191"/>
      <c r="NC185" s="191"/>
      <c r="ND185" s="191"/>
      <c r="NE185" s="191"/>
      <c r="NF185" s="191">
        <v>100</v>
      </c>
      <c r="NG185" s="191"/>
      <c r="NH185" s="191"/>
      <c r="NI185" s="191"/>
      <c r="NJ185" s="191"/>
      <c r="NK185" s="191"/>
      <c r="NL185" s="191"/>
      <c r="NM185" s="191"/>
      <c r="NN185" s="191"/>
      <c r="NO185" s="191"/>
      <c r="NP185" s="191"/>
      <c r="NQ185" s="191"/>
      <c r="NR185" s="191"/>
      <c r="NS185" s="191">
        <v>100</v>
      </c>
      <c r="NT185" s="191"/>
      <c r="NU185" s="191"/>
      <c r="NV185" s="191"/>
      <c r="NW185" s="192"/>
      <c r="NX185" s="190"/>
      <c r="NY185" s="191"/>
      <c r="NZ185" s="191">
        <v>50</v>
      </c>
      <c r="OA185" s="191"/>
      <c r="OB185" s="191"/>
      <c r="OC185" s="191"/>
      <c r="OD185" s="191"/>
      <c r="OE185" s="191"/>
      <c r="OF185" s="191"/>
      <c r="OG185" s="191">
        <v>50</v>
      </c>
      <c r="OH185" s="191"/>
      <c r="OI185" s="191"/>
      <c r="OJ185" s="191"/>
      <c r="OK185" s="191"/>
      <c r="OL185" s="191"/>
      <c r="OM185" s="191"/>
      <c r="ON185" s="191">
        <v>50</v>
      </c>
      <c r="OO185" s="191"/>
      <c r="OP185" s="191"/>
      <c r="OQ185" s="191"/>
      <c r="OR185" s="191"/>
      <c r="OS185" s="191"/>
      <c r="OT185" s="191"/>
      <c r="OU185" s="191"/>
      <c r="OV185" s="191"/>
      <c r="OW185" s="191"/>
      <c r="OX185" s="191"/>
      <c r="OY185" s="191"/>
      <c r="OZ185" s="191"/>
      <c r="PA185" s="191"/>
      <c r="PB185" s="193"/>
      <c r="PC185" s="47"/>
      <c r="PD185" s="154" t="s">
        <v>97</v>
      </c>
      <c r="PE185" s="155" t="s">
        <v>98</v>
      </c>
      <c r="PF185" s="155" t="s">
        <v>97</v>
      </c>
      <c r="PG185" s="155" t="s">
        <v>98</v>
      </c>
      <c r="PH185" s="155" t="s">
        <v>98</v>
      </c>
      <c r="PI185" s="155" t="s">
        <v>98</v>
      </c>
      <c r="PJ185" s="155" t="s">
        <v>98</v>
      </c>
      <c r="PK185" s="155" t="s">
        <v>98</v>
      </c>
      <c r="PL185" s="155" t="s">
        <v>98</v>
      </c>
      <c r="PM185" s="155" t="s">
        <v>98</v>
      </c>
      <c r="PN185" s="155" t="s">
        <v>98</v>
      </c>
      <c r="PO185" s="156"/>
      <c r="PP185" s="156"/>
      <c r="PQ185" s="156"/>
      <c r="PR185" s="156"/>
      <c r="PS185" s="156"/>
      <c r="PT185" s="156"/>
      <c r="PU185" s="156"/>
      <c r="PV185" s="156"/>
      <c r="PW185" s="156"/>
      <c r="PX185" s="195"/>
      <c r="PY185" s="1"/>
      <c r="PZ185" s="196">
        <f t="shared" si="126"/>
        <v>600</v>
      </c>
      <c r="QA185" s="176">
        <f t="shared" si="127"/>
        <v>5.0054225410861766E-3</v>
      </c>
      <c r="QB185" s="177" t="str">
        <f t="shared" ca="1" si="128"/>
        <v>Attente…</v>
      </c>
      <c r="QC185" s="197">
        <f t="shared" si="129"/>
        <v>500</v>
      </c>
      <c r="QD185" s="179">
        <f t="shared" si="130"/>
        <v>4.6816479400749065E-3</v>
      </c>
      <c r="QE185" s="180" t="str">
        <f t="shared" ca="1" si="131"/>
        <v>Attente…</v>
      </c>
      <c r="QF185" s="196">
        <f t="shared" si="132"/>
        <v>500</v>
      </c>
      <c r="QG185" s="176">
        <f t="shared" si="133"/>
        <v>3.9815257206561551E-3</v>
      </c>
      <c r="QH185" s="177" t="str">
        <f t="shared" ca="1" si="134"/>
        <v>Attente…</v>
      </c>
      <c r="QI185" s="197">
        <f t="shared" si="135"/>
        <v>700</v>
      </c>
      <c r="QJ185" s="179">
        <f t="shared" si="136"/>
        <v>4.9095244774863232E-3</v>
      </c>
      <c r="QK185" s="180" t="str">
        <f t="shared" ca="1" si="137"/>
        <v>Attente…</v>
      </c>
      <c r="QL185" s="196">
        <f t="shared" si="138"/>
        <v>700</v>
      </c>
      <c r="QM185" s="176">
        <f t="shared" si="139"/>
        <v>5.1214515657009071E-3</v>
      </c>
      <c r="QN185" s="177" t="str">
        <f t="shared" ca="1" si="140"/>
        <v>Attente…</v>
      </c>
      <c r="QO185" s="197">
        <f t="shared" si="141"/>
        <v>650</v>
      </c>
      <c r="QP185" s="179">
        <f t="shared" si="142"/>
        <v>5.088859312612542E-3</v>
      </c>
      <c r="QQ185" s="180" t="str">
        <f t="shared" ca="1" si="143"/>
        <v>Attente…</v>
      </c>
      <c r="QR185" s="196">
        <f t="shared" si="144"/>
        <v>850</v>
      </c>
      <c r="QS185" s="176">
        <f t="shared" si="145"/>
        <v>6.1192901623411686E-3</v>
      </c>
      <c r="QT185" s="177" t="str">
        <f t="shared" ca="1" si="146"/>
        <v>Attente…</v>
      </c>
      <c r="QU185" s="197">
        <f t="shared" si="147"/>
        <v>600</v>
      </c>
      <c r="QV185" s="179">
        <f t="shared" si="148"/>
        <v>4.1367898510755651E-3</v>
      </c>
      <c r="QW185" s="180" t="str">
        <f t="shared" ca="1" si="149"/>
        <v>Attente…</v>
      </c>
      <c r="QX185" s="196">
        <f t="shared" si="150"/>
        <v>550</v>
      </c>
      <c r="QY185" s="176">
        <f t="shared" si="151"/>
        <v>4.0135438862780584E-3</v>
      </c>
      <c r="QZ185" s="177" t="str">
        <f t="shared" ca="1" si="152"/>
        <v>Attente…</v>
      </c>
      <c r="RA185" s="197">
        <f t="shared" si="153"/>
        <v>650</v>
      </c>
      <c r="RB185" s="179">
        <f t="shared" si="154"/>
        <v>5.08567404741413E-3</v>
      </c>
      <c r="RC185" s="180" t="str">
        <f t="shared" ca="1" si="155"/>
        <v>Attente…</v>
      </c>
      <c r="RD185" s="196">
        <f t="shared" si="156"/>
        <v>400</v>
      </c>
      <c r="RE185" s="176">
        <f t="shared" si="157"/>
        <v>3.9856516540454365E-3</v>
      </c>
      <c r="RF185" s="177" t="str">
        <f t="shared" ca="1" si="158"/>
        <v>Attente…</v>
      </c>
      <c r="RG185" s="197">
        <f t="shared" si="159"/>
        <v>150</v>
      </c>
      <c r="RH185" s="179">
        <f t="shared" si="160"/>
        <v>2.7588743792532648E-3</v>
      </c>
      <c r="RI185" s="198" t="str">
        <f t="shared" ca="1" si="161"/>
        <v>Attente…</v>
      </c>
      <c r="RJ185" s="199">
        <f t="shared" si="162"/>
        <v>1600</v>
      </c>
      <c r="RK185" s="200" t="str">
        <f t="shared" ca="1" si="119"/>
        <v>Attente…</v>
      </c>
      <c r="RL185" s="199">
        <f t="shared" si="163"/>
        <v>2050</v>
      </c>
      <c r="RM185" s="200" t="str">
        <f t="shared" ca="1" si="164"/>
        <v>Atttente…</v>
      </c>
      <c r="RN185" s="199">
        <f t="shared" si="165"/>
        <v>2000</v>
      </c>
      <c r="RO185" s="200" t="str">
        <f t="shared" ca="1" si="120"/>
        <v>Attente…</v>
      </c>
      <c r="RP185" s="199">
        <f t="shared" si="166"/>
        <v>1200</v>
      </c>
      <c r="RQ185" s="200" t="str">
        <f t="shared" ca="1" si="121"/>
        <v>Attente…</v>
      </c>
      <c r="RR185" s="201">
        <f t="shared" si="167"/>
        <v>6850</v>
      </c>
      <c r="RS185" s="202" t="str">
        <f t="shared" ca="1" si="122"/>
        <v>Attente…</v>
      </c>
      <c r="RT185" s="103"/>
      <c r="RU185" s="203">
        <f t="shared" si="168"/>
        <v>0.69897959183673464</v>
      </c>
      <c r="RV185" s="204">
        <f t="shared" si="171"/>
        <v>1</v>
      </c>
      <c r="RW185" s="204">
        <f t="shared" si="171"/>
        <v>1</v>
      </c>
      <c r="RX185" s="204">
        <f t="shared" si="169"/>
        <v>49</v>
      </c>
      <c r="RY185" s="205" t="str">
        <f t="shared" si="170"/>
        <v>CANTELEU - 1 Avenue Charles Gounod (En face du collège)</v>
      </c>
      <c r="RZ185" s="189" t="str">
        <f>IF(OR(RZ184="",RZ184="  &lt;/Document&gt;
&lt;/kml&gt;"),"",
IF(B185="","  &lt;/Document&gt;
&lt;/kml&gt;",
IF(TournéesCAV!Q185=""," ",
"    &lt;Placemark&gt;
      &lt;description&gt;&lt;![CDATA["&amp;B185&amp;"&lt;br&gt;&lt;br&gt;"&amp;RV185&amp;" CAV&lt;br&gt;&lt;br&gt;Présent sur "&amp;RW185&amp;" tournée(s)&lt;br&gt;&lt;br&gt;Taux de remplissage moyen "&amp;TEXT(RU185*1000,"0 %")&amp;"]]&gt;&lt;/description&gt;
      &lt;Style&gt;
        &lt;IconStyle&gt;
          &lt;color&gt;ff"&amp;
          DEC2HEX(0,2)&amp;
          DEC2HEX(
            IF(RU185&lt;=0.5,
               INT(255*(RU185*2)),
               255
            ),2)&amp;
          DEC2HEX(
            IF(RU185&lt;=0.5,
               255,
               INT(255*(1-(RU185-0.5)*2))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&lt;Point&gt;&lt;coordinates&gt;"&amp;R185&amp;","&amp;Q185&amp;",0&lt;/coordinates&gt;&lt;/Point&gt;
    &lt;/Placemark&gt;"
)))</f>
        <v xml:space="preserve">    &lt;Placemark&gt;
      &lt;description&gt;&lt;![CDATA[CANTELEU - 1 Avenue Charles Gounod (En face du collège)&lt;br&gt;&lt;br&gt;1 CAV&lt;br&gt;&lt;br&gt;Présent sur 1 tournée(s)&lt;br&gt;&lt;br&gt;Taux de remplissage moyen 70%]]&gt;&lt;/description&gt;
      &lt;Style&gt;
        &lt;IconStyle&gt;
          &lt;color&gt;ff00FF99&lt;/color&gt;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&lt;Point&gt;&lt;coordinates&gt;1.0323677,49.4544441,0&lt;/coordinates&gt;&lt;/Point&gt;
    &lt;/Placemark&gt;</v>
      </c>
    </row>
    <row r="186" spans="2:494" ht="15" hidden="1" customHeight="1" x14ac:dyDescent="0.35">
      <c r="B186" s="153" t="str">
        <f t="shared" si="123"/>
        <v>SAINT-PAËR - 119 Route de Duclair (Après le croisement Rue de l'église à coté des bacs à verre)</v>
      </c>
      <c r="C186" s="154">
        <v>151</v>
      </c>
      <c r="D186" s="155"/>
      <c r="E186" s="155"/>
      <c r="F186" s="155"/>
      <c r="G186" s="155"/>
      <c r="H186" s="155"/>
      <c r="I186" s="155"/>
      <c r="J186" s="156"/>
      <c r="K186" s="157">
        <f t="shared" si="124"/>
        <v>1</v>
      </c>
      <c r="L186" s="157">
        <f t="shared" si="125"/>
        <v>1</v>
      </c>
      <c r="M186" s="158" t="s">
        <v>1014</v>
      </c>
      <c r="N186" s="159" t="s">
        <v>1015</v>
      </c>
      <c r="O186" s="159">
        <v>76480</v>
      </c>
      <c r="P186" s="159" t="s">
        <v>1016</v>
      </c>
      <c r="Q186" s="159" t="s">
        <v>1017</v>
      </c>
      <c r="R186" s="159" t="s">
        <v>1018</v>
      </c>
      <c r="S186" s="159" t="s">
        <v>93</v>
      </c>
      <c r="T186" s="159" t="s">
        <v>94</v>
      </c>
      <c r="U186" s="159" t="s">
        <v>1019</v>
      </c>
      <c r="V186" s="160" t="s">
        <v>96</v>
      </c>
      <c r="W186" s="161"/>
      <c r="X186" s="162"/>
      <c r="Y186" s="163"/>
      <c r="Z186" s="162"/>
      <c r="AA186" s="163"/>
      <c r="AB186" s="162"/>
      <c r="AC186" s="163">
        <v>14</v>
      </c>
      <c r="AD186" s="162"/>
      <c r="AE186" s="163"/>
      <c r="AF186" s="162"/>
      <c r="AG186" s="163"/>
      <c r="AH186" s="163"/>
      <c r="AI186" s="162"/>
      <c r="AJ186" s="163"/>
      <c r="AK186" s="162"/>
      <c r="AL186" s="163"/>
      <c r="AM186" s="162"/>
      <c r="AN186" s="163"/>
      <c r="AO186" s="162"/>
      <c r="AP186" s="164"/>
      <c r="AQ186" s="164"/>
      <c r="AR186" s="164"/>
      <c r="AS186" s="164"/>
      <c r="AT186" s="164"/>
      <c r="AU186" s="164"/>
      <c r="AV186" s="164"/>
      <c r="AW186" s="164"/>
      <c r="AX186" s="164"/>
      <c r="AY186" s="165"/>
      <c r="AZ186" s="41"/>
      <c r="BA186" s="190"/>
      <c r="BB186" s="191"/>
      <c r="BC186" s="191"/>
      <c r="BD186" s="191"/>
      <c r="BE186" s="191"/>
      <c r="BF186" s="191"/>
      <c r="BG186" s="191">
        <v>200</v>
      </c>
      <c r="BH186" s="191"/>
      <c r="BI186" s="191"/>
      <c r="BJ186" s="191"/>
      <c r="BK186" s="191"/>
      <c r="BL186" s="191"/>
      <c r="BM186" s="191"/>
      <c r="BN186" s="191">
        <v>150</v>
      </c>
      <c r="BO186" s="191"/>
      <c r="BP186" s="191"/>
      <c r="BQ186" s="191"/>
      <c r="BR186" s="191"/>
      <c r="BS186" s="191"/>
      <c r="BT186" s="191"/>
      <c r="BU186" s="191">
        <v>100</v>
      </c>
      <c r="BV186" s="191"/>
      <c r="BW186" s="191"/>
      <c r="BX186" s="191"/>
      <c r="BY186" s="191"/>
      <c r="BZ186" s="191"/>
      <c r="CA186" s="191"/>
      <c r="CB186" s="191">
        <v>10</v>
      </c>
      <c r="CC186" s="191"/>
      <c r="CD186" s="191"/>
      <c r="CE186" s="192"/>
      <c r="CF186" s="190"/>
      <c r="CG186" s="191"/>
      <c r="CH186" s="191"/>
      <c r="CI186" s="191">
        <v>100</v>
      </c>
      <c r="CJ186" s="191"/>
      <c r="CK186" s="191"/>
      <c r="CL186" s="191"/>
      <c r="CM186" s="191"/>
      <c r="CN186" s="191"/>
      <c r="CO186" s="191"/>
      <c r="CP186" s="191">
        <v>100</v>
      </c>
      <c r="CQ186" s="191"/>
      <c r="CR186" s="191"/>
      <c r="CS186" s="191"/>
      <c r="CT186" s="191"/>
      <c r="CU186" s="191"/>
      <c r="CV186" s="191"/>
      <c r="CW186" s="191"/>
      <c r="CX186" s="191"/>
      <c r="CY186" s="191"/>
      <c r="CZ186" s="191"/>
      <c r="DA186" s="191"/>
      <c r="DB186" s="191"/>
      <c r="DC186" s="191"/>
      <c r="DD186" s="191">
        <v>100</v>
      </c>
      <c r="DE186" s="191"/>
      <c r="DF186" s="191"/>
      <c r="DG186" s="191"/>
      <c r="DH186" s="193"/>
      <c r="DI186" s="194"/>
      <c r="DJ186" s="191"/>
      <c r="DK186" s="191"/>
      <c r="DL186" s="191">
        <v>100</v>
      </c>
      <c r="DM186" s="191"/>
      <c r="DN186" s="191"/>
      <c r="DO186" s="191"/>
      <c r="DP186" s="191"/>
      <c r="DQ186" s="191"/>
      <c r="DR186" s="191"/>
      <c r="DS186" s="191">
        <v>150</v>
      </c>
      <c r="DT186" s="191"/>
      <c r="DU186" s="191"/>
      <c r="DV186" s="191"/>
      <c r="DW186" s="191"/>
      <c r="DX186" s="191"/>
      <c r="DY186" s="191"/>
      <c r="DZ186" s="191">
        <v>150</v>
      </c>
      <c r="EA186" s="191"/>
      <c r="EB186" s="191"/>
      <c r="EC186" s="191"/>
      <c r="ED186" s="191"/>
      <c r="EE186" s="191"/>
      <c r="EF186" s="191"/>
      <c r="EG186" s="191">
        <v>50</v>
      </c>
      <c r="EH186" s="191"/>
      <c r="EI186" s="191"/>
      <c r="EJ186" s="191"/>
      <c r="EK186" s="191"/>
      <c r="EL186" s="191"/>
      <c r="EM186" s="192"/>
      <c r="EN186" s="190">
        <v>100</v>
      </c>
      <c r="EO186" s="191"/>
      <c r="EP186" s="191"/>
      <c r="EQ186" s="191"/>
      <c r="ER186" s="191"/>
      <c r="ES186" s="191"/>
      <c r="ET186" s="191"/>
      <c r="EU186" s="191">
        <v>100</v>
      </c>
      <c r="EV186" s="191"/>
      <c r="EW186" s="191"/>
      <c r="EX186" s="191"/>
      <c r="EY186" s="191"/>
      <c r="EZ186" s="191"/>
      <c r="FA186" s="191"/>
      <c r="FB186" s="191">
        <v>200</v>
      </c>
      <c r="FC186" s="191"/>
      <c r="FD186" s="191"/>
      <c r="FE186" s="191"/>
      <c r="FF186" s="191"/>
      <c r="FG186" s="191"/>
      <c r="FH186" s="191"/>
      <c r="FI186" s="191"/>
      <c r="FJ186" s="191"/>
      <c r="FK186" s="191">
        <v>150</v>
      </c>
      <c r="FL186" s="191"/>
      <c r="FM186" s="191"/>
      <c r="FN186" s="191"/>
      <c r="FO186" s="191"/>
      <c r="FP186" s="191"/>
      <c r="FQ186" s="193"/>
      <c r="FR186" s="194"/>
      <c r="FS186" s="191"/>
      <c r="FT186" s="191"/>
      <c r="FU186" s="191"/>
      <c r="FV186" s="191"/>
      <c r="FW186" s="191">
        <v>150</v>
      </c>
      <c r="FX186" s="191"/>
      <c r="FY186" s="191"/>
      <c r="FZ186" s="191"/>
      <c r="GA186" s="191"/>
      <c r="GB186" s="191"/>
      <c r="GC186" s="191"/>
      <c r="GD186" s="191">
        <v>150</v>
      </c>
      <c r="GE186" s="191"/>
      <c r="GF186" s="191"/>
      <c r="GG186" s="191"/>
      <c r="GH186" s="191"/>
      <c r="GI186" s="191"/>
      <c r="GJ186" s="191"/>
      <c r="GK186" s="191">
        <v>150</v>
      </c>
      <c r="GL186" s="191"/>
      <c r="GM186" s="191"/>
      <c r="GN186" s="191"/>
      <c r="GO186" s="191"/>
      <c r="GP186" s="191"/>
      <c r="GQ186" s="191"/>
      <c r="GR186" s="191">
        <v>50</v>
      </c>
      <c r="GS186" s="191"/>
      <c r="GT186" s="191"/>
      <c r="GU186" s="191"/>
      <c r="GV186" s="192"/>
      <c r="GW186" s="190"/>
      <c r="GX186" s="191"/>
      <c r="GY186" s="191">
        <v>100</v>
      </c>
      <c r="GZ186" s="191"/>
      <c r="HA186" s="191"/>
      <c r="HB186" s="191"/>
      <c r="HC186" s="191"/>
      <c r="HD186" s="191"/>
      <c r="HE186" s="191"/>
      <c r="HF186" s="191"/>
      <c r="HG186" s="191"/>
      <c r="HH186" s="191">
        <v>150</v>
      </c>
      <c r="HI186" s="191"/>
      <c r="HJ186" s="191"/>
      <c r="HK186" s="191"/>
      <c r="HL186" s="191"/>
      <c r="HM186" s="191"/>
      <c r="HN186" s="191"/>
      <c r="HO186" s="191"/>
      <c r="HP186" s="191"/>
      <c r="HQ186" s="191"/>
      <c r="HR186" s="191"/>
      <c r="HS186" s="191"/>
      <c r="HT186" s="191">
        <v>150</v>
      </c>
      <c r="HU186" s="191"/>
      <c r="HV186" s="191"/>
      <c r="HW186" s="191"/>
      <c r="HX186" s="191"/>
      <c r="HY186" s="191"/>
      <c r="HZ186" s="193"/>
      <c r="IA186" s="194">
        <v>150</v>
      </c>
      <c r="IB186" s="191"/>
      <c r="IC186" s="191"/>
      <c r="ID186" s="191"/>
      <c r="IE186" s="191"/>
      <c r="IF186" s="191"/>
      <c r="IG186" s="191"/>
      <c r="IH186" s="191">
        <v>50</v>
      </c>
      <c r="II186" s="191"/>
      <c r="IJ186" s="191"/>
      <c r="IK186" s="191"/>
      <c r="IL186" s="191"/>
      <c r="IM186" s="191"/>
      <c r="IN186" s="191"/>
      <c r="IO186" s="191"/>
      <c r="IP186" s="191">
        <v>150</v>
      </c>
      <c r="IQ186" s="191"/>
      <c r="IR186" s="191"/>
      <c r="IS186" s="191"/>
      <c r="IT186" s="191"/>
      <c r="IU186" s="191"/>
      <c r="IV186" s="191">
        <v>150</v>
      </c>
      <c r="IW186" s="191"/>
      <c r="IX186" s="191"/>
      <c r="IY186" s="191"/>
      <c r="IZ186" s="191"/>
      <c r="JA186" s="191"/>
      <c r="JB186" s="191"/>
      <c r="JC186" s="191"/>
      <c r="JD186" s="191"/>
      <c r="JE186" s="192">
        <v>200</v>
      </c>
      <c r="JF186" s="190"/>
      <c r="JG186" s="191"/>
      <c r="JH186" s="191"/>
      <c r="JI186" s="191"/>
      <c r="JJ186" s="191">
        <v>50</v>
      </c>
      <c r="JK186" s="191"/>
      <c r="JL186" s="191"/>
      <c r="JM186" s="191"/>
      <c r="JN186" s="191"/>
      <c r="JO186" s="191"/>
      <c r="JP186" s="191"/>
      <c r="JQ186" s="191">
        <v>100</v>
      </c>
      <c r="JR186" s="191"/>
      <c r="JS186" s="191"/>
      <c r="JT186" s="191"/>
      <c r="JU186" s="191"/>
      <c r="JV186" s="191"/>
      <c r="JW186" s="191"/>
      <c r="JX186" s="191"/>
      <c r="JY186" s="191"/>
      <c r="JZ186" s="191"/>
      <c r="KA186" s="191"/>
      <c r="KB186" s="191"/>
      <c r="KC186" s="191"/>
      <c r="KD186" s="191"/>
      <c r="KE186" s="191">
        <v>150</v>
      </c>
      <c r="KF186" s="191"/>
      <c r="KG186" s="191"/>
      <c r="KH186" s="191"/>
      <c r="KI186" s="191"/>
      <c r="KJ186" s="193"/>
      <c r="KK186" s="194"/>
      <c r="KL186" s="191">
        <v>150</v>
      </c>
      <c r="KM186" s="191"/>
      <c r="KN186" s="191"/>
      <c r="KO186" s="191"/>
      <c r="KP186" s="191"/>
      <c r="KQ186" s="191"/>
      <c r="KR186" s="191"/>
      <c r="KS186" s="191">
        <v>100</v>
      </c>
      <c r="KT186" s="191"/>
      <c r="KU186" s="191"/>
      <c r="KV186" s="191"/>
      <c r="KW186" s="191"/>
      <c r="KX186" s="191"/>
      <c r="KY186" s="191"/>
      <c r="KZ186" s="191">
        <v>150</v>
      </c>
      <c r="LA186" s="191"/>
      <c r="LB186" s="191"/>
      <c r="LC186" s="191"/>
      <c r="LD186" s="191"/>
      <c r="LE186" s="191"/>
      <c r="LF186" s="191"/>
      <c r="LG186" s="191">
        <v>100</v>
      </c>
      <c r="LH186" s="191"/>
      <c r="LI186" s="191"/>
      <c r="LJ186" s="191"/>
      <c r="LK186" s="191"/>
      <c r="LL186" s="191"/>
      <c r="LM186" s="191"/>
      <c r="LN186" s="192">
        <v>200</v>
      </c>
      <c r="LO186" s="190"/>
      <c r="LP186" s="191"/>
      <c r="LQ186" s="191"/>
      <c r="LR186" s="191"/>
      <c r="LS186" s="191"/>
      <c r="LT186" s="191"/>
      <c r="LU186" s="191">
        <v>50</v>
      </c>
      <c r="LV186" s="191"/>
      <c r="LW186" s="191"/>
      <c r="LX186" s="191"/>
      <c r="LY186" s="191"/>
      <c r="LZ186" s="191"/>
      <c r="MA186" s="191"/>
      <c r="MB186" s="191"/>
      <c r="MC186" s="191"/>
      <c r="MD186" s="191">
        <v>150</v>
      </c>
      <c r="ME186" s="191"/>
      <c r="MF186" s="191"/>
      <c r="MG186" s="191"/>
      <c r="MH186" s="191"/>
      <c r="MI186" s="191">
        <v>100</v>
      </c>
      <c r="MJ186" s="191"/>
      <c r="MK186" s="191"/>
      <c r="ML186" s="191"/>
      <c r="MM186" s="191"/>
      <c r="MN186" s="191"/>
      <c r="MO186" s="191"/>
      <c r="MP186" s="191">
        <v>150</v>
      </c>
      <c r="MQ186" s="191"/>
      <c r="MR186" s="191"/>
      <c r="MS186" s="193"/>
      <c r="MT186" s="194"/>
      <c r="MU186" s="191"/>
      <c r="MV186" s="191"/>
      <c r="MW186" s="191"/>
      <c r="MX186" s="191"/>
      <c r="MY186" s="191"/>
      <c r="MZ186" s="191"/>
      <c r="NA186" s="191"/>
      <c r="NB186" s="191"/>
      <c r="NC186" s="191"/>
      <c r="ND186" s="191"/>
      <c r="NE186" s="191">
        <v>150</v>
      </c>
      <c r="NF186" s="191"/>
      <c r="NG186" s="191"/>
      <c r="NH186" s="191"/>
      <c r="NI186" s="191"/>
      <c r="NJ186" s="191"/>
      <c r="NK186" s="191">
        <v>100</v>
      </c>
      <c r="NL186" s="191"/>
      <c r="NM186" s="191"/>
      <c r="NN186" s="191"/>
      <c r="NO186" s="191"/>
      <c r="NP186" s="191"/>
      <c r="NQ186" s="191"/>
      <c r="NR186" s="191">
        <v>150</v>
      </c>
      <c r="NS186" s="191"/>
      <c r="NT186" s="191"/>
      <c r="NU186" s="191"/>
      <c r="NV186" s="191"/>
      <c r="NW186" s="192"/>
      <c r="NX186" s="190"/>
      <c r="NY186" s="191">
        <v>100</v>
      </c>
      <c r="NZ186" s="191"/>
      <c r="OA186" s="191"/>
      <c r="OB186" s="191"/>
      <c r="OC186" s="191"/>
      <c r="OD186" s="191"/>
      <c r="OE186" s="191"/>
      <c r="OF186" s="191">
        <v>10</v>
      </c>
      <c r="OG186" s="191"/>
      <c r="OH186" s="191"/>
      <c r="OI186" s="191"/>
      <c r="OJ186" s="191"/>
      <c r="OK186" s="191"/>
      <c r="OL186" s="191"/>
      <c r="OM186" s="191">
        <v>50</v>
      </c>
      <c r="ON186" s="191"/>
      <c r="OO186" s="191"/>
      <c r="OP186" s="191"/>
      <c r="OQ186" s="191"/>
      <c r="OR186" s="191"/>
      <c r="OS186" s="191"/>
      <c r="OT186" s="191"/>
      <c r="OU186" s="191"/>
      <c r="OV186" s="191"/>
      <c r="OW186" s="191"/>
      <c r="OX186" s="191"/>
      <c r="OY186" s="191"/>
      <c r="OZ186" s="191"/>
      <c r="PA186" s="191"/>
      <c r="PB186" s="193"/>
      <c r="PC186" s="47"/>
      <c r="PD186" s="154" t="s">
        <v>97</v>
      </c>
      <c r="PE186" s="155" t="s">
        <v>98</v>
      </c>
      <c r="PF186" s="155" t="s">
        <v>98</v>
      </c>
      <c r="PG186" s="155" t="s">
        <v>98</v>
      </c>
      <c r="PH186" s="155" t="s">
        <v>98</v>
      </c>
      <c r="PI186" s="155" t="s">
        <v>98</v>
      </c>
      <c r="PJ186" s="155" t="s">
        <v>98</v>
      </c>
      <c r="PK186" s="155" t="s">
        <v>98</v>
      </c>
      <c r="PL186" s="155" t="s">
        <v>98</v>
      </c>
      <c r="PM186" s="155" t="s">
        <v>98</v>
      </c>
      <c r="PN186" s="155" t="s">
        <v>98</v>
      </c>
      <c r="PO186" s="156"/>
      <c r="PP186" s="156"/>
      <c r="PQ186" s="156"/>
      <c r="PR186" s="156"/>
      <c r="PS186" s="156"/>
      <c r="PT186" s="156"/>
      <c r="PU186" s="156"/>
      <c r="PV186" s="156"/>
      <c r="PW186" s="156"/>
      <c r="PX186" s="195"/>
      <c r="PY186" s="1"/>
      <c r="PZ186" s="196">
        <f t="shared" si="126"/>
        <v>460</v>
      </c>
      <c r="QA186" s="176">
        <f t="shared" si="127"/>
        <v>3.8374906148327353E-3</v>
      </c>
      <c r="QB186" s="177" t="str">
        <f t="shared" ca="1" si="128"/>
        <v>Attente…</v>
      </c>
      <c r="QC186" s="197">
        <f t="shared" si="129"/>
        <v>300</v>
      </c>
      <c r="QD186" s="179">
        <f t="shared" si="130"/>
        <v>2.8089887640449437E-3</v>
      </c>
      <c r="QE186" s="180" t="str">
        <f t="shared" ca="1" si="131"/>
        <v>Attente…</v>
      </c>
      <c r="QF186" s="196">
        <f t="shared" si="132"/>
        <v>450</v>
      </c>
      <c r="QG186" s="176">
        <f t="shared" si="133"/>
        <v>3.58337314859054E-3</v>
      </c>
      <c r="QH186" s="177" t="str">
        <f t="shared" ca="1" si="134"/>
        <v>Attente…</v>
      </c>
      <c r="QI186" s="197">
        <f t="shared" si="135"/>
        <v>550</v>
      </c>
      <c r="QJ186" s="179">
        <f t="shared" si="136"/>
        <v>3.8574835180249685E-3</v>
      </c>
      <c r="QK186" s="180" t="str">
        <f t="shared" ca="1" si="137"/>
        <v>Attente…</v>
      </c>
      <c r="QL186" s="196">
        <f t="shared" si="138"/>
        <v>500</v>
      </c>
      <c r="QM186" s="176">
        <f t="shared" si="139"/>
        <v>3.6581796897863623E-3</v>
      </c>
      <c r="QN186" s="177" t="str">
        <f t="shared" ca="1" si="140"/>
        <v>Attente…</v>
      </c>
      <c r="QO186" s="197">
        <f t="shared" si="141"/>
        <v>400</v>
      </c>
      <c r="QP186" s="179">
        <f t="shared" si="142"/>
        <v>3.1316057308384874E-3</v>
      </c>
      <c r="QQ186" s="180" t="str">
        <f t="shared" ca="1" si="143"/>
        <v>Attente…</v>
      </c>
      <c r="QR186" s="196">
        <f t="shared" si="144"/>
        <v>700</v>
      </c>
      <c r="QS186" s="176">
        <f t="shared" si="145"/>
        <v>5.0394154278103741E-3</v>
      </c>
      <c r="QT186" s="177" t="str">
        <f t="shared" ca="1" si="146"/>
        <v>Attente…</v>
      </c>
      <c r="QU186" s="197">
        <f t="shared" si="147"/>
        <v>300</v>
      </c>
      <c r="QV186" s="179">
        <f t="shared" si="148"/>
        <v>2.0683949255377826E-3</v>
      </c>
      <c r="QW186" s="180" t="str">
        <f t="shared" ca="1" si="149"/>
        <v>Attente…</v>
      </c>
      <c r="QX186" s="196">
        <f t="shared" si="150"/>
        <v>700</v>
      </c>
      <c r="QY186" s="176">
        <f t="shared" si="151"/>
        <v>5.1081467643538927E-3</v>
      </c>
      <c r="QZ186" s="177" t="str">
        <f t="shared" ca="1" si="152"/>
        <v>Attente…</v>
      </c>
      <c r="RA186" s="197">
        <f t="shared" si="153"/>
        <v>450</v>
      </c>
      <c r="RB186" s="179">
        <f t="shared" si="154"/>
        <v>3.5208512635943978E-3</v>
      </c>
      <c r="RC186" s="180" t="str">
        <f t="shared" ca="1" si="155"/>
        <v>Attente…</v>
      </c>
      <c r="RD186" s="196">
        <f t="shared" si="156"/>
        <v>400</v>
      </c>
      <c r="RE186" s="176">
        <f t="shared" si="157"/>
        <v>3.9856516540454365E-3</v>
      </c>
      <c r="RF186" s="177" t="str">
        <f t="shared" ca="1" si="158"/>
        <v>Attente…</v>
      </c>
      <c r="RG186" s="197">
        <f t="shared" si="159"/>
        <v>160</v>
      </c>
      <c r="RH186" s="179">
        <f t="shared" si="160"/>
        <v>2.9427993378701488E-3</v>
      </c>
      <c r="RI186" s="198" t="str">
        <f t="shared" ca="1" si="161"/>
        <v>Attente…</v>
      </c>
      <c r="RJ186" s="199">
        <f t="shared" si="162"/>
        <v>1210</v>
      </c>
      <c r="RK186" s="200" t="str">
        <f t="shared" ca="1" si="119"/>
        <v>Attente…</v>
      </c>
      <c r="RL186" s="199">
        <f t="shared" si="163"/>
        <v>1450</v>
      </c>
      <c r="RM186" s="200" t="str">
        <f t="shared" ca="1" si="164"/>
        <v>Atttente…</v>
      </c>
      <c r="RN186" s="199">
        <f t="shared" si="165"/>
        <v>1700</v>
      </c>
      <c r="RO186" s="200" t="str">
        <f t="shared" ca="1" si="120"/>
        <v>Attente…</v>
      </c>
      <c r="RP186" s="199">
        <f t="shared" si="166"/>
        <v>1010</v>
      </c>
      <c r="RQ186" s="200" t="str">
        <f t="shared" ca="1" si="121"/>
        <v>Attente…</v>
      </c>
      <c r="RR186" s="201">
        <f t="shared" si="167"/>
        <v>5370</v>
      </c>
      <c r="RS186" s="202" t="str">
        <f t="shared" ca="1" si="122"/>
        <v>Attente…</v>
      </c>
      <c r="RT186" s="103"/>
      <c r="RU186" s="203">
        <f t="shared" si="168"/>
        <v>0.59666666666666668</v>
      </c>
      <c r="RV186" s="204">
        <f t="shared" si="171"/>
        <v>1</v>
      </c>
      <c r="RW186" s="204">
        <f t="shared" si="171"/>
        <v>1</v>
      </c>
      <c r="RX186" s="204">
        <f t="shared" si="169"/>
        <v>45</v>
      </c>
      <c r="RY186" s="205" t="str">
        <f t="shared" si="170"/>
        <v>SAINT-PAËR - 119 Route de Duclair (Après le croisement Rue de l'église à coté des bacs à verre)</v>
      </c>
      <c r="RZ186" s="189" t="str">
        <f>IF(OR(RZ185="",RZ185="  &lt;/Document&gt;
&lt;/kml&gt;"),"",
IF(B186="","  &lt;/Document&gt;
&lt;/kml&gt;",
IF(TournéesCAV!Q186=""," ",
"    &lt;Placemark&gt;
      &lt;description&gt;&lt;![CDATA["&amp;B186&amp;"&lt;br&gt;&lt;br&gt;"&amp;RV186&amp;" CAV&lt;br&gt;&lt;br&gt;Présent sur "&amp;RW186&amp;" tournée(s)&lt;br&gt;&lt;br&gt;Taux de remplissage moyen "&amp;TEXT(RU186*1000,"0 %")&amp;"]]&gt;&lt;/description&gt;
      &lt;Style&gt;
        &lt;IconStyle&gt;
          &lt;color&gt;ff"&amp;
          DEC2HEX(0,2)&amp;
          DEC2HEX(
            IF(RU186&lt;=0.5,
               INT(255*(RU186*2)),
               255
            ),2)&amp;
          DEC2HEX(
            IF(RU186&lt;=0.5,
               255,
               INT(255*(1-(RU186-0.5)*2))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&lt;Point&gt;&lt;coordinates&gt;"&amp;R186&amp;","&amp;Q186&amp;",0&lt;/coordinates&gt;&lt;/Point&gt;
    &lt;/Placemark&gt;"
)))</f>
        <v xml:space="preserve">    &lt;Placemark&gt;
      &lt;description&gt;&lt;![CDATA[SAINT-PAËR - 119 Route de Duclair (Après le croisement Rue de l'église à coté des bacs à verre)&lt;br&gt;&lt;br&gt;1 CAV&lt;br&gt;&lt;br&gt;Présent sur 1 tournée(s)&lt;br&gt;&lt;br&gt;Taux de remplissage moyen 60%]]&gt;&lt;/description&gt;
      &lt;Style&gt;
        &lt;IconStyle&gt;
          &lt;color&gt;ff00FFCD&lt;/color&gt;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&lt;Point&gt;&lt;coordinates&gt;0.880296,49.5155313,0&lt;/coordinates&gt;&lt;/Point&gt;
    &lt;/Placemark&gt;</v>
      </c>
    </row>
    <row r="187" spans="2:494" ht="15" hidden="1" customHeight="1" x14ac:dyDescent="0.35">
      <c r="B187" s="153" t="str">
        <f t="shared" si="123"/>
        <v>SAINT-PIERRE-DE-VARENGEVILLE - 240 Rue de la Paix (Parking du Cimetière)</v>
      </c>
      <c r="C187" s="154">
        <v>31</v>
      </c>
      <c r="D187" s="155"/>
      <c r="E187" s="155"/>
      <c r="F187" s="155"/>
      <c r="G187" s="155"/>
      <c r="H187" s="155"/>
      <c r="I187" s="155"/>
      <c r="J187" s="156"/>
      <c r="K187" s="157">
        <f t="shared" si="124"/>
        <v>1</v>
      </c>
      <c r="L187" s="157">
        <f t="shared" si="125"/>
        <v>1</v>
      </c>
      <c r="M187" s="158" t="s">
        <v>1020</v>
      </c>
      <c r="N187" s="159" t="s">
        <v>236</v>
      </c>
      <c r="O187" s="159">
        <v>76480</v>
      </c>
      <c r="P187" s="159" t="s">
        <v>1021</v>
      </c>
      <c r="Q187" s="159" t="s">
        <v>1022</v>
      </c>
      <c r="R187" s="159" t="s">
        <v>1023</v>
      </c>
      <c r="S187" s="159" t="s">
        <v>93</v>
      </c>
      <c r="T187" s="159" t="s">
        <v>94</v>
      </c>
      <c r="U187" s="159" t="s">
        <v>1024</v>
      </c>
      <c r="V187" s="160" t="s">
        <v>96</v>
      </c>
      <c r="W187" s="161"/>
      <c r="X187" s="162"/>
      <c r="Y187" s="163"/>
      <c r="Z187" s="162"/>
      <c r="AA187" s="163"/>
      <c r="AB187" s="162"/>
      <c r="AC187" s="163">
        <v>15</v>
      </c>
      <c r="AD187" s="162"/>
      <c r="AE187" s="163"/>
      <c r="AF187" s="162"/>
      <c r="AG187" s="163"/>
      <c r="AH187" s="163"/>
      <c r="AI187" s="162"/>
      <c r="AJ187" s="163"/>
      <c r="AK187" s="162"/>
      <c r="AL187" s="163"/>
      <c r="AM187" s="162"/>
      <c r="AN187" s="163"/>
      <c r="AO187" s="162"/>
      <c r="AP187" s="164"/>
      <c r="AQ187" s="164"/>
      <c r="AR187" s="164"/>
      <c r="AS187" s="164"/>
      <c r="AT187" s="164"/>
      <c r="AU187" s="164"/>
      <c r="AV187" s="164"/>
      <c r="AW187" s="164"/>
      <c r="AX187" s="164"/>
      <c r="AY187" s="165"/>
      <c r="AZ187" s="41"/>
      <c r="BA187" s="190"/>
      <c r="BB187" s="191"/>
      <c r="BC187" s="191"/>
      <c r="BD187" s="191"/>
      <c r="BE187" s="191"/>
      <c r="BF187" s="191"/>
      <c r="BG187" s="191">
        <v>150</v>
      </c>
      <c r="BH187" s="191"/>
      <c r="BI187" s="191"/>
      <c r="BJ187" s="191"/>
      <c r="BK187" s="191"/>
      <c r="BL187" s="191"/>
      <c r="BM187" s="191"/>
      <c r="BN187" s="191">
        <v>100</v>
      </c>
      <c r="BO187" s="191"/>
      <c r="BP187" s="191"/>
      <c r="BQ187" s="191"/>
      <c r="BR187" s="191"/>
      <c r="BS187" s="191"/>
      <c r="BT187" s="191"/>
      <c r="BU187" s="191">
        <v>50</v>
      </c>
      <c r="BV187" s="191"/>
      <c r="BW187" s="191"/>
      <c r="BX187" s="191"/>
      <c r="BY187" s="191"/>
      <c r="BZ187" s="191"/>
      <c r="CA187" s="191"/>
      <c r="CB187" s="191">
        <v>50</v>
      </c>
      <c r="CC187" s="191"/>
      <c r="CD187" s="191"/>
      <c r="CE187" s="192"/>
      <c r="CF187" s="190"/>
      <c r="CG187" s="191"/>
      <c r="CH187" s="191"/>
      <c r="CI187" s="191">
        <v>150</v>
      </c>
      <c r="CJ187" s="191"/>
      <c r="CK187" s="191"/>
      <c r="CL187" s="191"/>
      <c r="CM187" s="191"/>
      <c r="CN187" s="191"/>
      <c r="CO187" s="191"/>
      <c r="CP187" s="191">
        <v>50</v>
      </c>
      <c r="CQ187" s="191"/>
      <c r="CR187" s="191"/>
      <c r="CS187" s="191"/>
      <c r="CT187" s="191"/>
      <c r="CU187" s="191"/>
      <c r="CV187" s="191"/>
      <c r="CW187" s="191"/>
      <c r="CX187" s="191"/>
      <c r="CY187" s="191"/>
      <c r="CZ187" s="191"/>
      <c r="DA187" s="191"/>
      <c r="DB187" s="191"/>
      <c r="DC187" s="191"/>
      <c r="DD187" s="191">
        <v>100</v>
      </c>
      <c r="DE187" s="191"/>
      <c r="DF187" s="191"/>
      <c r="DG187" s="191"/>
      <c r="DH187" s="193"/>
      <c r="DI187" s="194"/>
      <c r="DJ187" s="191"/>
      <c r="DK187" s="191"/>
      <c r="DL187" s="191">
        <v>100</v>
      </c>
      <c r="DM187" s="191"/>
      <c r="DN187" s="191"/>
      <c r="DO187" s="191"/>
      <c r="DP187" s="191"/>
      <c r="DQ187" s="191"/>
      <c r="DR187" s="191"/>
      <c r="DS187" s="191">
        <v>200</v>
      </c>
      <c r="DT187" s="191"/>
      <c r="DU187" s="191"/>
      <c r="DV187" s="191"/>
      <c r="DW187" s="191"/>
      <c r="DX187" s="191"/>
      <c r="DY187" s="191"/>
      <c r="DZ187" s="191">
        <v>100</v>
      </c>
      <c r="EA187" s="191"/>
      <c r="EB187" s="191"/>
      <c r="EC187" s="191"/>
      <c r="ED187" s="191"/>
      <c r="EE187" s="191"/>
      <c r="EF187" s="191"/>
      <c r="EG187" s="191">
        <v>50</v>
      </c>
      <c r="EH187" s="191"/>
      <c r="EI187" s="191"/>
      <c r="EJ187" s="191"/>
      <c r="EK187" s="191"/>
      <c r="EL187" s="191"/>
      <c r="EM187" s="192"/>
      <c r="EN187" s="190">
        <v>100</v>
      </c>
      <c r="EO187" s="191"/>
      <c r="EP187" s="191"/>
      <c r="EQ187" s="191"/>
      <c r="ER187" s="191"/>
      <c r="ES187" s="191"/>
      <c r="ET187" s="191"/>
      <c r="EU187" s="191">
        <v>100</v>
      </c>
      <c r="EV187" s="191"/>
      <c r="EW187" s="191"/>
      <c r="EX187" s="191"/>
      <c r="EY187" s="191"/>
      <c r="EZ187" s="191"/>
      <c r="FA187" s="191"/>
      <c r="FB187" s="191">
        <v>100</v>
      </c>
      <c r="FC187" s="191"/>
      <c r="FD187" s="191"/>
      <c r="FE187" s="191"/>
      <c r="FF187" s="191"/>
      <c r="FG187" s="191"/>
      <c r="FH187" s="191"/>
      <c r="FI187" s="191"/>
      <c r="FJ187" s="191"/>
      <c r="FK187" s="191">
        <v>150</v>
      </c>
      <c r="FL187" s="191"/>
      <c r="FM187" s="191"/>
      <c r="FN187" s="191"/>
      <c r="FO187" s="191"/>
      <c r="FP187" s="191"/>
      <c r="FQ187" s="193"/>
      <c r="FR187" s="194"/>
      <c r="FS187" s="191"/>
      <c r="FT187" s="191"/>
      <c r="FU187" s="191"/>
      <c r="FV187" s="191"/>
      <c r="FW187" s="191">
        <v>100</v>
      </c>
      <c r="FX187" s="191"/>
      <c r="FY187" s="191"/>
      <c r="FZ187" s="191"/>
      <c r="GA187" s="191"/>
      <c r="GB187" s="191"/>
      <c r="GC187" s="191"/>
      <c r="GD187" s="191">
        <v>150</v>
      </c>
      <c r="GE187" s="191"/>
      <c r="GF187" s="191"/>
      <c r="GG187" s="191"/>
      <c r="GH187" s="191"/>
      <c r="GI187" s="191"/>
      <c r="GJ187" s="191"/>
      <c r="GK187" s="191">
        <v>200</v>
      </c>
      <c r="GL187" s="191"/>
      <c r="GM187" s="191"/>
      <c r="GN187" s="191"/>
      <c r="GO187" s="191"/>
      <c r="GP187" s="191"/>
      <c r="GQ187" s="191"/>
      <c r="GR187" s="191">
        <v>50</v>
      </c>
      <c r="GS187" s="191"/>
      <c r="GT187" s="191"/>
      <c r="GU187" s="191"/>
      <c r="GV187" s="192"/>
      <c r="GW187" s="190"/>
      <c r="GX187" s="191"/>
      <c r="GY187" s="191">
        <v>200</v>
      </c>
      <c r="GZ187" s="191"/>
      <c r="HA187" s="191"/>
      <c r="HB187" s="191"/>
      <c r="HC187" s="191"/>
      <c r="HD187" s="191"/>
      <c r="HE187" s="191"/>
      <c r="HF187" s="191"/>
      <c r="HG187" s="191"/>
      <c r="HH187" s="191"/>
      <c r="HI187" s="191"/>
      <c r="HJ187" s="191"/>
      <c r="HK187" s="191"/>
      <c r="HL187" s="191"/>
      <c r="HM187" s="191"/>
      <c r="HN187" s="191"/>
      <c r="HO187" s="191"/>
      <c r="HP187" s="191"/>
      <c r="HQ187" s="191"/>
      <c r="HR187" s="191"/>
      <c r="HS187" s="191"/>
      <c r="HT187" s="191"/>
      <c r="HU187" s="191"/>
      <c r="HV187" s="191"/>
      <c r="HW187" s="191"/>
      <c r="HX187" s="191"/>
      <c r="HY187" s="191"/>
      <c r="HZ187" s="193"/>
      <c r="IA187" s="194">
        <v>200</v>
      </c>
      <c r="IB187" s="191"/>
      <c r="IC187" s="191"/>
      <c r="ID187" s="191"/>
      <c r="IE187" s="191"/>
      <c r="IF187" s="191"/>
      <c r="IG187" s="191"/>
      <c r="IH187" s="191">
        <v>100</v>
      </c>
      <c r="II187" s="191"/>
      <c r="IJ187" s="191"/>
      <c r="IK187" s="191"/>
      <c r="IL187" s="191"/>
      <c r="IM187" s="191"/>
      <c r="IN187" s="191"/>
      <c r="IO187" s="191"/>
      <c r="IP187" s="191">
        <v>150</v>
      </c>
      <c r="IQ187" s="191"/>
      <c r="IR187" s="191"/>
      <c r="IS187" s="191"/>
      <c r="IT187" s="191"/>
      <c r="IU187" s="191"/>
      <c r="IV187" s="191">
        <v>150</v>
      </c>
      <c r="IW187" s="191"/>
      <c r="IX187" s="191"/>
      <c r="IY187" s="191"/>
      <c r="IZ187" s="191"/>
      <c r="JA187" s="191"/>
      <c r="JB187" s="191"/>
      <c r="JC187" s="191"/>
      <c r="JD187" s="191"/>
      <c r="JE187" s="192">
        <v>200</v>
      </c>
      <c r="JF187" s="190"/>
      <c r="JG187" s="191"/>
      <c r="JH187" s="191"/>
      <c r="JI187" s="191"/>
      <c r="JJ187" s="191">
        <v>100</v>
      </c>
      <c r="JK187" s="191"/>
      <c r="JL187" s="191"/>
      <c r="JM187" s="191"/>
      <c r="JN187" s="191"/>
      <c r="JO187" s="191"/>
      <c r="JP187" s="191"/>
      <c r="JQ187" s="191">
        <v>200</v>
      </c>
      <c r="JR187" s="191"/>
      <c r="JS187" s="191"/>
      <c r="JT187" s="191"/>
      <c r="JU187" s="191"/>
      <c r="JV187" s="191"/>
      <c r="JW187" s="191"/>
      <c r="JX187" s="191"/>
      <c r="JY187" s="191"/>
      <c r="JZ187" s="191"/>
      <c r="KA187" s="191"/>
      <c r="KB187" s="191"/>
      <c r="KC187" s="191"/>
      <c r="KD187" s="191"/>
      <c r="KE187" s="191">
        <v>150</v>
      </c>
      <c r="KF187" s="191"/>
      <c r="KG187" s="191"/>
      <c r="KH187" s="191"/>
      <c r="KI187" s="191"/>
      <c r="KJ187" s="193"/>
      <c r="KK187" s="194"/>
      <c r="KL187" s="191">
        <v>150</v>
      </c>
      <c r="KM187" s="191"/>
      <c r="KN187" s="191"/>
      <c r="KO187" s="191"/>
      <c r="KP187" s="191"/>
      <c r="KQ187" s="191"/>
      <c r="KR187" s="191"/>
      <c r="KS187" s="191">
        <v>100</v>
      </c>
      <c r="KT187" s="191"/>
      <c r="KU187" s="191"/>
      <c r="KV187" s="191"/>
      <c r="KW187" s="191"/>
      <c r="KX187" s="191"/>
      <c r="KY187" s="191"/>
      <c r="KZ187" s="191">
        <v>100</v>
      </c>
      <c r="LA187" s="191"/>
      <c r="LB187" s="191"/>
      <c r="LC187" s="191"/>
      <c r="LD187" s="191"/>
      <c r="LE187" s="191"/>
      <c r="LF187" s="191"/>
      <c r="LG187" s="191">
        <v>100</v>
      </c>
      <c r="LH187" s="191"/>
      <c r="LI187" s="191"/>
      <c r="LJ187" s="191"/>
      <c r="LK187" s="191"/>
      <c r="LL187" s="191"/>
      <c r="LM187" s="191"/>
      <c r="LN187" s="192">
        <v>150</v>
      </c>
      <c r="LO187" s="190"/>
      <c r="LP187" s="191"/>
      <c r="LQ187" s="191"/>
      <c r="LR187" s="191"/>
      <c r="LS187" s="191"/>
      <c r="LT187" s="191"/>
      <c r="LU187" s="191">
        <v>10</v>
      </c>
      <c r="LV187" s="191"/>
      <c r="LW187" s="191"/>
      <c r="LX187" s="191"/>
      <c r="LY187" s="191"/>
      <c r="LZ187" s="191"/>
      <c r="MA187" s="191"/>
      <c r="MB187" s="191"/>
      <c r="MC187" s="191"/>
      <c r="MD187" s="191">
        <v>150</v>
      </c>
      <c r="ME187" s="191"/>
      <c r="MF187" s="191"/>
      <c r="MG187" s="191"/>
      <c r="MH187" s="191"/>
      <c r="MI187" s="191">
        <v>150</v>
      </c>
      <c r="MJ187" s="191"/>
      <c r="MK187" s="191"/>
      <c r="ML187" s="191"/>
      <c r="MM187" s="191"/>
      <c r="MN187" s="191"/>
      <c r="MO187" s="191"/>
      <c r="MP187" s="191">
        <v>150</v>
      </c>
      <c r="MQ187" s="191"/>
      <c r="MR187" s="191"/>
      <c r="MS187" s="193"/>
      <c r="MT187" s="194"/>
      <c r="MU187" s="191"/>
      <c r="MV187" s="191"/>
      <c r="MW187" s="191"/>
      <c r="MX187" s="191"/>
      <c r="MY187" s="191"/>
      <c r="MZ187" s="191"/>
      <c r="NA187" s="191"/>
      <c r="NB187" s="191"/>
      <c r="NC187" s="191"/>
      <c r="ND187" s="191"/>
      <c r="NE187" s="191">
        <v>100</v>
      </c>
      <c r="NF187" s="191"/>
      <c r="NG187" s="191"/>
      <c r="NH187" s="191"/>
      <c r="NI187" s="191"/>
      <c r="NJ187" s="191"/>
      <c r="NK187" s="191">
        <v>50</v>
      </c>
      <c r="NL187" s="191"/>
      <c r="NM187" s="191"/>
      <c r="NN187" s="191"/>
      <c r="NO187" s="191"/>
      <c r="NP187" s="191"/>
      <c r="NQ187" s="191"/>
      <c r="NR187" s="191">
        <v>100</v>
      </c>
      <c r="NS187" s="191"/>
      <c r="NT187" s="191"/>
      <c r="NU187" s="191"/>
      <c r="NV187" s="191"/>
      <c r="NW187" s="192"/>
      <c r="NX187" s="190"/>
      <c r="NY187" s="191">
        <v>50</v>
      </c>
      <c r="NZ187" s="191"/>
      <c r="OA187" s="191"/>
      <c r="OB187" s="191"/>
      <c r="OC187" s="191"/>
      <c r="OD187" s="191"/>
      <c r="OE187" s="191"/>
      <c r="OF187" s="191">
        <v>50</v>
      </c>
      <c r="OG187" s="191"/>
      <c r="OH187" s="191"/>
      <c r="OI187" s="191"/>
      <c r="OJ187" s="191"/>
      <c r="OK187" s="191"/>
      <c r="OL187" s="191"/>
      <c r="OM187" s="191">
        <v>100</v>
      </c>
      <c r="ON187" s="191"/>
      <c r="OO187" s="191"/>
      <c r="OP187" s="191"/>
      <c r="OQ187" s="191"/>
      <c r="OR187" s="191"/>
      <c r="OS187" s="191"/>
      <c r="OT187" s="191"/>
      <c r="OU187" s="191"/>
      <c r="OV187" s="191"/>
      <c r="OW187" s="191"/>
      <c r="OX187" s="191"/>
      <c r="OY187" s="191"/>
      <c r="OZ187" s="191"/>
      <c r="PA187" s="191"/>
      <c r="PB187" s="193"/>
      <c r="PC187" s="47"/>
      <c r="PD187" s="154" t="s">
        <v>97</v>
      </c>
      <c r="PE187" s="155" t="s">
        <v>98</v>
      </c>
      <c r="PF187" s="155" t="s">
        <v>98</v>
      </c>
      <c r="PG187" s="155" t="s">
        <v>98</v>
      </c>
      <c r="PH187" s="155" t="s">
        <v>98</v>
      </c>
      <c r="PI187" s="155" t="s">
        <v>98</v>
      </c>
      <c r="PJ187" s="155" t="s">
        <v>98</v>
      </c>
      <c r="PK187" s="155" t="s">
        <v>98</v>
      </c>
      <c r="PL187" s="155" t="s">
        <v>98</v>
      </c>
      <c r="PM187" s="155" t="s">
        <v>98</v>
      </c>
      <c r="PN187" s="155" t="s">
        <v>98</v>
      </c>
      <c r="PO187" s="156"/>
      <c r="PP187" s="156"/>
      <c r="PQ187" s="156"/>
      <c r="PR187" s="156"/>
      <c r="PS187" s="156"/>
      <c r="PT187" s="156"/>
      <c r="PU187" s="156"/>
      <c r="PV187" s="156"/>
      <c r="PW187" s="156"/>
      <c r="PX187" s="195"/>
      <c r="PY187" s="1"/>
      <c r="PZ187" s="196">
        <f t="shared" si="126"/>
        <v>350</v>
      </c>
      <c r="QA187" s="176">
        <f t="shared" si="127"/>
        <v>2.9198298156336033E-3</v>
      </c>
      <c r="QB187" s="177" t="str">
        <f t="shared" ca="1" si="128"/>
        <v>Attente…</v>
      </c>
      <c r="QC187" s="197">
        <f t="shared" si="129"/>
        <v>300</v>
      </c>
      <c r="QD187" s="179">
        <f t="shared" si="130"/>
        <v>2.8089887640449437E-3</v>
      </c>
      <c r="QE187" s="180" t="str">
        <f t="shared" ca="1" si="131"/>
        <v>Attente…</v>
      </c>
      <c r="QF187" s="196">
        <f t="shared" si="132"/>
        <v>450</v>
      </c>
      <c r="QG187" s="176">
        <f t="shared" si="133"/>
        <v>3.58337314859054E-3</v>
      </c>
      <c r="QH187" s="177" t="str">
        <f t="shared" ca="1" si="134"/>
        <v>Attente…</v>
      </c>
      <c r="QI187" s="197">
        <f t="shared" si="135"/>
        <v>450</v>
      </c>
      <c r="QJ187" s="179">
        <f t="shared" si="136"/>
        <v>3.1561228783840651E-3</v>
      </c>
      <c r="QK187" s="180" t="str">
        <f t="shared" ca="1" si="137"/>
        <v>Attente…</v>
      </c>
      <c r="QL187" s="196">
        <f t="shared" si="138"/>
        <v>500</v>
      </c>
      <c r="QM187" s="176">
        <f t="shared" si="139"/>
        <v>3.6581796897863623E-3</v>
      </c>
      <c r="QN187" s="177" t="str">
        <f t="shared" ca="1" si="140"/>
        <v>Attente…</v>
      </c>
      <c r="QO187" s="197">
        <f t="shared" si="141"/>
        <v>200</v>
      </c>
      <c r="QP187" s="179">
        <f t="shared" si="142"/>
        <v>1.5658028654192437E-3</v>
      </c>
      <c r="QQ187" s="180" t="str">
        <f t="shared" ca="1" si="143"/>
        <v>Attente…</v>
      </c>
      <c r="QR187" s="196">
        <f t="shared" si="144"/>
        <v>800</v>
      </c>
      <c r="QS187" s="176">
        <f t="shared" si="145"/>
        <v>5.7593319174975705E-3</v>
      </c>
      <c r="QT187" s="177" t="str">
        <f t="shared" ca="1" si="146"/>
        <v>Attente…</v>
      </c>
      <c r="QU187" s="197">
        <f t="shared" si="147"/>
        <v>450</v>
      </c>
      <c r="QV187" s="179">
        <f t="shared" si="148"/>
        <v>3.1025923883066741E-3</v>
      </c>
      <c r="QW187" s="180" t="str">
        <f t="shared" ca="1" si="149"/>
        <v>Attente…</v>
      </c>
      <c r="QX187" s="196">
        <f t="shared" si="150"/>
        <v>600</v>
      </c>
      <c r="QY187" s="176">
        <f t="shared" si="151"/>
        <v>4.3784115123033365E-3</v>
      </c>
      <c r="QZ187" s="177" t="str">
        <f t="shared" ca="1" si="152"/>
        <v>Attente…</v>
      </c>
      <c r="RA187" s="197">
        <f t="shared" si="153"/>
        <v>460</v>
      </c>
      <c r="RB187" s="179">
        <f t="shared" si="154"/>
        <v>3.5990924027853844E-3</v>
      </c>
      <c r="RC187" s="180" t="str">
        <f t="shared" ca="1" si="155"/>
        <v>Attente…</v>
      </c>
      <c r="RD187" s="196">
        <f t="shared" si="156"/>
        <v>250</v>
      </c>
      <c r="RE187" s="176">
        <f t="shared" si="157"/>
        <v>2.4910322837783977E-3</v>
      </c>
      <c r="RF187" s="177" t="str">
        <f t="shared" ca="1" si="158"/>
        <v>Attente…</v>
      </c>
      <c r="RG187" s="197">
        <f t="shared" si="159"/>
        <v>200</v>
      </c>
      <c r="RH187" s="179">
        <f t="shared" si="160"/>
        <v>3.6784991723376862E-3</v>
      </c>
      <c r="RI187" s="198" t="str">
        <f t="shared" ca="1" si="161"/>
        <v>Attente…</v>
      </c>
      <c r="RJ187" s="199">
        <f t="shared" si="162"/>
        <v>1100</v>
      </c>
      <c r="RK187" s="200" t="str">
        <f t="shared" ca="1" si="119"/>
        <v>Attente…</v>
      </c>
      <c r="RL187" s="199">
        <f t="shared" si="163"/>
        <v>1150</v>
      </c>
      <c r="RM187" s="200" t="str">
        <f t="shared" ca="1" si="164"/>
        <v>Atttente…</v>
      </c>
      <c r="RN187" s="199">
        <f t="shared" si="165"/>
        <v>1850</v>
      </c>
      <c r="RO187" s="200" t="str">
        <f t="shared" ca="1" si="120"/>
        <v>Attente…</v>
      </c>
      <c r="RP187" s="199">
        <f t="shared" si="166"/>
        <v>910</v>
      </c>
      <c r="RQ187" s="200" t="str">
        <f t="shared" ca="1" si="121"/>
        <v>Attente…</v>
      </c>
      <c r="RR187" s="201">
        <f t="shared" si="167"/>
        <v>5010</v>
      </c>
      <c r="RS187" s="202" t="str">
        <f t="shared" ca="1" si="122"/>
        <v>Attente…</v>
      </c>
      <c r="RT187" s="103"/>
      <c r="RU187" s="203">
        <f t="shared" si="168"/>
        <v>0.58255813953488367</v>
      </c>
      <c r="RV187" s="204">
        <f t="shared" si="171"/>
        <v>1</v>
      </c>
      <c r="RW187" s="204">
        <f t="shared" si="171"/>
        <v>1</v>
      </c>
      <c r="RX187" s="204">
        <f t="shared" si="169"/>
        <v>43</v>
      </c>
      <c r="RY187" s="205" t="str">
        <f t="shared" si="170"/>
        <v>SAINT-PIERRE-DE-VARENGEVILLE - 240 Rue de la Paix (Parking du Cimetière)</v>
      </c>
      <c r="RZ187" s="189" t="str">
        <f>IF(OR(RZ186="",RZ186="  &lt;/Document&gt;
&lt;/kml&gt;"),"",
IF(B187="","  &lt;/Document&gt;
&lt;/kml&gt;",
IF(TournéesCAV!Q187=""," ",
"    &lt;Placemark&gt;
      &lt;description&gt;&lt;![CDATA["&amp;B187&amp;"&lt;br&gt;&lt;br&gt;"&amp;RV187&amp;" CAV&lt;br&gt;&lt;br&gt;Présent sur "&amp;RW187&amp;" tournée(s)&lt;br&gt;&lt;br&gt;Taux de remplissage moyen "&amp;TEXT(RU187*1000,"0 %")&amp;"]]&gt;&lt;/description&gt;
      &lt;Style&gt;
        &lt;IconStyle&gt;
          &lt;color&gt;ff"&amp;
          DEC2HEX(0,2)&amp;
          DEC2HEX(
            IF(RU187&lt;=0.5,
               INT(255*(RU187*2)),
               255
            ),2)&amp;
          DEC2HEX(
            IF(RU187&lt;=0.5,
               255,
               INT(255*(1-(RU187-0.5)*2))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&lt;Point&gt;&lt;coordinates&gt;"&amp;R187&amp;","&amp;Q187&amp;",0&lt;/coordinates&gt;&lt;/Point&gt;
    &lt;/Placemark&gt;"
)))</f>
        <v xml:space="preserve">    &lt;Placemark&gt;
      &lt;description&gt;&lt;![CDATA[SAINT-PIERRE-DE-VARENGEVILLE - 240 Rue de la Paix (Parking du Cimetière)&lt;br&gt;&lt;br&gt;1 CAV&lt;br&gt;&lt;br&gt;Présent sur 1 tournée(s)&lt;br&gt;&lt;br&gt;Taux de remplissage moyen 58%]]&gt;&lt;/description&gt;
      &lt;Style&gt;
        &lt;IconStyle&gt;
          &lt;color&gt;ff00FFD4&lt;/color&gt;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&lt;Point&gt;&lt;coordinates&gt;0.9217114,49.5016503,0&lt;/coordinates&gt;&lt;/Point&gt;
    &lt;/Placemark&gt;</v>
      </c>
    </row>
    <row r="188" spans="2:494" ht="15" hidden="1" customHeight="1" x14ac:dyDescent="0.35">
      <c r="B188" s="153" t="str">
        <f t="shared" si="123"/>
        <v>CANTELEU - 7 Rue Alexandre Dumas</v>
      </c>
      <c r="C188" s="154">
        <v>160</v>
      </c>
      <c r="D188" s="155"/>
      <c r="E188" s="155"/>
      <c r="F188" s="155"/>
      <c r="G188" s="155"/>
      <c r="H188" s="155"/>
      <c r="I188" s="155"/>
      <c r="J188" s="156"/>
      <c r="K188" s="157">
        <f t="shared" si="124"/>
        <v>1</v>
      </c>
      <c r="L188" s="157">
        <f t="shared" si="125"/>
        <v>1</v>
      </c>
      <c r="M188" s="158" t="s">
        <v>1025</v>
      </c>
      <c r="N188" s="159"/>
      <c r="O188" s="159">
        <v>76380</v>
      </c>
      <c r="P188" s="159" t="s">
        <v>1010</v>
      </c>
      <c r="Q188" s="159" t="s">
        <v>1026</v>
      </c>
      <c r="R188" s="159" t="s">
        <v>1027</v>
      </c>
      <c r="S188" s="159" t="s">
        <v>93</v>
      </c>
      <c r="T188" s="159" t="s">
        <v>278</v>
      </c>
      <c r="U188" s="159" t="s">
        <v>1028</v>
      </c>
      <c r="V188" s="160" t="s">
        <v>96</v>
      </c>
      <c r="W188" s="161"/>
      <c r="X188" s="162"/>
      <c r="Y188" s="163"/>
      <c r="Z188" s="162"/>
      <c r="AA188" s="163"/>
      <c r="AB188" s="162"/>
      <c r="AC188" s="163"/>
      <c r="AD188" s="162"/>
      <c r="AE188" s="163"/>
      <c r="AF188" s="162"/>
      <c r="AG188" s="207">
        <v>14</v>
      </c>
      <c r="AH188" s="163"/>
      <c r="AI188" s="162"/>
      <c r="AJ188" s="163"/>
      <c r="AK188" s="162"/>
      <c r="AL188" s="163"/>
      <c r="AM188" s="162"/>
      <c r="AN188" s="163"/>
      <c r="AO188" s="162"/>
      <c r="AP188" s="164"/>
      <c r="AQ188" s="164"/>
      <c r="AR188" s="164"/>
      <c r="AS188" s="164"/>
      <c r="AT188" s="164"/>
      <c r="AU188" s="164"/>
      <c r="AV188" s="164"/>
      <c r="AW188" s="164"/>
      <c r="AX188" s="164"/>
      <c r="AY188" s="165"/>
      <c r="AZ188" s="41"/>
      <c r="BA188" s="190"/>
      <c r="BB188" s="191">
        <v>200</v>
      </c>
      <c r="BC188" s="191"/>
      <c r="BD188" s="191"/>
      <c r="BE188" s="191"/>
      <c r="BF188" s="191"/>
      <c r="BG188" s="191"/>
      <c r="BH188" s="191"/>
      <c r="BI188" s="191"/>
      <c r="BJ188" s="191"/>
      <c r="BK188" s="191"/>
      <c r="BL188" s="191"/>
      <c r="BM188" s="191"/>
      <c r="BN188" s="191"/>
      <c r="BO188" s="191">
        <v>150</v>
      </c>
      <c r="BP188" s="191"/>
      <c r="BQ188" s="191"/>
      <c r="BR188" s="191"/>
      <c r="BS188" s="191"/>
      <c r="BT188" s="191"/>
      <c r="BU188" s="191"/>
      <c r="BV188" s="191">
        <v>100</v>
      </c>
      <c r="BW188" s="191"/>
      <c r="BX188" s="191"/>
      <c r="BY188" s="191"/>
      <c r="BZ188" s="191"/>
      <c r="CA188" s="191"/>
      <c r="CB188" s="191"/>
      <c r="CC188" s="191">
        <v>50</v>
      </c>
      <c r="CD188" s="191"/>
      <c r="CE188" s="192"/>
      <c r="CF188" s="190"/>
      <c r="CG188" s="191"/>
      <c r="CH188" s="191"/>
      <c r="CI188" s="191"/>
      <c r="CJ188" s="191">
        <v>100</v>
      </c>
      <c r="CK188" s="191"/>
      <c r="CL188" s="191"/>
      <c r="CM188" s="191"/>
      <c r="CN188" s="191"/>
      <c r="CO188" s="191"/>
      <c r="CP188" s="191"/>
      <c r="CQ188" s="191">
        <v>50</v>
      </c>
      <c r="CR188" s="191"/>
      <c r="CS188" s="191"/>
      <c r="CT188" s="191"/>
      <c r="CU188" s="191"/>
      <c r="CV188" s="191"/>
      <c r="CW188" s="191"/>
      <c r="CX188" s="191">
        <v>50</v>
      </c>
      <c r="CY188" s="191"/>
      <c r="CZ188" s="191"/>
      <c r="DA188" s="191"/>
      <c r="DB188" s="191"/>
      <c r="DC188" s="191"/>
      <c r="DD188" s="191"/>
      <c r="DE188" s="191">
        <v>100</v>
      </c>
      <c r="DF188" s="191"/>
      <c r="DG188" s="191"/>
      <c r="DH188" s="193"/>
      <c r="DI188" s="194"/>
      <c r="DJ188" s="191"/>
      <c r="DK188" s="191"/>
      <c r="DL188" s="191"/>
      <c r="DM188" s="191">
        <v>100</v>
      </c>
      <c r="DN188" s="191"/>
      <c r="DO188" s="191"/>
      <c r="DP188" s="191"/>
      <c r="DQ188" s="191"/>
      <c r="DR188" s="191"/>
      <c r="DS188" s="191"/>
      <c r="DT188" s="191">
        <v>100</v>
      </c>
      <c r="DU188" s="191"/>
      <c r="DV188" s="191"/>
      <c r="DW188" s="191"/>
      <c r="DX188" s="191"/>
      <c r="DY188" s="191"/>
      <c r="DZ188" s="191"/>
      <c r="EA188" s="191">
        <v>10</v>
      </c>
      <c r="EB188" s="191"/>
      <c r="EC188" s="191"/>
      <c r="ED188" s="191"/>
      <c r="EE188" s="191"/>
      <c r="EF188" s="191"/>
      <c r="EG188" s="191"/>
      <c r="EH188" s="191">
        <v>50</v>
      </c>
      <c r="EI188" s="191"/>
      <c r="EJ188" s="191"/>
      <c r="EK188" s="191"/>
      <c r="EL188" s="191"/>
      <c r="EM188" s="192"/>
      <c r="EN188" s="190"/>
      <c r="EO188" s="191">
        <v>200</v>
      </c>
      <c r="EP188" s="191"/>
      <c r="EQ188" s="191"/>
      <c r="ER188" s="191"/>
      <c r="ES188" s="191"/>
      <c r="ET188" s="191"/>
      <c r="EU188" s="191"/>
      <c r="EV188" s="191">
        <v>100</v>
      </c>
      <c r="EW188" s="191"/>
      <c r="EX188" s="191"/>
      <c r="EY188" s="191"/>
      <c r="EZ188" s="191"/>
      <c r="FA188" s="191"/>
      <c r="FB188" s="191"/>
      <c r="FC188" s="191">
        <v>200</v>
      </c>
      <c r="FD188" s="191"/>
      <c r="FE188" s="191"/>
      <c r="FF188" s="191"/>
      <c r="FG188" s="191"/>
      <c r="FH188" s="191"/>
      <c r="FI188" s="191"/>
      <c r="FJ188" s="191">
        <v>100</v>
      </c>
      <c r="FK188" s="191"/>
      <c r="FL188" s="191"/>
      <c r="FM188" s="191"/>
      <c r="FN188" s="191"/>
      <c r="FO188" s="191"/>
      <c r="FP188" s="191"/>
      <c r="FQ188" s="193">
        <v>100</v>
      </c>
      <c r="FR188" s="194"/>
      <c r="FS188" s="191"/>
      <c r="FT188" s="191"/>
      <c r="FU188" s="191"/>
      <c r="FV188" s="191"/>
      <c r="FW188" s="191"/>
      <c r="FX188" s="191">
        <v>50</v>
      </c>
      <c r="FY188" s="191"/>
      <c r="FZ188" s="191"/>
      <c r="GA188" s="191"/>
      <c r="GB188" s="191"/>
      <c r="GC188" s="191"/>
      <c r="GD188" s="191"/>
      <c r="GE188" s="191">
        <v>150</v>
      </c>
      <c r="GF188" s="191"/>
      <c r="GG188" s="191"/>
      <c r="GH188" s="191"/>
      <c r="GI188" s="191"/>
      <c r="GJ188" s="191"/>
      <c r="GK188" s="191"/>
      <c r="GL188" s="191">
        <v>150</v>
      </c>
      <c r="GM188" s="191"/>
      <c r="GN188" s="191"/>
      <c r="GO188" s="191"/>
      <c r="GP188" s="191"/>
      <c r="GQ188" s="191"/>
      <c r="GR188" s="191"/>
      <c r="GS188" s="191">
        <v>100</v>
      </c>
      <c r="GT188" s="191"/>
      <c r="GU188" s="191"/>
      <c r="GV188" s="192"/>
      <c r="GW188" s="190"/>
      <c r="GX188" s="191"/>
      <c r="GY188" s="191"/>
      <c r="GZ188" s="191">
        <v>50</v>
      </c>
      <c r="HA188" s="191"/>
      <c r="HB188" s="191"/>
      <c r="HC188" s="191"/>
      <c r="HD188" s="191"/>
      <c r="HE188" s="191"/>
      <c r="HF188" s="191"/>
      <c r="HG188" s="191">
        <v>100</v>
      </c>
      <c r="HH188" s="191"/>
      <c r="HI188" s="191"/>
      <c r="HJ188" s="191"/>
      <c r="HK188" s="191"/>
      <c r="HL188" s="191"/>
      <c r="HM188" s="191"/>
      <c r="HN188" s="191">
        <v>150</v>
      </c>
      <c r="HO188" s="191"/>
      <c r="HP188" s="191"/>
      <c r="HQ188" s="191"/>
      <c r="HR188" s="191"/>
      <c r="HS188" s="191"/>
      <c r="HT188" s="191"/>
      <c r="HU188" s="191">
        <v>150</v>
      </c>
      <c r="HV188" s="191"/>
      <c r="HW188" s="191"/>
      <c r="HX188" s="191"/>
      <c r="HY188" s="191"/>
      <c r="HZ188" s="193"/>
      <c r="IA188" s="194"/>
      <c r="IB188" s="191">
        <v>50</v>
      </c>
      <c r="IC188" s="191"/>
      <c r="ID188" s="191"/>
      <c r="IE188" s="191"/>
      <c r="IF188" s="191"/>
      <c r="IG188" s="191"/>
      <c r="IH188" s="191"/>
      <c r="II188" s="191">
        <v>150</v>
      </c>
      <c r="IJ188" s="191"/>
      <c r="IK188" s="191"/>
      <c r="IL188" s="191"/>
      <c r="IM188" s="191"/>
      <c r="IN188" s="191"/>
      <c r="IO188" s="191"/>
      <c r="IP188" s="191"/>
      <c r="IQ188" s="191"/>
      <c r="IR188" s="191">
        <v>200</v>
      </c>
      <c r="IS188" s="191"/>
      <c r="IT188" s="191"/>
      <c r="IU188" s="191"/>
      <c r="IV188" s="191"/>
      <c r="IW188" s="191">
        <v>100</v>
      </c>
      <c r="IX188" s="191"/>
      <c r="IY188" s="191"/>
      <c r="IZ188" s="191"/>
      <c r="JA188" s="191"/>
      <c r="JB188" s="191"/>
      <c r="JC188" s="191"/>
      <c r="JD188" s="191">
        <v>150</v>
      </c>
      <c r="JE188" s="192"/>
      <c r="JF188" s="190"/>
      <c r="JG188" s="191"/>
      <c r="JH188" s="191"/>
      <c r="JI188" s="191"/>
      <c r="JJ188" s="191"/>
      <c r="JK188" s="191">
        <v>150</v>
      </c>
      <c r="JL188" s="191"/>
      <c r="JM188" s="191"/>
      <c r="JN188" s="191"/>
      <c r="JO188" s="191"/>
      <c r="JP188" s="191"/>
      <c r="JQ188" s="191"/>
      <c r="JR188" s="191">
        <v>100</v>
      </c>
      <c r="JS188" s="191"/>
      <c r="JT188" s="191"/>
      <c r="JU188" s="191"/>
      <c r="JV188" s="191"/>
      <c r="JW188" s="191"/>
      <c r="JX188" s="191"/>
      <c r="JY188" s="191"/>
      <c r="JZ188" s="191">
        <v>150</v>
      </c>
      <c r="KA188" s="191"/>
      <c r="KB188" s="191"/>
      <c r="KC188" s="191"/>
      <c r="KD188" s="191"/>
      <c r="KE188" s="191"/>
      <c r="KF188" s="191">
        <v>150</v>
      </c>
      <c r="KG188" s="191"/>
      <c r="KH188" s="191"/>
      <c r="KI188" s="191"/>
      <c r="KJ188" s="193"/>
      <c r="KK188" s="194"/>
      <c r="KL188" s="191"/>
      <c r="KM188" s="191">
        <v>50</v>
      </c>
      <c r="KN188" s="191"/>
      <c r="KO188" s="191"/>
      <c r="KP188" s="191"/>
      <c r="KQ188" s="191"/>
      <c r="KR188" s="191"/>
      <c r="KS188" s="191"/>
      <c r="KT188" s="191"/>
      <c r="KU188" s="191">
        <v>200</v>
      </c>
      <c r="KV188" s="191"/>
      <c r="KW188" s="191"/>
      <c r="KX188" s="191"/>
      <c r="KY188" s="191"/>
      <c r="KZ188" s="191"/>
      <c r="LA188" s="191">
        <v>50</v>
      </c>
      <c r="LB188" s="191"/>
      <c r="LC188" s="191"/>
      <c r="LD188" s="191"/>
      <c r="LE188" s="191"/>
      <c r="LF188" s="191"/>
      <c r="LG188" s="191"/>
      <c r="LH188" s="191">
        <v>100</v>
      </c>
      <c r="LI188" s="191"/>
      <c r="LJ188" s="191"/>
      <c r="LK188" s="191"/>
      <c r="LL188" s="191"/>
      <c r="LM188" s="191"/>
      <c r="LN188" s="192"/>
      <c r="LO188" s="190">
        <v>150</v>
      </c>
      <c r="LP188" s="191"/>
      <c r="LQ188" s="191"/>
      <c r="LR188" s="191"/>
      <c r="LS188" s="191"/>
      <c r="LT188" s="191"/>
      <c r="LU188" s="191"/>
      <c r="LV188" s="191">
        <v>150</v>
      </c>
      <c r="LW188" s="191"/>
      <c r="LX188" s="191"/>
      <c r="LY188" s="191"/>
      <c r="LZ188" s="191"/>
      <c r="MA188" s="191"/>
      <c r="MB188" s="191"/>
      <c r="MC188" s="191">
        <v>100</v>
      </c>
      <c r="MD188" s="191"/>
      <c r="ME188" s="191"/>
      <c r="MF188" s="191"/>
      <c r="MG188" s="191"/>
      <c r="MH188" s="191"/>
      <c r="MI188" s="191"/>
      <c r="MJ188" s="191">
        <v>100</v>
      </c>
      <c r="MK188" s="191"/>
      <c r="ML188" s="191"/>
      <c r="MM188" s="191"/>
      <c r="MN188" s="191"/>
      <c r="MO188" s="191"/>
      <c r="MP188" s="191"/>
      <c r="MQ188" s="191">
        <v>100</v>
      </c>
      <c r="MR188" s="191"/>
      <c r="MS188" s="193"/>
      <c r="MT188" s="194"/>
      <c r="MU188" s="191"/>
      <c r="MV188" s="191"/>
      <c r="MW188" s="191"/>
      <c r="MX188" s="191">
        <v>200</v>
      </c>
      <c r="MY188" s="191"/>
      <c r="MZ188" s="191"/>
      <c r="NA188" s="191"/>
      <c r="NB188" s="191"/>
      <c r="NC188" s="191"/>
      <c r="ND188" s="191"/>
      <c r="NE188" s="191"/>
      <c r="NF188" s="191">
        <v>10</v>
      </c>
      <c r="NG188" s="191"/>
      <c r="NH188" s="191"/>
      <c r="NI188" s="191"/>
      <c r="NJ188" s="191"/>
      <c r="NK188" s="191"/>
      <c r="NL188" s="191"/>
      <c r="NM188" s="191"/>
      <c r="NN188" s="191"/>
      <c r="NO188" s="191"/>
      <c r="NP188" s="191"/>
      <c r="NQ188" s="191"/>
      <c r="NR188" s="191"/>
      <c r="NS188" s="191">
        <v>150</v>
      </c>
      <c r="NT188" s="191"/>
      <c r="NU188" s="191"/>
      <c r="NV188" s="191"/>
      <c r="NW188" s="192"/>
      <c r="NX188" s="190"/>
      <c r="NY188" s="191"/>
      <c r="NZ188" s="191">
        <v>10</v>
      </c>
      <c r="OA188" s="191"/>
      <c r="OB188" s="191"/>
      <c r="OC188" s="191"/>
      <c r="OD188" s="191"/>
      <c r="OE188" s="191"/>
      <c r="OF188" s="191"/>
      <c r="OG188" s="191">
        <v>50</v>
      </c>
      <c r="OH188" s="191"/>
      <c r="OI188" s="191"/>
      <c r="OJ188" s="191"/>
      <c r="OK188" s="191"/>
      <c r="OL188" s="191"/>
      <c r="OM188" s="191"/>
      <c r="ON188" s="191">
        <v>50</v>
      </c>
      <c r="OO188" s="191"/>
      <c r="OP188" s="191"/>
      <c r="OQ188" s="191"/>
      <c r="OR188" s="191"/>
      <c r="OS188" s="191"/>
      <c r="OT188" s="191"/>
      <c r="OU188" s="191"/>
      <c r="OV188" s="191"/>
      <c r="OW188" s="191"/>
      <c r="OX188" s="191"/>
      <c r="OY188" s="191"/>
      <c r="OZ188" s="191"/>
      <c r="PA188" s="191"/>
      <c r="PB188" s="193"/>
      <c r="PC188" s="47"/>
      <c r="PD188" s="154" t="s">
        <v>97</v>
      </c>
      <c r="PE188" s="155" t="s">
        <v>98</v>
      </c>
      <c r="PF188" s="155" t="s">
        <v>97</v>
      </c>
      <c r="PG188" s="155" t="s">
        <v>98</v>
      </c>
      <c r="PH188" s="155" t="s">
        <v>98</v>
      </c>
      <c r="PI188" s="155" t="s">
        <v>98</v>
      </c>
      <c r="PJ188" s="155" t="s">
        <v>98</v>
      </c>
      <c r="PK188" s="155" t="s">
        <v>98</v>
      </c>
      <c r="PL188" s="155" t="s">
        <v>98</v>
      </c>
      <c r="PM188" s="155" t="s">
        <v>98</v>
      </c>
      <c r="PN188" s="155" t="s">
        <v>98</v>
      </c>
      <c r="PO188" s="156"/>
      <c r="PP188" s="156"/>
      <c r="PQ188" s="156"/>
      <c r="PR188" s="156"/>
      <c r="PS188" s="156"/>
      <c r="PT188" s="156"/>
      <c r="PU188" s="156"/>
      <c r="PV188" s="156"/>
      <c r="PW188" s="156"/>
      <c r="PX188" s="195"/>
      <c r="PY188" s="1"/>
      <c r="PZ188" s="196">
        <f t="shared" si="126"/>
        <v>500</v>
      </c>
      <c r="QA188" s="218">
        <f t="shared" si="127"/>
        <v>4.1711854509051474E-3</v>
      </c>
      <c r="QB188" s="219" t="str">
        <f t="shared" ca="1" si="128"/>
        <v>Attente…</v>
      </c>
      <c r="QC188" s="197">
        <f t="shared" si="129"/>
        <v>300</v>
      </c>
      <c r="QD188" s="220">
        <f t="shared" si="130"/>
        <v>2.8089887640449437E-3</v>
      </c>
      <c r="QE188" s="221" t="str">
        <f t="shared" ca="1" si="131"/>
        <v>Attente…</v>
      </c>
      <c r="QF188" s="196">
        <f t="shared" si="132"/>
        <v>260</v>
      </c>
      <c r="QG188" s="218">
        <f t="shared" si="133"/>
        <v>2.070393374741201E-3</v>
      </c>
      <c r="QH188" s="219" t="str">
        <f t="shared" ca="1" si="134"/>
        <v>Attente…</v>
      </c>
      <c r="QI188" s="197">
        <f t="shared" si="135"/>
        <v>700</v>
      </c>
      <c r="QJ188" s="220">
        <f t="shared" si="136"/>
        <v>4.9095244774863232E-3</v>
      </c>
      <c r="QK188" s="221" t="str">
        <f t="shared" ca="1" si="137"/>
        <v>Attente…</v>
      </c>
      <c r="QL188" s="196">
        <f t="shared" si="138"/>
        <v>450</v>
      </c>
      <c r="QM188" s="218">
        <f t="shared" si="139"/>
        <v>3.2923617208077262E-3</v>
      </c>
      <c r="QN188" s="219" t="str">
        <f t="shared" ca="1" si="140"/>
        <v>Attente…</v>
      </c>
      <c r="QO188" s="197">
        <f t="shared" si="141"/>
        <v>450</v>
      </c>
      <c r="QP188" s="220">
        <f t="shared" si="142"/>
        <v>3.5230564471932986E-3</v>
      </c>
      <c r="QQ188" s="221" t="str">
        <f t="shared" ca="1" si="143"/>
        <v>Attente…</v>
      </c>
      <c r="QR188" s="196">
        <f t="shared" si="144"/>
        <v>650</v>
      </c>
      <c r="QS188" s="218">
        <f t="shared" si="145"/>
        <v>4.679457182966776E-3</v>
      </c>
      <c r="QT188" s="219" t="str">
        <f t="shared" ca="1" si="146"/>
        <v>Attente…</v>
      </c>
      <c r="QU188" s="197">
        <f t="shared" si="147"/>
        <v>550</v>
      </c>
      <c r="QV188" s="220">
        <f t="shared" si="148"/>
        <v>3.7920573634859351E-3</v>
      </c>
      <c r="QW188" s="221" t="str">
        <f t="shared" ca="1" si="149"/>
        <v>Attente…</v>
      </c>
      <c r="QX188" s="196">
        <f t="shared" si="150"/>
        <v>400</v>
      </c>
      <c r="QY188" s="218">
        <f t="shared" si="151"/>
        <v>2.918941008202224E-3</v>
      </c>
      <c r="QZ188" s="219" t="str">
        <f t="shared" ca="1" si="152"/>
        <v>Attente…</v>
      </c>
      <c r="RA188" s="197">
        <f t="shared" si="153"/>
        <v>600</v>
      </c>
      <c r="RB188" s="220">
        <f t="shared" si="154"/>
        <v>4.6944683514591971E-3</v>
      </c>
      <c r="RC188" s="221" t="str">
        <f t="shared" ca="1" si="155"/>
        <v>Attente…</v>
      </c>
      <c r="RD188" s="196">
        <f t="shared" si="156"/>
        <v>360</v>
      </c>
      <c r="RE188" s="218">
        <f t="shared" si="157"/>
        <v>3.5870864886408927E-3</v>
      </c>
      <c r="RF188" s="219" t="str">
        <f t="shared" ca="1" si="158"/>
        <v>Attente…</v>
      </c>
      <c r="RG188" s="197">
        <f t="shared" si="159"/>
        <v>110</v>
      </c>
      <c r="RH188" s="220">
        <f t="shared" si="160"/>
        <v>2.0231745447857274E-3</v>
      </c>
      <c r="RI188" s="222" t="str">
        <f t="shared" ca="1" si="161"/>
        <v>Attente…</v>
      </c>
      <c r="RJ188" s="199">
        <f t="shared" si="162"/>
        <v>1060</v>
      </c>
      <c r="RK188" s="200" t="str">
        <f t="shared" ca="1" si="119"/>
        <v>Attente…</v>
      </c>
      <c r="RL188" s="199">
        <f t="shared" si="163"/>
        <v>1600</v>
      </c>
      <c r="RM188" s="200" t="str">
        <f t="shared" ca="1" si="164"/>
        <v>Atttente…</v>
      </c>
      <c r="RN188" s="199">
        <f t="shared" si="165"/>
        <v>1600</v>
      </c>
      <c r="RO188" s="200" t="str">
        <f t="shared" ca="1" si="120"/>
        <v>Attente…</v>
      </c>
      <c r="RP188" s="199">
        <f t="shared" si="166"/>
        <v>1070</v>
      </c>
      <c r="RQ188" s="200" t="str">
        <f t="shared" ca="1" si="121"/>
        <v>Attente…</v>
      </c>
      <c r="RR188" s="201">
        <f t="shared" si="167"/>
        <v>5330</v>
      </c>
      <c r="RS188" s="202" t="str">
        <f t="shared" ca="1" si="122"/>
        <v>Attente…</v>
      </c>
      <c r="RT188" s="103"/>
      <c r="RU188" s="203">
        <f t="shared" si="168"/>
        <v>0.54387755102040813</v>
      </c>
      <c r="RV188" s="204">
        <f t="shared" si="171"/>
        <v>1</v>
      </c>
      <c r="RW188" s="204">
        <f t="shared" si="171"/>
        <v>1</v>
      </c>
      <c r="RX188" s="204">
        <f t="shared" si="169"/>
        <v>49</v>
      </c>
      <c r="RY188" s="205" t="str">
        <f t="shared" si="170"/>
        <v>CANTELEU - 7 Rue Alexandre Dumas</v>
      </c>
      <c r="RZ188" s="189" t="str">
        <f>IF(OR(RZ187="",RZ187="  &lt;/Document&gt;
&lt;/kml&gt;"),"",
IF(B188="","  &lt;/Document&gt;
&lt;/kml&gt;",
IF(TournéesCAV!Q188=""," ",
"    &lt;Placemark&gt;
      &lt;description&gt;&lt;![CDATA["&amp;B188&amp;"&lt;br&gt;&lt;br&gt;"&amp;RV188&amp;" CAV&lt;br&gt;&lt;br&gt;Présent sur "&amp;RW188&amp;" tournée(s)&lt;br&gt;&lt;br&gt;Taux de remplissage moyen "&amp;TEXT(RU188*1000,"0 %")&amp;"]]&gt;&lt;/description&gt;
      &lt;Style&gt;
        &lt;IconStyle&gt;
          &lt;color&gt;ff"&amp;
          DEC2HEX(0,2)&amp;
          DEC2HEX(
            IF(RU188&lt;=0.5,
               INT(255*(RU188*2)),
               255
            ),2)&amp;
          DEC2HEX(
            IF(RU188&lt;=0.5,
               255,
               INT(255*(1-(RU188-0.5)*2))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&lt;Point&gt;&lt;coordinates&gt;"&amp;R188&amp;","&amp;Q188&amp;",0&lt;/coordinates&gt;&lt;/Point&gt;
    &lt;/Placemark&gt;"
)))</f>
        <v xml:space="preserve">    &lt;Placemark&gt;
      &lt;description&gt;&lt;![CDATA[CANTELEU - 7 Rue Alexandre Dumas&lt;br&gt;&lt;br&gt;1 CAV&lt;br&gt;&lt;br&gt;Présent sur 1 tournée(s)&lt;br&gt;&lt;br&gt;Taux de remplissage moyen 54%]]&gt;&lt;/description&gt;
      &lt;Style&gt;
        &lt;IconStyle&gt;
          &lt;color&gt;ff00FFE8&lt;/color&gt;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&lt;Point&gt;&lt;coordinates&gt;1.0322824,49.4438684,0&lt;/coordinates&gt;&lt;/Point&gt;
    &lt;/Placemark&gt;</v>
      </c>
    </row>
    <row r="189" spans="2:494" ht="15" hidden="1" customHeight="1" x14ac:dyDescent="0.35">
      <c r="B189" s="153" t="str">
        <f t="shared" si="123"/>
        <v>CANTELEU - 36 Avenue de Versailles</v>
      </c>
      <c r="C189" s="154">
        <v>159</v>
      </c>
      <c r="D189" s="155"/>
      <c r="E189" s="155"/>
      <c r="F189" s="155"/>
      <c r="G189" s="155"/>
      <c r="H189" s="155"/>
      <c r="I189" s="155"/>
      <c r="J189" s="156"/>
      <c r="K189" s="157">
        <f t="shared" si="124"/>
        <v>1</v>
      </c>
      <c r="L189" s="157">
        <f t="shared" si="125"/>
        <v>1</v>
      </c>
      <c r="M189" s="158" t="s">
        <v>1029</v>
      </c>
      <c r="N189" s="159"/>
      <c r="O189" s="159">
        <v>76380</v>
      </c>
      <c r="P189" s="159" t="s">
        <v>1010</v>
      </c>
      <c r="Q189" s="159" t="s">
        <v>1030</v>
      </c>
      <c r="R189" s="159" t="s">
        <v>1031</v>
      </c>
      <c r="S189" s="159" t="s">
        <v>93</v>
      </c>
      <c r="T189" s="159" t="s">
        <v>278</v>
      </c>
      <c r="U189" s="159" t="s">
        <v>1032</v>
      </c>
      <c r="V189" s="160" t="s">
        <v>96</v>
      </c>
      <c r="W189" s="161"/>
      <c r="X189" s="162"/>
      <c r="Y189" s="163"/>
      <c r="Z189" s="162"/>
      <c r="AA189" s="163"/>
      <c r="AB189" s="162"/>
      <c r="AC189" s="163"/>
      <c r="AD189" s="162"/>
      <c r="AE189" s="163"/>
      <c r="AF189" s="162"/>
      <c r="AG189" s="207">
        <v>15</v>
      </c>
      <c r="AH189" s="163"/>
      <c r="AI189" s="162"/>
      <c r="AJ189" s="163"/>
      <c r="AK189" s="162"/>
      <c r="AL189" s="163"/>
      <c r="AM189" s="162"/>
      <c r="AN189" s="163"/>
      <c r="AO189" s="162"/>
      <c r="AP189" s="164"/>
      <c r="AQ189" s="164"/>
      <c r="AR189" s="164"/>
      <c r="AS189" s="164"/>
      <c r="AT189" s="164"/>
      <c r="AU189" s="164"/>
      <c r="AV189" s="164"/>
      <c r="AW189" s="164"/>
      <c r="AX189" s="164"/>
      <c r="AY189" s="165"/>
      <c r="AZ189" s="41"/>
      <c r="BA189" s="190"/>
      <c r="BB189" s="191">
        <v>150</v>
      </c>
      <c r="BC189" s="191"/>
      <c r="BD189" s="191"/>
      <c r="BE189" s="191"/>
      <c r="BF189" s="191"/>
      <c r="BG189" s="191"/>
      <c r="BH189" s="191"/>
      <c r="BI189" s="191"/>
      <c r="BJ189" s="191"/>
      <c r="BK189" s="191"/>
      <c r="BL189" s="191"/>
      <c r="BM189" s="191"/>
      <c r="BN189" s="191"/>
      <c r="BO189" s="191">
        <v>150</v>
      </c>
      <c r="BP189" s="191"/>
      <c r="BQ189" s="191"/>
      <c r="BR189" s="191"/>
      <c r="BS189" s="191"/>
      <c r="BT189" s="191"/>
      <c r="BU189" s="191"/>
      <c r="BV189" s="191">
        <v>100</v>
      </c>
      <c r="BW189" s="191"/>
      <c r="BX189" s="191"/>
      <c r="BY189" s="191"/>
      <c r="BZ189" s="191"/>
      <c r="CA189" s="191"/>
      <c r="CB189" s="191"/>
      <c r="CC189" s="191">
        <v>200</v>
      </c>
      <c r="CD189" s="191"/>
      <c r="CE189" s="192"/>
      <c r="CF189" s="190"/>
      <c r="CG189" s="191"/>
      <c r="CH189" s="191"/>
      <c r="CI189" s="191"/>
      <c r="CJ189" s="191">
        <v>100</v>
      </c>
      <c r="CK189" s="191"/>
      <c r="CL189" s="191"/>
      <c r="CM189" s="191"/>
      <c r="CN189" s="191"/>
      <c r="CO189" s="191"/>
      <c r="CP189" s="191"/>
      <c r="CQ189" s="191">
        <v>50</v>
      </c>
      <c r="CR189" s="191"/>
      <c r="CS189" s="191"/>
      <c r="CT189" s="191"/>
      <c r="CU189" s="191"/>
      <c r="CV189" s="191"/>
      <c r="CW189" s="191"/>
      <c r="CX189" s="191">
        <v>10</v>
      </c>
      <c r="CY189" s="191"/>
      <c r="CZ189" s="191"/>
      <c r="DA189" s="191"/>
      <c r="DB189" s="191"/>
      <c r="DC189" s="191"/>
      <c r="DD189" s="191"/>
      <c r="DE189" s="191">
        <v>100</v>
      </c>
      <c r="DF189" s="191"/>
      <c r="DG189" s="191"/>
      <c r="DH189" s="193"/>
      <c r="DI189" s="194"/>
      <c r="DJ189" s="191"/>
      <c r="DK189" s="191"/>
      <c r="DL189" s="191"/>
      <c r="DM189" s="191">
        <v>100</v>
      </c>
      <c r="DN189" s="191"/>
      <c r="DO189" s="191"/>
      <c r="DP189" s="191"/>
      <c r="DQ189" s="191"/>
      <c r="DR189" s="191"/>
      <c r="DS189" s="191"/>
      <c r="DT189" s="191">
        <v>100</v>
      </c>
      <c r="DU189" s="191"/>
      <c r="DV189" s="191"/>
      <c r="DW189" s="191"/>
      <c r="DX189" s="191"/>
      <c r="DY189" s="191"/>
      <c r="DZ189" s="191"/>
      <c r="EA189" s="191">
        <v>50</v>
      </c>
      <c r="EB189" s="191"/>
      <c r="EC189" s="191"/>
      <c r="ED189" s="191"/>
      <c r="EE189" s="191"/>
      <c r="EF189" s="191"/>
      <c r="EG189" s="191"/>
      <c r="EH189" s="191">
        <v>50</v>
      </c>
      <c r="EI189" s="191"/>
      <c r="EJ189" s="191"/>
      <c r="EK189" s="191"/>
      <c r="EL189" s="191"/>
      <c r="EM189" s="192"/>
      <c r="EN189" s="190"/>
      <c r="EO189" s="191">
        <v>50</v>
      </c>
      <c r="EP189" s="191"/>
      <c r="EQ189" s="191"/>
      <c r="ER189" s="191"/>
      <c r="ES189" s="191"/>
      <c r="ET189" s="191"/>
      <c r="EU189" s="191"/>
      <c r="EV189" s="191">
        <v>150</v>
      </c>
      <c r="EW189" s="191"/>
      <c r="EX189" s="191"/>
      <c r="EY189" s="191"/>
      <c r="EZ189" s="191"/>
      <c r="FA189" s="191"/>
      <c r="FB189" s="191"/>
      <c r="FC189" s="191">
        <v>100</v>
      </c>
      <c r="FD189" s="191"/>
      <c r="FE189" s="191"/>
      <c r="FF189" s="191"/>
      <c r="FG189" s="191"/>
      <c r="FH189" s="191"/>
      <c r="FI189" s="191"/>
      <c r="FJ189" s="191">
        <v>100</v>
      </c>
      <c r="FK189" s="191"/>
      <c r="FL189" s="191"/>
      <c r="FM189" s="191"/>
      <c r="FN189" s="191"/>
      <c r="FO189" s="191"/>
      <c r="FP189" s="191"/>
      <c r="FQ189" s="193">
        <v>50</v>
      </c>
      <c r="FR189" s="194"/>
      <c r="FS189" s="191"/>
      <c r="FT189" s="191"/>
      <c r="FU189" s="191"/>
      <c r="FV189" s="191"/>
      <c r="FW189" s="191"/>
      <c r="FX189" s="191">
        <v>100</v>
      </c>
      <c r="FY189" s="191"/>
      <c r="FZ189" s="191"/>
      <c r="GA189" s="191"/>
      <c r="GB189" s="191"/>
      <c r="GC189" s="191"/>
      <c r="GD189" s="191"/>
      <c r="GE189" s="191">
        <v>150</v>
      </c>
      <c r="GF189" s="191"/>
      <c r="GG189" s="191"/>
      <c r="GH189" s="191"/>
      <c r="GI189" s="191"/>
      <c r="GJ189" s="191"/>
      <c r="GK189" s="191"/>
      <c r="GL189" s="191">
        <v>10</v>
      </c>
      <c r="GM189" s="191"/>
      <c r="GN189" s="191"/>
      <c r="GO189" s="191"/>
      <c r="GP189" s="191"/>
      <c r="GQ189" s="191"/>
      <c r="GR189" s="191"/>
      <c r="GS189" s="191">
        <v>50</v>
      </c>
      <c r="GT189" s="191"/>
      <c r="GU189" s="191"/>
      <c r="GV189" s="192"/>
      <c r="GW189" s="190"/>
      <c r="GX189" s="191"/>
      <c r="GY189" s="191"/>
      <c r="GZ189" s="191">
        <v>50</v>
      </c>
      <c r="HA189" s="191"/>
      <c r="HB189" s="191"/>
      <c r="HC189" s="191"/>
      <c r="HD189" s="191"/>
      <c r="HE189" s="191"/>
      <c r="HF189" s="191"/>
      <c r="HG189" s="191">
        <v>100</v>
      </c>
      <c r="HH189" s="191"/>
      <c r="HI189" s="191"/>
      <c r="HJ189" s="191"/>
      <c r="HK189" s="191"/>
      <c r="HL189" s="191"/>
      <c r="HM189" s="191"/>
      <c r="HN189" s="191">
        <v>50</v>
      </c>
      <c r="HO189" s="191"/>
      <c r="HP189" s="191"/>
      <c r="HQ189" s="191"/>
      <c r="HR189" s="191"/>
      <c r="HS189" s="191"/>
      <c r="HT189" s="191"/>
      <c r="HU189" s="191">
        <v>150</v>
      </c>
      <c r="HV189" s="191"/>
      <c r="HW189" s="191"/>
      <c r="HX189" s="191"/>
      <c r="HY189" s="191"/>
      <c r="HZ189" s="193"/>
      <c r="IA189" s="194"/>
      <c r="IB189" s="191">
        <v>150</v>
      </c>
      <c r="IC189" s="191"/>
      <c r="ID189" s="191"/>
      <c r="IE189" s="191"/>
      <c r="IF189" s="191"/>
      <c r="IG189" s="191"/>
      <c r="IH189" s="191"/>
      <c r="II189" s="191">
        <v>50</v>
      </c>
      <c r="IJ189" s="191"/>
      <c r="IK189" s="191"/>
      <c r="IL189" s="191"/>
      <c r="IM189" s="191"/>
      <c r="IN189" s="191"/>
      <c r="IO189" s="191"/>
      <c r="IP189" s="191"/>
      <c r="IQ189" s="191"/>
      <c r="IR189" s="191"/>
      <c r="IS189" s="191"/>
      <c r="IT189" s="191"/>
      <c r="IU189" s="191"/>
      <c r="IV189" s="191"/>
      <c r="IW189" s="191">
        <v>100</v>
      </c>
      <c r="IX189" s="191"/>
      <c r="IY189" s="191"/>
      <c r="IZ189" s="191"/>
      <c r="JA189" s="191"/>
      <c r="JB189" s="191"/>
      <c r="JC189" s="191"/>
      <c r="JD189" s="191">
        <v>150</v>
      </c>
      <c r="JE189" s="192"/>
      <c r="JF189" s="190"/>
      <c r="JG189" s="191"/>
      <c r="JH189" s="191"/>
      <c r="JI189" s="191"/>
      <c r="JJ189" s="191"/>
      <c r="JK189" s="191">
        <v>100</v>
      </c>
      <c r="JL189" s="191"/>
      <c r="JM189" s="191"/>
      <c r="JN189" s="191"/>
      <c r="JO189" s="191"/>
      <c r="JP189" s="191"/>
      <c r="JQ189" s="191"/>
      <c r="JR189" s="191">
        <v>200</v>
      </c>
      <c r="JS189" s="191"/>
      <c r="JT189" s="191"/>
      <c r="JU189" s="191"/>
      <c r="JV189" s="191"/>
      <c r="JW189" s="191"/>
      <c r="JX189" s="191"/>
      <c r="JY189" s="191"/>
      <c r="JZ189" s="191">
        <v>200</v>
      </c>
      <c r="KA189" s="191"/>
      <c r="KB189" s="191"/>
      <c r="KC189" s="191"/>
      <c r="KD189" s="191"/>
      <c r="KE189" s="191"/>
      <c r="KF189" s="191">
        <v>200</v>
      </c>
      <c r="KG189" s="191"/>
      <c r="KH189" s="191"/>
      <c r="KI189" s="191"/>
      <c r="KJ189" s="193"/>
      <c r="KK189" s="194"/>
      <c r="KL189" s="191"/>
      <c r="KM189" s="191">
        <v>100</v>
      </c>
      <c r="KN189" s="191"/>
      <c r="KO189" s="191"/>
      <c r="KP189" s="191"/>
      <c r="KQ189" s="191"/>
      <c r="KR189" s="191"/>
      <c r="KS189" s="191"/>
      <c r="KT189" s="191"/>
      <c r="KU189" s="191">
        <v>200</v>
      </c>
      <c r="KV189" s="191"/>
      <c r="KW189" s="191"/>
      <c r="KX189" s="191"/>
      <c r="KY189" s="191"/>
      <c r="KZ189" s="191"/>
      <c r="LA189" s="191">
        <v>200</v>
      </c>
      <c r="LB189" s="191"/>
      <c r="LC189" s="191"/>
      <c r="LD189" s="191"/>
      <c r="LE189" s="191"/>
      <c r="LF189" s="191"/>
      <c r="LG189" s="191"/>
      <c r="LH189" s="191">
        <v>100</v>
      </c>
      <c r="LI189" s="191"/>
      <c r="LJ189" s="191"/>
      <c r="LK189" s="191"/>
      <c r="LL189" s="191"/>
      <c r="LM189" s="191"/>
      <c r="LN189" s="192"/>
      <c r="LO189" s="190"/>
      <c r="LP189" s="191"/>
      <c r="LQ189" s="191"/>
      <c r="LR189" s="191"/>
      <c r="LS189" s="191"/>
      <c r="LT189" s="191"/>
      <c r="LU189" s="191"/>
      <c r="LV189" s="191">
        <v>100</v>
      </c>
      <c r="LW189" s="191"/>
      <c r="LX189" s="191"/>
      <c r="LY189" s="191"/>
      <c r="LZ189" s="191"/>
      <c r="MA189" s="191"/>
      <c r="MB189" s="191"/>
      <c r="MC189" s="191">
        <v>150</v>
      </c>
      <c r="MD189" s="191"/>
      <c r="ME189" s="191"/>
      <c r="MF189" s="191"/>
      <c r="MG189" s="191"/>
      <c r="MH189" s="191"/>
      <c r="MI189" s="191"/>
      <c r="MJ189" s="191">
        <v>150</v>
      </c>
      <c r="MK189" s="191"/>
      <c r="ML189" s="191"/>
      <c r="MM189" s="191"/>
      <c r="MN189" s="191"/>
      <c r="MO189" s="191"/>
      <c r="MP189" s="191"/>
      <c r="MQ189" s="191">
        <v>100</v>
      </c>
      <c r="MR189" s="191"/>
      <c r="MS189" s="193"/>
      <c r="MT189" s="194"/>
      <c r="MU189" s="191"/>
      <c r="MV189" s="191"/>
      <c r="MW189" s="191"/>
      <c r="MX189" s="191">
        <v>100</v>
      </c>
      <c r="MY189" s="191"/>
      <c r="MZ189" s="191"/>
      <c r="NA189" s="191"/>
      <c r="NB189" s="191"/>
      <c r="NC189" s="191"/>
      <c r="ND189" s="191"/>
      <c r="NE189" s="191"/>
      <c r="NF189" s="191">
        <v>100</v>
      </c>
      <c r="NG189" s="191"/>
      <c r="NH189" s="191"/>
      <c r="NI189" s="191"/>
      <c r="NJ189" s="191"/>
      <c r="NK189" s="191"/>
      <c r="NL189" s="191"/>
      <c r="NM189" s="191"/>
      <c r="NN189" s="191"/>
      <c r="NO189" s="191"/>
      <c r="NP189" s="191"/>
      <c r="NQ189" s="191"/>
      <c r="NR189" s="191"/>
      <c r="NS189" s="191">
        <v>10</v>
      </c>
      <c r="NT189" s="191"/>
      <c r="NU189" s="191"/>
      <c r="NV189" s="191"/>
      <c r="NW189" s="192"/>
      <c r="NX189" s="190"/>
      <c r="NY189" s="191"/>
      <c r="NZ189" s="191">
        <v>50</v>
      </c>
      <c r="OA189" s="191"/>
      <c r="OB189" s="191"/>
      <c r="OC189" s="191"/>
      <c r="OD189" s="191"/>
      <c r="OE189" s="191"/>
      <c r="OF189" s="191"/>
      <c r="OG189" s="191">
        <v>10</v>
      </c>
      <c r="OH189" s="191"/>
      <c r="OI189" s="191"/>
      <c r="OJ189" s="191"/>
      <c r="OK189" s="191"/>
      <c r="OL189" s="191"/>
      <c r="OM189" s="191"/>
      <c r="ON189" s="191">
        <v>100</v>
      </c>
      <c r="OO189" s="191"/>
      <c r="OP189" s="191"/>
      <c r="OQ189" s="191"/>
      <c r="OR189" s="191"/>
      <c r="OS189" s="191"/>
      <c r="OT189" s="191"/>
      <c r="OU189" s="191"/>
      <c r="OV189" s="191"/>
      <c r="OW189" s="191"/>
      <c r="OX189" s="191"/>
      <c r="OY189" s="191"/>
      <c r="OZ189" s="191"/>
      <c r="PA189" s="191"/>
      <c r="PB189" s="193"/>
      <c r="PC189" s="47"/>
      <c r="PD189" s="154" t="s">
        <v>97</v>
      </c>
      <c r="PE189" s="155" t="s">
        <v>98</v>
      </c>
      <c r="PF189" s="155" t="s">
        <v>97</v>
      </c>
      <c r="PG189" s="155" t="s">
        <v>98</v>
      </c>
      <c r="PH189" s="155" t="s">
        <v>98</v>
      </c>
      <c r="PI189" s="155" t="s">
        <v>98</v>
      </c>
      <c r="PJ189" s="155" t="s">
        <v>98</v>
      </c>
      <c r="PK189" s="155" t="s">
        <v>98</v>
      </c>
      <c r="PL189" s="155" t="s">
        <v>98</v>
      </c>
      <c r="PM189" s="155" t="s">
        <v>98</v>
      </c>
      <c r="PN189" s="155" t="s">
        <v>98</v>
      </c>
      <c r="PO189" s="156"/>
      <c r="PP189" s="156"/>
      <c r="PQ189" s="156"/>
      <c r="PR189" s="156"/>
      <c r="PS189" s="156"/>
      <c r="PT189" s="156"/>
      <c r="PU189" s="156"/>
      <c r="PV189" s="156"/>
      <c r="PW189" s="156"/>
      <c r="PX189" s="195"/>
      <c r="PY189" s="1"/>
      <c r="PZ189" s="196">
        <f t="shared" si="126"/>
        <v>600</v>
      </c>
      <c r="QA189" s="218">
        <f t="shared" si="127"/>
        <v>5.0054225410861766E-3</v>
      </c>
      <c r="QB189" s="219" t="str">
        <f t="shared" ca="1" si="128"/>
        <v>Attente…</v>
      </c>
      <c r="QC189" s="197">
        <f t="shared" si="129"/>
        <v>260</v>
      </c>
      <c r="QD189" s="220">
        <f t="shared" si="130"/>
        <v>2.4344569288389513E-3</v>
      </c>
      <c r="QE189" s="221" t="str">
        <f t="shared" ca="1" si="131"/>
        <v>Attente…</v>
      </c>
      <c r="QF189" s="196">
        <f t="shared" si="132"/>
        <v>300</v>
      </c>
      <c r="QG189" s="218">
        <f t="shared" si="133"/>
        <v>2.3889154323936935E-3</v>
      </c>
      <c r="QH189" s="219" t="str">
        <f t="shared" ca="1" si="134"/>
        <v>Attente…</v>
      </c>
      <c r="QI189" s="197">
        <f t="shared" si="135"/>
        <v>450</v>
      </c>
      <c r="QJ189" s="220">
        <f t="shared" si="136"/>
        <v>3.1561228783840651E-3</v>
      </c>
      <c r="QK189" s="221" t="str">
        <f t="shared" ca="1" si="137"/>
        <v>Attente…</v>
      </c>
      <c r="QL189" s="196">
        <f t="shared" si="138"/>
        <v>310</v>
      </c>
      <c r="QM189" s="218">
        <f t="shared" si="139"/>
        <v>2.2680714076675447E-3</v>
      </c>
      <c r="QN189" s="219" t="str">
        <f t="shared" ca="1" si="140"/>
        <v>Attente…</v>
      </c>
      <c r="QO189" s="197">
        <f t="shared" si="141"/>
        <v>350</v>
      </c>
      <c r="QP189" s="220">
        <f t="shared" si="142"/>
        <v>2.7401550144836766E-3</v>
      </c>
      <c r="QQ189" s="221" t="str">
        <f t="shared" ca="1" si="143"/>
        <v>Attente…</v>
      </c>
      <c r="QR189" s="196">
        <f t="shared" si="144"/>
        <v>450</v>
      </c>
      <c r="QS189" s="218">
        <f t="shared" si="145"/>
        <v>3.2396242035923834E-3</v>
      </c>
      <c r="QT189" s="219" t="str">
        <f t="shared" ca="1" si="146"/>
        <v>Attente…</v>
      </c>
      <c r="QU189" s="197">
        <f t="shared" si="147"/>
        <v>700</v>
      </c>
      <c r="QV189" s="220">
        <f t="shared" si="148"/>
        <v>4.8262548262548262E-3</v>
      </c>
      <c r="QW189" s="221" t="str">
        <f t="shared" ca="1" si="149"/>
        <v>Attente…</v>
      </c>
      <c r="QX189" s="196">
        <f t="shared" si="150"/>
        <v>600</v>
      </c>
      <c r="QY189" s="218">
        <f t="shared" si="151"/>
        <v>4.3784115123033365E-3</v>
      </c>
      <c r="QZ189" s="219" t="str">
        <f t="shared" ca="1" si="152"/>
        <v>Attente…</v>
      </c>
      <c r="RA189" s="197">
        <f t="shared" si="153"/>
        <v>500</v>
      </c>
      <c r="RB189" s="220">
        <f t="shared" si="154"/>
        <v>3.9120569595493312E-3</v>
      </c>
      <c r="RC189" s="221" t="str">
        <f t="shared" ca="1" si="155"/>
        <v>Attente…</v>
      </c>
      <c r="RD189" s="196">
        <f t="shared" si="156"/>
        <v>210</v>
      </c>
      <c r="RE189" s="218">
        <f t="shared" si="157"/>
        <v>2.0924671183738543E-3</v>
      </c>
      <c r="RF189" s="219" t="str">
        <f t="shared" ca="1" si="158"/>
        <v>Attente…</v>
      </c>
      <c r="RG189" s="197">
        <f t="shared" si="159"/>
        <v>160</v>
      </c>
      <c r="RH189" s="220">
        <f t="shared" si="160"/>
        <v>2.9427993378701488E-3</v>
      </c>
      <c r="RI189" s="222" t="str">
        <f t="shared" ca="1" si="161"/>
        <v>Attente…</v>
      </c>
      <c r="RJ189" s="199">
        <f t="shared" si="162"/>
        <v>1160</v>
      </c>
      <c r="RK189" s="200" t="str">
        <f t="shared" ca="1" si="119"/>
        <v>Attente…</v>
      </c>
      <c r="RL189" s="199">
        <f t="shared" si="163"/>
        <v>1110</v>
      </c>
      <c r="RM189" s="200" t="str">
        <f t="shared" ca="1" si="164"/>
        <v>Atttente…</v>
      </c>
      <c r="RN189" s="199">
        <f t="shared" si="165"/>
        <v>1750</v>
      </c>
      <c r="RO189" s="200" t="str">
        <f t="shared" ca="1" si="120"/>
        <v>Attente…</v>
      </c>
      <c r="RP189" s="199">
        <f t="shared" si="166"/>
        <v>870</v>
      </c>
      <c r="RQ189" s="200" t="str">
        <f t="shared" ca="1" si="121"/>
        <v>Attente…</v>
      </c>
      <c r="RR189" s="201">
        <f t="shared" si="167"/>
        <v>4890</v>
      </c>
      <c r="RS189" s="202" t="str">
        <f t="shared" ca="1" si="122"/>
        <v>Attente…</v>
      </c>
      <c r="RT189" s="103"/>
      <c r="RU189" s="203">
        <f t="shared" si="168"/>
        <v>0.52021276595744681</v>
      </c>
      <c r="RV189" s="204">
        <f t="shared" si="171"/>
        <v>1</v>
      </c>
      <c r="RW189" s="204">
        <f t="shared" si="171"/>
        <v>1</v>
      </c>
      <c r="RX189" s="204">
        <f t="shared" si="169"/>
        <v>47</v>
      </c>
      <c r="RY189" s="205" t="str">
        <f t="shared" si="170"/>
        <v>CANTELEU - 36 Avenue de Versailles</v>
      </c>
      <c r="RZ189" s="189" t="str">
        <f>IF(OR(RZ188="",RZ188="  &lt;/Document&gt;
&lt;/kml&gt;"),"",
IF(B189="","  &lt;/Document&gt;
&lt;/kml&gt;",
IF(TournéesCAV!Q189=""," ",
"    &lt;Placemark&gt;
      &lt;description&gt;&lt;![CDATA["&amp;B189&amp;"&lt;br&gt;&lt;br&gt;"&amp;RV189&amp;" CAV&lt;br&gt;&lt;br&gt;Présent sur "&amp;RW189&amp;" tournée(s)&lt;br&gt;&lt;br&gt;Taux de remplissage moyen "&amp;TEXT(RU189*1000,"0 %")&amp;"]]&gt;&lt;/description&gt;
      &lt;Style&gt;
        &lt;IconStyle&gt;
          &lt;color&gt;ff"&amp;
          DEC2HEX(0,2)&amp;
          DEC2HEX(
            IF(RU189&lt;=0.5,
               INT(255*(RU189*2)),
               255
            ),2)&amp;
          DEC2HEX(
            IF(RU189&lt;=0.5,
               255,
               INT(255*(1-(RU189-0.5)*2))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&lt;Point&gt;&lt;coordinates&gt;"&amp;R189&amp;","&amp;Q189&amp;",0&lt;/coordinates&gt;&lt;/Point&gt;
    &lt;/Placemark&gt;"
)))</f>
        <v xml:space="preserve">    &lt;Placemark&gt;
      &lt;description&gt;&lt;![CDATA[CANTELEU - 36 Avenue de Versailles&lt;br&gt;&lt;br&gt;1 CAV&lt;br&gt;&lt;br&gt;Présent sur 1 tournée(s)&lt;br&gt;&lt;br&gt;Taux de remplissage moyen 52%]]&gt;&lt;/description&gt;
      &lt;Style&gt;
        &lt;IconStyle&gt;
          &lt;color&gt;ff00FFF4&lt;/color&gt;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&lt;Point&gt;&lt;coordinates&gt;1.035878,49.446971,0&lt;/coordinates&gt;&lt;/Point&gt;
    &lt;/Placemark&gt;</v>
      </c>
    </row>
    <row r="190" spans="2:494" ht="15" hidden="1" customHeight="1" x14ac:dyDescent="0.35">
      <c r="B190" s="153" t="str">
        <f t="shared" si="123"/>
        <v>LA VAUPALIÈRE - 133 rue de l'Eglise (Parking en face de l'Espace WAPALLERIA)</v>
      </c>
      <c r="C190" s="154" t="s">
        <v>104</v>
      </c>
      <c r="D190" s="155"/>
      <c r="E190" s="155"/>
      <c r="F190" s="155"/>
      <c r="G190" s="155"/>
      <c r="H190" s="155"/>
      <c r="I190" s="155"/>
      <c r="J190" s="156"/>
      <c r="K190" s="157">
        <f t="shared" si="124"/>
        <v>1</v>
      </c>
      <c r="L190" s="157">
        <f t="shared" si="125"/>
        <v>1</v>
      </c>
      <c r="M190" s="158" t="s">
        <v>1033</v>
      </c>
      <c r="N190" s="159" t="s">
        <v>1034</v>
      </c>
      <c r="O190" s="159">
        <v>76150</v>
      </c>
      <c r="P190" s="159" t="s">
        <v>1035</v>
      </c>
      <c r="Q190" s="159" t="s">
        <v>1036</v>
      </c>
      <c r="R190" s="159" t="s">
        <v>1037</v>
      </c>
      <c r="S190" s="159"/>
      <c r="T190" s="159" t="s">
        <v>94</v>
      </c>
      <c r="U190" s="159" t="s">
        <v>1038</v>
      </c>
      <c r="V190" s="160" t="s">
        <v>96</v>
      </c>
      <c r="W190" s="161"/>
      <c r="X190" s="162"/>
      <c r="Y190" s="163"/>
      <c r="Z190" s="162"/>
      <c r="AA190" s="163"/>
      <c r="AB190" s="162"/>
      <c r="AC190" s="163">
        <v>16</v>
      </c>
      <c r="AD190" s="162"/>
      <c r="AE190" s="163"/>
      <c r="AF190" s="162"/>
      <c r="AG190" s="163"/>
      <c r="AH190" s="163"/>
      <c r="AI190" s="162"/>
      <c r="AJ190" s="163"/>
      <c r="AK190" s="162"/>
      <c r="AL190" s="163"/>
      <c r="AM190" s="162"/>
      <c r="AN190" s="163"/>
      <c r="AO190" s="162"/>
      <c r="AP190" s="164"/>
      <c r="AQ190" s="164"/>
      <c r="AR190" s="164"/>
      <c r="AS190" s="164"/>
      <c r="AT190" s="164"/>
      <c r="AU190" s="164"/>
      <c r="AV190" s="164"/>
      <c r="AW190" s="164"/>
      <c r="AX190" s="164"/>
      <c r="AY190" s="165"/>
      <c r="AZ190" s="41"/>
      <c r="BA190" s="190"/>
      <c r="BB190" s="191"/>
      <c r="BC190" s="191"/>
      <c r="BD190" s="191"/>
      <c r="BE190" s="191"/>
      <c r="BF190" s="191"/>
      <c r="BG190" s="191"/>
      <c r="BH190" s="191"/>
      <c r="BI190" s="191"/>
      <c r="BJ190" s="191"/>
      <c r="BK190" s="191"/>
      <c r="BL190" s="191"/>
      <c r="BM190" s="191"/>
      <c r="BN190" s="191">
        <v>200</v>
      </c>
      <c r="BO190" s="191"/>
      <c r="BP190" s="191"/>
      <c r="BQ190" s="191"/>
      <c r="BR190" s="191"/>
      <c r="BS190" s="191"/>
      <c r="BT190" s="191"/>
      <c r="BU190" s="191">
        <v>100</v>
      </c>
      <c r="BV190" s="191"/>
      <c r="BW190" s="191"/>
      <c r="BX190" s="191"/>
      <c r="BY190" s="191"/>
      <c r="BZ190" s="191"/>
      <c r="CA190" s="191"/>
      <c r="CB190" s="191">
        <v>100</v>
      </c>
      <c r="CC190" s="191"/>
      <c r="CD190" s="191"/>
      <c r="CE190" s="192"/>
      <c r="CF190" s="190"/>
      <c r="CG190" s="191"/>
      <c r="CH190" s="191"/>
      <c r="CI190" s="191">
        <v>100</v>
      </c>
      <c r="CJ190" s="191"/>
      <c r="CK190" s="191"/>
      <c r="CL190" s="191"/>
      <c r="CM190" s="191"/>
      <c r="CN190" s="191"/>
      <c r="CO190" s="191"/>
      <c r="CP190" s="191">
        <v>150</v>
      </c>
      <c r="CQ190" s="191"/>
      <c r="CR190" s="191"/>
      <c r="CS190" s="191"/>
      <c r="CT190" s="191"/>
      <c r="CU190" s="191"/>
      <c r="CV190" s="191"/>
      <c r="CW190" s="191"/>
      <c r="CX190" s="191"/>
      <c r="CY190" s="191"/>
      <c r="CZ190" s="191"/>
      <c r="DA190" s="191"/>
      <c r="DB190" s="191"/>
      <c r="DC190" s="191"/>
      <c r="DD190" s="191">
        <v>100</v>
      </c>
      <c r="DE190" s="191"/>
      <c r="DF190" s="191"/>
      <c r="DG190" s="191"/>
      <c r="DH190" s="193"/>
      <c r="DI190" s="194"/>
      <c r="DJ190" s="191"/>
      <c r="DK190" s="191"/>
      <c r="DL190" s="191">
        <v>100</v>
      </c>
      <c r="DM190" s="191"/>
      <c r="DN190" s="191"/>
      <c r="DO190" s="191"/>
      <c r="DP190" s="191"/>
      <c r="DQ190" s="191"/>
      <c r="DR190" s="191"/>
      <c r="DS190" s="191">
        <v>200</v>
      </c>
      <c r="DT190" s="191"/>
      <c r="DU190" s="191"/>
      <c r="DV190" s="191"/>
      <c r="DW190" s="191"/>
      <c r="DX190" s="191"/>
      <c r="DY190" s="191"/>
      <c r="DZ190" s="191">
        <v>150</v>
      </c>
      <c r="EA190" s="191"/>
      <c r="EB190" s="191"/>
      <c r="EC190" s="191"/>
      <c r="ED190" s="191"/>
      <c r="EE190" s="191"/>
      <c r="EF190" s="191"/>
      <c r="EG190" s="191">
        <v>150</v>
      </c>
      <c r="EH190" s="191"/>
      <c r="EI190" s="191"/>
      <c r="EJ190" s="191"/>
      <c r="EK190" s="191"/>
      <c r="EL190" s="191"/>
      <c r="EM190" s="192"/>
      <c r="EN190" s="190">
        <v>50</v>
      </c>
      <c r="EO190" s="191"/>
      <c r="EP190" s="191"/>
      <c r="EQ190" s="191"/>
      <c r="ER190" s="191"/>
      <c r="ES190" s="191"/>
      <c r="ET190" s="191"/>
      <c r="EU190" s="191">
        <v>200</v>
      </c>
      <c r="EV190" s="191"/>
      <c r="EW190" s="191"/>
      <c r="EX190" s="191"/>
      <c r="EY190" s="191"/>
      <c r="EZ190" s="191"/>
      <c r="FA190" s="191"/>
      <c r="FB190" s="191">
        <v>100</v>
      </c>
      <c r="FC190" s="191"/>
      <c r="FD190" s="191"/>
      <c r="FE190" s="191"/>
      <c r="FF190" s="191"/>
      <c r="FG190" s="191"/>
      <c r="FH190" s="191"/>
      <c r="FI190" s="191"/>
      <c r="FJ190" s="191"/>
      <c r="FK190" s="191">
        <v>100</v>
      </c>
      <c r="FL190" s="191"/>
      <c r="FM190" s="191"/>
      <c r="FN190" s="191"/>
      <c r="FO190" s="191"/>
      <c r="FP190" s="191"/>
      <c r="FQ190" s="193"/>
      <c r="FR190" s="194"/>
      <c r="FS190" s="191"/>
      <c r="FT190" s="191"/>
      <c r="FU190" s="191"/>
      <c r="FV190" s="191"/>
      <c r="FW190" s="191">
        <v>150</v>
      </c>
      <c r="FX190" s="191"/>
      <c r="FY190" s="191"/>
      <c r="FZ190" s="191"/>
      <c r="GA190" s="191"/>
      <c r="GB190" s="191"/>
      <c r="GC190" s="191"/>
      <c r="GD190" s="191">
        <v>150</v>
      </c>
      <c r="GE190" s="191"/>
      <c r="GF190" s="191"/>
      <c r="GG190" s="191"/>
      <c r="GH190" s="191"/>
      <c r="GI190" s="191"/>
      <c r="GJ190" s="191"/>
      <c r="GK190" s="191">
        <v>150</v>
      </c>
      <c r="GL190" s="191"/>
      <c r="GM190" s="191"/>
      <c r="GN190" s="191"/>
      <c r="GO190" s="191"/>
      <c r="GP190" s="191"/>
      <c r="GQ190" s="191"/>
      <c r="GR190" s="191">
        <v>100</v>
      </c>
      <c r="GS190" s="191"/>
      <c r="GT190" s="191"/>
      <c r="GU190" s="191"/>
      <c r="GV190" s="192"/>
      <c r="GW190" s="190"/>
      <c r="GX190" s="191"/>
      <c r="GY190" s="191">
        <v>150</v>
      </c>
      <c r="GZ190" s="191"/>
      <c r="HA190" s="191"/>
      <c r="HB190" s="191"/>
      <c r="HC190" s="191"/>
      <c r="HD190" s="191"/>
      <c r="HE190" s="191"/>
      <c r="HF190" s="191"/>
      <c r="HG190" s="191"/>
      <c r="HH190" s="191">
        <v>150</v>
      </c>
      <c r="HI190" s="191"/>
      <c r="HJ190" s="191"/>
      <c r="HK190" s="191"/>
      <c r="HL190" s="191"/>
      <c r="HM190" s="191"/>
      <c r="HN190" s="191"/>
      <c r="HO190" s="191"/>
      <c r="HP190" s="191">
        <v>50</v>
      </c>
      <c r="HQ190" s="191"/>
      <c r="HR190" s="191"/>
      <c r="HS190" s="191"/>
      <c r="HT190" s="191">
        <v>50</v>
      </c>
      <c r="HU190" s="191"/>
      <c r="HV190" s="191"/>
      <c r="HW190" s="191"/>
      <c r="HX190" s="191"/>
      <c r="HY190" s="191"/>
      <c r="HZ190" s="193"/>
      <c r="IA190" s="194">
        <v>100</v>
      </c>
      <c r="IB190" s="191"/>
      <c r="IC190" s="191"/>
      <c r="ID190" s="191"/>
      <c r="IE190" s="191"/>
      <c r="IF190" s="191"/>
      <c r="IG190" s="191"/>
      <c r="IH190" s="191">
        <v>100</v>
      </c>
      <c r="II190" s="191"/>
      <c r="IJ190" s="191"/>
      <c r="IK190" s="191"/>
      <c r="IL190" s="191"/>
      <c r="IM190" s="191"/>
      <c r="IN190" s="191"/>
      <c r="IO190" s="191"/>
      <c r="IP190" s="191">
        <v>100</v>
      </c>
      <c r="IQ190" s="191"/>
      <c r="IR190" s="191"/>
      <c r="IS190" s="191"/>
      <c r="IT190" s="191"/>
      <c r="IU190" s="191"/>
      <c r="IV190" s="191"/>
      <c r="IW190" s="191">
        <v>200</v>
      </c>
      <c r="IX190" s="191"/>
      <c r="IY190" s="191"/>
      <c r="IZ190" s="191"/>
      <c r="JA190" s="191"/>
      <c r="JB190" s="191"/>
      <c r="JC190" s="191"/>
      <c r="JD190" s="191"/>
      <c r="JE190" s="192">
        <v>100</v>
      </c>
      <c r="JF190" s="190"/>
      <c r="JG190" s="191"/>
      <c r="JH190" s="191"/>
      <c r="JI190" s="191"/>
      <c r="JJ190" s="191">
        <v>50</v>
      </c>
      <c r="JK190" s="191"/>
      <c r="JL190" s="191"/>
      <c r="JM190" s="191"/>
      <c r="JN190" s="191"/>
      <c r="JO190" s="191"/>
      <c r="JP190" s="191"/>
      <c r="JQ190" s="191">
        <v>150</v>
      </c>
      <c r="JR190" s="191"/>
      <c r="JS190" s="191"/>
      <c r="JT190" s="191"/>
      <c r="JU190" s="191"/>
      <c r="JV190" s="191"/>
      <c r="JW190" s="191"/>
      <c r="JX190" s="191"/>
      <c r="JY190" s="191"/>
      <c r="JZ190" s="191"/>
      <c r="KA190" s="191"/>
      <c r="KB190" s="191"/>
      <c r="KC190" s="191"/>
      <c r="KD190" s="191"/>
      <c r="KE190" s="191">
        <v>150</v>
      </c>
      <c r="KF190" s="191"/>
      <c r="KG190" s="191"/>
      <c r="KH190" s="191"/>
      <c r="KI190" s="191"/>
      <c r="KJ190" s="193"/>
      <c r="KK190" s="194"/>
      <c r="KL190" s="191">
        <v>150</v>
      </c>
      <c r="KM190" s="191"/>
      <c r="KN190" s="191"/>
      <c r="KO190" s="191"/>
      <c r="KP190" s="191"/>
      <c r="KQ190" s="191"/>
      <c r="KR190" s="191"/>
      <c r="KS190" s="191">
        <v>150</v>
      </c>
      <c r="KT190" s="191"/>
      <c r="KU190" s="191"/>
      <c r="KV190" s="191"/>
      <c r="KW190" s="191"/>
      <c r="KX190" s="191"/>
      <c r="KY190" s="191"/>
      <c r="KZ190" s="191">
        <v>100</v>
      </c>
      <c r="LA190" s="191"/>
      <c r="LB190" s="191"/>
      <c r="LC190" s="191"/>
      <c r="LD190" s="191"/>
      <c r="LE190" s="191"/>
      <c r="LF190" s="191"/>
      <c r="LG190" s="191">
        <v>100</v>
      </c>
      <c r="LH190" s="191"/>
      <c r="LI190" s="191"/>
      <c r="LJ190" s="191"/>
      <c r="LK190" s="191"/>
      <c r="LL190" s="191"/>
      <c r="LM190" s="191"/>
      <c r="LN190" s="192">
        <v>200</v>
      </c>
      <c r="LO190" s="190"/>
      <c r="LP190" s="191"/>
      <c r="LQ190" s="191"/>
      <c r="LR190" s="191"/>
      <c r="LS190" s="191"/>
      <c r="LT190" s="191"/>
      <c r="LU190" s="191">
        <v>150</v>
      </c>
      <c r="LV190" s="191"/>
      <c r="LW190" s="191"/>
      <c r="LX190" s="191"/>
      <c r="LY190" s="191"/>
      <c r="LZ190" s="191"/>
      <c r="MA190" s="191"/>
      <c r="MB190" s="191"/>
      <c r="MC190" s="191"/>
      <c r="MD190" s="191">
        <v>50</v>
      </c>
      <c r="ME190" s="191"/>
      <c r="MF190" s="191"/>
      <c r="MG190" s="191"/>
      <c r="MH190" s="191"/>
      <c r="MI190" s="191">
        <v>100</v>
      </c>
      <c r="MJ190" s="191"/>
      <c r="MK190" s="191"/>
      <c r="ML190" s="191"/>
      <c r="MM190" s="191"/>
      <c r="MN190" s="191"/>
      <c r="MO190" s="191"/>
      <c r="MP190" s="191">
        <v>150</v>
      </c>
      <c r="MQ190" s="191"/>
      <c r="MR190" s="191"/>
      <c r="MS190" s="193"/>
      <c r="MT190" s="194"/>
      <c r="MU190" s="191"/>
      <c r="MV190" s="191"/>
      <c r="MW190" s="191"/>
      <c r="MX190" s="191"/>
      <c r="MY190" s="191"/>
      <c r="MZ190" s="191"/>
      <c r="NA190" s="191"/>
      <c r="NB190" s="191"/>
      <c r="NC190" s="191"/>
      <c r="ND190" s="191"/>
      <c r="NE190" s="191">
        <v>150</v>
      </c>
      <c r="NF190" s="191"/>
      <c r="NG190" s="191"/>
      <c r="NH190" s="191"/>
      <c r="NI190" s="191"/>
      <c r="NJ190" s="191"/>
      <c r="NK190" s="191">
        <v>50</v>
      </c>
      <c r="NL190" s="191"/>
      <c r="NM190" s="191"/>
      <c r="NN190" s="191"/>
      <c r="NO190" s="191"/>
      <c r="NP190" s="191"/>
      <c r="NQ190" s="191"/>
      <c r="NR190" s="191">
        <v>100</v>
      </c>
      <c r="NS190" s="191"/>
      <c r="NT190" s="191"/>
      <c r="NU190" s="191"/>
      <c r="NV190" s="191"/>
      <c r="NW190" s="192"/>
      <c r="NX190" s="190"/>
      <c r="NY190" s="191">
        <v>10</v>
      </c>
      <c r="NZ190" s="191"/>
      <c r="OA190" s="191"/>
      <c r="OB190" s="191"/>
      <c r="OC190" s="191"/>
      <c r="OD190" s="191"/>
      <c r="OE190" s="191"/>
      <c r="OF190" s="191">
        <v>50</v>
      </c>
      <c r="OG190" s="191"/>
      <c r="OH190" s="191"/>
      <c r="OI190" s="191"/>
      <c r="OJ190" s="191"/>
      <c r="OK190" s="191"/>
      <c r="OL190" s="191"/>
      <c r="OM190" s="191"/>
      <c r="ON190" s="191"/>
      <c r="OO190" s="191"/>
      <c r="OP190" s="191"/>
      <c r="OQ190" s="191"/>
      <c r="OR190" s="191"/>
      <c r="OS190" s="191"/>
      <c r="OT190" s="191"/>
      <c r="OU190" s="191"/>
      <c r="OV190" s="191"/>
      <c r="OW190" s="191"/>
      <c r="OX190" s="191"/>
      <c r="OY190" s="191"/>
      <c r="OZ190" s="191"/>
      <c r="PA190" s="191"/>
      <c r="PB190" s="193"/>
      <c r="PC190" s="47"/>
      <c r="PD190" s="154" t="s">
        <v>98</v>
      </c>
      <c r="PE190" s="155" t="s">
        <v>98</v>
      </c>
      <c r="PF190" s="155" t="s">
        <v>98</v>
      </c>
      <c r="PG190" s="155" t="s">
        <v>98</v>
      </c>
      <c r="PH190" s="155" t="s">
        <v>98</v>
      </c>
      <c r="PI190" s="155" t="s">
        <v>98</v>
      </c>
      <c r="PJ190" s="155" t="s">
        <v>98</v>
      </c>
      <c r="PK190" s="155" t="s">
        <v>98</v>
      </c>
      <c r="PL190" s="155" t="s">
        <v>97</v>
      </c>
      <c r="PM190" s="155" t="s">
        <v>98</v>
      </c>
      <c r="PN190" s="155" t="s">
        <v>98</v>
      </c>
      <c r="PO190" s="156"/>
      <c r="PP190" s="156"/>
      <c r="PQ190" s="156"/>
      <c r="PR190" s="156"/>
      <c r="PS190" s="156"/>
      <c r="PT190" s="156"/>
      <c r="PU190" s="156"/>
      <c r="PV190" s="156"/>
      <c r="PW190" s="156"/>
      <c r="PX190" s="195"/>
      <c r="PY190" s="1"/>
      <c r="PZ190" s="196">
        <f t="shared" si="126"/>
        <v>400</v>
      </c>
      <c r="QA190" s="218">
        <f t="shared" si="127"/>
        <v>3.3369483607241178E-3</v>
      </c>
      <c r="QB190" s="219" t="str">
        <f t="shared" ca="1" si="128"/>
        <v>Attente…</v>
      </c>
      <c r="QC190" s="197">
        <f t="shared" si="129"/>
        <v>350</v>
      </c>
      <c r="QD190" s="220">
        <f t="shared" si="130"/>
        <v>3.2771535580524347E-3</v>
      </c>
      <c r="QE190" s="221" t="str">
        <f t="shared" ca="1" si="131"/>
        <v>Attente…</v>
      </c>
      <c r="QF190" s="196">
        <f t="shared" si="132"/>
        <v>600</v>
      </c>
      <c r="QG190" s="218">
        <f t="shared" si="133"/>
        <v>4.7778308647873869E-3</v>
      </c>
      <c r="QH190" s="219" t="str">
        <f t="shared" ca="1" si="134"/>
        <v>Attente…</v>
      </c>
      <c r="QI190" s="197">
        <f t="shared" si="135"/>
        <v>450</v>
      </c>
      <c r="QJ190" s="220">
        <f t="shared" si="136"/>
        <v>3.1561228783840651E-3</v>
      </c>
      <c r="QK190" s="221" t="str">
        <f t="shared" ca="1" si="137"/>
        <v>Attente…</v>
      </c>
      <c r="QL190" s="196">
        <f t="shared" si="138"/>
        <v>550</v>
      </c>
      <c r="QM190" s="218">
        <f t="shared" si="139"/>
        <v>4.0239976587649988E-3</v>
      </c>
      <c r="QN190" s="219" t="str">
        <f t="shared" ca="1" si="140"/>
        <v>Attente…</v>
      </c>
      <c r="QO190" s="197">
        <f t="shared" si="141"/>
        <v>400</v>
      </c>
      <c r="QP190" s="220">
        <f t="shared" si="142"/>
        <v>3.1316057308384874E-3</v>
      </c>
      <c r="QQ190" s="221" t="str">
        <f t="shared" ca="1" si="143"/>
        <v>Attente…</v>
      </c>
      <c r="QR190" s="196">
        <f t="shared" si="144"/>
        <v>600</v>
      </c>
      <c r="QS190" s="218">
        <f t="shared" si="145"/>
        <v>4.3194989381231778E-3</v>
      </c>
      <c r="QT190" s="219" t="str">
        <f t="shared" ca="1" si="146"/>
        <v>Attente…</v>
      </c>
      <c r="QU190" s="197">
        <f t="shared" si="147"/>
        <v>350</v>
      </c>
      <c r="QV190" s="220">
        <f t="shared" si="148"/>
        <v>2.4131274131274131E-3</v>
      </c>
      <c r="QW190" s="221" t="str">
        <f t="shared" ca="1" si="149"/>
        <v>Attente…</v>
      </c>
      <c r="QX190" s="196">
        <f t="shared" si="150"/>
        <v>700</v>
      </c>
      <c r="QY190" s="218">
        <f t="shared" si="151"/>
        <v>5.1081467643538927E-3</v>
      </c>
      <c r="QZ190" s="219" t="str">
        <f t="shared" ca="1" si="152"/>
        <v>Attente…</v>
      </c>
      <c r="RA190" s="197">
        <f t="shared" si="153"/>
        <v>450</v>
      </c>
      <c r="RB190" s="220">
        <f t="shared" si="154"/>
        <v>3.5208512635943978E-3</v>
      </c>
      <c r="RC190" s="221" t="str">
        <f t="shared" ca="1" si="155"/>
        <v>Attente…</v>
      </c>
      <c r="RD190" s="196">
        <f t="shared" si="156"/>
        <v>300</v>
      </c>
      <c r="RE190" s="218">
        <f t="shared" si="157"/>
        <v>2.9892387405340772E-3</v>
      </c>
      <c r="RF190" s="219" t="str">
        <f t="shared" ca="1" si="158"/>
        <v>Attente…</v>
      </c>
      <c r="RG190" s="197">
        <f t="shared" si="159"/>
        <v>60</v>
      </c>
      <c r="RH190" s="220">
        <f t="shared" si="160"/>
        <v>1.1035497517013059E-3</v>
      </c>
      <c r="RI190" s="222" t="str">
        <f t="shared" ca="1" si="161"/>
        <v>Attente…</v>
      </c>
      <c r="RJ190" s="199">
        <f t="shared" si="162"/>
        <v>1350</v>
      </c>
      <c r="RK190" s="200" t="str">
        <f t="shared" ca="1" si="119"/>
        <v>Attente…</v>
      </c>
      <c r="RL190" s="199">
        <f t="shared" si="163"/>
        <v>1400</v>
      </c>
      <c r="RM190" s="200" t="str">
        <f t="shared" ca="1" si="164"/>
        <v>Atttente…</v>
      </c>
      <c r="RN190" s="199">
        <f t="shared" si="165"/>
        <v>1650</v>
      </c>
      <c r="RO190" s="200" t="str">
        <f t="shared" ca="1" si="120"/>
        <v>Attente…</v>
      </c>
      <c r="RP190" s="199">
        <f t="shared" si="166"/>
        <v>810</v>
      </c>
      <c r="RQ190" s="200" t="str">
        <f t="shared" ca="1" si="121"/>
        <v>Attente…</v>
      </c>
      <c r="RR190" s="201">
        <f t="shared" si="167"/>
        <v>5210</v>
      </c>
      <c r="RS190" s="202" t="str">
        <f t="shared" ca="1" si="122"/>
        <v>Attente…</v>
      </c>
      <c r="RT190" s="103"/>
      <c r="RU190" s="203">
        <f t="shared" si="168"/>
        <v>0.59204545454545454</v>
      </c>
      <c r="RV190" s="204">
        <f t="shared" si="171"/>
        <v>1</v>
      </c>
      <c r="RW190" s="204">
        <f t="shared" si="171"/>
        <v>1</v>
      </c>
      <c r="RX190" s="204">
        <f t="shared" si="169"/>
        <v>44</v>
      </c>
      <c r="RY190" s="205" t="str">
        <f t="shared" si="170"/>
        <v>LA VAUPALIÈRE - 133 rue de l'Eglise (Parking en face de l'Espace WAPALLERIA)</v>
      </c>
      <c r="RZ190" s="189" t="str">
        <f>IF(OR(RZ189="",RZ189="  &lt;/Document&gt;
&lt;/kml&gt;"),"",
IF(B190="","  &lt;/Document&gt;
&lt;/kml&gt;",
IF(TournéesCAV!Q190=""," ",
"    &lt;Placemark&gt;
      &lt;description&gt;&lt;![CDATA["&amp;B190&amp;"&lt;br&gt;&lt;br&gt;"&amp;RV190&amp;" CAV&lt;br&gt;&lt;br&gt;Présent sur "&amp;RW190&amp;" tournée(s)&lt;br&gt;&lt;br&gt;Taux de remplissage moyen "&amp;TEXT(RU190*1000,"0 %")&amp;"]]&gt;&lt;/description&gt;
      &lt;Style&gt;
        &lt;IconStyle&gt;
          &lt;color&gt;ff"&amp;
          DEC2HEX(0,2)&amp;
          DEC2HEX(
            IF(RU190&lt;=0.5,
               INT(255*(RU190*2)),
               255
            ),2)&amp;
          DEC2HEX(
            IF(RU190&lt;=0.5,
               255,
               INT(255*(1-(RU190-0.5)*2))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&lt;Point&gt;&lt;coordinates&gt;"&amp;R190&amp;","&amp;Q190&amp;",0&lt;/coordinates&gt;&lt;/Point&gt;
    &lt;/Placemark&gt;"
)))</f>
        <v xml:space="preserve">    &lt;Placemark&gt;
      &lt;description&gt;&lt;![CDATA[LA VAUPALIÈRE - 133 rue de l'Eglise (Parking en face de l'Espace WAPALLERIA)&lt;br&gt;&lt;br&gt;1 CAV&lt;br&gt;&lt;br&gt;Présent sur 1 tournée(s)&lt;br&gt;&lt;br&gt;Taux de remplissage moyen 59%]]&gt;&lt;/description&gt;
      &lt;Style&gt;
        &lt;IconStyle&gt;
          &lt;color&gt;ff00FFD0&lt;/color&gt;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&lt;Point&gt;&lt;coordinates&gt;0.9990714,49.4895761,0&lt;/coordinates&gt;&lt;/Point&gt;
    &lt;/Placemark&gt;</v>
      </c>
    </row>
    <row r="191" spans="2:494" ht="15" hidden="1" customHeight="1" x14ac:dyDescent="0.35">
      <c r="B191" s="153" t="str">
        <f t="shared" si="123"/>
        <v>POMMEREVAL - 989 Route de l'Eglise</v>
      </c>
      <c r="C191" s="154" t="s">
        <v>104</v>
      </c>
      <c r="D191" s="155"/>
      <c r="E191" s="155"/>
      <c r="F191" s="155"/>
      <c r="G191" s="155"/>
      <c r="H191" s="155"/>
      <c r="I191" s="155"/>
      <c r="J191" s="156"/>
      <c r="K191" s="157">
        <f t="shared" si="124"/>
        <v>1</v>
      </c>
      <c r="L191" s="157">
        <f t="shared" si="125"/>
        <v>1</v>
      </c>
      <c r="M191" s="158" t="s">
        <v>1039</v>
      </c>
      <c r="N191" s="159"/>
      <c r="O191" s="159">
        <v>76680</v>
      </c>
      <c r="P191" s="159" t="s">
        <v>1040</v>
      </c>
      <c r="Q191" s="159" t="s">
        <v>1041</v>
      </c>
      <c r="R191" s="159" t="s">
        <v>1042</v>
      </c>
      <c r="S191" s="159"/>
      <c r="T191" s="159" t="s">
        <v>94</v>
      </c>
      <c r="U191" s="159" t="s">
        <v>1043</v>
      </c>
      <c r="V191" s="160" t="s">
        <v>96</v>
      </c>
      <c r="W191" s="161"/>
      <c r="X191" s="162"/>
      <c r="Y191" s="163"/>
      <c r="Z191" s="162"/>
      <c r="AA191" s="163"/>
      <c r="AB191" s="162"/>
      <c r="AC191" s="163"/>
      <c r="AD191" s="162"/>
      <c r="AE191" s="163"/>
      <c r="AF191" s="162"/>
      <c r="AG191" s="163"/>
      <c r="AH191" s="163"/>
      <c r="AI191" s="162"/>
      <c r="AJ191" s="163"/>
      <c r="AK191" s="162">
        <v>5</v>
      </c>
      <c r="AL191" s="163"/>
      <c r="AM191" s="162"/>
      <c r="AN191" s="163"/>
      <c r="AO191" s="162"/>
      <c r="AP191" s="164"/>
      <c r="AQ191" s="164"/>
      <c r="AR191" s="164"/>
      <c r="AS191" s="164"/>
      <c r="AT191" s="164"/>
      <c r="AU191" s="164"/>
      <c r="AV191" s="164"/>
      <c r="AW191" s="164"/>
      <c r="AX191" s="164"/>
      <c r="AY191" s="165"/>
      <c r="AZ191" s="41"/>
      <c r="BA191" s="190"/>
      <c r="BB191" s="191"/>
      <c r="BC191" s="191"/>
      <c r="BD191" s="191"/>
      <c r="BE191" s="191"/>
      <c r="BF191" s="191"/>
      <c r="BG191" s="191"/>
      <c r="BH191" s="191"/>
      <c r="BI191" s="191">
        <v>150</v>
      </c>
      <c r="BJ191" s="191"/>
      <c r="BK191" s="191"/>
      <c r="BL191" s="191"/>
      <c r="BM191" s="191"/>
      <c r="BN191" s="191"/>
      <c r="BO191" s="191"/>
      <c r="BP191" s="191"/>
      <c r="BQ191" s="191"/>
      <c r="BR191" s="191"/>
      <c r="BS191" s="191"/>
      <c r="BT191" s="191"/>
      <c r="BU191" s="191"/>
      <c r="BV191" s="191"/>
      <c r="BW191" s="191"/>
      <c r="BX191" s="191"/>
      <c r="BY191" s="191"/>
      <c r="BZ191" s="191"/>
      <c r="CA191" s="191"/>
      <c r="CB191" s="191"/>
      <c r="CC191" s="191"/>
      <c r="CD191" s="191"/>
      <c r="CE191" s="192"/>
      <c r="CF191" s="190"/>
      <c r="CG191" s="191"/>
      <c r="CH191" s="191"/>
      <c r="CI191" s="191"/>
      <c r="CJ191" s="191"/>
      <c r="CK191" s="191">
        <v>100</v>
      </c>
      <c r="CL191" s="191"/>
      <c r="CM191" s="191"/>
      <c r="CN191" s="191"/>
      <c r="CO191" s="191"/>
      <c r="CP191" s="191"/>
      <c r="CQ191" s="191"/>
      <c r="CR191" s="191"/>
      <c r="CS191" s="191"/>
      <c r="CT191" s="191"/>
      <c r="CU191" s="191"/>
      <c r="CV191" s="191"/>
      <c r="CW191" s="191"/>
      <c r="CX191" s="191"/>
      <c r="CY191" s="191"/>
      <c r="CZ191" s="191"/>
      <c r="DA191" s="191"/>
      <c r="DB191" s="191"/>
      <c r="DC191" s="191"/>
      <c r="DD191" s="191"/>
      <c r="DE191" s="191"/>
      <c r="DF191" s="191"/>
      <c r="DG191" s="191"/>
      <c r="DH191" s="193"/>
      <c r="DI191" s="194"/>
      <c r="DJ191" s="191"/>
      <c r="DK191" s="191"/>
      <c r="DL191" s="191"/>
      <c r="DM191" s="191"/>
      <c r="DN191" s="191"/>
      <c r="DO191" s="191"/>
      <c r="DP191" s="191"/>
      <c r="DQ191" s="191"/>
      <c r="DR191" s="191"/>
      <c r="DS191" s="191"/>
      <c r="DT191" s="191"/>
      <c r="DU191" s="191">
        <v>150</v>
      </c>
      <c r="DV191" s="191"/>
      <c r="DW191" s="191"/>
      <c r="DX191" s="191"/>
      <c r="DY191" s="191"/>
      <c r="DZ191" s="191"/>
      <c r="EA191" s="191"/>
      <c r="EB191" s="191"/>
      <c r="EC191" s="191"/>
      <c r="ED191" s="191"/>
      <c r="EE191" s="191"/>
      <c r="EF191" s="191"/>
      <c r="EG191" s="191"/>
      <c r="EH191" s="191"/>
      <c r="EI191" s="191">
        <v>10</v>
      </c>
      <c r="EJ191" s="191"/>
      <c r="EK191" s="191"/>
      <c r="EL191" s="191"/>
      <c r="EM191" s="192"/>
      <c r="EN191" s="190"/>
      <c r="EO191" s="191"/>
      <c r="EP191" s="191"/>
      <c r="EQ191" s="191"/>
      <c r="ER191" s="191"/>
      <c r="ES191" s="191"/>
      <c r="ET191" s="191"/>
      <c r="EU191" s="191"/>
      <c r="EV191" s="191"/>
      <c r="EW191" s="191">
        <v>100</v>
      </c>
      <c r="EX191" s="191"/>
      <c r="EY191" s="191"/>
      <c r="EZ191" s="191"/>
      <c r="FA191" s="191"/>
      <c r="FB191" s="191"/>
      <c r="FC191" s="191"/>
      <c r="FD191" s="191"/>
      <c r="FE191" s="191"/>
      <c r="FF191" s="191"/>
      <c r="FG191" s="191"/>
      <c r="FH191" s="191"/>
      <c r="FI191" s="191"/>
      <c r="FJ191" s="191"/>
      <c r="FK191" s="191"/>
      <c r="FL191" s="191"/>
      <c r="FM191" s="191"/>
      <c r="FN191" s="191"/>
      <c r="FO191" s="191"/>
      <c r="FP191" s="191"/>
      <c r="FQ191" s="193"/>
      <c r="FR191" s="194"/>
      <c r="FS191" s="191"/>
      <c r="FT191" s="191"/>
      <c r="FU191" s="191"/>
      <c r="FV191" s="191"/>
      <c r="FW191" s="191"/>
      <c r="FX191" s="191"/>
      <c r="FY191" s="191"/>
      <c r="FZ191" s="191"/>
      <c r="GA191" s="191"/>
      <c r="GB191" s="191"/>
      <c r="GC191" s="191"/>
      <c r="GD191" s="191"/>
      <c r="GE191" s="191"/>
      <c r="GF191" s="191">
        <v>100</v>
      </c>
      <c r="GG191" s="191"/>
      <c r="GH191" s="191"/>
      <c r="GI191" s="191"/>
      <c r="GJ191" s="191"/>
      <c r="GK191" s="191"/>
      <c r="GL191" s="191"/>
      <c r="GM191" s="191"/>
      <c r="GN191" s="191"/>
      <c r="GO191" s="191"/>
      <c r="GP191" s="191"/>
      <c r="GQ191" s="191"/>
      <c r="GR191" s="191"/>
      <c r="GS191" s="191"/>
      <c r="GT191" s="191"/>
      <c r="GU191" s="191"/>
      <c r="GV191" s="192"/>
      <c r="GW191" s="190"/>
      <c r="GX191" s="191"/>
      <c r="GY191" s="191"/>
      <c r="GZ191" s="191"/>
      <c r="HA191" s="191">
        <v>50</v>
      </c>
      <c r="HB191" s="191"/>
      <c r="HC191" s="191"/>
      <c r="HD191" s="191"/>
      <c r="HE191" s="191"/>
      <c r="HF191" s="191"/>
      <c r="HG191" s="191"/>
      <c r="HH191" s="191"/>
      <c r="HI191" s="191"/>
      <c r="HJ191" s="191"/>
      <c r="HK191" s="191"/>
      <c r="HL191" s="191"/>
      <c r="HM191" s="191"/>
      <c r="HN191" s="191"/>
      <c r="HO191" s="191"/>
      <c r="HP191" s="191"/>
      <c r="HQ191" s="191"/>
      <c r="HR191" s="191"/>
      <c r="HS191" s="191"/>
      <c r="HT191" s="191"/>
      <c r="HU191" s="191"/>
      <c r="HV191" s="191">
        <v>50</v>
      </c>
      <c r="HW191" s="191"/>
      <c r="HX191" s="191"/>
      <c r="HY191" s="191"/>
      <c r="HZ191" s="193"/>
      <c r="IA191" s="194"/>
      <c r="IB191" s="191"/>
      <c r="IC191" s="191">
        <v>10</v>
      </c>
      <c r="ID191" s="191"/>
      <c r="IE191" s="191"/>
      <c r="IF191" s="191"/>
      <c r="IG191" s="191"/>
      <c r="IH191" s="191"/>
      <c r="II191" s="191"/>
      <c r="IJ191" s="191">
        <v>10</v>
      </c>
      <c r="IK191" s="191"/>
      <c r="IL191" s="191"/>
      <c r="IM191" s="191"/>
      <c r="IN191" s="191"/>
      <c r="IO191" s="191"/>
      <c r="IP191" s="191"/>
      <c r="IQ191" s="191"/>
      <c r="IR191" s="191"/>
      <c r="IS191" s="191"/>
      <c r="IT191" s="191"/>
      <c r="IU191" s="191"/>
      <c r="IV191" s="191"/>
      <c r="IW191" s="191"/>
      <c r="IX191" s="191"/>
      <c r="IY191" s="191"/>
      <c r="IZ191" s="191"/>
      <c r="JA191" s="191"/>
      <c r="JB191" s="191"/>
      <c r="JC191" s="191"/>
      <c r="JD191" s="191"/>
      <c r="JE191" s="192"/>
      <c r="JF191" s="190"/>
      <c r="JG191" s="191"/>
      <c r="JH191" s="191"/>
      <c r="JI191" s="191"/>
      <c r="JJ191" s="191"/>
      <c r="JK191" s="191"/>
      <c r="JL191" s="191">
        <v>150</v>
      </c>
      <c r="JM191" s="191"/>
      <c r="JN191" s="191"/>
      <c r="JO191" s="191"/>
      <c r="JP191" s="191"/>
      <c r="JQ191" s="191"/>
      <c r="JR191" s="191"/>
      <c r="JS191" s="191"/>
      <c r="JT191" s="191"/>
      <c r="JU191" s="191"/>
      <c r="JV191" s="191"/>
      <c r="JW191" s="191"/>
      <c r="JX191" s="191"/>
      <c r="JY191" s="191"/>
      <c r="JZ191" s="191">
        <v>100</v>
      </c>
      <c r="KA191" s="191"/>
      <c r="KB191" s="191"/>
      <c r="KC191" s="191"/>
      <c r="KD191" s="191"/>
      <c r="KE191" s="191"/>
      <c r="KF191" s="191"/>
      <c r="KG191" s="191"/>
      <c r="KH191" s="191"/>
      <c r="KI191" s="191"/>
      <c r="KJ191" s="193"/>
      <c r="KK191" s="194"/>
      <c r="KL191" s="191"/>
      <c r="KM191" s="191"/>
      <c r="KN191" s="191">
        <v>10</v>
      </c>
      <c r="KO191" s="191"/>
      <c r="KP191" s="191"/>
      <c r="KQ191" s="191"/>
      <c r="KR191" s="191"/>
      <c r="KS191" s="191"/>
      <c r="KT191" s="191"/>
      <c r="KU191" s="191"/>
      <c r="KV191" s="191"/>
      <c r="KW191" s="191"/>
      <c r="KX191" s="191"/>
      <c r="KY191" s="191"/>
      <c r="KZ191" s="191"/>
      <c r="LA191" s="191"/>
      <c r="LB191" s="191">
        <v>50</v>
      </c>
      <c r="LC191" s="191"/>
      <c r="LD191" s="191"/>
      <c r="LE191" s="191"/>
      <c r="LF191" s="191"/>
      <c r="LG191" s="191"/>
      <c r="LH191" s="191"/>
      <c r="LI191" s="191">
        <v>10</v>
      </c>
      <c r="LJ191" s="191"/>
      <c r="LK191" s="191"/>
      <c r="LL191" s="191"/>
      <c r="LM191" s="191"/>
      <c r="LN191" s="192"/>
      <c r="LO191" s="190"/>
      <c r="LP191" s="191"/>
      <c r="LQ191" s="191"/>
      <c r="LR191" s="191"/>
      <c r="LS191" s="191"/>
      <c r="LT191" s="191"/>
      <c r="LU191" s="191"/>
      <c r="LV191" s="191"/>
      <c r="LW191" s="191">
        <v>50</v>
      </c>
      <c r="LX191" s="191"/>
      <c r="LY191" s="191"/>
      <c r="LZ191" s="191"/>
      <c r="MA191" s="191"/>
      <c r="MB191" s="191"/>
      <c r="MC191" s="191"/>
      <c r="MD191" s="191"/>
      <c r="ME191" s="191"/>
      <c r="MF191" s="191"/>
      <c r="MG191" s="191"/>
      <c r="MH191" s="191"/>
      <c r="MI191" s="191"/>
      <c r="MJ191" s="191"/>
      <c r="MK191" s="191">
        <v>10</v>
      </c>
      <c r="ML191" s="191"/>
      <c r="MM191" s="191"/>
      <c r="MN191" s="191"/>
      <c r="MO191" s="191"/>
      <c r="MP191" s="191"/>
      <c r="MQ191" s="191"/>
      <c r="MR191" s="191"/>
      <c r="MS191" s="193"/>
      <c r="MT191" s="194"/>
      <c r="MU191" s="191"/>
      <c r="MV191" s="191"/>
      <c r="MW191" s="191"/>
      <c r="MX191" s="191"/>
      <c r="MY191" s="191">
        <v>10</v>
      </c>
      <c r="MZ191" s="191"/>
      <c r="NA191" s="191"/>
      <c r="NB191" s="191"/>
      <c r="NC191" s="191"/>
      <c r="ND191" s="191"/>
      <c r="NE191" s="191"/>
      <c r="NF191" s="191"/>
      <c r="NG191" s="191"/>
      <c r="NH191" s="191"/>
      <c r="NI191" s="191"/>
      <c r="NJ191" s="191"/>
      <c r="NK191" s="191"/>
      <c r="NL191" s="191"/>
      <c r="NM191" s="191"/>
      <c r="NN191" s="191"/>
      <c r="NO191" s="191"/>
      <c r="NP191" s="191"/>
      <c r="NQ191" s="191"/>
      <c r="NR191" s="191"/>
      <c r="NS191" s="191"/>
      <c r="NT191" s="191">
        <v>10</v>
      </c>
      <c r="NU191" s="191"/>
      <c r="NV191" s="191"/>
      <c r="NW191" s="192"/>
      <c r="NX191" s="190"/>
      <c r="NY191" s="191"/>
      <c r="NZ191" s="191"/>
      <c r="OA191" s="191"/>
      <c r="OB191" s="191"/>
      <c r="OC191" s="191"/>
      <c r="OD191" s="191"/>
      <c r="OE191" s="191"/>
      <c r="OF191" s="191"/>
      <c r="OG191" s="191"/>
      <c r="OH191" s="191">
        <v>10</v>
      </c>
      <c r="OI191" s="191"/>
      <c r="OJ191" s="191"/>
      <c r="OK191" s="191"/>
      <c r="OL191" s="191"/>
      <c r="OM191" s="191"/>
      <c r="ON191" s="191"/>
      <c r="OO191" s="191"/>
      <c r="OP191" s="191"/>
      <c r="OQ191" s="191"/>
      <c r="OR191" s="191"/>
      <c r="OS191" s="191"/>
      <c r="OT191" s="191"/>
      <c r="OU191" s="191"/>
      <c r="OV191" s="191"/>
      <c r="OW191" s="191"/>
      <c r="OX191" s="191"/>
      <c r="OY191" s="191"/>
      <c r="OZ191" s="191"/>
      <c r="PA191" s="191"/>
      <c r="PB191" s="193"/>
      <c r="PC191" s="47"/>
      <c r="PD191" s="154" t="s">
        <v>98</v>
      </c>
      <c r="PE191" s="155" t="s">
        <v>98</v>
      </c>
      <c r="PF191" s="155" t="s">
        <v>98</v>
      </c>
      <c r="PG191" s="155" t="s">
        <v>98</v>
      </c>
      <c r="PH191" s="155" t="s">
        <v>98</v>
      </c>
      <c r="PI191" s="155" t="s">
        <v>98</v>
      </c>
      <c r="PJ191" s="155" t="s">
        <v>97</v>
      </c>
      <c r="PK191" s="155" t="s">
        <v>98</v>
      </c>
      <c r="PL191" s="155" t="s">
        <v>98</v>
      </c>
      <c r="PM191" s="155" t="s">
        <v>98</v>
      </c>
      <c r="PN191" s="155" t="s">
        <v>98</v>
      </c>
      <c r="PO191" s="156"/>
      <c r="PP191" s="156"/>
      <c r="PQ191" s="156"/>
      <c r="PR191" s="156"/>
      <c r="PS191" s="156"/>
      <c r="PT191" s="156"/>
      <c r="PU191" s="156"/>
      <c r="PV191" s="156"/>
      <c r="PW191" s="156"/>
      <c r="PX191" s="195"/>
      <c r="PY191" s="1"/>
      <c r="PZ191" s="196">
        <f t="shared" si="126"/>
        <v>150</v>
      </c>
      <c r="QA191" s="218">
        <f t="shared" si="127"/>
        <v>1.2513556352715441E-3</v>
      </c>
      <c r="QB191" s="219" t="str">
        <f t="shared" ca="1" si="128"/>
        <v>Attente…</v>
      </c>
      <c r="QC191" s="197">
        <f t="shared" si="129"/>
        <v>100</v>
      </c>
      <c r="QD191" s="220">
        <f t="shared" si="130"/>
        <v>9.3632958801498128E-4</v>
      </c>
      <c r="QE191" s="221" t="str">
        <f t="shared" ca="1" si="131"/>
        <v>Attente…</v>
      </c>
      <c r="QF191" s="196">
        <f t="shared" si="132"/>
        <v>160</v>
      </c>
      <c r="QG191" s="218">
        <f t="shared" si="133"/>
        <v>1.2740882306099697E-3</v>
      </c>
      <c r="QH191" s="219" t="str">
        <f t="shared" ca="1" si="134"/>
        <v>Attente…</v>
      </c>
      <c r="QI191" s="197">
        <f t="shared" si="135"/>
        <v>100</v>
      </c>
      <c r="QJ191" s="220">
        <f t="shared" si="136"/>
        <v>7.0136063964090333E-4</v>
      </c>
      <c r="QK191" s="221" t="str">
        <f t="shared" ca="1" si="137"/>
        <v>Attente…</v>
      </c>
      <c r="QL191" s="196">
        <f t="shared" si="138"/>
        <v>100</v>
      </c>
      <c r="QM191" s="218">
        <f t="shared" si="139"/>
        <v>7.3163593795727241E-4</v>
      </c>
      <c r="QN191" s="219" t="str">
        <f t="shared" ca="1" si="140"/>
        <v>Attente…</v>
      </c>
      <c r="QO191" s="197">
        <f t="shared" si="141"/>
        <v>100</v>
      </c>
      <c r="QP191" s="220">
        <f t="shared" si="142"/>
        <v>7.8290143270962184E-4</v>
      </c>
      <c r="QQ191" s="221" t="str">
        <f t="shared" ca="1" si="143"/>
        <v>Attente…</v>
      </c>
      <c r="QR191" s="196">
        <f t="shared" si="144"/>
        <v>20</v>
      </c>
      <c r="QS191" s="218">
        <f t="shared" si="145"/>
        <v>1.4398329793743927E-4</v>
      </c>
      <c r="QT191" s="219" t="str">
        <f t="shared" ca="1" si="146"/>
        <v>Attente…</v>
      </c>
      <c r="QU191" s="197">
        <f t="shared" si="147"/>
        <v>250</v>
      </c>
      <c r="QV191" s="220">
        <f t="shared" si="148"/>
        <v>1.7236624379481523E-3</v>
      </c>
      <c r="QW191" s="221" t="str">
        <f t="shared" ca="1" si="149"/>
        <v>Attente…</v>
      </c>
      <c r="QX191" s="196">
        <f t="shared" si="150"/>
        <v>70</v>
      </c>
      <c r="QY191" s="218">
        <f t="shared" si="151"/>
        <v>5.1081467643538921E-4</v>
      </c>
      <c r="QZ191" s="219" t="str">
        <f t="shared" ca="1" si="152"/>
        <v>Attente…</v>
      </c>
      <c r="RA191" s="197">
        <f t="shared" si="153"/>
        <v>60</v>
      </c>
      <c r="RB191" s="220">
        <f t="shared" si="154"/>
        <v>4.6944683514591975E-4</v>
      </c>
      <c r="RC191" s="221" t="str">
        <f t="shared" ca="1" si="155"/>
        <v>Attente…</v>
      </c>
      <c r="RD191" s="196">
        <f t="shared" si="156"/>
        <v>20</v>
      </c>
      <c r="RE191" s="218">
        <f t="shared" si="157"/>
        <v>1.9928258270227183E-4</v>
      </c>
      <c r="RF191" s="219" t="str">
        <f t="shared" ca="1" si="158"/>
        <v>Attente…</v>
      </c>
      <c r="RG191" s="197">
        <f t="shared" si="159"/>
        <v>10</v>
      </c>
      <c r="RH191" s="220">
        <f t="shared" si="160"/>
        <v>1.839249586168843E-4</v>
      </c>
      <c r="RI191" s="222" t="str">
        <f t="shared" ca="1" si="161"/>
        <v>Attente…</v>
      </c>
      <c r="RJ191" s="199">
        <f t="shared" si="162"/>
        <v>410</v>
      </c>
      <c r="RK191" s="200" t="str">
        <f t="shared" ca="1" si="119"/>
        <v>Attente…</v>
      </c>
      <c r="RL191" s="199">
        <f t="shared" si="163"/>
        <v>300</v>
      </c>
      <c r="RM191" s="200" t="str">
        <f t="shared" ca="1" si="164"/>
        <v>Atttente…</v>
      </c>
      <c r="RN191" s="199">
        <f t="shared" si="165"/>
        <v>340</v>
      </c>
      <c r="RO191" s="200" t="str">
        <f t="shared" ca="1" si="120"/>
        <v>Attente…</v>
      </c>
      <c r="RP191" s="199">
        <f t="shared" si="166"/>
        <v>90</v>
      </c>
      <c r="RQ191" s="200" t="str">
        <f t="shared" ca="1" si="121"/>
        <v>Attente…</v>
      </c>
      <c r="RR191" s="201">
        <f t="shared" si="167"/>
        <v>1140</v>
      </c>
      <c r="RS191" s="202" t="str">
        <f t="shared" ca="1" si="122"/>
        <v>Attente…</v>
      </c>
      <c r="RT191" s="103"/>
      <c r="RU191" s="203">
        <f t="shared" si="168"/>
        <v>0.28499999999999998</v>
      </c>
      <c r="RV191" s="204">
        <f t="shared" si="171"/>
        <v>1</v>
      </c>
      <c r="RW191" s="204">
        <f t="shared" si="171"/>
        <v>1</v>
      </c>
      <c r="RX191" s="204">
        <f t="shared" si="169"/>
        <v>20</v>
      </c>
      <c r="RY191" s="205" t="str">
        <f t="shared" si="170"/>
        <v>POMMEREVAL - 989 Route de l'Eglise</v>
      </c>
      <c r="RZ191" s="189" t="str">
        <f>IF(OR(RZ190="",RZ190="  &lt;/Document&gt;
&lt;/kml&gt;"),"",
IF(B191="","  &lt;/Document&gt;
&lt;/kml&gt;",
IF(TournéesCAV!Q191=""," ",
"    &lt;Placemark&gt;
      &lt;description&gt;&lt;![CDATA["&amp;B191&amp;"&lt;br&gt;&lt;br&gt;"&amp;RV191&amp;" CAV&lt;br&gt;&lt;br&gt;Présent sur "&amp;RW191&amp;" tournée(s)&lt;br&gt;&lt;br&gt;Taux de remplissage moyen "&amp;TEXT(RU191*1000,"0 %")&amp;"]]&gt;&lt;/description&gt;
      &lt;Style&gt;
        &lt;IconStyle&gt;
          &lt;color&gt;ff"&amp;
          DEC2HEX(0,2)&amp;
          DEC2HEX(
            IF(RU191&lt;=0.5,
               INT(255*(RU191*2)),
               255
            ),2)&amp;
          DEC2HEX(
            IF(RU191&lt;=0.5,
               255,
               INT(255*(1-(RU191-0.5)*2))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&lt;Point&gt;&lt;coordinates&gt;"&amp;R191&amp;","&amp;Q191&amp;",0&lt;/coordinates&gt;&lt;/Point&gt;
    &lt;/Placemark&gt;"
)))</f>
        <v xml:space="preserve">    &lt;Placemark&gt;
      &lt;description&gt;&lt;![CDATA[POMMEREVAL - 989 Route de l'Eglise&lt;br&gt;&lt;br&gt;1 CAV&lt;br&gt;&lt;br&gt;Présent sur 1 tournée(s)&lt;br&gt;&lt;br&gt;Taux de remplissage moyen 29%]]&gt;&lt;/description&gt;
      &lt;Style&gt;
        &lt;IconStyle&gt;
          &lt;color&gt;ff0091FF&lt;/color&gt;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&lt;Point&gt;&lt;coordinates&gt;1.319002,49.740456,0&lt;/coordinates&gt;&lt;/Point&gt;
    &lt;/Placemark&gt;</v>
      </c>
    </row>
    <row r="192" spans="2:494" ht="15" hidden="1" customHeight="1" x14ac:dyDescent="0.35">
      <c r="B192" s="153" t="str">
        <f t="shared" si="123"/>
        <v>ARDOUVAL - 4 Rue des Bouleaux (Suivre panneau "Foyer des Jeunes")</v>
      </c>
      <c r="C192" s="154" t="s">
        <v>104</v>
      </c>
      <c r="D192" s="155"/>
      <c r="E192" s="155"/>
      <c r="F192" s="155"/>
      <c r="G192" s="155"/>
      <c r="H192" s="155"/>
      <c r="I192" s="155"/>
      <c r="J192" s="156"/>
      <c r="K192" s="157">
        <f t="shared" si="124"/>
        <v>1</v>
      </c>
      <c r="L192" s="157">
        <f t="shared" si="125"/>
        <v>1</v>
      </c>
      <c r="M192" s="158" t="s">
        <v>1044</v>
      </c>
      <c r="N192" s="159" t="s">
        <v>1045</v>
      </c>
      <c r="O192" s="159">
        <v>76680</v>
      </c>
      <c r="P192" s="159" t="s">
        <v>1046</v>
      </c>
      <c r="Q192" s="159" t="s">
        <v>1047</v>
      </c>
      <c r="R192" s="159" t="s">
        <v>1048</v>
      </c>
      <c r="S192" s="159"/>
      <c r="T192" s="159" t="s">
        <v>94</v>
      </c>
      <c r="U192" s="159" t="s">
        <v>1049</v>
      </c>
      <c r="V192" s="160" t="s">
        <v>96</v>
      </c>
      <c r="W192" s="161"/>
      <c r="X192" s="162"/>
      <c r="Y192" s="163"/>
      <c r="Z192" s="162"/>
      <c r="AA192" s="163"/>
      <c r="AB192" s="162"/>
      <c r="AC192" s="163"/>
      <c r="AD192" s="162"/>
      <c r="AE192" s="163"/>
      <c r="AF192" s="162"/>
      <c r="AG192" s="163"/>
      <c r="AH192" s="163"/>
      <c r="AI192" s="162"/>
      <c r="AJ192" s="163"/>
      <c r="AK192" s="162">
        <v>6</v>
      </c>
      <c r="AL192" s="163"/>
      <c r="AM192" s="162"/>
      <c r="AN192" s="163"/>
      <c r="AO192" s="162"/>
      <c r="AP192" s="164"/>
      <c r="AQ192" s="164"/>
      <c r="AR192" s="164"/>
      <c r="AS192" s="164"/>
      <c r="AT192" s="164"/>
      <c r="AU192" s="164"/>
      <c r="AV192" s="164"/>
      <c r="AW192" s="164"/>
      <c r="AX192" s="164"/>
      <c r="AY192" s="165"/>
      <c r="AZ192" s="41"/>
      <c r="BA192" s="190"/>
      <c r="BB192" s="191"/>
      <c r="BC192" s="191"/>
      <c r="BD192" s="191"/>
      <c r="BE192" s="191"/>
      <c r="BF192" s="191"/>
      <c r="BG192" s="191"/>
      <c r="BH192" s="191"/>
      <c r="BI192" s="191">
        <v>150</v>
      </c>
      <c r="BJ192" s="191"/>
      <c r="BK192" s="191"/>
      <c r="BL192" s="191"/>
      <c r="BM192" s="191"/>
      <c r="BN192" s="191"/>
      <c r="BO192" s="191"/>
      <c r="BP192" s="191"/>
      <c r="BQ192" s="191"/>
      <c r="BR192" s="191"/>
      <c r="BS192" s="191"/>
      <c r="BT192" s="191"/>
      <c r="BU192" s="191"/>
      <c r="BV192" s="191"/>
      <c r="BW192" s="191"/>
      <c r="BX192" s="191"/>
      <c r="BY192" s="191"/>
      <c r="BZ192" s="191"/>
      <c r="CA192" s="191"/>
      <c r="CB192" s="191"/>
      <c r="CC192" s="191"/>
      <c r="CD192" s="191"/>
      <c r="CE192" s="192"/>
      <c r="CF192" s="190"/>
      <c r="CG192" s="191"/>
      <c r="CH192" s="191"/>
      <c r="CI192" s="191"/>
      <c r="CJ192" s="191"/>
      <c r="CK192" s="191">
        <v>100</v>
      </c>
      <c r="CL192" s="191"/>
      <c r="CM192" s="191"/>
      <c r="CN192" s="191"/>
      <c r="CO192" s="191"/>
      <c r="CP192" s="191"/>
      <c r="CQ192" s="191"/>
      <c r="CR192" s="191"/>
      <c r="CS192" s="191"/>
      <c r="CT192" s="191"/>
      <c r="CU192" s="191"/>
      <c r="CV192" s="191"/>
      <c r="CW192" s="191"/>
      <c r="CX192" s="191"/>
      <c r="CY192" s="191"/>
      <c r="CZ192" s="191"/>
      <c r="DA192" s="191"/>
      <c r="DB192" s="191"/>
      <c r="DC192" s="191"/>
      <c r="DD192" s="191"/>
      <c r="DE192" s="191"/>
      <c r="DF192" s="191"/>
      <c r="DG192" s="191"/>
      <c r="DH192" s="193"/>
      <c r="DI192" s="194"/>
      <c r="DJ192" s="191"/>
      <c r="DK192" s="191"/>
      <c r="DL192" s="191"/>
      <c r="DM192" s="191"/>
      <c r="DN192" s="191"/>
      <c r="DO192" s="191"/>
      <c r="DP192" s="191"/>
      <c r="DQ192" s="191"/>
      <c r="DR192" s="191"/>
      <c r="DS192" s="191"/>
      <c r="DT192" s="191"/>
      <c r="DU192" s="191">
        <v>150</v>
      </c>
      <c r="DV192" s="191"/>
      <c r="DW192" s="191"/>
      <c r="DX192" s="191"/>
      <c r="DY192" s="191"/>
      <c r="DZ192" s="191"/>
      <c r="EA192" s="191"/>
      <c r="EB192" s="191"/>
      <c r="EC192" s="191"/>
      <c r="ED192" s="191"/>
      <c r="EE192" s="191"/>
      <c r="EF192" s="191"/>
      <c r="EG192" s="191"/>
      <c r="EH192" s="191"/>
      <c r="EI192" s="191">
        <v>100</v>
      </c>
      <c r="EJ192" s="191"/>
      <c r="EK192" s="191"/>
      <c r="EL192" s="191"/>
      <c r="EM192" s="192"/>
      <c r="EN192" s="190"/>
      <c r="EO192" s="191"/>
      <c r="EP192" s="191"/>
      <c r="EQ192" s="191"/>
      <c r="ER192" s="191"/>
      <c r="ES192" s="191"/>
      <c r="ET192" s="191"/>
      <c r="EU192" s="191"/>
      <c r="EV192" s="191"/>
      <c r="EW192" s="191">
        <v>100</v>
      </c>
      <c r="EX192" s="191"/>
      <c r="EY192" s="191"/>
      <c r="EZ192" s="191"/>
      <c r="FA192" s="191"/>
      <c r="FB192" s="191"/>
      <c r="FC192" s="191"/>
      <c r="FD192" s="191"/>
      <c r="FE192" s="191"/>
      <c r="FF192" s="191"/>
      <c r="FG192" s="191"/>
      <c r="FH192" s="191"/>
      <c r="FI192" s="191"/>
      <c r="FJ192" s="191"/>
      <c r="FK192" s="191"/>
      <c r="FL192" s="191"/>
      <c r="FM192" s="191"/>
      <c r="FN192" s="191"/>
      <c r="FO192" s="191"/>
      <c r="FP192" s="191"/>
      <c r="FQ192" s="193"/>
      <c r="FR192" s="194"/>
      <c r="FS192" s="191"/>
      <c r="FT192" s="191"/>
      <c r="FU192" s="191"/>
      <c r="FV192" s="191"/>
      <c r="FW192" s="191"/>
      <c r="FX192" s="191"/>
      <c r="FY192" s="191"/>
      <c r="FZ192" s="191"/>
      <c r="GA192" s="191"/>
      <c r="GB192" s="191"/>
      <c r="GC192" s="191"/>
      <c r="GD192" s="191"/>
      <c r="GE192" s="191"/>
      <c r="GF192" s="191">
        <v>100</v>
      </c>
      <c r="GG192" s="191"/>
      <c r="GH192" s="191"/>
      <c r="GI192" s="191"/>
      <c r="GJ192" s="191"/>
      <c r="GK192" s="191"/>
      <c r="GL192" s="191"/>
      <c r="GM192" s="191"/>
      <c r="GN192" s="191"/>
      <c r="GO192" s="191"/>
      <c r="GP192" s="191"/>
      <c r="GQ192" s="191"/>
      <c r="GR192" s="191"/>
      <c r="GS192" s="191"/>
      <c r="GT192" s="191"/>
      <c r="GU192" s="191"/>
      <c r="GV192" s="192"/>
      <c r="GW192" s="190"/>
      <c r="GX192" s="191"/>
      <c r="GY192" s="191"/>
      <c r="GZ192" s="191"/>
      <c r="HA192" s="191">
        <v>150</v>
      </c>
      <c r="HB192" s="191"/>
      <c r="HC192" s="191"/>
      <c r="HD192" s="191"/>
      <c r="HE192" s="191"/>
      <c r="HF192" s="191"/>
      <c r="HG192" s="191"/>
      <c r="HH192" s="191"/>
      <c r="HI192" s="191"/>
      <c r="HJ192" s="191"/>
      <c r="HK192" s="191"/>
      <c r="HL192" s="191"/>
      <c r="HM192" s="191"/>
      <c r="HN192" s="191"/>
      <c r="HO192" s="191"/>
      <c r="HP192" s="191"/>
      <c r="HQ192" s="191"/>
      <c r="HR192" s="191"/>
      <c r="HS192" s="191"/>
      <c r="HT192" s="191"/>
      <c r="HU192" s="191"/>
      <c r="HV192" s="191">
        <v>100</v>
      </c>
      <c r="HW192" s="191"/>
      <c r="HX192" s="191"/>
      <c r="HY192" s="191"/>
      <c r="HZ192" s="193"/>
      <c r="IA192" s="194"/>
      <c r="IB192" s="191"/>
      <c r="IC192" s="191">
        <v>10</v>
      </c>
      <c r="ID192" s="191"/>
      <c r="IE192" s="191"/>
      <c r="IF192" s="191"/>
      <c r="IG192" s="191"/>
      <c r="IH192" s="191"/>
      <c r="II192" s="191"/>
      <c r="IJ192" s="191">
        <v>50</v>
      </c>
      <c r="IK192" s="191"/>
      <c r="IL192" s="191"/>
      <c r="IM192" s="191"/>
      <c r="IN192" s="191"/>
      <c r="IO192" s="191"/>
      <c r="IP192" s="191"/>
      <c r="IQ192" s="191"/>
      <c r="IR192" s="191"/>
      <c r="IS192" s="191"/>
      <c r="IT192" s="191"/>
      <c r="IU192" s="191"/>
      <c r="IV192" s="191"/>
      <c r="IW192" s="191"/>
      <c r="IX192" s="191"/>
      <c r="IY192" s="191"/>
      <c r="IZ192" s="191"/>
      <c r="JA192" s="191"/>
      <c r="JB192" s="191"/>
      <c r="JC192" s="191"/>
      <c r="JD192" s="191"/>
      <c r="JE192" s="192"/>
      <c r="JF192" s="190"/>
      <c r="JG192" s="191"/>
      <c r="JH192" s="191"/>
      <c r="JI192" s="191"/>
      <c r="JJ192" s="191"/>
      <c r="JK192" s="191"/>
      <c r="JL192" s="191">
        <v>200</v>
      </c>
      <c r="JM192" s="191"/>
      <c r="JN192" s="191"/>
      <c r="JO192" s="191"/>
      <c r="JP192" s="191"/>
      <c r="JQ192" s="191"/>
      <c r="JR192" s="191"/>
      <c r="JS192" s="191"/>
      <c r="JT192" s="191"/>
      <c r="JU192" s="191"/>
      <c r="JV192" s="191"/>
      <c r="JW192" s="191"/>
      <c r="JX192" s="191"/>
      <c r="JY192" s="191"/>
      <c r="JZ192" s="191">
        <v>100</v>
      </c>
      <c r="KA192" s="191"/>
      <c r="KB192" s="191"/>
      <c r="KC192" s="191"/>
      <c r="KD192" s="191"/>
      <c r="KE192" s="191"/>
      <c r="KF192" s="191"/>
      <c r="KG192" s="191"/>
      <c r="KH192" s="191"/>
      <c r="KI192" s="191"/>
      <c r="KJ192" s="193"/>
      <c r="KK192" s="194"/>
      <c r="KL192" s="191"/>
      <c r="KM192" s="191"/>
      <c r="KN192" s="191">
        <v>50</v>
      </c>
      <c r="KO192" s="191"/>
      <c r="KP192" s="191"/>
      <c r="KQ192" s="191"/>
      <c r="KR192" s="191"/>
      <c r="KS192" s="191"/>
      <c r="KT192" s="191"/>
      <c r="KU192" s="191"/>
      <c r="KV192" s="191"/>
      <c r="KW192" s="191"/>
      <c r="KX192" s="191"/>
      <c r="KY192" s="191"/>
      <c r="KZ192" s="191"/>
      <c r="LA192" s="191"/>
      <c r="LB192" s="191">
        <v>50</v>
      </c>
      <c r="LC192" s="191"/>
      <c r="LD192" s="191"/>
      <c r="LE192" s="191"/>
      <c r="LF192" s="191"/>
      <c r="LG192" s="191"/>
      <c r="LH192" s="191"/>
      <c r="LI192" s="191">
        <v>10</v>
      </c>
      <c r="LJ192" s="191"/>
      <c r="LK192" s="191"/>
      <c r="LL192" s="191"/>
      <c r="LM192" s="191"/>
      <c r="LN192" s="192"/>
      <c r="LO192" s="190"/>
      <c r="LP192" s="191"/>
      <c r="LQ192" s="191"/>
      <c r="LR192" s="191"/>
      <c r="LS192" s="191"/>
      <c r="LT192" s="191"/>
      <c r="LU192" s="191"/>
      <c r="LV192" s="191"/>
      <c r="LW192" s="191">
        <v>50</v>
      </c>
      <c r="LX192" s="191"/>
      <c r="LY192" s="191"/>
      <c r="LZ192" s="191"/>
      <c r="MA192" s="191"/>
      <c r="MB192" s="191"/>
      <c r="MC192" s="191"/>
      <c r="MD192" s="191"/>
      <c r="ME192" s="191"/>
      <c r="MF192" s="191"/>
      <c r="MG192" s="191"/>
      <c r="MH192" s="191"/>
      <c r="MI192" s="191"/>
      <c r="MJ192" s="191"/>
      <c r="MK192" s="191">
        <v>50</v>
      </c>
      <c r="ML192" s="191"/>
      <c r="MM192" s="191"/>
      <c r="MN192" s="191"/>
      <c r="MO192" s="191"/>
      <c r="MP192" s="191"/>
      <c r="MQ192" s="191"/>
      <c r="MR192" s="191"/>
      <c r="MS192" s="193"/>
      <c r="MT192" s="194"/>
      <c r="MU192" s="191"/>
      <c r="MV192" s="191"/>
      <c r="MW192" s="191"/>
      <c r="MX192" s="191"/>
      <c r="MY192" s="191">
        <v>10</v>
      </c>
      <c r="MZ192" s="191"/>
      <c r="NA192" s="191"/>
      <c r="NB192" s="191"/>
      <c r="NC192" s="191"/>
      <c r="ND192" s="191"/>
      <c r="NE192" s="191"/>
      <c r="NF192" s="191"/>
      <c r="NG192" s="191"/>
      <c r="NH192" s="191"/>
      <c r="NI192" s="191"/>
      <c r="NJ192" s="191"/>
      <c r="NK192" s="191"/>
      <c r="NL192" s="191"/>
      <c r="NM192" s="191"/>
      <c r="NN192" s="191"/>
      <c r="NO192" s="191"/>
      <c r="NP192" s="191"/>
      <c r="NQ192" s="191"/>
      <c r="NR192" s="191"/>
      <c r="NS192" s="191"/>
      <c r="NT192" s="191">
        <v>50</v>
      </c>
      <c r="NU192" s="191"/>
      <c r="NV192" s="191"/>
      <c r="NW192" s="192"/>
      <c r="NX192" s="190"/>
      <c r="NY192" s="191"/>
      <c r="NZ192" s="191"/>
      <c r="OA192" s="191"/>
      <c r="OB192" s="191"/>
      <c r="OC192" s="191"/>
      <c r="OD192" s="191"/>
      <c r="OE192" s="191"/>
      <c r="OF192" s="191"/>
      <c r="OG192" s="191"/>
      <c r="OH192" s="191">
        <v>10</v>
      </c>
      <c r="OI192" s="191"/>
      <c r="OJ192" s="191"/>
      <c r="OK192" s="191"/>
      <c r="OL192" s="191"/>
      <c r="OM192" s="191"/>
      <c r="ON192" s="191"/>
      <c r="OO192" s="191"/>
      <c r="OP192" s="191"/>
      <c r="OQ192" s="191"/>
      <c r="OR192" s="191"/>
      <c r="OS192" s="191"/>
      <c r="OT192" s="191"/>
      <c r="OU192" s="191"/>
      <c r="OV192" s="191"/>
      <c r="OW192" s="191"/>
      <c r="OX192" s="191"/>
      <c r="OY192" s="191"/>
      <c r="OZ192" s="191"/>
      <c r="PA192" s="191"/>
      <c r="PB192" s="193"/>
      <c r="PC192" s="47"/>
      <c r="PD192" s="154" t="s">
        <v>98</v>
      </c>
      <c r="PE192" s="155" t="s">
        <v>98</v>
      </c>
      <c r="PF192" s="155" t="s">
        <v>98</v>
      </c>
      <c r="PG192" s="155" t="s">
        <v>98</v>
      </c>
      <c r="PH192" s="155" t="s">
        <v>98</v>
      </c>
      <c r="PI192" s="155" t="s">
        <v>98</v>
      </c>
      <c r="PJ192" s="155" t="s">
        <v>97</v>
      </c>
      <c r="PK192" s="155" t="s">
        <v>98</v>
      </c>
      <c r="PL192" s="155" t="s">
        <v>98</v>
      </c>
      <c r="PM192" s="155" t="s">
        <v>98</v>
      </c>
      <c r="PN192" s="155" t="s">
        <v>98</v>
      </c>
      <c r="PO192" s="156"/>
      <c r="PP192" s="156"/>
      <c r="PQ192" s="156"/>
      <c r="PR192" s="156"/>
      <c r="PS192" s="156"/>
      <c r="PT192" s="156"/>
      <c r="PU192" s="156"/>
      <c r="PV192" s="156"/>
      <c r="PW192" s="156"/>
      <c r="PX192" s="195"/>
      <c r="PY192" s="1"/>
      <c r="PZ192" s="196">
        <f t="shared" si="126"/>
        <v>150</v>
      </c>
      <c r="QA192" s="218">
        <f t="shared" si="127"/>
        <v>1.2513556352715441E-3</v>
      </c>
      <c r="QB192" s="219" t="str">
        <f t="shared" ca="1" si="128"/>
        <v>Attente…</v>
      </c>
      <c r="QC192" s="197">
        <f t="shared" si="129"/>
        <v>100</v>
      </c>
      <c r="QD192" s="220">
        <f t="shared" si="130"/>
        <v>9.3632958801498128E-4</v>
      </c>
      <c r="QE192" s="221" t="str">
        <f t="shared" ca="1" si="131"/>
        <v>Attente…</v>
      </c>
      <c r="QF192" s="196">
        <f t="shared" si="132"/>
        <v>250</v>
      </c>
      <c r="QG192" s="218">
        <f t="shared" si="133"/>
        <v>1.9907628603280775E-3</v>
      </c>
      <c r="QH192" s="219" t="str">
        <f t="shared" ca="1" si="134"/>
        <v>Attente…</v>
      </c>
      <c r="QI192" s="197">
        <f t="shared" si="135"/>
        <v>100</v>
      </c>
      <c r="QJ192" s="220">
        <f t="shared" si="136"/>
        <v>7.0136063964090333E-4</v>
      </c>
      <c r="QK192" s="221" t="str">
        <f t="shared" ca="1" si="137"/>
        <v>Attente…</v>
      </c>
      <c r="QL192" s="196">
        <f t="shared" si="138"/>
        <v>100</v>
      </c>
      <c r="QM192" s="218">
        <f t="shared" si="139"/>
        <v>7.3163593795727241E-4</v>
      </c>
      <c r="QN192" s="219" t="str">
        <f t="shared" ca="1" si="140"/>
        <v>Attente…</v>
      </c>
      <c r="QO192" s="197">
        <f t="shared" si="141"/>
        <v>250</v>
      </c>
      <c r="QP192" s="220">
        <f t="shared" si="142"/>
        <v>1.9572535817740547E-3</v>
      </c>
      <c r="QQ192" s="221" t="str">
        <f t="shared" ca="1" si="143"/>
        <v>Attente…</v>
      </c>
      <c r="QR192" s="196">
        <f t="shared" si="144"/>
        <v>60</v>
      </c>
      <c r="QS192" s="218">
        <f t="shared" si="145"/>
        <v>4.3194989381231777E-4</v>
      </c>
      <c r="QT192" s="219" t="str">
        <f t="shared" ca="1" si="146"/>
        <v>Attente…</v>
      </c>
      <c r="QU192" s="197">
        <f t="shared" si="147"/>
        <v>300</v>
      </c>
      <c r="QV192" s="220">
        <f t="shared" si="148"/>
        <v>2.0683949255377826E-3</v>
      </c>
      <c r="QW192" s="221" t="str">
        <f t="shared" ca="1" si="149"/>
        <v>Attente…</v>
      </c>
      <c r="QX192" s="196">
        <f t="shared" si="150"/>
        <v>110</v>
      </c>
      <c r="QY192" s="218">
        <f t="shared" si="151"/>
        <v>8.0270877725561161E-4</v>
      </c>
      <c r="QZ192" s="219" t="str">
        <f t="shared" ca="1" si="152"/>
        <v>Attente…</v>
      </c>
      <c r="RA192" s="197">
        <f t="shared" si="153"/>
        <v>100</v>
      </c>
      <c r="RB192" s="220">
        <f t="shared" si="154"/>
        <v>7.8241139190986621E-4</v>
      </c>
      <c r="RC192" s="221" t="str">
        <f t="shared" ca="1" si="155"/>
        <v>Attente…</v>
      </c>
      <c r="RD192" s="196">
        <f t="shared" si="156"/>
        <v>60</v>
      </c>
      <c r="RE192" s="218">
        <f t="shared" si="157"/>
        <v>5.9784774810681541E-4</v>
      </c>
      <c r="RF192" s="219" t="str">
        <f t="shared" ca="1" si="158"/>
        <v>Attente…</v>
      </c>
      <c r="RG192" s="197">
        <f t="shared" si="159"/>
        <v>10</v>
      </c>
      <c r="RH192" s="220">
        <f t="shared" si="160"/>
        <v>1.839249586168843E-4</v>
      </c>
      <c r="RI192" s="222" t="str">
        <f t="shared" ca="1" si="161"/>
        <v>Attente…</v>
      </c>
      <c r="RJ192" s="199">
        <f t="shared" si="162"/>
        <v>500</v>
      </c>
      <c r="RK192" s="200" t="str">
        <f t="shared" ca="1" si="119"/>
        <v>Attente…</v>
      </c>
      <c r="RL192" s="199">
        <f t="shared" si="163"/>
        <v>450</v>
      </c>
      <c r="RM192" s="200" t="str">
        <f t="shared" ca="1" si="164"/>
        <v>Atttente…</v>
      </c>
      <c r="RN192" s="199">
        <f t="shared" si="165"/>
        <v>470</v>
      </c>
      <c r="RO192" s="200" t="str">
        <f t="shared" ca="1" si="120"/>
        <v>Attente…</v>
      </c>
      <c r="RP192" s="199">
        <f t="shared" si="166"/>
        <v>170</v>
      </c>
      <c r="RQ192" s="200" t="str">
        <f t="shared" ca="1" si="121"/>
        <v>Attente…</v>
      </c>
      <c r="RR192" s="201">
        <f t="shared" si="167"/>
        <v>1590</v>
      </c>
      <c r="RS192" s="202" t="str">
        <f t="shared" ca="1" si="122"/>
        <v>Attente…</v>
      </c>
      <c r="RT192" s="103"/>
      <c r="RU192" s="203">
        <f t="shared" si="168"/>
        <v>0.39750000000000002</v>
      </c>
      <c r="RV192" s="204">
        <f t="shared" si="171"/>
        <v>1</v>
      </c>
      <c r="RW192" s="204">
        <f t="shared" si="171"/>
        <v>1</v>
      </c>
      <c r="RX192" s="204">
        <f t="shared" si="169"/>
        <v>20</v>
      </c>
      <c r="RY192" s="205" t="str">
        <f t="shared" si="170"/>
        <v>ARDOUVAL - 4 Rue des Bouleaux (Suivre panneau "Foyer des Jeunes")</v>
      </c>
      <c r="RZ192" s="189" t="str">
        <f>IF(OR(RZ191="",RZ191="  &lt;/Document&gt;
&lt;/kml&gt;"),"",
IF(B192="","  &lt;/Document&gt;
&lt;/kml&gt;",
IF(TournéesCAV!Q192=""," ",
"    &lt;Placemark&gt;
      &lt;description&gt;&lt;![CDATA["&amp;B192&amp;"&lt;br&gt;&lt;br&gt;"&amp;RV192&amp;" CAV&lt;br&gt;&lt;br&gt;Présent sur "&amp;RW192&amp;" tournée(s)&lt;br&gt;&lt;br&gt;Taux de remplissage moyen "&amp;TEXT(RU192*1000,"0 %")&amp;"]]&gt;&lt;/description&gt;
      &lt;Style&gt;
        &lt;IconStyle&gt;
          &lt;color&gt;ff"&amp;
          DEC2HEX(0,2)&amp;
          DEC2HEX(
            IF(RU192&lt;=0.5,
               INT(255*(RU192*2)),
               255
            ),2)&amp;
          DEC2HEX(
            IF(RU192&lt;=0.5,
               255,
               INT(255*(1-(RU192-0.5)*2))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&lt;Point&gt;&lt;coordinates&gt;"&amp;R192&amp;","&amp;Q192&amp;",0&lt;/coordinates&gt;&lt;/Point&gt;
    &lt;/Placemark&gt;"
)))</f>
        <v xml:space="preserve">    &lt;Placemark&gt;
      &lt;description&gt;&lt;![CDATA[ARDOUVAL - 4 Rue des Bouleaux (Suivre panneau "Foyer des Jeunes")&lt;br&gt;&lt;br&gt;1 CAV&lt;br&gt;&lt;br&gt;Présent sur 1 tournée(s)&lt;br&gt;&lt;br&gt;Taux de remplissage moyen 40%]]&gt;&lt;/description&gt;
      &lt;Style&gt;
        &lt;IconStyle&gt;
          &lt;color&gt;ff00CAFF&lt;/color&gt;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&lt;Point&gt;&lt;coordinates&gt;1.273509,49.746722,0&lt;/coordinates&gt;&lt;/Point&gt;
    &lt;/Placemark&gt;</v>
      </c>
    </row>
    <row r="193" spans="2:494" ht="15" hidden="1" customHeight="1" x14ac:dyDescent="0.35">
      <c r="B193" s="153" t="str">
        <f t="shared" si="123"/>
        <v>BELLENCOMBRE - 2 bis Chemin du Cimetière</v>
      </c>
      <c r="C193" s="154" t="s">
        <v>104</v>
      </c>
      <c r="D193" s="155"/>
      <c r="E193" s="155"/>
      <c r="F193" s="155"/>
      <c r="G193" s="155"/>
      <c r="H193" s="155"/>
      <c r="I193" s="155"/>
      <c r="J193" s="156"/>
      <c r="K193" s="157">
        <f t="shared" si="124"/>
        <v>1</v>
      </c>
      <c r="L193" s="157">
        <f t="shared" si="125"/>
        <v>1</v>
      </c>
      <c r="M193" s="158" t="s">
        <v>1050</v>
      </c>
      <c r="N193" s="159"/>
      <c r="O193" s="159">
        <v>76680</v>
      </c>
      <c r="P193" s="159" t="s">
        <v>1051</v>
      </c>
      <c r="Q193" s="159" t="s">
        <v>1052</v>
      </c>
      <c r="R193" s="159" t="s">
        <v>1053</v>
      </c>
      <c r="S193" s="159"/>
      <c r="T193" s="159" t="s">
        <v>94</v>
      </c>
      <c r="U193" s="159" t="s">
        <v>1054</v>
      </c>
      <c r="V193" s="160" t="s">
        <v>96</v>
      </c>
      <c r="W193" s="161"/>
      <c r="X193" s="162"/>
      <c r="Y193" s="163"/>
      <c r="Z193" s="162"/>
      <c r="AA193" s="163"/>
      <c r="AB193" s="162"/>
      <c r="AC193" s="163"/>
      <c r="AD193" s="162"/>
      <c r="AE193" s="163"/>
      <c r="AF193" s="162"/>
      <c r="AG193" s="163"/>
      <c r="AH193" s="163"/>
      <c r="AI193" s="162"/>
      <c r="AJ193" s="163"/>
      <c r="AK193" s="162">
        <v>7</v>
      </c>
      <c r="AL193" s="163"/>
      <c r="AM193" s="162"/>
      <c r="AN193" s="163"/>
      <c r="AO193" s="162"/>
      <c r="AP193" s="164"/>
      <c r="AQ193" s="164"/>
      <c r="AR193" s="164"/>
      <c r="AS193" s="164"/>
      <c r="AT193" s="164"/>
      <c r="AU193" s="164"/>
      <c r="AV193" s="164"/>
      <c r="AW193" s="164"/>
      <c r="AX193" s="164"/>
      <c r="AY193" s="165"/>
      <c r="AZ193" s="41"/>
      <c r="BA193" s="190"/>
      <c r="BB193" s="191"/>
      <c r="BC193" s="191"/>
      <c r="BD193" s="191"/>
      <c r="BE193" s="191"/>
      <c r="BF193" s="191"/>
      <c r="BG193" s="191"/>
      <c r="BH193" s="191"/>
      <c r="BI193" s="191">
        <v>150</v>
      </c>
      <c r="BJ193" s="191"/>
      <c r="BK193" s="191"/>
      <c r="BL193" s="191"/>
      <c r="BM193" s="191"/>
      <c r="BN193" s="191"/>
      <c r="BO193" s="191"/>
      <c r="BP193" s="191"/>
      <c r="BQ193" s="191"/>
      <c r="BR193" s="191"/>
      <c r="BS193" s="191"/>
      <c r="BT193" s="191"/>
      <c r="BU193" s="191"/>
      <c r="BV193" s="191"/>
      <c r="BW193" s="191"/>
      <c r="BX193" s="191"/>
      <c r="BY193" s="191"/>
      <c r="BZ193" s="191"/>
      <c r="CA193" s="191"/>
      <c r="CB193" s="191"/>
      <c r="CC193" s="191"/>
      <c r="CD193" s="191"/>
      <c r="CE193" s="192"/>
      <c r="CF193" s="190"/>
      <c r="CG193" s="191"/>
      <c r="CH193" s="191"/>
      <c r="CI193" s="191"/>
      <c r="CJ193" s="191"/>
      <c r="CK193" s="191">
        <v>100</v>
      </c>
      <c r="CL193" s="191"/>
      <c r="CM193" s="191"/>
      <c r="CN193" s="191"/>
      <c r="CO193" s="191"/>
      <c r="CP193" s="191"/>
      <c r="CQ193" s="191"/>
      <c r="CR193" s="191"/>
      <c r="CS193" s="191"/>
      <c r="CT193" s="191"/>
      <c r="CU193" s="191"/>
      <c r="CV193" s="191"/>
      <c r="CW193" s="191"/>
      <c r="CX193" s="191"/>
      <c r="CY193" s="191"/>
      <c r="CZ193" s="191"/>
      <c r="DA193" s="191"/>
      <c r="DB193" s="191"/>
      <c r="DC193" s="191"/>
      <c r="DD193" s="191"/>
      <c r="DE193" s="191"/>
      <c r="DF193" s="191"/>
      <c r="DG193" s="191"/>
      <c r="DH193" s="193"/>
      <c r="DI193" s="194"/>
      <c r="DJ193" s="191"/>
      <c r="DK193" s="191"/>
      <c r="DL193" s="191"/>
      <c r="DM193" s="191"/>
      <c r="DN193" s="191"/>
      <c r="DO193" s="191"/>
      <c r="DP193" s="191"/>
      <c r="DQ193" s="191"/>
      <c r="DR193" s="191"/>
      <c r="DS193" s="191"/>
      <c r="DT193" s="191"/>
      <c r="DU193" s="191">
        <v>100</v>
      </c>
      <c r="DV193" s="191"/>
      <c r="DW193" s="191"/>
      <c r="DX193" s="191"/>
      <c r="DY193" s="191"/>
      <c r="DZ193" s="191"/>
      <c r="EA193" s="191"/>
      <c r="EB193" s="191"/>
      <c r="EC193" s="191"/>
      <c r="ED193" s="191"/>
      <c r="EE193" s="191"/>
      <c r="EF193" s="191"/>
      <c r="EG193" s="191"/>
      <c r="EH193" s="191"/>
      <c r="EI193" s="191">
        <v>10</v>
      </c>
      <c r="EJ193" s="191"/>
      <c r="EK193" s="191"/>
      <c r="EL193" s="191"/>
      <c r="EM193" s="192"/>
      <c r="EN193" s="190"/>
      <c r="EO193" s="191"/>
      <c r="EP193" s="191"/>
      <c r="EQ193" s="191"/>
      <c r="ER193" s="191"/>
      <c r="ES193" s="191"/>
      <c r="ET193" s="191"/>
      <c r="EU193" s="191"/>
      <c r="EV193" s="191"/>
      <c r="EW193" s="191">
        <v>100</v>
      </c>
      <c r="EX193" s="191"/>
      <c r="EY193" s="191"/>
      <c r="EZ193" s="191"/>
      <c r="FA193" s="191"/>
      <c r="FB193" s="191"/>
      <c r="FC193" s="191"/>
      <c r="FD193" s="191"/>
      <c r="FE193" s="191"/>
      <c r="FF193" s="191"/>
      <c r="FG193" s="191"/>
      <c r="FH193" s="191"/>
      <c r="FI193" s="191"/>
      <c r="FJ193" s="191"/>
      <c r="FK193" s="191"/>
      <c r="FL193" s="191"/>
      <c r="FM193" s="191"/>
      <c r="FN193" s="191"/>
      <c r="FO193" s="191"/>
      <c r="FP193" s="191"/>
      <c r="FQ193" s="193"/>
      <c r="FR193" s="194"/>
      <c r="FS193" s="191"/>
      <c r="FT193" s="191"/>
      <c r="FU193" s="191"/>
      <c r="FV193" s="191"/>
      <c r="FW193" s="191"/>
      <c r="FX193" s="191"/>
      <c r="FY193" s="191"/>
      <c r="FZ193" s="191"/>
      <c r="GA193" s="191"/>
      <c r="GB193" s="191"/>
      <c r="GC193" s="191"/>
      <c r="GD193" s="191"/>
      <c r="GE193" s="191"/>
      <c r="GF193" s="191">
        <v>100</v>
      </c>
      <c r="GG193" s="191"/>
      <c r="GH193" s="191"/>
      <c r="GI193" s="191"/>
      <c r="GJ193" s="191"/>
      <c r="GK193" s="191"/>
      <c r="GL193" s="191"/>
      <c r="GM193" s="191"/>
      <c r="GN193" s="191"/>
      <c r="GO193" s="191"/>
      <c r="GP193" s="191"/>
      <c r="GQ193" s="191"/>
      <c r="GR193" s="191"/>
      <c r="GS193" s="191"/>
      <c r="GT193" s="191"/>
      <c r="GU193" s="191"/>
      <c r="GV193" s="192"/>
      <c r="GW193" s="190"/>
      <c r="GX193" s="191"/>
      <c r="GY193" s="191"/>
      <c r="GZ193" s="191"/>
      <c r="HA193" s="191">
        <v>10</v>
      </c>
      <c r="HB193" s="191"/>
      <c r="HC193" s="191"/>
      <c r="HD193" s="191"/>
      <c r="HE193" s="191"/>
      <c r="HF193" s="191"/>
      <c r="HG193" s="191"/>
      <c r="HH193" s="191"/>
      <c r="HI193" s="191"/>
      <c r="HJ193" s="191"/>
      <c r="HK193" s="191"/>
      <c r="HL193" s="191"/>
      <c r="HM193" s="191"/>
      <c r="HN193" s="191"/>
      <c r="HO193" s="191"/>
      <c r="HP193" s="191"/>
      <c r="HQ193" s="191"/>
      <c r="HR193" s="191"/>
      <c r="HS193" s="191"/>
      <c r="HT193" s="191"/>
      <c r="HU193" s="191"/>
      <c r="HV193" s="191">
        <v>100</v>
      </c>
      <c r="HW193" s="191"/>
      <c r="HX193" s="191"/>
      <c r="HY193" s="191"/>
      <c r="HZ193" s="193"/>
      <c r="IA193" s="194"/>
      <c r="IB193" s="191"/>
      <c r="IC193" s="191">
        <v>10</v>
      </c>
      <c r="ID193" s="191"/>
      <c r="IE193" s="191"/>
      <c r="IF193" s="191"/>
      <c r="IG193" s="191"/>
      <c r="IH193" s="191"/>
      <c r="II193" s="191"/>
      <c r="IJ193" s="191">
        <v>10</v>
      </c>
      <c r="IK193" s="191"/>
      <c r="IL193" s="191"/>
      <c r="IM193" s="191"/>
      <c r="IN193" s="191"/>
      <c r="IO193" s="191"/>
      <c r="IP193" s="191"/>
      <c r="IQ193" s="191"/>
      <c r="IR193" s="191"/>
      <c r="IS193" s="191"/>
      <c r="IT193" s="191"/>
      <c r="IU193" s="191"/>
      <c r="IV193" s="191"/>
      <c r="IW193" s="191"/>
      <c r="IX193" s="191"/>
      <c r="IY193" s="191"/>
      <c r="IZ193" s="191"/>
      <c r="JA193" s="191"/>
      <c r="JB193" s="191"/>
      <c r="JC193" s="191"/>
      <c r="JD193" s="191"/>
      <c r="JE193" s="192"/>
      <c r="JF193" s="190"/>
      <c r="JG193" s="191"/>
      <c r="JH193" s="191"/>
      <c r="JI193" s="191"/>
      <c r="JJ193" s="191"/>
      <c r="JK193" s="191"/>
      <c r="JL193" s="191">
        <v>10</v>
      </c>
      <c r="JM193" s="191"/>
      <c r="JN193" s="191"/>
      <c r="JO193" s="191"/>
      <c r="JP193" s="191"/>
      <c r="JQ193" s="191"/>
      <c r="JR193" s="191"/>
      <c r="JS193" s="191"/>
      <c r="JT193" s="191"/>
      <c r="JU193" s="191"/>
      <c r="JV193" s="191"/>
      <c r="JW193" s="191"/>
      <c r="JX193" s="191"/>
      <c r="JY193" s="191"/>
      <c r="JZ193" s="191">
        <v>10</v>
      </c>
      <c r="KA193" s="191"/>
      <c r="KB193" s="191"/>
      <c r="KC193" s="191"/>
      <c r="KD193" s="191"/>
      <c r="KE193" s="191"/>
      <c r="KF193" s="191"/>
      <c r="KG193" s="191"/>
      <c r="KH193" s="191"/>
      <c r="KI193" s="191"/>
      <c r="KJ193" s="193"/>
      <c r="KK193" s="194"/>
      <c r="KL193" s="191"/>
      <c r="KM193" s="191"/>
      <c r="KN193" s="191">
        <v>10</v>
      </c>
      <c r="KO193" s="191"/>
      <c r="KP193" s="191"/>
      <c r="KQ193" s="191"/>
      <c r="KR193" s="191"/>
      <c r="KS193" s="191"/>
      <c r="KT193" s="191"/>
      <c r="KU193" s="191"/>
      <c r="KV193" s="191"/>
      <c r="KW193" s="191"/>
      <c r="KX193" s="191"/>
      <c r="KY193" s="191"/>
      <c r="KZ193" s="191"/>
      <c r="LA193" s="191"/>
      <c r="LB193" s="191">
        <v>100</v>
      </c>
      <c r="LC193" s="191"/>
      <c r="LD193" s="191"/>
      <c r="LE193" s="191"/>
      <c r="LF193" s="191"/>
      <c r="LG193" s="191"/>
      <c r="LH193" s="191"/>
      <c r="LI193" s="191">
        <v>10</v>
      </c>
      <c r="LJ193" s="191"/>
      <c r="LK193" s="191"/>
      <c r="LL193" s="191"/>
      <c r="LM193" s="191"/>
      <c r="LN193" s="192"/>
      <c r="LO193" s="190"/>
      <c r="LP193" s="191"/>
      <c r="LQ193" s="191"/>
      <c r="LR193" s="191"/>
      <c r="LS193" s="191"/>
      <c r="LT193" s="191"/>
      <c r="LU193" s="191"/>
      <c r="LV193" s="191"/>
      <c r="LW193" s="191">
        <v>50</v>
      </c>
      <c r="LX193" s="191"/>
      <c r="LY193" s="191"/>
      <c r="LZ193" s="191"/>
      <c r="MA193" s="191"/>
      <c r="MB193" s="191"/>
      <c r="MC193" s="191"/>
      <c r="MD193" s="191"/>
      <c r="ME193" s="191"/>
      <c r="MF193" s="191"/>
      <c r="MG193" s="191"/>
      <c r="MH193" s="191"/>
      <c r="MI193" s="191"/>
      <c r="MJ193" s="191"/>
      <c r="MK193" s="191">
        <v>10</v>
      </c>
      <c r="ML193" s="191"/>
      <c r="MM193" s="191"/>
      <c r="MN193" s="191"/>
      <c r="MO193" s="191"/>
      <c r="MP193" s="191"/>
      <c r="MQ193" s="191"/>
      <c r="MR193" s="191"/>
      <c r="MS193" s="193"/>
      <c r="MT193" s="194"/>
      <c r="MU193" s="191"/>
      <c r="MV193" s="191"/>
      <c r="MW193" s="191"/>
      <c r="MX193" s="191"/>
      <c r="MY193" s="191">
        <v>10</v>
      </c>
      <c r="MZ193" s="191"/>
      <c r="NA193" s="191"/>
      <c r="NB193" s="191"/>
      <c r="NC193" s="191"/>
      <c r="ND193" s="191"/>
      <c r="NE193" s="191"/>
      <c r="NF193" s="191"/>
      <c r="NG193" s="191"/>
      <c r="NH193" s="191"/>
      <c r="NI193" s="191"/>
      <c r="NJ193" s="191"/>
      <c r="NK193" s="191"/>
      <c r="NL193" s="191"/>
      <c r="NM193" s="191"/>
      <c r="NN193" s="191"/>
      <c r="NO193" s="191"/>
      <c r="NP193" s="191"/>
      <c r="NQ193" s="191"/>
      <c r="NR193" s="191"/>
      <c r="NS193" s="191"/>
      <c r="NT193" s="191">
        <v>100</v>
      </c>
      <c r="NU193" s="191"/>
      <c r="NV193" s="191"/>
      <c r="NW193" s="192"/>
      <c r="NX193" s="190"/>
      <c r="NY193" s="191"/>
      <c r="NZ193" s="191"/>
      <c r="OA193" s="191"/>
      <c r="OB193" s="191"/>
      <c r="OC193" s="191"/>
      <c r="OD193" s="191"/>
      <c r="OE193" s="191"/>
      <c r="OF193" s="191"/>
      <c r="OG193" s="191"/>
      <c r="OH193" s="191">
        <v>50</v>
      </c>
      <c r="OI193" s="191"/>
      <c r="OJ193" s="191"/>
      <c r="OK193" s="191"/>
      <c r="OL193" s="191"/>
      <c r="OM193" s="191"/>
      <c r="ON193" s="191"/>
      <c r="OO193" s="191"/>
      <c r="OP193" s="191"/>
      <c r="OQ193" s="191"/>
      <c r="OR193" s="191"/>
      <c r="OS193" s="191"/>
      <c r="OT193" s="191"/>
      <c r="OU193" s="191"/>
      <c r="OV193" s="191"/>
      <c r="OW193" s="191"/>
      <c r="OX193" s="191"/>
      <c r="OY193" s="191"/>
      <c r="OZ193" s="191"/>
      <c r="PA193" s="191"/>
      <c r="PB193" s="193"/>
      <c r="PC193" s="47"/>
      <c r="PD193" s="154" t="s">
        <v>98</v>
      </c>
      <c r="PE193" s="155" t="s">
        <v>98</v>
      </c>
      <c r="PF193" s="155" t="s">
        <v>98</v>
      </c>
      <c r="PG193" s="155" t="s">
        <v>98</v>
      </c>
      <c r="PH193" s="155" t="s">
        <v>98</v>
      </c>
      <c r="PI193" s="155" t="s">
        <v>98</v>
      </c>
      <c r="PJ193" s="155" t="s">
        <v>97</v>
      </c>
      <c r="PK193" s="155" t="s">
        <v>98</v>
      </c>
      <c r="PL193" s="155" t="s">
        <v>98</v>
      </c>
      <c r="PM193" s="155" t="s">
        <v>98</v>
      </c>
      <c r="PN193" s="155" t="s">
        <v>98</v>
      </c>
      <c r="PO193" s="156"/>
      <c r="PP193" s="156"/>
      <c r="PQ193" s="156"/>
      <c r="PR193" s="156"/>
      <c r="PS193" s="156"/>
      <c r="PT193" s="156"/>
      <c r="PU193" s="156"/>
      <c r="PV193" s="156"/>
      <c r="PW193" s="156"/>
      <c r="PX193" s="195"/>
      <c r="PY193" s="1"/>
      <c r="PZ193" s="196">
        <f t="shared" si="126"/>
        <v>150</v>
      </c>
      <c r="QA193" s="218">
        <f t="shared" si="127"/>
        <v>1.2513556352715441E-3</v>
      </c>
      <c r="QB193" s="219" t="str">
        <f t="shared" ca="1" si="128"/>
        <v>Attente…</v>
      </c>
      <c r="QC193" s="197">
        <f t="shared" si="129"/>
        <v>100</v>
      </c>
      <c r="QD193" s="220">
        <f t="shared" si="130"/>
        <v>9.3632958801498128E-4</v>
      </c>
      <c r="QE193" s="221" t="str">
        <f t="shared" ca="1" si="131"/>
        <v>Attente…</v>
      </c>
      <c r="QF193" s="196">
        <f t="shared" si="132"/>
        <v>110</v>
      </c>
      <c r="QG193" s="218">
        <f t="shared" si="133"/>
        <v>8.7593565854435424E-4</v>
      </c>
      <c r="QH193" s="219" t="str">
        <f t="shared" ca="1" si="134"/>
        <v>Attente…</v>
      </c>
      <c r="QI193" s="197">
        <f t="shared" si="135"/>
        <v>100</v>
      </c>
      <c r="QJ193" s="220">
        <f t="shared" si="136"/>
        <v>7.0136063964090333E-4</v>
      </c>
      <c r="QK193" s="221" t="str">
        <f t="shared" ca="1" si="137"/>
        <v>Attente…</v>
      </c>
      <c r="QL193" s="196">
        <f t="shared" si="138"/>
        <v>100</v>
      </c>
      <c r="QM193" s="218">
        <f t="shared" si="139"/>
        <v>7.3163593795727241E-4</v>
      </c>
      <c r="QN193" s="219" t="str">
        <f t="shared" ca="1" si="140"/>
        <v>Attente…</v>
      </c>
      <c r="QO193" s="197">
        <f t="shared" si="141"/>
        <v>110</v>
      </c>
      <c r="QP193" s="220">
        <f t="shared" si="142"/>
        <v>8.6119157598058406E-4</v>
      </c>
      <c r="QQ193" s="221" t="str">
        <f t="shared" ca="1" si="143"/>
        <v>Attente…</v>
      </c>
      <c r="QR193" s="196">
        <f t="shared" si="144"/>
        <v>20</v>
      </c>
      <c r="QS193" s="218">
        <f t="shared" si="145"/>
        <v>1.4398329793743927E-4</v>
      </c>
      <c r="QT193" s="219" t="str">
        <f t="shared" ca="1" si="146"/>
        <v>Attente…</v>
      </c>
      <c r="QU193" s="197">
        <f t="shared" si="147"/>
        <v>20</v>
      </c>
      <c r="QV193" s="220">
        <f t="shared" si="148"/>
        <v>1.3789299503585219E-4</v>
      </c>
      <c r="QW193" s="221" t="str">
        <f t="shared" ca="1" si="149"/>
        <v>Attente…</v>
      </c>
      <c r="QX193" s="196">
        <f t="shared" si="150"/>
        <v>120</v>
      </c>
      <c r="QY193" s="218">
        <f t="shared" si="151"/>
        <v>8.7568230246066732E-4</v>
      </c>
      <c r="QZ193" s="219" t="str">
        <f t="shared" ca="1" si="152"/>
        <v>Attente…</v>
      </c>
      <c r="RA193" s="197">
        <f t="shared" si="153"/>
        <v>60</v>
      </c>
      <c r="RB193" s="220">
        <f t="shared" si="154"/>
        <v>4.6944683514591975E-4</v>
      </c>
      <c r="RC193" s="221" t="str">
        <f t="shared" ca="1" si="155"/>
        <v>Attente…</v>
      </c>
      <c r="RD193" s="196">
        <f t="shared" si="156"/>
        <v>110</v>
      </c>
      <c r="RE193" s="218">
        <f t="shared" si="157"/>
        <v>1.096054204862495E-3</v>
      </c>
      <c r="RF193" s="219" t="str">
        <f t="shared" ca="1" si="158"/>
        <v>Attente…</v>
      </c>
      <c r="RG193" s="197">
        <f t="shared" si="159"/>
        <v>50</v>
      </c>
      <c r="RH193" s="220">
        <f t="shared" si="160"/>
        <v>9.1962479308442156E-4</v>
      </c>
      <c r="RI193" s="222" t="str">
        <f t="shared" ca="1" si="161"/>
        <v>Attente…</v>
      </c>
      <c r="RJ193" s="199">
        <f t="shared" si="162"/>
        <v>360</v>
      </c>
      <c r="RK193" s="200" t="str">
        <f t="shared" ca="1" si="119"/>
        <v>Attente…</v>
      </c>
      <c r="RL193" s="199">
        <f t="shared" si="163"/>
        <v>310</v>
      </c>
      <c r="RM193" s="200" t="str">
        <f t="shared" ca="1" si="164"/>
        <v>Atttente…</v>
      </c>
      <c r="RN193" s="199">
        <f t="shared" si="165"/>
        <v>160</v>
      </c>
      <c r="RO193" s="200" t="str">
        <f t="shared" ca="1" si="120"/>
        <v>Attente…</v>
      </c>
      <c r="RP193" s="199">
        <f t="shared" si="166"/>
        <v>220</v>
      </c>
      <c r="RQ193" s="200" t="str">
        <f t="shared" ca="1" si="121"/>
        <v>Attente…</v>
      </c>
      <c r="RR193" s="201">
        <f t="shared" si="167"/>
        <v>1050</v>
      </c>
      <c r="RS193" s="202" t="str">
        <f t="shared" ca="1" si="122"/>
        <v>Attente…</v>
      </c>
      <c r="RT193" s="103"/>
      <c r="RU193" s="203">
        <f t="shared" si="168"/>
        <v>0.26250000000000001</v>
      </c>
      <c r="RV193" s="204">
        <f t="shared" si="171"/>
        <v>1</v>
      </c>
      <c r="RW193" s="204">
        <f t="shared" si="171"/>
        <v>1</v>
      </c>
      <c r="RX193" s="204">
        <f t="shared" si="169"/>
        <v>20</v>
      </c>
      <c r="RY193" s="205" t="str">
        <f t="shared" si="170"/>
        <v>BELLENCOMBRE - 2 bis Chemin du Cimetière</v>
      </c>
      <c r="RZ193" s="189" t="str">
        <f>IF(OR(RZ192="",RZ192="  &lt;/Document&gt;
&lt;/kml&gt;"),"",
IF(B193="","  &lt;/Document&gt;
&lt;/kml&gt;",
IF(TournéesCAV!Q193=""," ",
"    &lt;Placemark&gt;
      &lt;description&gt;&lt;![CDATA["&amp;B193&amp;"&lt;br&gt;&lt;br&gt;"&amp;RV193&amp;" CAV&lt;br&gt;&lt;br&gt;Présent sur "&amp;RW193&amp;" tournée(s)&lt;br&gt;&lt;br&gt;Taux de remplissage moyen "&amp;TEXT(RU193*1000,"0 %")&amp;"]]&gt;&lt;/description&gt;
      &lt;Style&gt;
        &lt;IconStyle&gt;
          &lt;color&gt;ff"&amp;
          DEC2HEX(0,2)&amp;
          DEC2HEX(
            IF(RU193&lt;=0.5,
               INT(255*(RU193*2)),
               255
            ),2)&amp;
          DEC2HEX(
            IF(RU193&lt;=0.5,
               255,
               INT(255*(1-(RU193-0.5)*2))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&lt;Point&gt;&lt;coordinates&gt;"&amp;R193&amp;","&amp;Q193&amp;",0&lt;/coordinates&gt;&lt;/Point&gt;
    &lt;/Placemark&gt;"
)))</f>
        <v xml:space="preserve">    &lt;Placemark&gt;
      &lt;description&gt;&lt;![CDATA[BELLENCOMBRE - 2 bis Chemin du Cimetière&lt;br&gt;&lt;br&gt;1 CAV&lt;br&gt;&lt;br&gt;Présent sur 1 tournée(s)&lt;br&gt;&lt;br&gt;Taux de remplissage moyen 26%]]&gt;&lt;/description&gt;
      &lt;Style&gt;
        &lt;IconStyle&gt;
          &lt;color&gt;ff0085FF&lt;/color&gt;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&lt;Point&gt;&lt;coordinates&gt;1.2251442,49.7067743,0&lt;/coordinates&gt;&lt;/Point&gt;
    &lt;/Placemark&gt;</v>
      </c>
    </row>
    <row r="194" spans="2:494" ht="15" hidden="1" customHeight="1" x14ac:dyDescent="0.35">
      <c r="B194" s="153" t="str">
        <f t="shared" si="123"/>
        <v>COTTEVRARD - 77 Place de l'Eglise (En face de l'église - Parking au fond)</v>
      </c>
      <c r="C194" s="154" t="s">
        <v>104</v>
      </c>
      <c r="D194" s="155"/>
      <c r="E194" s="155"/>
      <c r="F194" s="155"/>
      <c r="G194" s="155"/>
      <c r="H194" s="155"/>
      <c r="I194" s="155"/>
      <c r="J194" s="156"/>
      <c r="K194" s="157">
        <f t="shared" si="124"/>
        <v>1</v>
      </c>
      <c r="L194" s="157">
        <f t="shared" si="125"/>
        <v>1</v>
      </c>
      <c r="M194" s="158" t="s">
        <v>1055</v>
      </c>
      <c r="N194" s="159" t="s">
        <v>1056</v>
      </c>
      <c r="O194" s="159">
        <v>76850</v>
      </c>
      <c r="P194" s="159" t="s">
        <v>1057</v>
      </c>
      <c r="Q194" s="159" t="s">
        <v>1058</v>
      </c>
      <c r="R194" s="159" t="s">
        <v>1059</v>
      </c>
      <c r="S194" s="159"/>
      <c r="T194" s="159" t="s">
        <v>94</v>
      </c>
      <c r="U194" s="159" t="s">
        <v>1060</v>
      </c>
      <c r="V194" s="160" t="s">
        <v>96</v>
      </c>
      <c r="W194" s="161"/>
      <c r="X194" s="162"/>
      <c r="Y194" s="163"/>
      <c r="Z194" s="162"/>
      <c r="AA194" s="163"/>
      <c r="AB194" s="162"/>
      <c r="AC194" s="163"/>
      <c r="AD194" s="162"/>
      <c r="AE194" s="163"/>
      <c r="AF194" s="162"/>
      <c r="AG194" s="163"/>
      <c r="AH194" s="163"/>
      <c r="AI194" s="162"/>
      <c r="AJ194" s="163"/>
      <c r="AK194" s="162">
        <v>8</v>
      </c>
      <c r="AL194" s="163"/>
      <c r="AM194" s="162"/>
      <c r="AN194" s="163"/>
      <c r="AO194" s="162"/>
      <c r="AP194" s="164"/>
      <c r="AQ194" s="164"/>
      <c r="AR194" s="164"/>
      <c r="AS194" s="164"/>
      <c r="AT194" s="164"/>
      <c r="AU194" s="164"/>
      <c r="AV194" s="164"/>
      <c r="AW194" s="164"/>
      <c r="AX194" s="164"/>
      <c r="AY194" s="165"/>
      <c r="AZ194" s="41"/>
      <c r="BA194" s="190"/>
      <c r="BB194" s="191"/>
      <c r="BC194" s="191"/>
      <c r="BD194" s="191"/>
      <c r="BE194" s="191"/>
      <c r="BF194" s="191"/>
      <c r="BG194" s="191"/>
      <c r="BH194" s="191"/>
      <c r="BI194" s="191">
        <v>100</v>
      </c>
      <c r="BJ194" s="191"/>
      <c r="BK194" s="191"/>
      <c r="BL194" s="191"/>
      <c r="BM194" s="191"/>
      <c r="BN194" s="191"/>
      <c r="BO194" s="191"/>
      <c r="BP194" s="191"/>
      <c r="BQ194" s="191"/>
      <c r="BR194" s="191"/>
      <c r="BS194" s="191"/>
      <c r="BT194" s="191"/>
      <c r="BU194" s="191"/>
      <c r="BV194" s="191"/>
      <c r="BW194" s="191"/>
      <c r="BX194" s="191"/>
      <c r="BY194" s="191"/>
      <c r="BZ194" s="191"/>
      <c r="CA194" s="191"/>
      <c r="CB194" s="191"/>
      <c r="CC194" s="191"/>
      <c r="CD194" s="191"/>
      <c r="CE194" s="192"/>
      <c r="CF194" s="190"/>
      <c r="CG194" s="191"/>
      <c r="CH194" s="191"/>
      <c r="CI194" s="191"/>
      <c r="CJ194" s="191"/>
      <c r="CK194" s="191"/>
      <c r="CL194" s="191"/>
      <c r="CM194" s="191"/>
      <c r="CN194" s="191"/>
      <c r="CO194" s="191"/>
      <c r="CP194" s="191"/>
      <c r="CQ194" s="191"/>
      <c r="CR194" s="191"/>
      <c r="CS194" s="191"/>
      <c r="CT194" s="191"/>
      <c r="CU194" s="191"/>
      <c r="CV194" s="191"/>
      <c r="CW194" s="191"/>
      <c r="CX194" s="191"/>
      <c r="CY194" s="191"/>
      <c r="CZ194" s="191"/>
      <c r="DA194" s="191"/>
      <c r="DB194" s="191"/>
      <c r="DC194" s="191"/>
      <c r="DD194" s="191"/>
      <c r="DE194" s="191"/>
      <c r="DF194" s="191"/>
      <c r="DG194" s="191"/>
      <c r="DH194" s="193"/>
      <c r="DI194" s="194"/>
      <c r="DJ194" s="191"/>
      <c r="DK194" s="191"/>
      <c r="DL194" s="191"/>
      <c r="DM194" s="191"/>
      <c r="DN194" s="191"/>
      <c r="DO194" s="191"/>
      <c r="DP194" s="191"/>
      <c r="DQ194" s="191"/>
      <c r="DR194" s="191"/>
      <c r="DS194" s="191"/>
      <c r="DT194" s="191"/>
      <c r="DU194" s="191">
        <v>100</v>
      </c>
      <c r="DV194" s="191"/>
      <c r="DW194" s="191"/>
      <c r="DX194" s="191"/>
      <c r="DY194" s="191"/>
      <c r="DZ194" s="191"/>
      <c r="EA194" s="191"/>
      <c r="EB194" s="191"/>
      <c r="EC194" s="191"/>
      <c r="ED194" s="191"/>
      <c r="EE194" s="191"/>
      <c r="EF194" s="191"/>
      <c r="EG194" s="191"/>
      <c r="EH194" s="191"/>
      <c r="EI194" s="191">
        <v>50</v>
      </c>
      <c r="EJ194" s="191"/>
      <c r="EK194" s="191"/>
      <c r="EL194" s="191"/>
      <c r="EM194" s="192"/>
      <c r="EN194" s="190"/>
      <c r="EO194" s="191"/>
      <c r="EP194" s="191"/>
      <c r="EQ194" s="191"/>
      <c r="ER194" s="191"/>
      <c r="ES194" s="191"/>
      <c r="ET194" s="191"/>
      <c r="EU194" s="191"/>
      <c r="EV194" s="191"/>
      <c r="EW194" s="191">
        <v>50</v>
      </c>
      <c r="EX194" s="191"/>
      <c r="EY194" s="191"/>
      <c r="EZ194" s="191"/>
      <c r="FA194" s="191"/>
      <c r="FB194" s="191"/>
      <c r="FC194" s="191"/>
      <c r="FD194" s="191"/>
      <c r="FE194" s="191"/>
      <c r="FF194" s="191"/>
      <c r="FG194" s="191"/>
      <c r="FH194" s="191"/>
      <c r="FI194" s="191"/>
      <c r="FJ194" s="191"/>
      <c r="FK194" s="191"/>
      <c r="FL194" s="191"/>
      <c r="FM194" s="191"/>
      <c r="FN194" s="191"/>
      <c r="FO194" s="191"/>
      <c r="FP194" s="191"/>
      <c r="FQ194" s="193"/>
      <c r="FR194" s="194"/>
      <c r="FS194" s="191"/>
      <c r="FT194" s="191"/>
      <c r="FU194" s="191"/>
      <c r="FV194" s="191"/>
      <c r="FW194" s="191"/>
      <c r="FX194" s="191"/>
      <c r="FY194" s="191"/>
      <c r="FZ194" s="191"/>
      <c r="GA194" s="191"/>
      <c r="GB194" s="191"/>
      <c r="GC194" s="191"/>
      <c r="GD194" s="191"/>
      <c r="GE194" s="191"/>
      <c r="GF194" s="191">
        <v>100</v>
      </c>
      <c r="GG194" s="191"/>
      <c r="GH194" s="191"/>
      <c r="GI194" s="191"/>
      <c r="GJ194" s="191"/>
      <c r="GK194" s="191"/>
      <c r="GL194" s="191"/>
      <c r="GM194" s="191"/>
      <c r="GN194" s="191"/>
      <c r="GO194" s="191"/>
      <c r="GP194" s="191"/>
      <c r="GQ194" s="191"/>
      <c r="GR194" s="191"/>
      <c r="GS194" s="191"/>
      <c r="GT194" s="191"/>
      <c r="GU194" s="191"/>
      <c r="GV194" s="192"/>
      <c r="GW194" s="190"/>
      <c r="GX194" s="191"/>
      <c r="GY194" s="191"/>
      <c r="GZ194" s="191"/>
      <c r="HA194" s="191">
        <v>150</v>
      </c>
      <c r="HB194" s="191"/>
      <c r="HC194" s="191"/>
      <c r="HD194" s="191"/>
      <c r="HE194" s="191"/>
      <c r="HF194" s="191"/>
      <c r="HG194" s="191"/>
      <c r="HH194" s="191"/>
      <c r="HI194" s="191"/>
      <c r="HJ194" s="191"/>
      <c r="HK194" s="191"/>
      <c r="HL194" s="191"/>
      <c r="HM194" s="191"/>
      <c r="HN194" s="191"/>
      <c r="HO194" s="191"/>
      <c r="HP194" s="191"/>
      <c r="HQ194" s="191"/>
      <c r="HR194" s="191"/>
      <c r="HS194" s="191"/>
      <c r="HT194" s="191"/>
      <c r="HU194" s="191"/>
      <c r="HV194" s="191">
        <v>50</v>
      </c>
      <c r="HW194" s="191"/>
      <c r="HX194" s="191"/>
      <c r="HY194" s="191"/>
      <c r="HZ194" s="193"/>
      <c r="IA194" s="194"/>
      <c r="IB194" s="191"/>
      <c r="IC194" s="191">
        <v>50</v>
      </c>
      <c r="ID194" s="191"/>
      <c r="IE194" s="191"/>
      <c r="IF194" s="191"/>
      <c r="IG194" s="191"/>
      <c r="IH194" s="191"/>
      <c r="II194" s="191"/>
      <c r="IJ194" s="191">
        <v>10</v>
      </c>
      <c r="IK194" s="191"/>
      <c r="IL194" s="191"/>
      <c r="IM194" s="191"/>
      <c r="IN194" s="191"/>
      <c r="IO194" s="191"/>
      <c r="IP194" s="191"/>
      <c r="IQ194" s="191"/>
      <c r="IR194" s="191"/>
      <c r="IS194" s="191"/>
      <c r="IT194" s="191"/>
      <c r="IU194" s="191"/>
      <c r="IV194" s="191"/>
      <c r="IW194" s="191"/>
      <c r="IX194" s="191"/>
      <c r="IY194" s="191"/>
      <c r="IZ194" s="191"/>
      <c r="JA194" s="191"/>
      <c r="JB194" s="191"/>
      <c r="JC194" s="191"/>
      <c r="JD194" s="191"/>
      <c r="JE194" s="192"/>
      <c r="JF194" s="190"/>
      <c r="JG194" s="191"/>
      <c r="JH194" s="191"/>
      <c r="JI194" s="191"/>
      <c r="JJ194" s="191"/>
      <c r="JK194" s="191"/>
      <c r="JL194" s="191">
        <v>150</v>
      </c>
      <c r="JM194" s="191"/>
      <c r="JN194" s="191"/>
      <c r="JO194" s="191"/>
      <c r="JP194" s="191"/>
      <c r="JQ194" s="191"/>
      <c r="JR194" s="191"/>
      <c r="JS194" s="191"/>
      <c r="JT194" s="191"/>
      <c r="JU194" s="191"/>
      <c r="JV194" s="191"/>
      <c r="JW194" s="191"/>
      <c r="JX194" s="191"/>
      <c r="JY194" s="191"/>
      <c r="JZ194" s="191">
        <v>10</v>
      </c>
      <c r="KA194" s="191"/>
      <c r="KB194" s="191"/>
      <c r="KC194" s="191"/>
      <c r="KD194" s="191"/>
      <c r="KE194" s="191"/>
      <c r="KF194" s="191"/>
      <c r="KG194" s="191"/>
      <c r="KH194" s="191"/>
      <c r="KI194" s="191"/>
      <c r="KJ194" s="193"/>
      <c r="KK194" s="194"/>
      <c r="KL194" s="191"/>
      <c r="KM194" s="191"/>
      <c r="KN194" s="191">
        <v>50</v>
      </c>
      <c r="KO194" s="191"/>
      <c r="KP194" s="191"/>
      <c r="KQ194" s="191"/>
      <c r="KR194" s="191"/>
      <c r="KS194" s="191"/>
      <c r="KT194" s="191"/>
      <c r="KU194" s="191"/>
      <c r="KV194" s="191"/>
      <c r="KW194" s="191"/>
      <c r="KX194" s="191"/>
      <c r="KY194" s="191"/>
      <c r="KZ194" s="191"/>
      <c r="LA194" s="191"/>
      <c r="LB194" s="191">
        <v>50</v>
      </c>
      <c r="LC194" s="191"/>
      <c r="LD194" s="191"/>
      <c r="LE194" s="191"/>
      <c r="LF194" s="191"/>
      <c r="LG194" s="191"/>
      <c r="LH194" s="191"/>
      <c r="LI194" s="191">
        <v>50</v>
      </c>
      <c r="LJ194" s="191"/>
      <c r="LK194" s="191"/>
      <c r="LL194" s="191"/>
      <c r="LM194" s="191"/>
      <c r="LN194" s="192"/>
      <c r="LO194" s="190"/>
      <c r="LP194" s="191"/>
      <c r="LQ194" s="191"/>
      <c r="LR194" s="191"/>
      <c r="LS194" s="191"/>
      <c r="LT194" s="191"/>
      <c r="LU194" s="191"/>
      <c r="LV194" s="191"/>
      <c r="LW194" s="191">
        <v>10</v>
      </c>
      <c r="LX194" s="191"/>
      <c r="LY194" s="191"/>
      <c r="LZ194" s="191"/>
      <c r="MA194" s="191"/>
      <c r="MB194" s="191"/>
      <c r="MC194" s="191"/>
      <c r="MD194" s="191"/>
      <c r="ME194" s="191"/>
      <c r="MF194" s="191"/>
      <c r="MG194" s="191"/>
      <c r="MH194" s="191"/>
      <c r="MI194" s="191"/>
      <c r="MJ194" s="191"/>
      <c r="MK194" s="191">
        <v>150</v>
      </c>
      <c r="ML194" s="191"/>
      <c r="MM194" s="191"/>
      <c r="MN194" s="191"/>
      <c r="MO194" s="191"/>
      <c r="MP194" s="191"/>
      <c r="MQ194" s="191"/>
      <c r="MR194" s="191"/>
      <c r="MS194" s="193"/>
      <c r="MT194" s="194"/>
      <c r="MU194" s="191"/>
      <c r="MV194" s="191"/>
      <c r="MW194" s="191"/>
      <c r="MX194" s="191"/>
      <c r="MY194" s="191">
        <v>50</v>
      </c>
      <c r="MZ194" s="191"/>
      <c r="NA194" s="191"/>
      <c r="NB194" s="191"/>
      <c r="NC194" s="191"/>
      <c r="ND194" s="191"/>
      <c r="NE194" s="191"/>
      <c r="NF194" s="191"/>
      <c r="NG194" s="191"/>
      <c r="NH194" s="191"/>
      <c r="NI194" s="191"/>
      <c r="NJ194" s="191"/>
      <c r="NK194" s="191"/>
      <c r="NL194" s="191"/>
      <c r="NM194" s="191"/>
      <c r="NN194" s="191"/>
      <c r="NO194" s="191"/>
      <c r="NP194" s="191"/>
      <c r="NQ194" s="191"/>
      <c r="NR194" s="191"/>
      <c r="NS194" s="191"/>
      <c r="NT194" s="191">
        <v>100</v>
      </c>
      <c r="NU194" s="191"/>
      <c r="NV194" s="191"/>
      <c r="NW194" s="192"/>
      <c r="NX194" s="190"/>
      <c r="NY194" s="191"/>
      <c r="NZ194" s="191"/>
      <c r="OA194" s="191"/>
      <c r="OB194" s="191"/>
      <c r="OC194" s="191"/>
      <c r="OD194" s="191"/>
      <c r="OE194" s="191"/>
      <c r="OF194" s="191"/>
      <c r="OG194" s="191"/>
      <c r="OH194" s="191">
        <v>100</v>
      </c>
      <c r="OI194" s="191"/>
      <c r="OJ194" s="191"/>
      <c r="OK194" s="191"/>
      <c r="OL194" s="191"/>
      <c r="OM194" s="191"/>
      <c r="ON194" s="191"/>
      <c r="OO194" s="191"/>
      <c r="OP194" s="191"/>
      <c r="OQ194" s="191"/>
      <c r="OR194" s="191"/>
      <c r="OS194" s="191"/>
      <c r="OT194" s="191"/>
      <c r="OU194" s="191"/>
      <c r="OV194" s="191"/>
      <c r="OW194" s="191"/>
      <c r="OX194" s="191"/>
      <c r="OY194" s="191"/>
      <c r="OZ194" s="191"/>
      <c r="PA194" s="191"/>
      <c r="PB194" s="193"/>
      <c r="PC194" s="47"/>
      <c r="PD194" s="154" t="s">
        <v>98</v>
      </c>
      <c r="PE194" s="155" t="s">
        <v>98</v>
      </c>
      <c r="PF194" s="155" t="s">
        <v>98</v>
      </c>
      <c r="PG194" s="155" t="s">
        <v>98</v>
      </c>
      <c r="PH194" s="155" t="s">
        <v>98</v>
      </c>
      <c r="PI194" s="155" t="s">
        <v>98</v>
      </c>
      <c r="PJ194" s="155" t="s">
        <v>98</v>
      </c>
      <c r="PK194" s="155" t="s">
        <v>98</v>
      </c>
      <c r="PL194" s="155" t="s">
        <v>97</v>
      </c>
      <c r="PM194" s="155" t="s">
        <v>98</v>
      </c>
      <c r="PN194" s="155" t="s">
        <v>98</v>
      </c>
      <c r="PO194" s="156"/>
      <c r="PP194" s="156"/>
      <c r="PQ194" s="156"/>
      <c r="PR194" s="156"/>
      <c r="PS194" s="156"/>
      <c r="PT194" s="156"/>
      <c r="PU194" s="156"/>
      <c r="PV194" s="156"/>
      <c r="PW194" s="156"/>
      <c r="PX194" s="195"/>
      <c r="PY194" s="1"/>
      <c r="PZ194" s="196">
        <f t="shared" si="126"/>
        <v>100</v>
      </c>
      <c r="QA194" s="218">
        <f t="shared" si="127"/>
        <v>8.3423709018102946E-4</v>
      </c>
      <c r="QB194" s="219" t="str">
        <f t="shared" ca="1" si="128"/>
        <v>Attente…</v>
      </c>
      <c r="QC194" s="197">
        <f t="shared" si="129"/>
        <v>0</v>
      </c>
      <c r="QD194" s="220">
        <f t="shared" si="130"/>
        <v>0</v>
      </c>
      <c r="QE194" s="221" t="str">
        <f t="shared" ca="1" si="131"/>
        <v>Attente…</v>
      </c>
      <c r="QF194" s="196">
        <f t="shared" si="132"/>
        <v>150</v>
      </c>
      <c r="QG194" s="218">
        <f t="shared" si="133"/>
        <v>1.1944577161968467E-3</v>
      </c>
      <c r="QH194" s="219" t="str">
        <f t="shared" ca="1" si="134"/>
        <v>Attente…</v>
      </c>
      <c r="QI194" s="197">
        <f t="shared" si="135"/>
        <v>50</v>
      </c>
      <c r="QJ194" s="220">
        <f t="shared" si="136"/>
        <v>3.5068031982045167E-4</v>
      </c>
      <c r="QK194" s="221" t="str">
        <f t="shared" ca="1" si="137"/>
        <v>Attente…</v>
      </c>
      <c r="QL194" s="196">
        <f t="shared" si="138"/>
        <v>100</v>
      </c>
      <c r="QM194" s="218">
        <f t="shared" si="139"/>
        <v>7.3163593795727241E-4</v>
      </c>
      <c r="QN194" s="219" t="str">
        <f t="shared" ca="1" si="140"/>
        <v>Attente…</v>
      </c>
      <c r="QO194" s="197">
        <f t="shared" si="141"/>
        <v>200</v>
      </c>
      <c r="QP194" s="220">
        <f t="shared" si="142"/>
        <v>1.5658028654192437E-3</v>
      </c>
      <c r="QQ194" s="221" t="str">
        <f t="shared" ca="1" si="143"/>
        <v>Attente…</v>
      </c>
      <c r="QR194" s="196">
        <f t="shared" si="144"/>
        <v>60</v>
      </c>
      <c r="QS194" s="218">
        <f t="shared" si="145"/>
        <v>4.3194989381231777E-4</v>
      </c>
      <c r="QT194" s="219" t="str">
        <f t="shared" ca="1" si="146"/>
        <v>Attente…</v>
      </c>
      <c r="QU194" s="197">
        <f t="shared" si="147"/>
        <v>160</v>
      </c>
      <c r="QV194" s="220">
        <f t="shared" si="148"/>
        <v>1.1031439602868175E-3</v>
      </c>
      <c r="QW194" s="221" t="str">
        <f t="shared" ca="1" si="149"/>
        <v>Attente…</v>
      </c>
      <c r="QX194" s="196">
        <f t="shared" si="150"/>
        <v>150</v>
      </c>
      <c r="QY194" s="218">
        <f t="shared" si="151"/>
        <v>1.0946028780758341E-3</v>
      </c>
      <c r="QZ194" s="219" t="str">
        <f t="shared" ca="1" si="152"/>
        <v>Attente…</v>
      </c>
      <c r="RA194" s="197">
        <f t="shared" si="153"/>
        <v>160</v>
      </c>
      <c r="RB194" s="220">
        <f t="shared" si="154"/>
        <v>1.2518582270557859E-3</v>
      </c>
      <c r="RC194" s="221" t="str">
        <f t="shared" ca="1" si="155"/>
        <v>Attente…</v>
      </c>
      <c r="RD194" s="196">
        <f t="shared" si="156"/>
        <v>150</v>
      </c>
      <c r="RE194" s="218">
        <f t="shared" si="157"/>
        <v>1.4946193702670386E-3</v>
      </c>
      <c r="RF194" s="219" t="str">
        <f t="shared" ca="1" si="158"/>
        <v>Attente…</v>
      </c>
      <c r="RG194" s="197">
        <f t="shared" si="159"/>
        <v>100</v>
      </c>
      <c r="RH194" s="220">
        <f t="shared" si="160"/>
        <v>1.8392495861688431E-3</v>
      </c>
      <c r="RI194" s="222" t="str">
        <f t="shared" ca="1" si="161"/>
        <v>Attente…</v>
      </c>
      <c r="RJ194" s="199">
        <f t="shared" si="162"/>
        <v>250</v>
      </c>
      <c r="RK194" s="200" t="str">
        <f t="shared" ca="1" si="119"/>
        <v>Attente…</v>
      </c>
      <c r="RL194" s="199">
        <f t="shared" si="163"/>
        <v>350</v>
      </c>
      <c r="RM194" s="200" t="str">
        <f t="shared" ca="1" si="164"/>
        <v>Atttente…</v>
      </c>
      <c r="RN194" s="199">
        <f t="shared" si="165"/>
        <v>370</v>
      </c>
      <c r="RO194" s="200" t="str">
        <f t="shared" ca="1" si="120"/>
        <v>Attente…</v>
      </c>
      <c r="RP194" s="199">
        <f t="shared" si="166"/>
        <v>410</v>
      </c>
      <c r="RQ194" s="200" t="str">
        <f t="shared" ca="1" si="121"/>
        <v>Attente…</v>
      </c>
      <c r="RR194" s="201">
        <f t="shared" si="167"/>
        <v>1380</v>
      </c>
      <c r="RS194" s="202" t="str">
        <f t="shared" ca="1" si="122"/>
        <v>Attente…</v>
      </c>
      <c r="RT194" s="103"/>
      <c r="RU194" s="203">
        <f t="shared" si="168"/>
        <v>0.36315789473684212</v>
      </c>
      <c r="RV194" s="204">
        <f t="shared" si="171"/>
        <v>1</v>
      </c>
      <c r="RW194" s="204">
        <f t="shared" si="171"/>
        <v>1</v>
      </c>
      <c r="RX194" s="204">
        <f t="shared" si="169"/>
        <v>19</v>
      </c>
      <c r="RY194" s="205" t="str">
        <f t="shared" si="170"/>
        <v>COTTEVRARD - 77 Place de l'Eglise (En face de l'église - Parking au fond)</v>
      </c>
      <c r="RZ194" s="189" t="str">
        <f>IF(OR(RZ193="",RZ193="  &lt;/Document&gt;
&lt;/kml&gt;"),"",
IF(B194="","  &lt;/Document&gt;
&lt;/kml&gt;",
IF(TournéesCAV!Q194=""," ",
"    &lt;Placemark&gt;
      &lt;description&gt;&lt;![CDATA["&amp;B194&amp;"&lt;br&gt;&lt;br&gt;"&amp;RV194&amp;" CAV&lt;br&gt;&lt;br&gt;Présent sur "&amp;RW194&amp;" tournée(s)&lt;br&gt;&lt;br&gt;Taux de remplissage moyen "&amp;TEXT(RU194*1000,"0 %")&amp;"]]&gt;&lt;/description&gt;
      &lt;Style&gt;
        &lt;IconStyle&gt;
          &lt;color&gt;ff"&amp;
          DEC2HEX(0,2)&amp;
          DEC2HEX(
            IF(RU194&lt;=0.5,
               INT(255*(RU194*2)),
               255
            ),2)&amp;
          DEC2HEX(
            IF(RU194&lt;=0.5,
               255,
               INT(255*(1-(RU194-0.5)*2))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&lt;Point&gt;&lt;coordinates&gt;"&amp;R194&amp;","&amp;Q194&amp;",0&lt;/coordinates&gt;&lt;/Point&gt;
    &lt;/Placemark&gt;"
)))</f>
        <v xml:space="preserve">    &lt;Placemark&gt;
      &lt;description&gt;&lt;![CDATA[COTTEVRARD - 77 Place de l'Eglise (En face de l'église - Parking au fond)&lt;br&gt;&lt;br&gt;1 CAV&lt;br&gt;&lt;br&gt;Présent sur 1 tournée(s)&lt;br&gt;&lt;br&gt;Taux de remplissage moyen 36%]]&gt;&lt;/description&gt;
      &lt;Style&gt;
        &lt;IconStyle&gt;
          &lt;color&gt;ff00B9FF&lt;/color&gt;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&lt;Point&gt;&lt;coordinates&gt;1.2212548,49.6318038,0&lt;/coordinates&gt;&lt;/Point&gt;
    &lt;/Placemark&gt;</v>
      </c>
    </row>
    <row r="195" spans="2:494" ht="15" hidden="1" customHeight="1" x14ac:dyDescent="0.35">
      <c r="B195" s="153" t="str">
        <f t="shared" si="123"/>
        <v>BOSC LE HARD - 159 Rue des Forges</v>
      </c>
      <c r="C195" s="154" t="s">
        <v>104</v>
      </c>
      <c r="D195" s="155"/>
      <c r="E195" s="155"/>
      <c r="F195" s="155"/>
      <c r="G195" s="155"/>
      <c r="H195" s="155"/>
      <c r="I195" s="155"/>
      <c r="J195" s="156"/>
      <c r="K195" s="157">
        <f t="shared" si="124"/>
        <v>1</v>
      </c>
      <c r="L195" s="157">
        <f t="shared" si="125"/>
        <v>1</v>
      </c>
      <c r="M195" s="158" t="s">
        <v>1061</v>
      </c>
      <c r="N195" s="159"/>
      <c r="O195" s="159">
        <v>76850</v>
      </c>
      <c r="P195" s="159" t="s">
        <v>1062</v>
      </c>
      <c r="Q195" s="159" t="s">
        <v>1063</v>
      </c>
      <c r="R195" s="159" t="s">
        <v>1064</v>
      </c>
      <c r="S195" s="159"/>
      <c r="T195" s="159" t="s">
        <v>94</v>
      </c>
      <c r="U195" s="159" t="s">
        <v>1065</v>
      </c>
      <c r="V195" s="160" t="s">
        <v>96</v>
      </c>
      <c r="W195" s="161"/>
      <c r="X195" s="162"/>
      <c r="Y195" s="163"/>
      <c r="Z195" s="162"/>
      <c r="AA195" s="163"/>
      <c r="AB195" s="162"/>
      <c r="AC195" s="163"/>
      <c r="AD195" s="162"/>
      <c r="AE195" s="163"/>
      <c r="AF195" s="162"/>
      <c r="AG195" s="163"/>
      <c r="AH195" s="163"/>
      <c r="AI195" s="162"/>
      <c r="AJ195" s="163"/>
      <c r="AK195" s="162">
        <v>9</v>
      </c>
      <c r="AL195" s="163"/>
      <c r="AM195" s="162"/>
      <c r="AN195" s="163"/>
      <c r="AO195" s="162"/>
      <c r="AP195" s="164"/>
      <c r="AQ195" s="164"/>
      <c r="AR195" s="164"/>
      <c r="AS195" s="164"/>
      <c r="AT195" s="164"/>
      <c r="AU195" s="164"/>
      <c r="AV195" s="164"/>
      <c r="AW195" s="164"/>
      <c r="AX195" s="164"/>
      <c r="AY195" s="165"/>
      <c r="AZ195" s="41"/>
      <c r="BA195" s="190"/>
      <c r="BB195" s="191"/>
      <c r="BC195" s="191"/>
      <c r="BD195" s="191"/>
      <c r="BE195" s="191"/>
      <c r="BF195" s="191"/>
      <c r="BG195" s="191"/>
      <c r="BH195" s="191"/>
      <c r="BI195" s="191">
        <v>150</v>
      </c>
      <c r="BJ195" s="191"/>
      <c r="BK195" s="191"/>
      <c r="BL195" s="191"/>
      <c r="BM195" s="191"/>
      <c r="BN195" s="191"/>
      <c r="BO195" s="191"/>
      <c r="BP195" s="191"/>
      <c r="BQ195" s="191"/>
      <c r="BR195" s="191"/>
      <c r="BS195" s="191"/>
      <c r="BT195" s="191"/>
      <c r="BU195" s="191"/>
      <c r="BV195" s="191"/>
      <c r="BW195" s="191"/>
      <c r="BX195" s="191"/>
      <c r="BY195" s="191"/>
      <c r="BZ195" s="191"/>
      <c r="CA195" s="191"/>
      <c r="CB195" s="191"/>
      <c r="CC195" s="191"/>
      <c r="CD195" s="191"/>
      <c r="CE195" s="192"/>
      <c r="CF195" s="190"/>
      <c r="CG195" s="191"/>
      <c r="CH195" s="191"/>
      <c r="CI195" s="191"/>
      <c r="CJ195" s="191"/>
      <c r="CK195" s="191">
        <v>50</v>
      </c>
      <c r="CL195" s="191"/>
      <c r="CM195" s="191"/>
      <c r="CN195" s="191"/>
      <c r="CO195" s="191"/>
      <c r="CP195" s="191"/>
      <c r="CQ195" s="191"/>
      <c r="CR195" s="191"/>
      <c r="CS195" s="191"/>
      <c r="CT195" s="191"/>
      <c r="CU195" s="191"/>
      <c r="CV195" s="191"/>
      <c r="CW195" s="191"/>
      <c r="CX195" s="191"/>
      <c r="CY195" s="191"/>
      <c r="CZ195" s="191"/>
      <c r="DA195" s="191"/>
      <c r="DB195" s="191"/>
      <c r="DC195" s="191"/>
      <c r="DD195" s="191"/>
      <c r="DE195" s="191"/>
      <c r="DF195" s="191"/>
      <c r="DG195" s="191"/>
      <c r="DH195" s="193"/>
      <c r="DI195" s="194"/>
      <c r="DJ195" s="191"/>
      <c r="DK195" s="191"/>
      <c r="DL195" s="191"/>
      <c r="DM195" s="191"/>
      <c r="DN195" s="191"/>
      <c r="DO195" s="191"/>
      <c r="DP195" s="191"/>
      <c r="DQ195" s="191"/>
      <c r="DR195" s="191"/>
      <c r="DS195" s="191"/>
      <c r="DT195" s="191"/>
      <c r="DU195" s="191">
        <v>150</v>
      </c>
      <c r="DV195" s="191"/>
      <c r="DW195" s="191"/>
      <c r="DX195" s="191"/>
      <c r="DY195" s="191"/>
      <c r="DZ195" s="191"/>
      <c r="EA195" s="191"/>
      <c r="EB195" s="191"/>
      <c r="EC195" s="191"/>
      <c r="ED195" s="191"/>
      <c r="EE195" s="191"/>
      <c r="EF195" s="191"/>
      <c r="EG195" s="191"/>
      <c r="EH195" s="191"/>
      <c r="EI195" s="191">
        <v>50</v>
      </c>
      <c r="EJ195" s="191"/>
      <c r="EK195" s="191"/>
      <c r="EL195" s="191"/>
      <c r="EM195" s="192"/>
      <c r="EN195" s="190"/>
      <c r="EO195" s="191"/>
      <c r="EP195" s="191"/>
      <c r="EQ195" s="191"/>
      <c r="ER195" s="191"/>
      <c r="ES195" s="191"/>
      <c r="ET195" s="191"/>
      <c r="EU195" s="191"/>
      <c r="EV195" s="191"/>
      <c r="EW195" s="191">
        <v>10</v>
      </c>
      <c r="EX195" s="191"/>
      <c r="EY195" s="191"/>
      <c r="EZ195" s="191"/>
      <c r="FA195" s="191"/>
      <c r="FB195" s="191"/>
      <c r="FC195" s="191"/>
      <c r="FD195" s="191"/>
      <c r="FE195" s="191"/>
      <c r="FF195" s="191"/>
      <c r="FG195" s="191"/>
      <c r="FH195" s="191"/>
      <c r="FI195" s="191"/>
      <c r="FJ195" s="191"/>
      <c r="FK195" s="191"/>
      <c r="FL195" s="191"/>
      <c r="FM195" s="191"/>
      <c r="FN195" s="191"/>
      <c r="FO195" s="191"/>
      <c r="FP195" s="191"/>
      <c r="FQ195" s="193"/>
      <c r="FR195" s="194"/>
      <c r="FS195" s="191"/>
      <c r="FT195" s="191"/>
      <c r="FU195" s="191"/>
      <c r="FV195" s="191"/>
      <c r="FW195" s="191"/>
      <c r="FX195" s="191"/>
      <c r="FY195" s="191"/>
      <c r="FZ195" s="191"/>
      <c r="GA195" s="191"/>
      <c r="GB195" s="191"/>
      <c r="GC195" s="191"/>
      <c r="GD195" s="191"/>
      <c r="GE195" s="191"/>
      <c r="GF195" s="191">
        <v>100</v>
      </c>
      <c r="GG195" s="191"/>
      <c r="GH195" s="191"/>
      <c r="GI195" s="191"/>
      <c r="GJ195" s="191"/>
      <c r="GK195" s="191"/>
      <c r="GL195" s="191"/>
      <c r="GM195" s="191"/>
      <c r="GN195" s="191"/>
      <c r="GO195" s="191"/>
      <c r="GP195" s="191"/>
      <c r="GQ195" s="191"/>
      <c r="GR195" s="191"/>
      <c r="GS195" s="191"/>
      <c r="GT195" s="191"/>
      <c r="GU195" s="191"/>
      <c r="GV195" s="192"/>
      <c r="GW195" s="190"/>
      <c r="GX195" s="191"/>
      <c r="GY195" s="191"/>
      <c r="GZ195" s="191"/>
      <c r="HA195" s="191">
        <v>100</v>
      </c>
      <c r="HB195" s="191"/>
      <c r="HC195" s="191"/>
      <c r="HD195" s="191"/>
      <c r="HE195" s="191"/>
      <c r="HF195" s="191"/>
      <c r="HG195" s="191"/>
      <c r="HH195" s="191"/>
      <c r="HI195" s="191"/>
      <c r="HJ195" s="191"/>
      <c r="HK195" s="191"/>
      <c r="HL195" s="191"/>
      <c r="HM195" s="191"/>
      <c r="HN195" s="191"/>
      <c r="HO195" s="191"/>
      <c r="HP195" s="191"/>
      <c r="HQ195" s="191"/>
      <c r="HR195" s="191"/>
      <c r="HS195" s="191"/>
      <c r="HT195" s="191"/>
      <c r="HU195" s="191"/>
      <c r="HV195" s="191">
        <v>100</v>
      </c>
      <c r="HW195" s="191"/>
      <c r="HX195" s="191"/>
      <c r="HY195" s="191"/>
      <c r="HZ195" s="193"/>
      <c r="IA195" s="194"/>
      <c r="IB195" s="191"/>
      <c r="IC195" s="191">
        <v>50</v>
      </c>
      <c r="ID195" s="191"/>
      <c r="IE195" s="191"/>
      <c r="IF195" s="191"/>
      <c r="IG195" s="191"/>
      <c r="IH195" s="191"/>
      <c r="II195" s="191"/>
      <c r="IJ195" s="191">
        <v>50</v>
      </c>
      <c r="IK195" s="191"/>
      <c r="IL195" s="191"/>
      <c r="IM195" s="191"/>
      <c r="IN195" s="191"/>
      <c r="IO195" s="191"/>
      <c r="IP195" s="191"/>
      <c r="IQ195" s="191"/>
      <c r="IR195" s="191"/>
      <c r="IS195" s="191"/>
      <c r="IT195" s="191"/>
      <c r="IU195" s="191"/>
      <c r="IV195" s="191"/>
      <c r="IW195" s="191"/>
      <c r="IX195" s="191"/>
      <c r="IY195" s="191"/>
      <c r="IZ195" s="191"/>
      <c r="JA195" s="191"/>
      <c r="JB195" s="191"/>
      <c r="JC195" s="191"/>
      <c r="JD195" s="191"/>
      <c r="JE195" s="192"/>
      <c r="JF195" s="190"/>
      <c r="JG195" s="191"/>
      <c r="JH195" s="191"/>
      <c r="JI195" s="191"/>
      <c r="JJ195" s="191"/>
      <c r="JK195" s="191"/>
      <c r="JL195" s="191">
        <v>200</v>
      </c>
      <c r="JM195" s="191"/>
      <c r="JN195" s="191"/>
      <c r="JO195" s="191"/>
      <c r="JP195" s="191"/>
      <c r="JQ195" s="191"/>
      <c r="JR195" s="191"/>
      <c r="JS195" s="191"/>
      <c r="JT195" s="191"/>
      <c r="JU195" s="191"/>
      <c r="JV195" s="191"/>
      <c r="JW195" s="191"/>
      <c r="JX195" s="191"/>
      <c r="JY195" s="191"/>
      <c r="JZ195" s="191">
        <v>100</v>
      </c>
      <c r="KA195" s="191"/>
      <c r="KB195" s="191"/>
      <c r="KC195" s="191"/>
      <c r="KD195" s="191"/>
      <c r="KE195" s="191"/>
      <c r="KF195" s="191"/>
      <c r="KG195" s="191"/>
      <c r="KH195" s="191"/>
      <c r="KI195" s="191"/>
      <c r="KJ195" s="193"/>
      <c r="KK195" s="194"/>
      <c r="KL195" s="191"/>
      <c r="KM195" s="191"/>
      <c r="KN195" s="191">
        <v>150</v>
      </c>
      <c r="KO195" s="191"/>
      <c r="KP195" s="191"/>
      <c r="KQ195" s="191"/>
      <c r="KR195" s="191"/>
      <c r="KS195" s="191"/>
      <c r="KT195" s="191"/>
      <c r="KU195" s="191"/>
      <c r="KV195" s="191"/>
      <c r="KW195" s="191"/>
      <c r="KX195" s="191"/>
      <c r="KY195" s="191"/>
      <c r="KZ195" s="191"/>
      <c r="LA195" s="191"/>
      <c r="LB195" s="191">
        <v>100</v>
      </c>
      <c r="LC195" s="191"/>
      <c r="LD195" s="191"/>
      <c r="LE195" s="191"/>
      <c r="LF195" s="191"/>
      <c r="LG195" s="191"/>
      <c r="LH195" s="191"/>
      <c r="LI195" s="191">
        <v>100</v>
      </c>
      <c r="LJ195" s="191"/>
      <c r="LK195" s="191"/>
      <c r="LL195" s="191"/>
      <c r="LM195" s="191"/>
      <c r="LN195" s="192"/>
      <c r="LO195" s="190"/>
      <c r="LP195" s="191"/>
      <c r="LQ195" s="191"/>
      <c r="LR195" s="191"/>
      <c r="LS195" s="191"/>
      <c r="LT195" s="191"/>
      <c r="LU195" s="191"/>
      <c r="LV195" s="191"/>
      <c r="LW195" s="191">
        <v>100</v>
      </c>
      <c r="LX195" s="191"/>
      <c r="LY195" s="191"/>
      <c r="LZ195" s="191"/>
      <c r="MA195" s="191"/>
      <c r="MB195" s="191"/>
      <c r="MC195" s="191"/>
      <c r="MD195" s="191"/>
      <c r="ME195" s="191"/>
      <c r="MF195" s="191"/>
      <c r="MG195" s="191"/>
      <c r="MH195" s="191"/>
      <c r="MI195" s="191"/>
      <c r="MJ195" s="191"/>
      <c r="MK195" s="191">
        <v>100</v>
      </c>
      <c r="ML195" s="191"/>
      <c r="MM195" s="191"/>
      <c r="MN195" s="191"/>
      <c r="MO195" s="191"/>
      <c r="MP195" s="191"/>
      <c r="MQ195" s="191"/>
      <c r="MR195" s="191"/>
      <c r="MS195" s="193"/>
      <c r="MT195" s="194"/>
      <c r="MU195" s="191"/>
      <c r="MV195" s="191"/>
      <c r="MW195" s="191"/>
      <c r="MX195" s="191"/>
      <c r="MY195" s="191">
        <v>50</v>
      </c>
      <c r="MZ195" s="191"/>
      <c r="NA195" s="191"/>
      <c r="NB195" s="191"/>
      <c r="NC195" s="191"/>
      <c r="ND195" s="191"/>
      <c r="NE195" s="191"/>
      <c r="NF195" s="191"/>
      <c r="NG195" s="191"/>
      <c r="NH195" s="191"/>
      <c r="NI195" s="191"/>
      <c r="NJ195" s="191"/>
      <c r="NK195" s="191"/>
      <c r="NL195" s="191"/>
      <c r="NM195" s="191"/>
      <c r="NN195" s="191"/>
      <c r="NO195" s="191"/>
      <c r="NP195" s="191"/>
      <c r="NQ195" s="191"/>
      <c r="NR195" s="191"/>
      <c r="NS195" s="191"/>
      <c r="NT195" s="191">
        <v>100</v>
      </c>
      <c r="NU195" s="191"/>
      <c r="NV195" s="191"/>
      <c r="NW195" s="192"/>
      <c r="NX195" s="190"/>
      <c r="NY195" s="191"/>
      <c r="NZ195" s="191"/>
      <c r="OA195" s="191"/>
      <c r="OB195" s="191"/>
      <c r="OC195" s="191"/>
      <c r="OD195" s="191"/>
      <c r="OE195" s="191"/>
      <c r="OF195" s="191"/>
      <c r="OG195" s="191"/>
      <c r="OH195" s="191">
        <v>50</v>
      </c>
      <c r="OI195" s="191"/>
      <c r="OJ195" s="191"/>
      <c r="OK195" s="191"/>
      <c r="OL195" s="191"/>
      <c r="OM195" s="191"/>
      <c r="ON195" s="191"/>
      <c r="OO195" s="191"/>
      <c r="OP195" s="191"/>
      <c r="OQ195" s="191"/>
      <c r="OR195" s="191"/>
      <c r="OS195" s="191"/>
      <c r="OT195" s="191"/>
      <c r="OU195" s="191"/>
      <c r="OV195" s="191"/>
      <c r="OW195" s="191"/>
      <c r="OX195" s="191"/>
      <c r="OY195" s="191"/>
      <c r="OZ195" s="191"/>
      <c r="PA195" s="191"/>
      <c r="PB195" s="193"/>
      <c r="PC195" s="47"/>
      <c r="PD195" s="154" t="s">
        <v>98</v>
      </c>
      <c r="PE195" s="155" t="s">
        <v>98</v>
      </c>
      <c r="PF195" s="155" t="s">
        <v>98</v>
      </c>
      <c r="PG195" s="155" t="s">
        <v>98</v>
      </c>
      <c r="PH195" s="155" t="s">
        <v>98</v>
      </c>
      <c r="PI195" s="155" t="s">
        <v>98</v>
      </c>
      <c r="PJ195" s="155" t="s">
        <v>98</v>
      </c>
      <c r="PK195" s="155" t="s">
        <v>98</v>
      </c>
      <c r="PL195" s="155" t="s">
        <v>97</v>
      </c>
      <c r="PM195" s="155" t="s">
        <v>98</v>
      </c>
      <c r="PN195" s="155" t="s">
        <v>98</v>
      </c>
      <c r="PO195" s="156"/>
      <c r="PP195" s="156"/>
      <c r="PQ195" s="156"/>
      <c r="PR195" s="156"/>
      <c r="PS195" s="156"/>
      <c r="PT195" s="156"/>
      <c r="PU195" s="156"/>
      <c r="PV195" s="156"/>
      <c r="PW195" s="156"/>
      <c r="PX195" s="195"/>
      <c r="PY195" s="1"/>
      <c r="PZ195" s="196">
        <f t="shared" si="126"/>
        <v>150</v>
      </c>
      <c r="QA195" s="218">
        <f t="shared" si="127"/>
        <v>1.2513556352715441E-3</v>
      </c>
      <c r="QB195" s="219" t="str">
        <f t="shared" ca="1" si="128"/>
        <v>Attente…</v>
      </c>
      <c r="QC195" s="197">
        <f t="shared" si="129"/>
        <v>50</v>
      </c>
      <c r="QD195" s="220">
        <f t="shared" si="130"/>
        <v>4.6816479400749064E-4</v>
      </c>
      <c r="QE195" s="221" t="str">
        <f t="shared" ca="1" si="131"/>
        <v>Attente…</v>
      </c>
      <c r="QF195" s="196">
        <f t="shared" si="132"/>
        <v>200</v>
      </c>
      <c r="QG195" s="218">
        <f t="shared" si="133"/>
        <v>1.5926102882624622E-3</v>
      </c>
      <c r="QH195" s="219" t="str">
        <f t="shared" ca="1" si="134"/>
        <v>Attente…</v>
      </c>
      <c r="QI195" s="197">
        <f t="shared" si="135"/>
        <v>10</v>
      </c>
      <c r="QJ195" s="220">
        <f t="shared" si="136"/>
        <v>7.0136063964090339E-5</v>
      </c>
      <c r="QK195" s="221" t="str">
        <f t="shared" ca="1" si="137"/>
        <v>Attente…</v>
      </c>
      <c r="QL195" s="196">
        <f t="shared" si="138"/>
        <v>100</v>
      </c>
      <c r="QM195" s="218">
        <f t="shared" si="139"/>
        <v>7.3163593795727241E-4</v>
      </c>
      <c r="QN195" s="219" t="str">
        <f t="shared" ca="1" si="140"/>
        <v>Attente…</v>
      </c>
      <c r="QO195" s="197">
        <f t="shared" si="141"/>
        <v>200</v>
      </c>
      <c r="QP195" s="220">
        <f t="shared" si="142"/>
        <v>1.5658028654192437E-3</v>
      </c>
      <c r="QQ195" s="221" t="str">
        <f t="shared" ca="1" si="143"/>
        <v>Attente…</v>
      </c>
      <c r="QR195" s="196">
        <f t="shared" si="144"/>
        <v>100</v>
      </c>
      <c r="QS195" s="218">
        <f t="shared" si="145"/>
        <v>7.1991648968719631E-4</v>
      </c>
      <c r="QT195" s="219" t="str">
        <f t="shared" ca="1" si="146"/>
        <v>Attente…</v>
      </c>
      <c r="QU195" s="197">
        <f t="shared" si="147"/>
        <v>300</v>
      </c>
      <c r="QV195" s="220">
        <f t="shared" si="148"/>
        <v>2.0683949255377826E-3</v>
      </c>
      <c r="QW195" s="221" t="str">
        <f t="shared" ca="1" si="149"/>
        <v>Attente…</v>
      </c>
      <c r="QX195" s="196">
        <f t="shared" si="150"/>
        <v>350</v>
      </c>
      <c r="QY195" s="218">
        <f t="shared" si="151"/>
        <v>2.5540733821769464E-3</v>
      </c>
      <c r="QZ195" s="219" t="str">
        <f t="shared" ca="1" si="152"/>
        <v>Attente…</v>
      </c>
      <c r="RA195" s="197">
        <f t="shared" si="153"/>
        <v>200</v>
      </c>
      <c r="RB195" s="220">
        <f t="shared" si="154"/>
        <v>1.5648227838197324E-3</v>
      </c>
      <c r="RC195" s="221" t="str">
        <f t="shared" ca="1" si="155"/>
        <v>Attente…</v>
      </c>
      <c r="RD195" s="196">
        <f t="shared" si="156"/>
        <v>150</v>
      </c>
      <c r="RE195" s="218">
        <f t="shared" si="157"/>
        <v>1.4946193702670386E-3</v>
      </c>
      <c r="RF195" s="219" t="str">
        <f t="shared" ca="1" si="158"/>
        <v>Attente…</v>
      </c>
      <c r="RG195" s="197">
        <f t="shared" si="159"/>
        <v>50</v>
      </c>
      <c r="RH195" s="220">
        <f t="shared" si="160"/>
        <v>9.1962479308442156E-4</v>
      </c>
      <c r="RI195" s="222" t="str">
        <f t="shared" ca="1" si="161"/>
        <v>Attente…</v>
      </c>
      <c r="RJ195" s="199">
        <f t="shared" si="162"/>
        <v>400</v>
      </c>
      <c r="RK195" s="200" t="str">
        <f t="shared" ca="1" si="119"/>
        <v>Attente…</v>
      </c>
      <c r="RL195" s="199">
        <f t="shared" si="163"/>
        <v>310</v>
      </c>
      <c r="RM195" s="200" t="str">
        <f t="shared" ca="1" si="164"/>
        <v>Atttente…</v>
      </c>
      <c r="RN195" s="199">
        <f t="shared" si="165"/>
        <v>750</v>
      </c>
      <c r="RO195" s="200" t="str">
        <f t="shared" ca="1" si="120"/>
        <v>Attente…</v>
      </c>
      <c r="RP195" s="199">
        <f t="shared" si="166"/>
        <v>400</v>
      </c>
      <c r="RQ195" s="200" t="str">
        <f t="shared" ca="1" si="121"/>
        <v>Attente…</v>
      </c>
      <c r="RR195" s="201">
        <f t="shared" si="167"/>
        <v>1860</v>
      </c>
      <c r="RS195" s="202" t="str">
        <f t="shared" ca="1" si="122"/>
        <v>Attente…</v>
      </c>
      <c r="RT195" s="103"/>
      <c r="RU195" s="203">
        <f t="shared" si="168"/>
        <v>0.46500000000000002</v>
      </c>
      <c r="RV195" s="204">
        <f t="shared" si="171"/>
        <v>1</v>
      </c>
      <c r="RW195" s="204">
        <f t="shared" si="171"/>
        <v>1</v>
      </c>
      <c r="RX195" s="204">
        <f t="shared" si="169"/>
        <v>20</v>
      </c>
      <c r="RY195" s="205" t="str">
        <f t="shared" si="170"/>
        <v>BOSC LE HARD - 159 Rue des Forges</v>
      </c>
      <c r="RZ195" s="189" t="str">
        <f>IF(OR(RZ194="",RZ194="  &lt;/Document&gt;
&lt;/kml&gt;"),"",
IF(B195="","  &lt;/Document&gt;
&lt;/kml&gt;",
IF(TournéesCAV!Q195=""," ",
"    &lt;Placemark&gt;
      &lt;description&gt;&lt;![CDATA["&amp;B195&amp;"&lt;br&gt;&lt;br&gt;"&amp;RV195&amp;" CAV&lt;br&gt;&lt;br&gt;Présent sur "&amp;RW195&amp;" tournée(s)&lt;br&gt;&lt;br&gt;Taux de remplissage moyen "&amp;TEXT(RU195*1000,"0 %")&amp;"]]&gt;&lt;/description&gt;
      &lt;Style&gt;
        &lt;IconStyle&gt;
          &lt;color&gt;ff"&amp;
          DEC2HEX(0,2)&amp;
          DEC2HEX(
            IF(RU195&lt;=0.5,
               INT(255*(RU195*2)),
               255
            ),2)&amp;
          DEC2HEX(
            IF(RU195&lt;=0.5,
               255,
               INT(255*(1-(RU195-0.5)*2))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&lt;Point&gt;&lt;coordinates&gt;"&amp;R195&amp;","&amp;Q195&amp;",0&lt;/coordinates&gt;&lt;/Point&gt;
    &lt;/Placemark&gt;"
)))</f>
        <v xml:space="preserve">    &lt;Placemark&gt;
      &lt;description&gt;&lt;![CDATA[BOSC LE HARD - 159 Rue des Forges&lt;br&gt;&lt;br&gt;1 CAV&lt;br&gt;&lt;br&gt;Présent sur 1 tournée(s)&lt;br&gt;&lt;br&gt;Taux de remplissage moyen 47%]]&gt;&lt;/description&gt;
      &lt;Style&gt;
        &lt;IconStyle&gt;
          &lt;color&gt;ff00EDFF&lt;/color&gt;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&lt;Point&gt;&lt;coordinates&gt;1.1776388,49.6290962,0&lt;/coordinates&gt;&lt;/Point&gt;
    &lt;/Placemark&gt;</v>
      </c>
    </row>
    <row r="196" spans="2:494" ht="15" hidden="1" customHeight="1" x14ac:dyDescent="0.35">
      <c r="B196" s="153" t="str">
        <f t="shared" si="123"/>
        <v>YERVILLE - 3 Place Bernard Alexandre</v>
      </c>
      <c r="C196" s="154" t="s">
        <v>104</v>
      </c>
      <c r="D196" s="155" t="s">
        <v>104</v>
      </c>
      <c r="E196" s="155"/>
      <c r="F196" s="155"/>
      <c r="G196" s="155"/>
      <c r="H196" s="155"/>
      <c r="I196" s="155"/>
      <c r="J196" s="156"/>
      <c r="K196" s="157">
        <f t="shared" si="124"/>
        <v>2</v>
      </c>
      <c r="L196" s="157">
        <f t="shared" si="125"/>
        <v>1</v>
      </c>
      <c r="M196" s="158" t="s">
        <v>1066</v>
      </c>
      <c r="N196" s="159"/>
      <c r="O196" s="159">
        <v>76760</v>
      </c>
      <c r="P196" s="159" t="s">
        <v>19</v>
      </c>
      <c r="Q196" s="159" t="s">
        <v>1067</v>
      </c>
      <c r="R196" s="159" t="s">
        <v>1068</v>
      </c>
      <c r="S196" s="159"/>
      <c r="T196" s="159" t="s">
        <v>94</v>
      </c>
      <c r="U196" s="159" t="s">
        <v>1069</v>
      </c>
      <c r="V196" s="160" t="s">
        <v>96</v>
      </c>
      <c r="W196" s="161"/>
      <c r="X196" s="162"/>
      <c r="Y196" s="163"/>
      <c r="Z196" s="162"/>
      <c r="AA196" s="163"/>
      <c r="AB196" s="162"/>
      <c r="AC196" s="163"/>
      <c r="AD196" s="162"/>
      <c r="AE196" s="163"/>
      <c r="AF196" s="162"/>
      <c r="AG196" s="163"/>
      <c r="AH196" s="163"/>
      <c r="AI196" s="162"/>
      <c r="AJ196" s="163">
        <v>1</v>
      </c>
      <c r="AK196" s="162"/>
      <c r="AL196" s="163"/>
      <c r="AM196" s="162"/>
      <c r="AN196" s="163"/>
      <c r="AO196" s="162"/>
      <c r="AP196" s="164"/>
      <c r="AQ196" s="164"/>
      <c r="AR196" s="164"/>
      <c r="AS196" s="164"/>
      <c r="AT196" s="164"/>
      <c r="AU196" s="164"/>
      <c r="AV196" s="164"/>
      <c r="AW196" s="164"/>
      <c r="AX196" s="164"/>
      <c r="AY196" s="165"/>
      <c r="AZ196" s="41"/>
      <c r="BA196" s="190"/>
      <c r="BB196" s="191"/>
      <c r="BC196" s="191"/>
      <c r="BD196" s="191"/>
      <c r="BE196" s="191"/>
      <c r="BF196" s="191"/>
      <c r="BG196" s="191"/>
      <c r="BH196" s="191"/>
      <c r="BI196" s="191">
        <v>250</v>
      </c>
      <c r="BJ196" s="191"/>
      <c r="BK196" s="191"/>
      <c r="BL196" s="191"/>
      <c r="BM196" s="191"/>
      <c r="BN196" s="191"/>
      <c r="BO196" s="191"/>
      <c r="BP196" s="191"/>
      <c r="BQ196" s="191"/>
      <c r="BR196" s="191"/>
      <c r="BS196" s="191"/>
      <c r="BT196" s="191"/>
      <c r="BU196" s="191"/>
      <c r="BV196" s="191"/>
      <c r="BW196" s="191"/>
      <c r="BX196" s="191"/>
      <c r="BY196" s="191"/>
      <c r="BZ196" s="191"/>
      <c r="CA196" s="191"/>
      <c r="CB196" s="191"/>
      <c r="CC196" s="191"/>
      <c r="CD196" s="191"/>
      <c r="CE196" s="192"/>
      <c r="CF196" s="190"/>
      <c r="CG196" s="191"/>
      <c r="CH196" s="191"/>
      <c r="CI196" s="191"/>
      <c r="CJ196" s="191"/>
      <c r="CK196" s="191">
        <v>200</v>
      </c>
      <c r="CL196" s="191"/>
      <c r="CM196" s="191"/>
      <c r="CN196" s="191"/>
      <c r="CO196" s="191"/>
      <c r="CP196" s="191"/>
      <c r="CQ196" s="191"/>
      <c r="CR196" s="191"/>
      <c r="CS196" s="191"/>
      <c r="CT196" s="191"/>
      <c r="CU196" s="191"/>
      <c r="CV196" s="191"/>
      <c r="CW196" s="191"/>
      <c r="CX196" s="191"/>
      <c r="CY196" s="191"/>
      <c r="CZ196" s="191"/>
      <c r="DA196" s="191"/>
      <c r="DB196" s="191"/>
      <c r="DC196" s="191"/>
      <c r="DD196" s="191"/>
      <c r="DE196" s="191"/>
      <c r="DF196" s="191"/>
      <c r="DG196" s="191"/>
      <c r="DH196" s="193"/>
      <c r="DI196" s="194"/>
      <c r="DJ196" s="191"/>
      <c r="DK196" s="191"/>
      <c r="DL196" s="191"/>
      <c r="DM196" s="191"/>
      <c r="DN196" s="191"/>
      <c r="DO196" s="191"/>
      <c r="DP196" s="191"/>
      <c r="DQ196" s="191"/>
      <c r="DR196" s="191"/>
      <c r="DS196" s="191"/>
      <c r="DT196" s="191"/>
      <c r="DU196" s="191">
        <v>400</v>
      </c>
      <c r="DV196" s="191"/>
      <c r="DW196" s="191"/>
      <c r="DX196" s="191"/>
      <c r="DY196" s="191"/>
      <c r="DZ196" s="191"/>
      <c r="EA196" s="191">
        <v>100</v>
      </c>
      <c r="EB196" s="191"/>
      <c r="EC196" s="191"/>
      <c r="ED196" s="191"/>
      <c r="EE196" s="191"/>
      <c r="EF196" s="191"/>
      <c r="EG196" s="191"/>
      <c r="EH196" s="191"/>
      <c r="EI196" s="191">
        <v>100</v>
      </c>
      <c r="EJ196" s="191"/>
      <c r="EK196" s="191"/>
      <c r="EL196" s="191"/>
      <c r="EM196" s="192"/>
      <c r="EN196" s="190"/>
      <c r="EO196" s="191"/>
      <c r="EP196" s="191"/>
      <c r="EQ196" s="191"/>
      <c r="ER196" s="191"/>
      <c r="ES196" s="191"/>
      <c r="ET196" s="191"/>
      <c r="EU196" s="191"/>
      <c r="EV196" s="191"/>
      <c r="EW196" s="191">
        <v>100</v>
      </c>
      <c r="EX196" s="191"/>
      <c r="EY196" s="191"/>
      <c r="EZ196" s="191"/>
      <c r="FA196" s="191"/>
      <c r="FB196" s="191"/>
      <c r="FC196" s="191"/>
      <c r="FD196" s="191"/>
      <c r="FE196" s="191"/>
      <c r="FF196" s="191"/>
      <c r="FG196" s="191"/>
      <c r="FH196" s="191"/>
      <c r="FI196" s="191"/>
      <c r="FJ196" s="191"/>
      <c r="FK196" s="191"/>
      <c r="FL196" s="191"/>
      <c r="FM196" s="191"/>
      <c r="FN196" s="191"/>
      <c r="FO196" s="191"/>
      <c r="FP196" s="191"/>
      <c r="FQ196" s="193"/>
      <c r="FR196" s="194"/>
      <c r="FS196" s="191"/>
      <c r="FT196" s="191"/>
      <c r="FU196" s="191"/>
      <c r="FV196" s="191"/>
      <c r="FW196" s="191"/>
      <c r="FX196" s="191"/>
      <c r="FY196" s="191"/>
      <c r="FZ196" s="191"/>
      <c r="GA196" s="191"/>
      <c r="GB196" s="191"/>
      <c r="GC196" s="191"/>
      <c r="GD196" s="191"/>
      <c r="GE196" s="191"/>
      <c r="GF196" s="191">
        <v>300</v>
      </c>
      <c r="GG196" s="191"/>
      <c r="GH196" s="191"/>
      <c r="GI196" s="191"/>
      <c r="GJ196" s="191"/>
      <c r="GK196" s="191"/>
      <c r="GL196" s="191"/>
      <c r="GM196" s="191"/>
      <c r="GN196" s="191"/>
      <c r="GO196" s="191"/>
      <c r="GP196" s="191"/>
      <c r="GQ196" s="191"/>
      <c r="GR196" s="191"/>
      <c r="GS196" s="191"/>
      <c r="GT196" s="191"/>
      <c r="GU196" s="191"/>
      <c r="GV196" s="192"/>
      <c r="GW196" s="190"/>
      <c r="GX196" s="191"/>
      <c r="GY196" s="191"/>
      <c r="GZ196" s="191"/>
      <c r="HA196" s="191">
        <v>300</v>
      </c>
      <c r="HB196" s="191"/>
      <c r="HC196" s="191"/>
      <c r="HD196" s="191"/>
      <c r="HE196" s="191"/>
      <c r="HF196" s="191"/>
      <c r="HG196" s="191"/>
      <c r="HH196" s="191"/>
      <c r="HI196" s="191"/>
      <c r="HJ196" s="191"/>
      <c r="HK196" s="191"/>
      <c r="HL196" s="191"/>
      <c r="HM196" s="191"/>
      <c r="HN196" s="191"/>
      <c r="HO196" s="191"/>
      <c r="HP196" s="191"/>
      <c r="HQ196" s="191"/>
      <c r="HR196" s="191"/>
      <c r="HS196" s="191"/>
      <c r="HT196" s="191"/>
      <c r="HU196" s="191"/>
      <c r="HV196" s="191">
        <v>300</v>
      </c>
      <c r="HW196" s="191"/>
      <c r="HX196" s="191"/>
      <c r="HY196" s="191"/>
      <c r="HZ196" s="193"/>
      <c r="IA196" s="194"/>
      <c r="IB196" s="191"/>
      <c r="IC196" s="191">
        <v>60</v>
      </c>
      <c r="ID196" s="191"/>
      <c r="IE196" s="191"/>
      <c r="IF196" s="191"/>
      <c r="IG196" s="191"/>
      <c r="IH196" s="191"/>
      <c r="II196" s="191"/>
      <c r="IJ196" s="191">
        <v>60</v>
      </c>
      <c r="IK196" s="191"/>
      <c r="IL196" s="191"/>
      <c r="IM196" s="191"/>
      <c r="IN196" s="191"/>
      <c r="IO196" s="191"/>
      <c r="IP196" s="191"/>
      <c r="IQ196" s="191"/>
      <c r="IR196" s="191"/>
      <c r="IS196" s="191"/>
      <c r="IT196" s="191"/>
      <c r="IU196" s="191"/>
      <c r="IV196" s="191"/>
      <c r="IW196" s="191"/>
      <c r="IX196" s="191"/>
      <c r="IY196" s="191"/>
      <c r="IZ196" s="191"/>
      <c r="JA196" s="191"/>
      <c r="JB196" s="191"/>
      <c r="JC196" s="191"/>
      <c r="JD196" s="191"/>
      <c r="JE196" s="192"/>
      <c r="JF196" s="190"/>
      <c r="JG196" s="191"/>
      <c r="JH196" s="191"/>
      <c r="JI196" s="191"/>
      <c r="JJ196" s="191"/>
      <c r="JK196" s="191"/>
      <c r="JL196" s="191">
        <v>400</v>
      </c>
      <c r="JM196" s="191"/>
      <c r="JN196" s="191"/>
      <c r="JO196" s="191"/>
      <c r="JP196" s="191"/>
      <c r="JQ196" s="191"/>
      <c r="JR196" s="191"/>
      <c r="JS196" s="191"/>
      <c r="JT196" s="191"/>
      <c r="JU196" s="191"/>
      <c r="JV196" s="191"/>
      <c r="JW196" s="191"/>
      <c r="JX196" s="191"/>
      <c r="JY196" s="191"/>
      <c r="JZ196" s="191">
        <v>200</v>
      </c>
      <c r="KA196" s="191"/>
      <c r="KB196" s="191"/>
      <c r="KC196" s="191"/>
      <c r="KD196" s="191"/>
      <c r="KE196" s="191"/>
      <c r="KF196" s="191"/>
      <c r="KG196" s="191"/>
      <c r="KH196" s="191"/>
      <c r="KI196" s="191"/>
      <c r="KJ196" s="193"/>
      <c r="KK196" s="194"/>
      <c r="KL196" s="191"/>
      <c r="KM196" s="191"/>
      <c r="KN196" s="191">
        <v>100</v>
      </c>
      <c r="KO196" s="191"/>
      <c r="KP196" s="191"/>
      <c r="KQ196" s="191"/>
      <c r="KR196" s="191"/>
      <c r="KS196" s="191"/>
      <c r="KT196" s="191"/>
      <c r="KU196" s="191"/>
      <c r="KV196" s="191"/>
      <c r="KW196" s="191"/>
      <c r="KX196" s="191"/>
      <c r="KY196" s="191"/>
      <c r="KZ196" s="191"/>
      <c r="LA196" s="191"/>
      <c r="LB196" s="191">
        <v>200</v>
      </c>
      <c r="LC196" s="191"/>
      <c r="LD196" s="191"/>
      <c r="LE196" s="191"/>
      <c r="LF196" s="191"/>
      <c r="LG196" s="191"/>
      <c r="LH196" s="191"/>
      <c r="LI196" s="191">
        <v>300</v>
      </c>
      <c r="LJ196" s="191"/>
      <c r="LK196" s="191"/>
      <c r="LL196" s="191"/>
      <c r="LM196" s="191"/>
      <c r="LN196" s="192"/>
      <c r="LO196" s="190"/>
      <c r="LP196" s="191"/>
      <c r="LQ196" s="191"/>
      <c r="LR196" s="191"/>
      <c r="LS196" s="191"/>
      <c r="LT196" s="191"/>
      <c r="LU196" s="191"/>
      <c r="LV196" s="191"/>
      <c r="LW196" s="191">
        <v>100</v>
      </c>
      <c r="LX196" s="191"/>
      <c r="LY196" s="191"/>
      <c r="LZ196" s="191"/>
      <c r="MA196" s="191"/>
      <c r="MB196" s="191"/>
      <c r="MC196" s="191"/>
      <c r="MD196" s="191"/>
      <c r="ME196" s="191"/>
      <c r="MF196" s="191"/>
      <c r="MG196" s="191"/>
      <c r="MH196" s="191"/>
      <c r="MI196" s="191"/>
      <c r="MJ196" s="191"/>
      <c r="MK196" s="191">
        <v>100</v>
      </c>
      <c r="ML196" s="191"/>
      <c r="MM196" s="191"/>
      <c r="MN196" s="191"/>
      <c r="MO196" s="191"/>
      <c r="MP196" s="191"/>
      <c r="MQ196" s="191"/>
      <c r="MR196" s="191"/>
      <c r="MS196" s="193"/>
      <c r="MT196" s="194"/>
      <c r="MU196" s="191"/>
      <c r="MV196" s="191"/>
      <c r="MW196" s="191"/>
      <c r="MX196" s="191"/>
      <c r="MY196" s="191">
        <v>100</v>
      </c>
      <c r="MZ196" s="191"/>
      <c r="NA196" s="191"/>
      <c r="NB196" s="191"/>
      <c r="NC196" s="191"/>
      <c r="ND196" s="191"/>
      <c r="NE196" s="191"/>
      <c r="NF196" s="191"/>
      <c r="NG196" s="191"/>
      <c r="NH196" s="191"/>
      <c r="NI196" s="191"/>
      <c r="NJ196" s="191"/>
      <c r="NK196" s="191"/>
      <c r="NL196" s="191"/>
      <c r="NM196" s="191"/>
      <c r="NN196" s="191"/>
      <c r="NO196" s="191"/>
      <c r="NP196" s="191"/>
      <c r="NQ196" s="191"/>
      <c r="NR196" s="191"/>
      <c r="NS196" s="191"/>
      <c r="NT196" s="191">
        <v>100</v>
      </c>
      <c r="NU196" s="191"/>
      <c r="NV196" s="191"/>
      <c r="NW196" s="192"/>
      <c r="NX196" s="190"/>
      <c r="NY196" s="191"/>
      <c r="NZ196" s="191"/>
      <c r="OA196" s="191"/>
      <c r="OB196" s="191"/>
      <c r="OC196" s="191"/>
      <c r="OD196" s="191"/>
      <c r="OE196" s="191"/>
      <c r="OF196" s="191"/>
      <c r="OG196" s="191"/>
      <c r="OH196" s="191">
        <v>100</v>
      </c>
      <c r="OI196" s="191"/>
      <c r="OJ196" s="191"/>
      <c r="OK196" s="191"/>
      <c r="OL196" s="191"/>
      <c r="OM196" s="191"/>
      <c r="ON196" s="191"/>
      <c r="OO196" s="191"/>
      <c r="OP196" s="191"/>
      <c r="OQ196" s="191"/>
      <c r="OR196" s="191"/>
      <c r="OS196" s="191"/>
      <c r="OT196" s="191"/>
      <c r="OU196" s="191"/>
      <c r="OV196" s="191"/>
      <c r="OW196" s="191"/>
      <c r="OX196" s="191"/>
      <c r="OY196" s="191"/>
      <c r="OZ196" s="191"/>
      <c r="PA196" s="191"/>
      <c r="PB196" s="193"/>
      <c r="PC196" s="47"/>
      <c r="PD196" s="154" t="s">
        <v>98</v>
      </c>
      <c r="PE196" s="155" t="s">
        <v>98</v>
      </c>
      <c r="PF196" s="155" t="s">
        <v>98</v>
      </c>
      <c r="PG196" s="155" t="s">
        <v>98</v>
      </c>
      <c r="PH196" s="155" t="s">
        <v>98</v>
      </c>
      <c r="PI196" s="155" t="s">
        <v>98</v>
      </c>
      <c r="PJ196" s="155" t="s">
        <v>98</v>
      </c>
      <c r="PK196" s="155" t="s">
        <v>97</v>
      </c>
      <c r="PL196" s="155" t="s">
        <v>98</v>
      </c>
      <c r="PM196" s="155" t="s">
        <v>98</v>
      </c>
      <c r="PN196" s="155" t="s">
        <v>98</v>
      </c>
      <c r="PO196" s="156"/>
      <c r="PP196" s="156"/>
      <c r="PQ196" s="156"/>
      <c r="PR196" s="156"/>
      <c r="PS196" s="156"/>
      <c r="PT196" s="156"/>
      <c r="PU196" s="156"/>
      <c r="PV196" s="156"/>
      <c r="PW196" s="156"/>
      <c r="PX196" s="195"/>
      <c r="PY196" s="1"/>
      <c r="PZ196" s="196">
        <f t="shared" si="126"/>
        <v>250</v>
      </c>
      <c r="QA196" s="218">
        <f t="shared" si="127"/>
        <v>2.0855927254525737E-3</v>
      </c>
      <c r="QB196" s="219" t="str">
        <f t="shared" ca="1" si="128"/>
        <v>Attente…</v>
      </c>
      <c r="QC196" s="197">
        <f t="shared" si="129"/>
        <v>200</v>
      </c>
      <c r="QD196" s="220">
        <f t="shared" si="130"/>
        <v>1.8726591760299626E-3</v>
      </c>
      <c r="QE196" s="221" t="str">
        <f t="shared" ca="1" si="131"/>
        <v>Attente…</v>
      </c>
      <c r="QF196" s="196">
        <f t="shared" si="132"/>
        <v>600</v>
      </c>
      <c r="QG196" s="218">
        <f t="shared" si="133"/>
        <v>4.7778308647873869E-3</v>
      </c>
      <c r="QH196" s="219" t="str">
        <f t="shared" ca="1" si="134"/>
        <v>Attente…</v>
      </c>
      <c r="QI196" s="197">
        <f t="shared" si="135"/>
        <v>100</v>
      </c>
      <c r="QJ196" s="220">
        <f t="shared" si="136"/>
        <v>7.0136063964090333E-4</v>
      </c>
      <c r="QK196" s="221" t="str">
        <f t="shared" ca="1" si="137"/>
        <v>Attente…</v>
      </c>
      <c r="QL196" s="196">
        <f t="shared" si="138"/>
        <v>300</v>
      </c>
      <c r="QM196" s="218">
        <f t="shared" si="139"/>
        <v>2.1949078138718174E-3</v>
      </c>
      <c r="QN196" s="219" t="str">
        <f t="shared" ca="1" si="140"/>
        <v>Attente…</v>
      </c>
      <c r="QO196" s="197">
        <f t="shared" si="141"/>
        <v>600</v>
      </c>
      <c r="QP196" s="220">
        <f t="shared" si="142"/>
        <v>4.6974085962577308E-3</v>
      </c>
      <c r="QQ196" s="221" t="str">
        <f t="shared" ca="1" si="143"/>
        <v>Attente…</v>
      </c>
      <c r="QR196" s="196">
        <f t="shared" si="144"/>
        <v>120</v>
      </c>
      <c r="QS196" s="218">
        <f t="shared" si="145"/>
        <v>8.6389978762463555E-4</v>
      </c>
      <c r="QT196" s="219" t="str">
        <f t="shared" ca="1" si="146"/>
        <v>Attente…</v>
      </c>
      <c r="QU196" s="197">
        <f t="shared" si="147"/>
        <v>600</v>
      </c>
      <c r="QV196" s="220">
        <f t="shared" si="148"/>
        <v>4.1367898510755651E-3</v>
      </c>
      <c r="QW196" s="221" t="str">
        <f t="shared" ca="1" si="149"/>
        <v>Attente…</v>
      </c>
      <c r="QX196" s="196">
        <f t="shared" si="150"/>
        <v>600</v>
      </c>
      <c r="QY196" s="218">
        <f t="shared" si="151"/>
        <v>4.3784115123033365E-3</v>
      </c>
      <c r="QZ196" s="219" t="str">
        <f t="shared" ca="1" si="152"/>
        <v>Attente…</v>
      </c>
      <c r="RA196" s="197">
        <f t="shared" si="153"/>
        <v>200</v>
      </c>
      <c r="RB196" s="220">
        <f t="shared" si="154"/>
        <v>1.5648227838197324E-3</v>
      </c>
      <c r="RC196" s="221" t="str">
        <f t="shared" ca="1" si="155"/>
        <v>Attente…</v>
      </c>
      <c r="RD196" s="196">
        <f t="shared" si="156"/>
        <v>200</v>
      </c>
      <c r="RE196" s="218">
        <f t="shared" si="157"/>
        <v>1.9928258270227183E-3</v>
      </c>
      <c r="RF196" s="219" t="str">
        <f t="shared" ca="1" si="158"/>
        <v>Attente…</v>
      </c>
      <c r="RG196" s="197">
        <f t="shared" si="159"/>
        <v>100</v>
      </c>
      <c r="RH196" s="220">
        <f t="shared" si="160"/>
        <v>1.8392495861688431E-3</v>
      </c>
      <c r="RI196" s="222" t="str">
        <f t="shared" ca="1" si="161"/>
        <v>Attente…</v>
      </c>
      <c r="RJ196" s="199">
        <f t="shared" si="162"/>
        <v>1050</v>
      </c>
      <c r="RK196" s="200" t="str">
        <f t="shared" ca="1" si="119"/>
        <v>Attente…</v>
      </c>
      <c r="RL196" s="199">
        <f t="shared" si="163"/>
        <v>1000</v>
      </c>
      <c r="RM196" s="200" t="str">
        <f t="shared" ca="1" si="164"/>
        <v>Atttente…</v>
      </c>
      <c r="RN196" s="199">
        <f t="shared" si="165"/>
        <v>1320</v>
      </c>
      <c r="RO196" s="200" t="str">
        <f t="shared" ca="1" si="120"/>
        <v>Attente…</v>
      </c>
      <c r="RP196" s="199">
        <f t="shared" si="166"/>
        <v>500</v>
      </c>
      <c r="RQ196" s="200" t="str">
        <f t="shared" ca="1" si="121"/>
        <v>Attente…</v>
      </c>
      <c r="RR196" s="201">
        <f t="shared" si="167"/>
        <v>3870</v>
      </c>
      <c r="RS196" s="202" t="str">
        <f t="shared" ca="1" si="122"/>
        <v>Attente…</v>
      </c>
      <c r="RT196" s="103"/>
      <c r="RU196" s="203">
        <f t="shared" si="168"/>
        <v>0.46071428571428569</v>
      </c>
      <c r="RV196" s="204">
        <f t="shared" si="171"/>
        <v>2</v>
      </c>
      <c r="RW196" s="204">
        <f t="shared" si="171"/>
        <v>1</v>
      </c>
      <c r="RX196" s="204">
        <f t="shared" si="169"/>
        <v>21</v>
      </c>
      <c r="RY196" s="205" t="str">
        <f t="shared" si="170"/>
        <v>YERVILLE - 3 Place Bernard Alexandre</v>
      </c>
      <c r="RZ196" s="189" t="str">
        <f>IF(OR(RZ195="",RZ195="  &lt;/Document&gt;
&lt;/kml&gt;"),"",
IF(B196="","  &lt;/Document&gt;
&lt;/kml&gt;",
IF(TournéesCAV!Q196=""," ",
"    &lt;Placemark&gt;
      &lt;description&gt;&lt;![CDATA["&amp;B196&amp;"&lt;br&gt;&lt;br&gt;"&amp;RV196&amp;" CAV&lt;br&gt;&lt;br&gt;Présent sur "&amp;RW196&amp;" tournée(s)&lt;br&gt;&lt;br&gt;Taux de remplissage moyen "&amp;TEXT(RU196*1000,"0 %")&amp;"]]&gt;&lt;/description&gt;
      &lt;Style&gt;
        &lt;IconStyle&gt;
          &lt;color&gt;ff"&amp;
          DEC2HEX(0,2)&amp;
          DEC2HEX(
            IF(RU196&lt;=0.5,
               INT(255*(RU196*2)),
               255
            ),2)&amp;
          DEC2HEX(
            IF(RU196&lt;=0.5,
               255,
               INT(255*(1-(RU196-0.5)*2))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&lt;Point&gt;&lt;coordinates&gt;"&amp;R196&amp;","&amp;Q196&amp;",0&lt;/coordinates&gt;&lt;/Point&gt;
    &lt;/Placemark&gt;"
)))</f>
        <v xml:space="preserve">    &lt;Placemark&gt;
      &lt;description&gt;&lt;![CDATA[YERVILLE - 3 Place Bernard Alexandre&lt;br&gt;&lt;br&gt;2 CAV&lt;br&gt;&lt;br&gt;Présent sur 1 tournée(s)&lt;br&gt;&lt;br&gt;Taux de remplissage moyen 46%]]&gt;&lt;/description&gt;
      &lt;Style&gt;
        &lt;IconStyle&gt;
          &lt;color&gt;ff00EAFF&lt;/color&gt;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&lt;Point&gt;&lt;coordinates&gt;0.8992293,49.669995,0&lt;/coordinates&gt;&lt;/Point&gt;
    &lt;/Placemark&gt;</v>
      </c>
    </row>
    <row r="197" spans="2:494" ht="15" hidden="1" customHeight="1" x14ac:dyDescent="0.35">
      <c r="B197" s="153" t="str">
        <f t="shared" si="123"/>
        <v>VIBEUF - 25 rue de la Mare des Champs (Entrée parking communal)</v>
      </c>
      <c r="C197" s="154" t="s">
        <v>104</v>
      </c>
      <c r="D197" s="155"/>
      <c r="E197" s="155"/>
      <c r="F197" s="155"/>
      <c r="G197" s="155"/>
      <c r="H197" s="155"/>
      <c r="I197" s="155"/>
      <c r="J197" s="156"/>
      <c r="K197" s="157">
        <f t="shared" si="124"/>
        <v>1</v>
      </c>
      <c r="L197" s="157">
        <f t="shared" si="125"/>
        <v>1</v>
      </c>
      <c r="M197" s="158" t="s">
        <v>1070</v>
      </c>
      <c r="N197" s="159" t="s">
        <v>1071</v>
      </c>
      <c r="O197" s="159">
        <v>76760</v>
      </c>
      <c r="P197" s="159" t="s">
        <v>1072</v>
      </c>
      <c r="Q197" s="159" t="s">
        <v>1073</v>
      </c>
      <c r="R197" s="159" t="s">
        <v>1074</v>
      </c>
      <c r="S197" s="159"/>
      <c r="T197" s="159" t="s">
        <v>94</v>
      </c>
      <c r="U197" s="159" t="s">
        <v>1075</v>
      </c>
      <c r="V197" s="160" t="s">
        <v>96</v>
      </c>
      <c r="W197" s="161"/>
      <c r="X197" s="162"/>
      <c r="Y197" s="163"/>
      <c r="Z197" s="162"/>
      <c r="AA197" s="163"/>
      <c r="AB197" s="162"/>
      <c r="AC197" s="163"/>
      <c r="AD197" s="162"/>
      <c r="AE197" s="163"/>
      <c r="AF197" s="162"/>
      <c r="AG197" s="163"/>
      <c r="AH197" s="163"/>
      <c r="AI197" s="162"/>
      <c r="AJ197" s="163">
        <v>2</v>
      </c>
      <c r="AK197" s="162"/>
      <c r="AL197" s="163"/>
      <c r="AM197" s="162"/>
      <c r="AN197" s="163"/>
      <c r="AO197" s="162"/>
      <c r="AP197" s="164"/>
      <c r="AQ197" s="164"/>
      <c r="AR197" s="164"/>
      <c r="AS197" s="164"/>
      <c r="AT197" s="164"/>
      <c r="AU197" s="164"/>
      <c r="AV197" s="164"/>
      <c r="AW197" s="164"/>
      <c r="AX197" s="164"/>
      <c r="AY197" s="165"/>
      <c r="AZ197" s="41"/>
      <c r="BA197" s="190"/>
      <c r="BB197" s="191"/>
      <c r="BC197" s="191"/>
      <c r="BD197" s="191"/>
      <c r="BE197" s="191"/>
      <c r="BF197" s="191"/>
      <c r="BG197" s="191"/>
      <c r="BH197" s="191"/>
      <c r="BI197" s="191">
        <v>150</v>
      </c>
      <c r="BJ197" s="191"/>
      <c r="BK197" s="191"/>
      <c r="BL197" s="191"/>
      <c r="BM197" s="191"/>
      <c r="BN197" s="191"/>
      <c r="BO197" s="191"/>
      <c r="BP197" s="191"/>
      <c r="BQ197" s="191"/>
      <c r="BR197" s="191"/>
      <c r="BS197" s="191"/>
      <c r="BT197" s="191"/>
      <c r="BU197" s="191"/>
      <c r="BV197" s="191"/>
      <c r="BW197" s="191"/>
      <c r="BX197" s="191"/>
      <c r="BY197" s="191"/>
      <c r="BZ197" s="191"/>
      <c r="CA197" s="191"/>
      <c r="CB197" s="191"/>
      <c r="CC197" s="191"/>
      <c r="CD197" s="191"/>
      <c r="CE197" s="192"/>
      <c r="CF197" s="190"/>
      <c r="CG197" s="191"/>
      <c r="CH197" s="191"/>
      <c r="CI197" s="191"/>
      <c r="CJ197" s="191"/>
      <c r="CK197" s="191">
        <v>50</v>
      </c>
      <c r="CL197" s="191"/>
      <c r="CM197" s="191"/>
      <c r="CN197" s="191"/>
      <c r="CO197" s="191"/>
      <c r="CP197" s="191"/>
      <c r="CQ197" s="191"/>
      <c r="CR197" s="191"/>
      <c r="CS197" s="191"/>
      <c r="CT197" s="191"/>
      <c r="CU197" s="191"/>
      <c r="CV197" s="191"/>
      <c r="CW197" s="191"/>
      <c r="CX197" s="191"/>
      <c r="CY197" s="191"/>
      <c r="CZ197" s="191"/>
      <c r="DA197" s="191"/>
      <c r="DB197" s="191"/>
      <c r="DC197" s="191"/>
      <c r="DD197" s="191"/>
      <c r="DE197" s="191"/>
      <c r="DF197" s="191"/>
      <c r="DG197" s="191"/>
      <c r="DH197" s="193"/>
      <c r="DI197" s="194"/>
      <c r="DJ197" s="191"/>
      <c r="DK197" s="191"/>
      <c r="DL197" s="191"/>
      <c r="DM197" s="191"/>
      <c r="DN197" s="191"/>
      <c r="DO197" s="191"/>
      <c r="DP197" s="191"/>
      <c r="DQ197" s="191"/>
      <c r="DR197" s="191"/>
      <c r="DS197" s="191"/>
      <c r="DT197" s="191"/>
      <c r="DU197" s="191">
        <v>100</v>
      </c>
      <c r="DV197" s="191"/>
      <c r="DW197" s="191"/>
      <c r="DX197" s="191"/>
      <c r="DY197" s="191"/>
      <c r="DZ197" s="191"/>
      <c r="EA197" s="191">
        <v>50</v>
      </c>
      <c r="EB197" s="191"/>
      <c r="EC197" s="191"/>
      <c r="ED197" s="191"/>
      <c r="EE197" s="191"/>
      <c r="EF197" s="191"/>
      <c r="EG197" s="191"/>
      <c r="EH197" s="191"/>
      <c r="EI197" s="191">
        <v>150</v>
      </c>
      <c r="EJ197" s="191"/>
      <c r="EK197" s="191"/>
      <c r="EL197" s="191"/>
      <c r="EM197" s="192"/>
      <c r="EN197" s="190"/>
      <c r="EO197" s="191"/>
      <c r="EP197" s="191"/>
      <c r="EQ197" s="191"/>
      <c r="ER197" s="191"/>
      <c r="ES197" s="191"/>
      <c r="ET197" s="191"/>
      <c r="EU197" s="191"/>
      <c r="EV197" s="191"/>
      <c r="EW197" s="191">
        <v>50</v>
      </c>
      <c r="EX197" s="191"/>
      <c r="EY197" s="191"/>
      <c r="EZ197" s="191"/>
      <c r="FA197" s="191"/>
      <c r="FB197" s="191"/>
      <c r="FC197" s="191"/>
      <c r="FD197" s="191"/>
      <c r="FE197" s="191"/>
      <c r="FF197" s="191"/>
      <c r="FG197" s="191"/>
      <c r="FH197" s="191"/>
      <c r="FI197" s="191"/>
      <c r="FJ197" s="191"/>
      <c r="FK197" s="191"/>
      <c r="FL197" s="191"/>
      <c r="FM197" s="191"/>
      <c r="FN197" s="191"/>
      <c r="FO197" s="191"/>
      <c r="FP197" s="191"/>
      <c r="FQ197" s="193"/>
      <c r="FR197" s="194"/>
      <c r="FS197" s="191"/>
      <c r="FT197" s="191"/>
      <c r="FU197" s="191"/>
      <c r="FV197" s="191"/>
      <c r="FW197" s="191"/>
      <c r="FX197" s="191"/>
      <c r="FY197" s="191"/>
      <c r="FZ197" s="191"/>
      <c r="GA197" s="191"/>
      <c r="GB197" s="191"/>
      <c r="GC197" s="191"/>
      <c r="GD197" s="191"/>
      <c r="GE197" s="191"/>
      <c r="GF197" s="191">
        <v>100</v>
      </c>
      <c r="GG197" s="191"/>
      <c r="GH197" s="191"/>
      <c r="GI197" s="191"/>
      <c r="GJ197" s="191"/>
      <c r="GK197" s="191"/>
      <c r="GL197" s="191"/>
      <c r="GM197" s="191"/>
      <c r="GN197" s="191"/>
      <c r="GO197" s="191"/>
      <c r="GP197" s="191"/>
      <c r="GQ197" s="191"/>
      <c r="GR197" s="191"/>
      <c r="GS197" s="191"/>
      <c r="GT197" s="191"/>
      <c r="GU197" s="191"/>
      <c r="GV197" s="192"/>
      <c r="GW197" s="190"/>
      <c r="GX197" s="191"/>
      <c r="GY197" s="191"/>
      <c r="GZ197" s="191"/>
      <c r="HA197" s="191">
        <v>50</v>
      </c>
      <c r="HB197" s="191"/>
      <c r="HC197" s="191"/>
      <c r="HD197" s="191"/>
      <c r="HE197" s="191"/>
      <c r="HF197" s="191"/>
      <c r="HG197" s="191"/>
      <c r="HH197" s="191"/>
      <c r="HI197" s="191"/>
      <c r="HJ197" s="191"/>
      <c r="HK197" s="191"/>
      <c r="HL197" s="191"/>
      <c r="HM197" s="191"/>
      <c r="HN197" s="191"/>
      <c r="HO197" s="191"/>
      <c r="HP197" s="191"/>
      <c r="HQ197" s="191"/>
      <c r="HR197" s="191"/>
      <c r="HS197" s="191"/>
      <c r="HT197" s="191"/>
      <c r="HU197" s="191"/>
      <c r="HV197" s="191">
        <v>100</v>
      </c>
      <c r="HW197" s="191"/>
      <c r="HX197" s="191"/>
      <c r="HY197" s="191"/>
      <c r="HZ197" s="193"/>
      <c r="IA197" s="194"/>
      <c r="IB197" s="191"/>
      <c r="IC197" s="191">
        <v>10</v>
      </c>
      <c r="ID197" s="191"/>
      <c r="IE197" s="191"/>
      <c r="IF197" s="191"/>
      <c r="IG197" s="191"/>
      <c r="IH197" s="191"/>
      <c r="II197" s="191"/>
      <c r="IJ197" s="191">
        <v>50</v>
      </c>
      <c r="IK197" s="191"/>
      <c r="IL197" s="191"/>
      <c r="IM197" s="191"/>
      <c r="IN197" s="191"/>
      <c r="IO197" s="191"/>
      <c r="IP197" s="191"/>
      <c r="IQ197" s="191"/>
      <c r="IR197" s="191"/>
      <c r="IS197" s="191"/>
      <c r="IT197" s="191"/>
      <c r="IU197" s="191"/>
      <c r="IV197" s="191"/>
      <c r="IW197" s="191"/>
      <c r="IX197" s="191"/>
      <c r="IY197" s="191"/>
      <c r="IZ197" s="191"/>
      <c r="JA197" s="191"/>
      <c r="JB197" s="191"/>
      <c r="JC197" s="191"/>
      <c r="JD197" s="191"/>
      <c r="JE197" s="192"/>
      <c r="JF197" s="190"/>
      <c r="JG197" s="191"/>
      <c r="JH197" s="191"/>
      <c r="JI197" s="191"/>
      <c r="JJ197" s="191"/>
      <c r="JK197" s="191"/>
      <c r="JL197" s="191"/>
      <c r="JM197" s="191"/>
      <c r="JN197" s="191"/>
      <c r="JO197" s="191"/>
      <c r="JP197" s="191"/>
      <c r="JQ197" s="191">
        <v>200</v>
      </c>
      <c r="JR197" s="191"/>
      <c r="JS197" s="191"/>
      <c r="JT197" s="191"/>
      <c r="JU197" s="191"/>
      <c r="JV197" s="191"/>
      <c r="JW197" s="191"/>
      <c r="JX197" s="191"/>
      <c r="JY197" s="191"/>
      <c r="JZ197" s="191">
        <v>50</v>
      </c>
      <c r="KA197" s="191"/>
      <c r="KB197" s="191"/>
      <c r="KC197" s="191"/>
      <c r="KD197" s="191"/>
      <c r="KE197" s="191"/>
      <c r="KF197" s="191"/>
      <c r="KG197" s="191"/>
      <c r="KH197" s="191"/>
      <c r="KI197" s="191"/>
      <c r="KJ197" s="193"/>
      <c r="KK197" s="194"/>
      <c r="KL197" s="191"/>
      <c r="KM197" s="191"/>
      <c r="KN197" s="191">
        <v>10</v>
      </c>
      <c r="KO197" s="191"/>
      <c r="KP197" s="191"/>
      <c r="KQ197" s="191"/>
      <c r="KR197" s="191"/>
      <c r="KS197" s="191"/>
      <c r="KT197" s="191"/>
      <c r="KU197" s="191"/>
      <c r="KV197" s="191"/>
      <c r="KW197" s="191"/>
      <c r="KX197" s="191"/>
      <c r="KY197" s="191"/>
      <c r="KZ197" s="191"/>
      <c r="LA197" s="191"/>
      <c r="LB197" s="191">
        <v>100</v>
      </c>
      <c r="LC197" s="191"/>
      <c r="LD197" s="191"/>
      <c r="LE197" s="191"/>
      <c r="LF197" s="191"/>
      <c r="LG197" s="191"/>
      <c r="LH197" s="191"/>
      <c r="LI197" s="191">
        <v>150</v>
      </c>
      <c r="LJ197" s="191"/>
      <c r="LK197" s="191"/>
      <c r="LL197" s="191"/>
      <c r="LM197" s="191"/>
      <c r="LN197" s="192"/>
      <c r="LO197" s="190"/>
      <c r="LP197" s="191"/>
      <c r="LQ197" s="191"/>
      <c r="LR197" s="191"/>
      <c r="LS197" s="191"/>
      <c r="LT197" s="191"/>
      <c r="LU197" s="191"/>
      <c r="LV197" s="191"/>
      <c r="LW197" s="191">
        <v>50</v>
      </c>
      <c r="LX197" s="191"/>
      <c r="LY197" s="191"/>
      <c r="LZ197" s="191"/>
      <c r="MA197" s="191"/>
      <c r="MB197" s="191"/>
      <c r="MC197" s="191"/>
      <c r="MD197" s="191"/>
      <c r="ME197" s="191"/>
      <c r="MF197" s="191"/>
      <c r="MG197" s="191"/>
      <c r="MH197" s="191"/>
      <c r="MI197" s="191"/>
      <c r="MJ197" s="191"/>
      <c r="MK197" s="191">
        <v>100</v>
      </c>
      <c r="ML197" s="191"/>
      <c r="MM197" s="191"/>
      <c r="MN197" s="191"/>
      <c r="MO197" s="191"/>
      <c r="MP197" s="191"/>
      <c r="MQ197" s="191"/>
      <c r="MR197" s="191"/>
      <c r="MS197" s="193"/>
      <c r="MT197" s="194"/>
      <c r="MU197" s="191"/>
      <c r="MV197" s="191"/>
      <c r="MW197" s="191"/>
      <c r="MX197" s="191"/>
      <c r="MY197" s="191">
        <v>50</v>
      </c>
      <c r="MZ197" s="191"/>
      <c r="NA197" s="191"/>
      <c r="NB197" s="191"/>
      <c r="NC197" s="191"/>
      <c r="ND197" s="191"/>
      <c r="NE197" s="191"/>
      <c r="NF197" s="191"/>
      <c r="NG197" s="191"/>
      <c r="NH197" s="191"/>
      <c r="NI197" s="191"/>
      <c r="NJ197" s="191"/>
      <c r="NK197" s="191"/>
      <c r="NL197" s="191"/>
      <c r="NM197" s="191"/>
      <c r="NN197" s="191"/>
      <c r="NO197" s="191"/>
      <c r="NP197" s="191"/>
      <c r="NQ197" s="191"/>
      <c r="NR197" s="191"/>
      <c r="NS197" s="191"/>
      <c r="NT197" s="191">
        <v>50</v>
      </c>
      <c r="NU197" s="191"/>
      <c r="NV197" s="191"/>
      <c r="NW197" s="192"/>
      <c r="NX197" s="190"/>
      <c r="NY197" s="191"/>
      <c r="NZ197" s="191"/>
      <c r="OA197" s="191"/>
      <c r="OB197" s="191"/>
      <c r="OC197" s="191"/>
      <c r="OD197" s="191"/>
      <c r="OE197" s="191"/>
      <c r="OF197" s="191"/>
      <c r="OG197" s="191"/>
      <c r="OH197" s="191">
        <v>10</v>
      </c>
      <c r="OI197" s="191"/>
      <c r="OJ197" s="191"/>
      <c r="OK197" s="191"/>
      <c r="OL197" s="191"/>
      <c r="OM197" s="191"/>
      <c r="ON197" s="191"/>
      <c r="OO197" s="191"/>
      <c r="OP197" s="191"/>
      <c r="OQ197" s="191"/>
      <c r="OR197" s="191"/>
      <c r="OS197" s="191"/>
      <c r="OT197" s="191"/>
      <c r="OU197" s="191"/>
      <c r="OV197" s="191"/>
      <c r="OW197" s="191"/>
      <c r="OX197" s="191"/>
      <c r="OY197" s="191"/>
      <c r="OZ197" s="191"/>
      <c r="PA197" s="191"/>
      <c r="PB197" s="193"/>
      <c r="PC197" s="47"/>
      <c r="PD197" s="154" t="s">
        <v>98</v>
      </c>
      <c r="PE197" s="155" t="s">
        <v>98</v>
      </c>
      <c r="PF197" s="155" t="s">
        <v>98</v>
      </c>
      <c r="PG197" s="155" t="s">
        <v>98</v>
      </c>
      <c r="PH197" s="155" t="s">
        <v>98</v>
      </c>
      <c r="PI197" s="155" t="s">
        <v>98</v>
      </c>
      <c r="PJ197" s="155" t="s">
        <v>98</v>
      </c>
      <c r="PK197" s="155" t="s">
        <v>97</v>
      </c>
      <c r="PL197" s="155" t="s">
        <v>98</v>
      </c>
      <c r="PM197" s="155" t="s">
        <v>98</v>
      </c>
      <c r="PN197" s="155" t="s">
        <v>98</v>
      </c>
      <c r="PO197" s="156"/>
      <c r="PP197" s="156"/>
      <c r="PQ197" s="156"/>
      <c r="PR197" s="156"/>
      <c r="PS197" s="156"/>
      <c r="PT197" s="156"/>
      <c r="PU197" s="156"/>
      <c r="PV197" s="156"/>
      <c r="PW197" s="156"/>
      <c r="PX197" s="195"/>
      <c r="PY197" s="1"/>
      <c r="PZ197" s="196">
        <f t="shared" si="126"/>
        <v>150</v>
      </c>
      <c r="QA197" s="218">
        <f t="shared" si="127"/>
        <v>1.2513556352715441E-3</v>
      </c>
      <c r="QB197" s="219" t="str">
        <f t="shared" ca="1" si="128"/>
        <v>Attente…</v>
      </c>
      <c r="QC197" s="197">
        <f t="shared" si="129"/>
        <v>50</v>
      </c>
      <c r="QD197" s="220">
        <f t="shared" si="130"/>
        <v>4.6816479400749064E-4</v>
      </c>
      <c r="QE197" s="221" t="str">
        <f t="shared" ca="1" si="131"/>
        <v>Attente…</v>
      </c>
      <c r="QF197" s="196">
        <f t="shared" si="132"/>
        <v>300</v>
      </c>
      <c r="QG197" s="218">
        <f t="shared" si="133"/>
        <v>2.3889154323936935E-3</v>
      </c>
      <c r="QH197" s="219" t="str">
        <f t="shared" ca="1" si="134"/>
        <v>Attente…</v>
      </c>
      <c r="QI197" s="197">
        <f t="shared" si="135"/>
        <v>50</v>
      </c>
      <c r="QJ197" s="220">
        <f t="shared" si="136"/>
        <v>3.5068031982045167E-4</v>
      </c>
      <c r="QK197" s="221" t="str">
        <f t="shared" ca="1" si="137"/>
        <v>Attente…</v>
      </c>
      <c r="QL197" s="196">
        <f t="shared" si="138"/>
        <v>100</v>
      </c>
      <c r="QM197" s="218">
        <f t="shared" si="139"/>
        <v>7.3163593795727241E-4</v>
      </c>
      <c r="QN197" s="219" t="str">
        <f t="shared" ca="1" si="140"/>
        <v>Attente…</v>
      </c>
      <c r="QO197" s="197">
        <f t="shared" si="141"/>
        <v>150</v>
      </c>
      <c r="QP197" s="220">
        <f t="shared" si="142"/>
        <v>1.1743521490644327E-3</v>
      </c>
      <c r="QQ197" s="221" t="str">
        <f t="shared" ca="1" si="143"/>
        <v>Attente…</v>
      </c>
      <c r="QR197" s="196">
        <f t="shared" si="144"/>
        <v>60</v>
      </c>
      <c r="QS197" s="218">
        <f t="shared" si="145"/>
        <v>4.3194989381231777E-4</v>
      </c>
      <c r="QT197" s="219" t="str">
        <f t="shared" ca="1" si="146"/>
        <v>Attente…</v>
      </c>
      <c r="QU197" s="197">
        <f t="shared" si="147"/>
        <v>250</v>
      </c>
      <c r="QV197" s="220">
        <f t="shared" si="148"/>
        <v>1.7236624379481523E-3</v>
      </c>
      <c r="QW197" s="221" t="str">
        <f t="shared" ca="1" si="149"/>
        <v>Attente…</v>
      </c>
      <c r="QX197" s="196">
        <f t="shared" si="150"/>
        <v>260</v>
      </c>
      <c r="QY197" s="218">
        <f t="shared" si="151"/>
        <v>1.8973116553314458E-3</v>
      </c>
      <c r="QZ197" s="219" t="str">
        <f t="shared" ca="1" si="152"/>
        <v>Attente…</v>
      </c>
      <c r="RA197" s="197">
        <f t="shared" si="153"/>
        <v>150</v>
      </c>
      <c r="RB197" s="220">
        <f t="shared" si="154"/>
        <v>1.1736170878647993E-3</v>
      </c>
      <c r="RC197" s="221" t="str">
        <f t="shared" ca="1" si="155"/>
        <v>Attente…</v>
      </c>
      <c r="RD197" s="196">
        <f t="shared" si="156"/>
        <v>100</v>
      </c>
      <c r="RE197" s="218">
        <f t="shared" si="157"/>
        <v>9.9641291351135913E-4</v>
      </c>
      <c r="RF197" s="219" t="str">
        <f t="shared" ca="1" si="158"/>
        <v>Attente…</v>
      </c>
      <c r="RG197" s="197">
        <f t="shared" si="159"/>
        <v>10</v>
      </c>
      <c r="RH197" s="220">
        <f t="shared" si="160"/>
        <v>1.839249586168843E-4</v>
      </c>
      <c r="RI197" s="222" t="str">
        <f t="shared" ca="1" si="161"/>
        <v>Attente…</v>
      </c>
      <c r="RJ197" s="199">
        <f t="shared" si="162"/>
        <v>500</v>
      </c>
      <c r="RK197" s="200" t="str">
        <f t="shared" ref="RK197:RK260" ca="1" si="172">IFERROR(QB197+QE197+QH197,"Attente…")</f>
        <v>Attente…</v>
      </c>
      <c r="RL197" s="199">
        <f t="shared" si="163"/>
        <v>300</v>
      </c>
      <c r="RM197" s="200" t="str">
        <f t="shared" ca="1" si="164"/>
        <v>Atttente…</v>
      </c>
      <c r="RN197" s="199">
        <f t="shared" si="165"/>
        <v>570</v>
      </c>
      <c r="RO197" s="200" t="str">
        <f t="shared" ref="RO197:RO260" ca="1" si="173">IFERROR(QT197+QW197+QZ197,"Attente…")</f>
        <v>Attente…</v>
      </c>
      <c r="RP197" s="199">
        <f t="shared" si="166"/>
        <v>260</v>
      </c>
      <c r="RQ197" s="200" t="str">
        <f t="shared" ref="RQ197:RQ260" ca="1" si="174">IFERROR(RC197+RF197+RI197,"Attente…")</f>
        <v>Attente…</v>
      </c>
      <c r="RR197" s="201">
        <f t="shared" si="167"/>
        <v>1630</v>
      </c>
      <c r="RS197" s="202" t="str">
        <f t="shared" ref="RS197:RS260" ca="1" si="175">IFERROR(RK197+RM197+RO197+RQ197,"Attente…")</f>
        <v>Attente…</v>
      </c>
      <c r="RT197" s="103"/>
      <c r="RU197" s="203">
        <f t="shared" si="168"/>
        <v>0.3880952380952381</v>
      </c>
      <c r="RV197" s="204">
        <f t="shared" si="171"/>
        <v>1</v>
      </c>
      <c r="RW197" s="204">
        <f t="shared" si="171"/>
        <v>1</v>
      </c>
      <c r="RX197" s="204">
        <f t="shared" si="169"/>
        <v>21</v>
      </c>
      <c r="RY197" s="205" t="str">
        <f t="shared" si="170"/>
        <v>VIBEUF - 25 rue de la Mare des Champs (Entrée parking communal)</v>
      </c>
      <c r="RZ197" s="189" t="str">
        <f>IF(OR(RZ196="",RZ196="  &lt;/Document&gt;
&lt;/kml&gt;"),"",
IF(B197="","  &lt;/Document&gt;
&lt;/kml&gt;",
IF(TournéesCAV!Q197=""," ",
"    &lt;Placemark&gt;
      &lt;description&gt;&lt;![CDATA["&amp;B197&amp;"&lt;br&gt;&lt;br&gt;"&amp;RV197&amp;" CAV&lt;br&gt;&lt;br&gt;Présent sur "&amp;RW197&amp;" tournée(s)&lt;br&gt;&lt;br&gt;Taux de remplissage moyen "&amp;TEXT(RU197*1000,"0 %")&amp;"]]&gt;&lt;/description&gt;
      &lt;Style&gt;
        &lt;IconStyle&gt;
          &lt;color&gt;ff"&amp;
          DEC2HEX(0,2)&amp;
          DEC2HEX(
            IF(RU197&lt;=0.5,
               INT(255*(RU197*2)),
               255
            ),2)&amp;
          DEC2HEX(
            IF(RU197&lt;=0.5,
               255,
               INT(255*(1-(RU197-0.5)*2))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&lt;Point&gt;&lt;coordinates&gt;"&amp;R197&amp;","&amp;Q197&amp;",0&lt;/coordinates&gt;&lt;/Point&gt;
    &lt;/Placemark&gt;"
)))</f>
        <v xml:space="preserve">    &lt;Placemark&gt;
      &lt;description&gt;&lt;![CDATA[VIBEUF - 25 rue de la Mare des Champs (Entrée parking communal)&lt;br&gt;&lt;br&gt;1 CAV&lt;br&gt;&lt;br&gt;Présent sur 1 tournée(s)&lt;br&gt;&lt;br&gt;Taux de remplissage moyen 39%]]&gt;&lt;/description&gt;
      &lt;Style&gt;
        &lt;IconStyle&gt;
          &lt;color&gt;ff00C5FF&lt;/color&gt;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&lt;Point&gt;&lt;coordinates&gt;0.9027505,49.693223,0&lt;/coordinates&gt;&lt;/Point&gt;
    &lt;/Placemark&gt;</v>
      </c>
    </row>
    <row r="198" spans="2:494" ht="15" hidden="1" customHeight="1" x14ac:dyDescent="0.35">
      <c r="B198" s="153" t="str">
        <f t="shared" ref="B198:B214" si="176">UPPER(P198)&amp;" - "&amp;M198&amp;IF(N198="",""," ("&amp;N198&amp;")")</f>
        <v>ETOUTTEVILLE - 520 rue du Prieuré (Parking)</v>
      </c>
      <c r="C198" s="154" t="s">
        <v>104</v>
      </c>
      <c r="D198" s="155" t="s">
        <v>104</v>
      </c>
      <c r="E198" s="155"/>
      <c r="F198" s="155"/>
      <c r="G198" s="155"/>
      <c r="H198" s="155"/>
      <c r="I198" s="155"/>
      <c r="J198" s="156"/>
      <c r="K198" s="157">
        <f t="shared" ref="K198:K214" si="177">COUNTA(C198:J198)</f>
        <v>2</v>
      </c>
      <c r="L198" s="157">
        <f t="shared" ref="L198:L214" si="178">COUNTA(W198:AY198)</f>
        <v>1</v>
      </c>
      <c r="M198" s="158" t="s">
        <v>1076</v>
      </c>
      <c r="N198" s="159" t="s">
        <v>522</v>
      </c>
      <c r="O198" s="159">
        <v>76190</v>
      </c>
      <c r="P198" s="159" t="s">
        <v>1077</v>
      </c>
      <c r="Q198" s="159" t="s">
        <v>1078</v>
      </c>
      <c r="R198" s="159" t="s">
        <v>1079</v>
      </c>
      <c r="S198" s="159"/>
      <c r="T198" s="159" t="s">
        <v>94</v>
      </c>
      <c r="U198" s="159" t="s">
        <v>1080</v>
      </c>
      <c r="V198" s="160" t="s">
        <v>96</v>
      </c>
      <c r="W198" s="161"/>
      <c r="X198" s="162"/>
      <c r="Y198" s="163"/>
      <c r="Z198" s="162"/>
      <c r="AA198" s="163"/>
      <c r="AB198" s="162"/>
      <c r="AC198" s="163"/>
      <c r="AD198" s="162"/>
      <c r="AE198" s="163"/>
      <c r="AF198" s="162"/>
      <c r="AG198" s="163"/>
      <c r="AH198" s="163"/>
      <c r="AI198" s="162"/>
      <c r="AJ198" s="163">
        <v>3</v>
      </c>
      <c r="AK198" s="162"/>
      <c r="AL198" s="163"/>
      <c r="AM198" s="162"/>
      <c r="AN198" s="163"/>
      <c r="AO198" s="162"/>
      <c r="AP198" s="164"/>
      <c r="AQ198" s="164"/>
      <c r="AR198" s="164"/>
      <c r="AS198" s="164"/>
      <c r="AT198" s="164"/>
      <c r="AU198" s="164"/>
      <c r="AV198" s="164"/>
      <c r="AW198" s="164"/>
      <c r="AX198" s="164"/>
      <c r="AY198" s="165"/>
      <c r="AZ198" s="41"/>
      <c r="BA198" s="190"/>
      <c r="BB198" s="191"/>
      <c r="BC198" s="191"/>
      <c r="BD198" s="191"/>
      <c r="BE198" s="191"/>
      <c r="BF198" s="191"/>
      <c r="BG198" s="191"/>
      <c r="BH198" s="191"/>
      <c r="BI198" s="191">
        <v>300</v>
      </c>
      <c r="BJ198" s="191"/>
      <c r="BK198" s="191"/>
      <c r="BL198" s="191"/>
      <c r="BM198" s="191"/>
      <c r="BN198" s="191"/>
      <c r="BO198" s="191"/>
      <c r="BP198" s="191"/>
      <c r="BQ198" s="191"/>
      <c r="BR198" s="191"/>
      <c r="BS198" s="191"/>
      <c r="BT198" s="191"/>
      <c r="BU198" s="191"/>
      <c r="BV198" s="191"/>
      <c r="BW198" s="191"/>
      <c r="BX198" s="191"/>
      <c r="BY198" s="191"/>
      <c r="BZ198" s="191"/>
      <c r="CA198" s="191"/>
      <c r="CB198" s="191"/>
      <c r="CC198" s="191"/>
      <c r="CD198" s="191"/>
      <c r="CE198" s="192"/>
      <c r="CF198" s="190"/>
      <c r="CG198" s="191"/>
      <c r="CH198" s="191"/>
      <c r="CI198" s="191"/>
      <c r="CJ198" s="191"/>
      <c r="CK198" s="191">
        <v>250</v>
      </c>
      <c r="CL198" s="191"/>
      <c r="CM198" s="191"/>
      <c r="CN198" s="191"/>
      <c r="CO198" s="191"/>
      <c r="CP198" s="191"/>
      <c r="CQ198" s="191"/>
      <c r="CR198" s="191"/>
      <c r="CS198" s="191"/>
      <c r="CT198" s="191"/>
      <c r="CU198" s="191"/>
      <c r="CV198" s="191"/>
      <c r="CW198" s="191"/>
      <c r="CX198" s="191"/>
      <c r="CY198" s="191"/>
      <c r="CZ198" s="191"/>
      <c r="DA198" s="191"/>
      <c r="DB198" s="191"/>
      <c r="DC198" s="191"/>
      <c r="DD198" s="191"/>
      <c r="DE198" s="191"/>
      <c r="DF198" s="191"/>
      <c r="DG198" s="191"/>
      <c r="DH198" s="193"/>
      <c r="DI198" s="194"/>
      <c r="DJ198" s="191"/>
      <c r="DK198" s="191"/>
      <c r="DL198" s="191"/>
      <c r="DM198" s="191"/>
      <c r="DN198" s="191"/>
      <c r="DO198" s="191"/>
      <c r="DP198" s="191"/>
      <c r="DQ198" s="191"/>
      <c r="DR198" s="191"/>
      <c r="DS198" s="191"/>
      <c r="DT198" s="191"/>
      <c r="DU198" s="191">
        <v>300</v>
      </c>
      <c r="DV198" s="191"/>
      <c r="DW198" s="191"/>
      <c r="DX198" s="191"/>
      <c r="DY198" s="191"/>
      <c r="DZ198" s="191"/>
      <c r="EA198" s="191">
        <v>60</v>
      </c>
      <c r="EB198" s="191"/>
      <c r="EC198" s="191"/>
      <c r="ED198" s="191"/>
      <c r="EE198" s="191"/>
      <c r="EF198" s="191"/>
      <c r="EG198" s="191"/>
      <c r="EH198" s="191"/>
      <c r="EI198" s="191">
        <v>20</v>
      </c>
      <c r="EJ198" s="191"/>
      <c r="EK198" s="191"/>
      <c r="EL198" s="191"/>
      <c r="EM198" s="192"/>
      <c r="EN198" s="190"/>
      <c r="EO198" s="191"/>
      <c r="EP198" s="191"/>
      <c r="EQ198" s="191"/>
      <c r="ER198" s="191"/>
      <c r="ES198" s="191"/>
      <c r="ET198" s="191"/>
      <c r="EU198" s="191"/>
      <c r="EV198" s="191"/>
      <c r="EW198" s="191">
        <v>60</v>
      </c>
      <c r="EX198" s="191"/>
      <c r="EY198" s="191"/>
      <c r="EZ198" s="191"/>
      <c r="FA198" s="191"/>
      <c r="FB198" s="191"/>
      <c r="FC198" s="191"/>
      <c r="FD198" s="191"/>
      <c r="FE198" s="191"/>
      <c r="FF198" s="191"/>
      <c r="FG198" s="191"/>
      <c r="FH198" s="191"/>
      <c r="FI198" s="191"/>
      <c r="FJ198" s="191"/>
      <c r="FK198" s="191"/>
      <c r="FL198" s="191"/>
      <c r="FM198" s="191"/>
      <c r="FN198" s="191"/>
      <c r="FO198" s="191"/>
      <c r="FP198" s="191"/>
      <c r="FQ198" s="193"/>
      <c r="FR198" s="194"/>
      <c r="FS198" s="191"/>
      <c r="FT198" s="191"/>
      <c r="FU198" s="191"/>
      <c r="FV198" s="191"/>
      <c r="FW198" s="191"/>
      <c r="FX198" s="191"/>
      <c r="FY198" s="191"/>
      <c r="FZ198" s="191"/>
      <c r="GA198" s="191"/>
      <c r="GB198" s="191"/>
      <c r="GC198" s="191"/>
      <c r="GD198" s="191"/>
      <c r="GE198" s="191"/>
      <c r="GF198" s="191">
        <v>300</v>
      </c>
      <c r="GG198" s="191"/>
      <c r="GH198" s="191"/>
      <c r="GI198" s="191"/>
      <c r="GJ198" s="191"/>
      <c r="GK198" s="191"/>
      <c r="GL198" s="191"/>
      <c r="GM198" s="191"/>
      <c r="GN198" s="191"/>
      <c r="GO198" s="191"/>
      <c r="GP198" s="191"/>
      <c r="GQ198" s="191"/>
      <c r="GR198" s="191"/>
      <c r="GS198" s="191"/>
      <c r="GT198" s="191"/>
      <c r="GU198" s="191"/>
      <c r="GV198" s="192"/>
      <c r="GW198" s="190"/>
      <c r="GX198" s="191"/>
      <c r="GY198" s="191"/>
      <c r="GZ198" s="191"/>
      <c r="HA198" s="191">
        <v>300</v>
      </c>
      <c r="HB198" s="191"/>
      <c r="HC198" s="191"/>
      <c r="HD198" s="191"/>
      <c r="HE198" s="191"/>
      <c r="HF198" s="191"/>
      <c r="HG198" s="191"/>
      <c r="HH198" s="191"/>
      <c r="HI198" s="191"/>
      <c r="HJ198" s="191"/>
      <c r="HK198" s="191"/>
      <c r="HL198" s="191"/>
      <c r="HM198" s="191"/>
      <c r="HN198" s="191"/>
      <c r="HO198" s="191"/>
      <c r="HP198" s="191"/>
      <c r="HQ198" s="191"/>
      <c r="HR198" s="191"/>
      <c r="HS198" s="191"/>
      <c r="HT198" s="191"/>
      <c r="HU198" s="191"/>
      <c r="HV198" s="191">
        <v>150</v>
      </c>
      <c r="HW198" s="191"/>
      <c r="HX198" s="191"/>
      <c r="HY198" s="191"/>
      <c r="HZ198" s="193"/>
      <c r="IA198" s="194"/>
      <c r="IB198" s="191"/>
      <c r="IC198" s="191">
        <v>110</v>
      </c>
      <c r="ID198" s="191"/>
      <c r="IE198" s="191"/>
      <c r="IF198" s="191"/>
      <c r="IG198" s="191"/>
      <c r="IH198" s="191"/>
      <c r="II198" s="191"/>
      <c r="IJ198" s="191">
        <v>60</v>
      </c>
      <c r="IK198" s="191"/>
      <c r="IL198" s="191"/>
      <c r="IM198" s="191"/>
      <c r="IN198" s="191"/>
      <c r="IO198" s="191"/>
      <c r="IP198" s="191"/>
      <c r="IQ198" s="191"/>
      <c r="IR198" s="191"/>
      <c r="IS198" s="191"/>
      <c r="IT198" s="191"/>
      <c r="IU198" s="191"/>
      <c r="IV198" s="191"/>
      <c r="IW198" s="191"/>
      <c r="IX198" s="191"/>
      <c r="IY198" s="191"/>
      <c r="IZ198" s="191"/>
      <c r="JA198" s="191"/>
      <c r="JB198" s="191"/>
      <c r="JC198" s="191"/>
      <c r="JD198" s="191"/>
      <c r="JE198" s="192"/>
      <c r="JF198" s="190"/>
      <c r="JG198" s="191"/>
      <c r="JH198" s="191"/>
      <c r="JI198" s="191"/>
      <c r="JJ198" s="191"/>
      <c r="JK198" s="191"/>
      <c r="JL198" s="191">
        <v>400</v>
      </c>
      <c r="JM198" s="191"/>
      <c r="JN198" s="191"/>
      <c r="JO198" s="191"/>
      <c r="JP198" s="191"/>
      <c r="JQ198" s="191"/>
      <c r="JR198" s="191"/>
      <c r="JS198" s="191"/>
      <c r="JT198" s="191"/>
      <c r="JU198" s="191"/>
      <c r="JV198" s="191"/>
      <c r="JW198" s="191"/>
      <c r="JX198" s="191"/>
      <c r="JY198" s="191"/>
      <c r="JZ198" s="191">
        <v>150</v>
      </c>
      <c r="KA198" s="191"/>
      <c r="KB198" s="191"/>
      <c r="KC198" s="191"/>
      <c r="KD198" s="191"/>
      <c r="KE198" s="191"/>
      <c r="KF198" s="191"/>
      <c r="KG198" s="191"/>
      <c r="KH198" s="191"/>
      <c r="KI198" s="191"/>
      <c r="KJ198" s="193"/>
      <c r="KK198" s="194"/>
      <c r="KL198" s="191"/>
      <c r="KM198" s="191"/>
      <c r="KN198" s="191">
        <v>100</v>
      </c>
      <c r="KO198" s="191"/>
      <c r="KP198" s="191"/>
      <c r="KQ198" s="191"/>
      <c r="KR198" s="191"/>
      <c r="KS198" s="191"/>
      <c r="KT198" s="191"/>
      <c r="KU198" s="191"/>
      <c r="KV198" s="191"/>
      <c r="KW198" s="191"/>
      <c r="KX198" s="191"/>
      <c r="KY198" s="191"/>
      <c r="KZ198" s="191"/>
      <c r="LA198" s="191"/>
      <c r="LB198" s="191">
        <v>150</v>
      </c>
      <c r="LC198" s="191"/>
      <c r="LD198" s="191"/>
      <c r="LE198" s="191"/>
      <c r="LF198" s="191"/>
      <c r="LG198" s="191"/>
      <c r="LH198" s="191"/>
      <c r="LI198" s="191">
        <v>300</v>
      </c>
      <c r="LJ198" s="191"/>
      <c r="LK198" s="191"/>
      <c r="LL198" s="191"/>
      <c r="LM198" s="191"/>
      <c r="LN198" s="192"/>
      <c r="LO198" s="190"/>
      <c r="LP198" s="191"/>
      <c r="LQ198" s="191"/>
      <c r="LR198" s="191"/>
      <c r="LS198" s="191"/>
      <c r="LT198" s="191"/>
      <c r="LU198" s="191"/>
      <c r="LV198" s="191"/>
      <c r="LW198" s="191">
        <v>150</v>
      </c>
      <c r="LX198" s="191"/>
      <c r="LY198" s="191"/>
      <c r="LZ198" s="191"/>
      <c r="MA198" s="191"/>
      <c r="MB198" s="191"/>
      <c r="MC198" s="191"/>
      <c r="MD198" s="191"/>
      <c r="ME198" s="191"/>
      <c r="MF198" s="191"/>
      <c r="MG198" s="191"/>
      <c r="MH198" s="191"/>
      <c r="MI198" s="191"/>
      <c r="MJ198" s="191"/>
      <c r="MK198" s="191">
        <v>150</v>
      </c>
      <c r="ML198" s="191"/>
      <c r="MM198" s="191"/>
      <c r="MN198" s="191"/>
      <c r="MO198" s="191"/>
      <c r="MP198" s="191"/>
      <c r="MQ198" s="191"/>
      <c r="MR198" s="191"/>
      <c r="MS198" s="193"/>
      <c r="MT198" s="194"/>
      <c r="MU198" s="191"/>
      <c r="MV198" s="191"/>
      <c r="MW198" s="191"/>
      <c r="MX198" s="191"/>
      <c r="MY198" s="191">
        <v>200</v>
      </c>
      <c r="MZ198" s="191"/>
      <c r="NA198" s="191"/>
      <c r="NB198" s="191"/>
      <c r="NC198" s="191"/>
      <c r="ND198" s="191"/>
      <c r="NE198" s="191"/>
      <c r="NF198" s="191"/>
      <c r="NG198" s="191"/>
      <c r="NH198" s="191"/>
      <c r="NI198" s="191"/>
      <c r="NJ198" s="191"/>
      <c r="NK198" s="191"/>
      <c r="NL198" s="191"/>
      <c r="NM198" s="191"/>
      <c r="NN198" s="191"/>
      <c r="NO198" s="191"/>
      <c r="NP198" s="191"/>
      <c r="NQ198" s="191"/>
      <c r="NR198" s="191"/>
      <c r="NS198" s="191"/>
      <c r="NT198" s="191">
        <v>200</v>
      </c>
      <c r="NU198" s="191"/>
      <c r="NV198" s="191"/>
      <c r="NW198" s="192"/>
      <c r="NX198" s="190"/>
      <c r="NY198" s="191"/>
      <c r="NZ198" s="191"/>
      <c r="OA198" s="191"/>
      <c r="OB198" s="191"/>
      <c r="OC198" s="191"/>
      <c r="OD198" s="191"/>
      <c r="OE198" s="191"/>
      <c r="OF198" s="191"/>
      <c r="OG198" s="191"/>
      <c r="OH198" s="191">
        <v>100</v>
      </c>
      <c r="OI198" s="191"/>
      <c r="OJ198" s="191"/>
      <c r="OK198" s="191"/>
      <c r="OL198" s="191"/>
      <c r="OM198" s="191"/>
      <c r="ON198" s="191"/>
      <c r="OO198" s="191"/>
      <c r="OP198" s="191"/>
      <c r="OQ198" s="191"/>
      <c r="OR198" s="191"/>
      <c r="OS198" s="191"/>
      <c r="OT198" s="191"/>
      <c r="OU198" s="191"/>
      <c r="OV198" s="191"/>
      <c r="OW198" s="191"/>
      <c r="OX198" s="191"/>
      <c r="OY198" s="191"/>
      <c r="OZ198" s="191"/>
      <c r="PA198" s="191"/>
      <c r="PB198" s="193"/>
      <c r="PC198" s="47"/>
      <c r="PD198" s="154" t="s">
        <v>98</v>
      </c>
      <c r="PE198" s="155" t="s">
        <v>98</v>
      </c>
      <c r="PF198" s="155" t="s">
        <v>98</v>
      </c>
      <c r="PG198" s="155" t="s">
        <v>98</v>
      </c>
      <c r="PH198" s="155" t="s">
        <v>98</v>
      </c>
      <c r="PI198" s="155" t="s">
        <v>98</v>
      </c>
      <c r="PJ198" s="155" t="s">
        <v>98</v>
      </c>
      <c r="PK198" s="155" t="s">
        <v>97</v>
      </c>
      <c r="PL198" s="155" t="s">
        <v>98</v>
      </c>
      <c r="PM198" s="155" t="s">
        <v>98</v>
      </c>
      <c r="PN198" s="155" t="s">
        <v>98</v>
      </c>
      <c r="PO198" s="156"/>
      <c r="PP198" s="156"/>
      <c r="PQ198" s="156"/>
      <c r="PR198" s="156"/>
      <c r="PS198" s="156"/>
      <c r="PT198" s="156"/>
      <c r="PU198" s="156"/>
      <c r="PV198" s="156"/>
      <c r="PW198" s="156"/>
      <c r="PX198" s="195"/>
      <c r="PY198" s="1"/>
      <c r="PZ198" s="196">
        <f t="shared" ref="PZ198:PZ214" si="179">SUM(BA198:CE198)</f>
        <v>300</v>
      </c>
      <c r="QA198" s="218">
        <f t="shared" ref="QA198:QA217" si="180">IFERROR(PZ198/PZ$5,"Attente…")</f>
        <v>2.5027112705430883E-3</v>
      </c>
      <c r="QB198" s="219" t="str">
        <f t="shared" ref="QB198:QB217" ca="1" si="181">IFERROR(QA198*QB$5,"Attente…")</f>
        <v>Attente…</v>
      </c>
      <c r="QC198" s="197">
        <f t="shared" ref="QC198:QC217" si="182">SUM(CF198:DH198)</f>
        <v>250</v>
      </c>
      <c r="QD198" s="220">
        <f t="shared" ref="QD198:QD217" si="183">IFERROR(QC198/QC$5,"Attente…")</f>
        <v>2.3408239700374533E-3</v>
      </c>
      <c r="QE198" s="221" t="str">
        <f t="shared" ref="QE198:QE217" ca="1" si="184">IFERROR(QD198*QE$5,"Attente…")</f>
        <v>Attente…</v>
      </c>
      <c r="QF198" s="196">
        <f t="shared" ref="QF198:QF217" si="185">SUM(DI198:EM198)</f>
        <v>380</v>
      </c>
      <c r="QG198" s="218">
        <f t="shared" ref="QG198:QG217" si="186">IFERROR(QF198/QF$5,"Attente…")</f>
        <v>3.025959547698678E-3</v>
      </c>
      <c r="QH198" s="219" t="str">
        <f t="shared" ref="QH198:QH217" ca="1" si="187">IFERROR(QG198*QH$5,"Attente…")</f>
        <v>Attente…</v>
      </c>
      <c r="QI198" s="197">
        <f t="shared" ref="QI198:QI217" si="188">SUM(EN198:FQ198)</f>
        <v>60</v>
      </c>
      <c r="QJ198" s="220">
        <f t="shared" ref="QJ198:QJ217" si="189">IFERROR(QI198/QI$5,"Attente…")</f>
        <v>4.2081638378454203E-4</v>
      </c>
      <c r="QK198" s="221" t="str">
        <f t="shared" ref="QK198:QK217" ca="1" si="190">IFERROR(QJ198*QK$5,"Attente…")</f>
        <v>Attente…</v>
      </c>
      <c r="QL198" s="196">
        <f t="shared" ref="QL198:QL217" si="191">SUM(FR198:GV198)</f>
        <v>300</v>
      </c>
      <c r="QM198" s="218">
        <f t="shared" ref="QM198:QM217" si="192">IFERROR(QL198/QL$5,"Attente…")</f>
        <v>2.1949078138718174E-3</v>
      </c>
      <c r="QN198" s="219" t="str">
        <f t="shared" ref="QN198:QN217" ca="1" si="193">IFERROR(QM198*QN$5,"Attente…")</f>
        <v>Attente…</v>
      </c>
      <c r="QO198" s="197">
        <f t="shared" ref="QO198:QO217" si="194">SUM(GW198:HZ198)</f>
        <v>450</v>
      </c>
      <c r="QP198" s="220">
        <f t="shared" ref="QP198:QP217" si="195">IFERROR(QO198/QO$5,"Attente…")</f>
        <v>3.5230564471932986E-3</v>
      </c>
      <c r="QQ198" s="221" t="str">
        <f t="shared" ref="QQ198:QQ217" ca="1" si="196">IFERROR(QP198*QQ$5,"Attente…")</f>
        <v>Attente…</v>
      </c>
      <c r="QR198" s="196">
        <f t="shared" ref="QR198:QR217" si="197">SUM(IA198:JE198)</f>
        <v>170</v>
      </c>
      <c r="QS198" s="218">
        <f t="shared" ref="QS198:QS217" si="198">IFERROR(QR198/QR$5,"Attente…")</f>
        <v>1.2238580324682336E-3</v>
      </c>
      <c r="QT198" s="219" t="str">
        <f t="shared" ref="QT198:QT217" ca="1" si="199">IFERROR(QS198*QT$5,"Attente…")</f>
        <v>Attente…</v>
      </c>
      <c r="QU198" s="197">
        <f t="shared" ref="QU198:QU217" si="200">SUM(JF198:KJ198)</f>
        <v>550</v>
      </c>
      <c r="QV198" s="220">
        <f t="shared" ref="QV198:QV217" si="201">IFERROR(QU198/QU$5,"Attente…")</f>
        <v>3.7920573634859351E-3</v>
      </c>
      <c r="QW198" s="221" t="str">
        <f t="shared" ref="QW198:QW217" ca="1" si="202">IFERROR(QV198*QW$5,"Attente…")</f>
        <v>Attente…</v>
      </c>
      <c r="QX198" s="196">
        <f t="shared" ref="QX198:QX217" si="203">SUM(KK198:LN198)</f>
        <v>550</v>
      </c>
      <c r="QY198" s="218">
        <f t="shared" ref="QY198:QY217" si="204">IFERROR(QX198/QX$5,"Attente…")</f>
        <v>4.0135438862780584E-3</v>
      </c>
      <c r="QZ198" s="219" t="str">
        <f t="shared" ref="QZ198:QZ217" ca="1" si="205">IFERROR(QY198*QZ$5,"Attente…")</f>
        <v>Attente…</v>
      </c>
      <c r="RA198" s="197">
        <f t="shared" ref="RA198:RA217" si="206">SUM(LO198:MS198)</f>
        <v>300</v>
      </c>
      <c r="RB198" s="220">
        <f t="shared" ref="RB198:RB217" si="207">IFERROR(RA198/RA$5,"Attente…")</f>
        <v>2.3472341757295985E-3</v>
      </c>
      <c r="RC198" s="221" t="str">
        <f t="shared" ref="RC198:RC217" ca="1" si="208">IFERROR(RB198*RC$5,"Attente…")</f>
        <v>Attente…</v>
      </c>
      <c r="RD198" s="196">
        <f t="shared" ref="RD198:RD217" si="209">SUM(MT198:NW198)</f>
        <v>400</v>
      </c>
      <c r="RE198" s="218">
        <f t="shared" ref="RE198:RE217" si="210">IFERROR(RD198/RD$5,"Attente…")</f>
        <v>3.9856516540454365E-3</v>
      </c>
      <c r="RF198" s="219" t="str">
        <f t="shared" ref="RF198:RF217" ca="1" si="211">IFERROR(RE198*RF$5,"Attente…")</f>
        <v>Attente…</v>
      </c>
      <c r="RG198" s="197">
        <f t="shared" ref="RG198:RG217" si="212">SUM(NX198:PB198)</f>
        <v>100</v>
      </c>
      <c r="RH198" s="220">
        <f t="shared" ref="RH198:RH217" si="213">IFERROR(RG198/RG$5,"Attente…")</f>
        <v>1.8392495861688431E-3</v>
      </c>
      <c r="RI198" s="222" t="str">
        <f t="shared" ref="RI198:RI217" ca="1" si="214">IFERROR(RH198*RI$5,"Attente…")</f>
        <v>Attente…</v>
      </c>
      <c r="RJ198" s="199">
        <f t="shared" ref="RJ198:RJ217" si="215">IF(RJ$5="Attente...","Attente…",PZ198+QC198+QF198)</f>
        <v>930</v>
      </c>
      <c r="RK198" s="200" t="str">
        <f t="shared" ca="1" si="172"/>
        <v>Attente…</v>
      </c>
      <c r="RL198" s="199">
        <f t="shared" ref="RL198:RL217" si="216">IF(RL$5="Attente...","Attente…",QI198+QL198+QO198)</f>
        <v>810</v>
      </c>
      <c r="RM198" s="200" t="str">
        <f t="shared" ref="RM198:RM217" ca="1" si="217">IFERROR(QK198+QN198+QQ198,"Atttente…")</f>
        <v>Atttente…</v>
      </c>
      <c r="RN198" s="199">
        <f t="shared" ref="RN198:RN217" si="218">IF(RN$5="Attente...","Attente…",QR198+QU198+QX198)</f>
        <v>1270</v>
      </c>
      <c r="RO198" s="200" t="str">
        <f t="shared" ca="1" si="173"/>
        <v>Attente…</v>
      </c>
      <c r="RP198" s="199">
        <f t="shared" ref="RP198:RP217" si="219">IF(RP$5="Attente...","Attente…",RA198+RD198+RG198)</f>
        <v>800</v>
      </c>
      <c r="RQ198" s="200" t="str">
        <f t="shared" ca="1" si="174"/>
        <v>Attente…</v>
      </c>
      <c r="RR198" s="201">
        <f t="shared" ref="RR198:RR217" si="220">IF(RR$5="Attente...","Attente…",RJ198+RL198+RN198+RP198)</f>
        <v>3810</v>
      </c>
      <c r="RS198" s="202" t="str">
        <f t="shared" ca="1" si="175"/>
        <v>Attente…</v>
      </c>
      <c r="RT198" s="103"/>
      <c r="RU198" s="203">
        <f t="shared" ref="RU198:RU217" si="221">IFERROR(AVERAGE(BA198:PB198)/K198/2/100,"")</f>
        <v>0.45357142857142851</v>
      </c>
      <c r="RV198" s="204">
        <f t="shared" si="171"/>
        <v>2</v>
      </c>
      <c r="RW198" s="204">
        <f t="shared" si="171"/>
        <v>1</v>
      </c>
      <c r="RX198" s="204">
        <f t="shared" ref="RX198:RX217" si="222">COUNTA(BA198:PB198)</f>
        <v>21</v>
      </c>
      <c r="RY198" s="205" t="str">
        <f t="shared" ref="RY198:RY217" si="223">IF(B198="","",B198)</f>
        <v>ETOUTTEVILLE - 520 rue du Prieuré (Parking)</v>
      </c>
      <c r="RZ198" s="189" t="str">
        <f>IF(OR(RZ197="",RZ197="  &lt;/Document&gt;
&lt;/kml&gt;"),"",
IF(B198="","  &lt;/Document&gt;
&lt;/kml&gt;",
IF(TournéesCAV!Q198=""," ",
"    &lt;Placemark&gt;
      &lt;description&gt;&lt;![CDATA["&amp;B198&amp;"&lt;br&gt;&lt;br&gt;"&amp;RV198&amp;" CAV&lt;br&gt;&lt;br&gt;Présent sur "&amp;RW198&amp;" tournée(s)&lt;br&gt;&lt;br&gt;Taux de remplissage moyen "&amp;TEXT(RU198*1000,"0 %")&amp;"]]&gt;&lt;/description&gt;
      &lt;Style&gt;
        &lt;IconStyle&gt;
          &lt;color&gt;ff"&amp;
          DEC2HEX(0,2)&amp;
          DEC2HEX(
            IF(RU198&lt;=0.5,
               INT(255*(RU198*2)),
               255
            ),2)&amp;
          DEC2HEX(
            IF(RU198&lt;=0.5,
               255,
               INT(255*(1-(RU198-0.5)*2))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&lt;Point&gt;&lt;coordinates&gt;"&amp;R198&amp;","&amp;Q198&amp;",0&lt;/coordinates&gt;&lt;/Point&gt;
    &lt;/Placemark&gt;"
)))</f>
        <v xml:space="preserve">    &lt;Placemark&gt;
      &lt;description&gt;&lt;![CDATA[ETOUTTEVILLE - 520 rue du Prieuré (Parking)&lt;br&gt;&lt;br&gt;2 CAV&lt;br&gt;&lt;br&gt;Présent sur 1 tournée(s)&lt;br&gt;&lt;br&gt;Taux de remplissage moyen 45%]]&gt;&lt;/description&gt;
      &lt;Style&gt;
        &lt;IconStyle&gt;
          &lt;color&gt;ff00E7FF&lt;/color&gt;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&lt;Point&gt;&lt;coordinates&gt;0.7899252,49.6758125,0&lt;/coordinates&gt;&lt;/Point&gt;
    &lt;/Placemark&gt;</v>
      </c>
    </row>
    <row r="199" spans="2:494" ht="15" hidden="1" customHeight="1" x14ac:dyDescent="0.35">
      <c r="B199" s="153" t="str">
        <f t="shared" si="176"/>
        <v>FLAMANVILLE - 1 Rue de l'Eglise (Intersection Rue de l'Ecole)</v>
      </c>
      <c r="C199" s="154" t="s">
        <v>104</v>
      </c>
      <c r="D199" s="155" t="s">
        <v>104</v>
      </c>
      <c r="E199" s="155"/>
      <c r="F199" s="155"/>
      <c r="G199" s="155"/>
      <c r="H199" s="155"/>
      <c r="I199" s="155"/>
      <c r="J199" s="156"/>
      <c r="K199" s="157">
        <f t="shared" si="177"/>
        <v>2</v>
      </c>
      <c r="L199" s="157">
        <f t="shared" si="178"/>
        <v>1</v>
      </c>
      <c r="M199" s="158" t="s">
        <v>1081</v>
      </c>
      <c r="N199" s="159" t="s">
        <v>1082</v>
      </c>
      <c r="O199" s="159">
        <v>76970</v>
      </c>
      <c r="P199" s="159" t="s">
        <v>1083</v>
      </c>
      <c r="Q199" s="159" t="s">
        <v>1084</v>
      </c>
      <c r="R199" s="159" t="s">
        <v>1085</v>
      </c>
      <c r="T199" s="159" t="s">
        <v>94</v>
      </c>
      <c r="U199" s="159" t="s">
        <v>1086</v>
      </c>
      <c r="V199" s="160" t="s">
        <v>96</v>
      </c>
      <c r="W199" s="161"/>
      <c r="X199" s="162"/>
      <c r="Y199" s="163"/>
      <c r="Z199" s="162"/>
      <c r="AA199" s="163"/>
      <c r="AB199" s="162"/>
      <c r="AC199" s="163"/>
      <c r="AD199" s="162"/>
      <c r="AE199" s="163"/>
      <c r="AF199" s="162"/>
      <c r="AG199" s="163"/>
      <c r="AH199" s="163"/>
      <c r="AI199" s="162"/>
      <c r="AJ199" s="163">
        <v>4</v>
      </c>
      <c r="AK199" s="162"/>
      <c r="AL199" s="163"/>
      <c r="AM199" s="162"/>
      <c r="AN199" s="163"/>
      <c r="AO199" s="162"/>
      <c r="AP199" s="164"/>
      <c r="AQ199" s="164"/>
      <c r="AR199" s="164"/>
      <c r="AS199" s="164"/>
      <c r="AT199" s="164"/>
      <c r="AU199" s="164"/>
      <c r="AV199" s="164"/>
      <c r="AW199" s="164"/>
      <c r="AX199" s="164"/>
      <c r="AY199" s="165"/>
      <c r="AZ199" s="41"/>
      <c r="BA199" s="190"/>
      <c r="BB199" s="191"/>
      <c r="BC199" s="191"/>
      <c r="BD199" s="191"/>
      <c r="BE199" s="191"/>
      <c r="BF199" s="191"/>
      <c r="BG199" s="191"/>
      <c r="BH199" s="191"/>
      <c r="BI199" s="191">
        <v>300</v>
      </c>
      <c r="BJ199" s="191"/>
      <c r="BK199" s="191"/>
      <c r="BL199" s="191"/>
      <c r="BM199" s="191"/>
      <c r="BN199" s="191"/>
      <c r="BO199" s="191"/>
      <c r="BP199" s="191"/>
      <c r="BQ199" s="191"/>
      <c r="BR199" s="191"/>
      <c r="BS199" s="191"/>
      <c r="BT199" s="191"/>
      <c r="BU199" s="191"/>
      <c r="BV199" s="191"/>
      <c r="BW199" s="191"/>
      <c r="BX199" s="191"/>
      <c r="BY199" s="191"/>
      <c r="BZ199" s="191"/>
      <c r="CA199" s="191"/>
      <c r="CB199" s="191"/>
      <c r="CC199" s="191"/>
      <c r="CD199" s="191"/>
      <c r="CE199" s="192"/>
      <c r="CF199" s="190"/>
      <c r="CG199" s="191"/>
      <c r="CH199" s="191"/>
      <c r="CI199" s="191"/>
      <c r="CJ199" s="191"/>
      <c r="CK199" s="191">
        <v>300</v>
      </c>
      <c r="CL199" s="191"/>
      <c r="CM199" s="191"/>
      <c r="CN199" s="191"/>
      <c r="CO199" s="191"/>
      <c r="CP199" s="191"/>
      <c r="CQ199" s="191"/>
      <c r="CR199" s="191"/>
      <c r="CS199" s="191"/>
      <c r="CT199" s="191"/>
      <c r="CU199" s="191"/>
      <c r="CV199" s="191"/>
      <c r="CW199" s="191"/>
      <c r="CX199" s="191"/>
      <c r="CY199" s="191"/>
      <c r="CZ199" s="191"/>
      <c r="DA199" s="191"/>
      <c r="DB199" s="191"/>
      <c r="DC199" s="191"/>
      <c r="DD199" s="191"/>
      <c r="DE199" s="191"/>
      <c r="DF199" s="191"/>
      <c r="DG199" s="191"/>
      <c r="DH199" s="193"/>
      <c r="DI199" s="194"/>
      <c r="DJ199" s="191"/>
      <c r="DK199" s="191"/>
      <c r="DL199" s="191"/>
      <c r="DM199" s="191"/>
      <c r="DN199" s="191"/>
      <c r="DO199" s="191"/>
      <c r="DP199" s="191"/>
      <c r="DQ199" s="191"/>
      <c r="DR199" s="191"/>
      <c r="DS199" s="191"/>
      <c r="DT199" s="191"/>
      <c r="DU199" s="191">
        <f>150+300</f>
        <v>450</v>
      </c>
      <c r="DV199" s="191"/>
      <c r="DW199" s="191"/>
      <c r="DX199" s="191"/>
      <c r="DY199" s="191"/>
      <c r="DZ199" s="191"/>
      <c r="EA199" s="191">
        <v>150</v>
      </c>
      <c r="EB199" s="191"/>
      <c r="EC199" s="191"/>
      <c r="ED199" s="191"/>
      <c r="EE199" s="191"/>
      <c r="EF199" s="191"/>
      <c r="EG199" s="191"/>
      <c r="EH199" s="191"/>
      <c r="EI199" s="191">
        <v>20</v>
      </c>
      <c r="EJ199" s="191"/>
      <c r="EK199" s="191"/>
      <c r="EL199" s="191"/>
      <c r="EM199" s="192"/>
      <c r="EN199" s="190"/>
      <c r="EO199" s="191"/>
      <c r="EP199" s="191"/>
      <c r="EQ199" s="191"/>
      <c r="ER199" s="191"/>
      <c r="ES199" s="191"/>
      <c r="ET199" s="191"/>
      <c r="EU199" s="191"/>
      <c r="EV199" s="191"/>
      <c r="EW199" s="191"/>
      <c r="EX199" s="191"/>
      <c r="EY199" s="191"/>
      <c r="EZ199" s="191"/>
      <c r="FA199" s="191"/>
      <c r="FB199" s="191"/>
      <c r="FC199" s="191"/>
      <c r="FD199" s="191">
        <v>150</v>
      </c>
      <c r="FE199" s="191"/>
      <c r="FF199" s="191"/>
      <c r="FG199" s="191"/>
      <c r="FH199" s="191"/>
      <c r="FI199" s="191"/>
      <c r="FJ199" s="191"/>
      <c r="FK199" s="191"/>
      <c r="FL199" s="191"/>
      <c r="FM199" s="191"/>
      <c r="FN199" s="191"/>
      <c r="FO199" s="191"/>
      <c r="FP199" s="191"/>
      <c r="FQ199" s="193"/>
      <c r="FR199" s="194"/>
      <c r="FS199" s="191"/>
      <c r="FT199" s="191"/>
      <c r="FU199" s="191"/>
      <c r="FV199" s="191"/>
      <c r="FW199" s="191"/>
      <c r="FX199" s="191"/>
      <c r="FY199" s="191"/>
      <c r="FZ199" s="191"/>
      <c r="GA199" s="191"/>
      <c r="GB199" s="191"/>
      <c r="GC199" s="191"/>
      <c r="GD199" s="191"/>
      <c r="GE199" s="191"/>
      <c r="GF199" s="191">
        <v>250</v>
      </c>
      <c r="GG199" s="191"/>
      <c r="GH199" s="191"/>
      <c r="GI199" s="191"/>
      <c r="GJ199" s="191"/>
      <c r="GK199" s="191"/>
      <c r="GL199" s="191"/>
      <c r="GM199" s="191"/>
      <c r="GN199" s="191"/>
      <c r="GO199" s="191"/>
      <c r="GP199" s="191"/>
      <c r="GQ199" s="191"/>
      <c r="GR199" s="191"/>
      <c r="GS199" s="191"/>
      <c r="GT199" s="191"/>
      <c r="GU199" s="191"/>
      <c r="GV199" s="192"/>
      <c r="GW199" s="190"/>
      <c r="GX199" s="191"/>
      <c r="GY199" s="191"/>
      <c r="GZ199" s="191"/>
      <c r="HA199" s="191">
        <v>250</v>
      </c>
      <c r="HB199" s="191"/>
      <c r="HC199" s="191"/>
      <c r="HD199" s="191"/>
      <c r="HE199" s="191"/>
      <c r="HF199" s="191"/>
      <c r="HG199" s="191"/>
      <c r="HH199" s="191"/>
      <c r="HI199" s="191"/>
      <c r="HJ199" s="191"/>
      <c r="HK199" s="191"/>
      <c r="HL199" s="191"/>
      <c r="HM199" s="191"/>
      <c r="HN199" s="191"/>
      <c r="HO199" s="191"/>
      <c r="HP199" s="191"/>
      <c r="HQ199" s="191"/>
      <c r="HR199" s="191"/>
      <c r="HS199" s="191"/>
      <c r="HT199" s="191"/>
      <c r="HU199" s="191"/>
      <c r="HV199" s="191">
        <v>400</v>
      </c>
      <c r="HW199" s="191"/>
      <c r="HX199" s="191"/>
      <c r="HY199" s="191"/>
      <c r="HZ199" s="193"/>
      <c r="IA199" s="194"/>
      <c r="IB199" s="191"/>
      <c r="IC199" s="191">
        <v>150</v>
      </c>
      <c r="ID199" s="191"/>
      <c r="IE199" s="191"/>
      <c r="IF199" s="191"/>
      <c r="IG199" s="191"/>
      <c r="IH199" s="191"/>
      <c r="II199" s="191"/>
      <c r="IJ199" s="191">
        <v>60</v>
      </c>
      <c r="IK199" s="191"/>
      <c r="IL199" s="191"/>
      <c r="IM199" s="191"/>
      <c r="IN199" s="191"/>
      <c r="IO199" s="191"/>
      <c r="IP199" s="191"/>
      <c r="IQ199" s="191"/>
      <c r="IR199" s="191"/>
      <c r="IS199" s="191"/>
      <c r="IT199" s="191"/>
      <c r="IU199" s="191"/>
      <c r="IV199" s="191"/>
      <c r="IW199" s="191"/>
      <c r="IX199" s="191"/>
      <c r="IY199" s="191"/>
      <c r="IZ199" s="191"/>
      <c r="JA199" s="191"/>
      <c r="JB199" s="191"/>
      <c r="JC199" s="191"/>
      <c r="JD199" s="191"/>
      <c r="JE199" s="192"/>
      <c r="JF199" s="190"/>
      <c r="JG199" s="191"/>
      <c r="JH199" s="191"/>
      <c r="JI199" s="191"/>
      <c r="JJ199" s="191"/>
      <c r="JK199" s="191"/>
      <c r="JL199" s="191"/>
      <c r="JM199" s="191"/>
      <c r="JN199" s="191"/>
      <c r="JO199" s="191"/>
      <c r="JP199" s="191"/>
      <c r="JQ199" s="191">
        <v>350</v>
      </c>
      <c r="JR199" s="191"/>
      <c r="JS199" s="191"/>
      <c r="JT199" s="191"/>
      <c r="JU199" s="191"/>
      <c r="JV199" s="191"/>
      <c r="JW199" s="191"/>
      <c r="JX199" s="191"/>
      <c r="JY199" s="191"/>
      <c r="JZ199" s="191">
        <v>250</v>
      </c>
      <c r="KA199" s="191"/>
      <c r="KB199" s="191"/>
      <c r="KC199" s="191"/>
      <c r="KD199" s="191"/>
      <c r="KE199" s="191"/>
      <c r="KF199" s="191"/>
      <c r="KG199" s="191"/>
      <c r="KH199" s="191"/>
      <c r="KI199" s="191"/>
      <c r="KJ199" s="193"/>
      <c r="KK199" s="194"/>
      <c r="KL199" s="191"/>
      <c r="KM199" s="191"/>
      <c r="KN199" s="191">
        <v>200</v>
      </c>
      <c r="KO199" s="191"/>
      <c r="KP199" s="191"/>
      <c r="KQ199" s="191"/>
      <c r="KR199" s="191"/>
      <c r="KS199" s="191"/>
      <c r="KT199" s="191"/>
      <c r="KU199" s="191"/>
      <c r="KV199" s="191"/>
      <c r="KW199" s="191"/>
      <c r="KX199" s="191"/>
      <c r="KY199" s="191"/>
      <c r="KZ199" s="191"/>
      <c r="LA199" s="191"/>
      <c r="LB199" s="191">
        <v>300</v>
      </c>
      <c r="LC199" s="191"/>
      <c r="LD199" s="191"/>
      <c r="LE199" s="191"/>
      <c r="LF199" s="191"/>
      <c r="LG199" s="191"/>
      <c r="LH199" s="191"/>
      <c r="LI199" s="191">
        <v>400</v>
      </c>
      <c r="LJ199" s="191"/>
      <c r="LK199" s="191"/>
      <c r="LL199" s="191"/>
      <c r="LM199" s="191"/>
      <c r="LN199" s="192"/>
      <c r="LO199" s="190"/>
      <c r="LP199" s="191"/>
      <c r="LQ199" s="191"/>
      <c r="LR199" s="191"/>
      <c r="LS199" s="191"/>
      <c r="LT199" s="191"/>
      <c r="LU199" s="191"/>
      <c r="LV199" s="191"/>
      <c r="LW199" s="191">
        <v>200</v>
      </c>
      <c r="LX199" s="191"/>
      <c r="LY199" s="191"/>
      <c r="LZ199" s="191"/>
      <c r="MA199" s="191"/>
      <c r="MB199" s="191"/>
      <c r="MC199" s="191"/>
      <c r="MD199" s="191"/>
      <c r="ME199" s="191"/>
      <c r="MF199" s="191"/>
      <c r="MG199" s="191"/>
      <c r="MH199" s="191"/>
      <c r="MI199" s="191"/>
      <c r="MJ199" s="191"/>
      <c r="MK199" s="191">
        <v>160</v>
      </c>
      <c r="ML199" s="191"/>
      <c r="MM199" s="191"/>
      <c r="MN199" s="191"/>
      <c r="MO199" s="191"/>
      <c r="MP199" s="191"/>
      <c r="MQ199" s="191"/>
      <c r="MR199" s="191"/>
      <c r="MS199" s="193"/>
      <c r="MT199" s="194"/>
      <c r="MU199" s="191"/>
      <c r="MV199" s="191"/>
      <c r="MW199" s="191"/>
      <c r="MX199" s="191"/>
      <c r="MY199" s="191">
        <v>150</v>
      </c>
      <c r="MZ199" s="191"/>
      <c r="NA199" s="191"/>
      <c r="NB199" s="191"/>
      <c r="NC199" s="191"/>
      <c r="ND199" s="191"/>
      <c r="NE199" s="191"/>
      <c r="NF199" s="191"/>
      <c r="NG199" s="191"/>
      <c r="NH199" s="191"/>
      <c r="NI199" s="191"/>
      <c r="NJ199" s="191"/>
      <c r="NK199" s="191"/>
      <c r="NL199" s="191"/>
      <c r="NM199" s="191"/>
      <c r="NN199" s="191"/>
      <c r="NO199" s="191"/>
      <c r="NP199" s="191"/>
      <c r="NQ199" s="191"/>
      <c r="NR199" s="191"/>
      <c r="NS199" s="191"/>
      <c r="NT199" s="191">
        <v>200</v>
      </c>
      <c r="NU199" s="191"/>
      <c r="NV199" s="191"/>
      <c r="NW199" s="192"/>
      <c r="NX199" s="190"/>
      <c r="NY199" s="191"/>
      <c r="NZ199" s="191"/>
      <c r="OA199" s="191"/>
      <c r="OB199" s="191"/>
      <c r="OC199" s="191"/>
      <c r="OD199" s="191"/>
      <c r="OE199" s="191"/>
      <c r="OF199" s="191"/>
      <c r="OG199" s="191"/>
      <c r="OH199" s="191">
        <v>60</v>
      </c>
      <c r="OI199" s="191"/>
      <c r="OJ199" s="191"/>
      <c r="OK199" s="191"/>
      <c r="OL199" s="191"/>
      <c r="OM199" s="191"/>
      <c r="ON199" s="191"/>
      <c r="OO199" s="191"/>
      <c r="OP199" s="191"/>
      <c r="OQ199" s="191"/>
      <c r="OR199" s="191"/>
      <c r="OS199" s="191"/>
      <c r="OT199" s="191"/>
      <c r="OU199" s="191"/>
      <c r="OV199" s="191"/>
      <c r="OW199" s="191"/>
      <c r="OX199" s="191"/>
      <c r="OY199" s="191"/>
      <c r="OZ199" s="191"/>
      <c r="PA199" s="191"/>
      <c r="PB199" s="193"/>
      <c r="PC199" s="47"/>
      <c r="PD199" s="154" t="s">
        <v>98</v>
      </c>
      <c r="PE199" s="155" t="s">
        <v>98</v>
      </c>
      <c r="PF199" s="155" t="s">
        <v>98</v>
      </c>
      <c r="PG199" s="155" t="s">
        <v>98</v>
      </c>
      <c r="PH199" s="155" t="s">
        <v>98</v>
      </c>
      <c r="PI199" s="155" t="s">
        <v>98</v>
      </c>
      <c r="PJ199" s="155" t="s">
        <v>98</v>
      </c>
      <c r="PK199" s="155" t="s">
        <v>97</v>
      </c>
      <c r="PL199" s="155" t="s">
        <v>98</v>
      </c>
      <c r="PM199" s="155" t="s">
        <v>98</v>
      </c>
      <c r="PN199" s="155" t="s">
        <v>98</v>
      </c>
      <c r="PO199" s="156"/>
      <c r="PP199" s="156"/>
      <c r="PQ199" s="156"/>
      <c r="PR199" s="156"/>
      <c r="PS199" s="156"/>
      <c r="PT199" s="156"/>
      <c r="PU199" s="156"/>
      <c r="PV199" s="156"/>
      <c r="PW199" s="156"/>
      <c r="PX199" s="195"/>
      <c r="PY199" s="1"/>
      <c r="PZ199" s="196">
        <f t="shared" si="179"/>
        <v>300</v>
      </c>
      <c r="QA199" s="218">
        <f t="shared" si="180"/>
        <v>2.5027112705430883E-3</v>
      </c>
      <c r="QB199" s="219" t="str">
        <f t="shared" ca="1" si="181"/>
        <v>Attente…</v>
      </c>
      <c r="QC199" s="197">
        <f t="shared" si="182"/>
        <v>300</v>
      </c>
      <c r="QD199" s="220">
        <f t="shared" si="183"/>
        <v>2.8089887640449437E-3</v>
      </c>
      <c r="QE199" s="221" t="str">
        <f t="shared" ca="1" si="184"/>
        <v>Attente…</v>
      </c>
      <c r="QF199" s="196">
        <f t="shared" si="185"/>
        <v>620</v>
      </c>
      <c r="QG199" s="218">
        <f t="shared" si="186"/>
        <v>4.937091893613633E-3</v>
      </c>
      <c r="QH199" s="219" t="str">
        <f t="shared" ca="1" si="187"/>
        <v>Attente…</v>
      </c>
      <c r="QI199" s="197">
        <f t="shared" si="188"/>
        <v>150</v>
      </c>
      <c r="QJ199" s="220">
        <f t="shared" si="189"/>
        <v>1.0520409594613549E-3</v>
      </c>
      <c r="QK199" s="221" t="str">
        <f t="shared" ca="1" si="190"/>
        <v>Attente…</v>
      </c>
      <c r="QL199" s="196">
        <f t="shared" si="191"/>
        <v>250</v>
      </c>
      <c r="QM199" s="218">
        <f t="shared" si="192"/>
        <v>1.8290898448931811E-3</v>
      </c>
      <c r="QN199" s="219" t="str">
        <f t="shared" ca="1" si="193"/>
        <v>Attente…</v>
      </c>
      <c r="QO199" s="197">
        <f t="shared" si="194"/>
        <v>650</v>
      </c>
      <c r="QP199" s="220">
        <f t="shared" si="195"/>
        <v>5.088859312612542E-3</v>
      </c>
      <c r="QQ199" s="221" t="str">
        <f t="shared" ca="1" si="196"/>
        <v>Attente…</v>
      </c>
      <c r="QR199" s="196">
        <f t="shared" si="197"/>
        <v>210</v>
      </c>
      <c r="QS199" s="218">
        <f t="shared" si="198"/>
        <v>1.5118246283431123E-3</v>
      </c>
      <c r="QT199" s="219" t="str">
        <f t="shared" ca="1" si="199"/>
        <v>Attente…</v>
      </c>
      <c r="QU199" s="197">
        <f t="shared" si="200"/>
        <v>600</v>
      </c>
      <c r="QV199" s="220">
        <f t="shared" si="201"/>
        <v>4.1367898510755651E-3</v>
      </c>
      <c r="QW199" s="221" t="str">
        <f t="shared" ca="1" si="202"/>
        <v>Attente…</v>
      </c>
      <c r="QX199" s="196">
        <f t="shared" si="203"/>
        <v>900</v>
      </c>
      <c r="QY199" s="218">
        <f t="shared" si="204"/>
        <v>6.5676172684550043E-3</v>
      </c>
      <c r="QZ199" s="219" t="str">
        <f t="shared" ca="1" si="205"/>
        <v>Attente…</v>
      </c>
      <c r="RA199" s="197">
        <f t="shared" si="206"/>
        <v>360</v>
      </c>
      <c r="RB199" s="220">
        <f t="shared" si="207"/>
        <v>2.8166810108755185E-3</v>
      </c>
      <c r="RC199" s="221" t="str">
        <f t="shared" ca="1" si="208"/>
        <v>Attente…</v>
      </c>
      <c r="RD199" s="196">
        <f t="shared" si="209"/>
        <v>350</v>
      </c>
      <c r="RE199" s="218">
        <f t="shared" si="210"/>
        <v>3.4874451972897571E-3</v>
      </c>
      <c r="RF199" s="219" t="str">
        <f t="shared" ca="1" si="211"/>
        <v>Attente…</v>
      </c>
      <c r="RG199" s="197">
        <f t="shared" si="212"/>
        <v>60</v>
      </c>
      <c r="RH199" s="220">
        <f t="shared" si="213"/>
        <v>1.1035497517013059E-3</v>
      </c>
      <c r="RI199" s="222" t="str">
        <f t="shared" ca="1" si="214"/>
        <v>Attente…</v>
      </c>
      <c r="RJ199" s="199">
        <f t="shared" si="215"/>
        <v>1220</v>
      </c>
      <c r="RK199" s="200" t="str">
        <f t="shared" ca="1" si="172"/>
        <v>Attente…</v>
      </c>
      <c r="RL199" s="199">
        <f t="shared" si="216"/>
        <v>1050</v>
      </c>
      <c r="RM199" s="200" t="str">
        <f t="shared" ca="1" si="217"/>
        <v>Atttente…</v>
      </c>
      <c r="RN199" s="199">
        <f t="shared" si="218"/>
        <v>1710</v>
      </c>
      <c r="RO199" s="200" t="str">
        <f t="shared" ca="1" si="173"/>
        <v>Attente…</v>
      </c>
      <c r="RP199" s="199">
        <f t="shared" si="219"/>
        <v>770</v>
      </c>
      <c r="RQ199" s="200" t="str">
        <f t="shared" ca="1" si="174"/>
        <v>Attente…</v>
      </c>
      <c r="RR199" s="201">
        <f t="shared" si="220"/>
        <v>4750</v>
      </c>
      <c r="RS199" s="202" t="str">
        <f t="shared" ca="1" si="175"/>
        <v>Attente…</v>
      </c>
      <c r="RT199" s="103"/>
      <c r="RU199" s="203">
        <f t="shared" si="221"/>
        <v>0.56547619047619047</v>
      </c>
      <c r="RV199" s="204">
        <f t="shared" si="171"/>
        <v>2</v>
      </c>
      <c r="RW199" s="204">
        <f t="shared" si="171"/>
        <v>1</v>
      </c>
      <c r="RX199" s="204">
        <f t="shared" si="222"/>
        <v>21</v>
      </c>
      <c r="RY199" s="205" t="str">
        <f t="shared" si="223"/>
        <v>FLAMANVILLE - 1 Rue de l'Eglise (Intersection Rue de l'Ecole)</v>
      </c>
      <c r="RZ199" s="189" t="str">
        <f>IF(OR(RZ198="",RZ198="  &lt;/Document&gt;
&lt;/kml&gt;"),"",
IF(B199="","  &lt;/Document&gt;
&lt;/kml&gt;",
IF(TournéesCAV!Q199=""," ",
"    &lt;Placemark&gt;
      &lt;description&gt;&lt;![CDATA["&amp;B199&amp;"&lt;br&gt;&lt;br&gt;"&amp;RV199&amp;" CAV&lt;br&gt;&lt;br&gt;Présent sur "&amp;RW199&amp;" tournée(s)&lt;br&gt;&lt;br&gt;Taux de remplissage moyen "&amp;TEXT(RU199*1000,"0 %")&amp;"]]&gt;&lt;/description&gt;
      &lt;Style&gt;
        &lt;IconStyle&gt;
          &lt;color&gt;ff"&amp;
          DEC2HEX(0,2)&amp;
          DEC2HEX(
            IF(RU199&lt;=0.5,
               INT(255*(RU199*2)),
               255
            ),2)&amp;
          DEC2HEX(
            IF(RU199&lt;=0.5,
               255,
               INT(255*(1-(RU199-0.5)*2))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&lt;Point&gt;&lt;coordinates&gt;"&amp;R199&amp;","&amp;Q199&amp;",0&lt;/coordinates&gt;&lt;/Point&gt;
    &lt;/Placemark&gt;"
)))</f>
        <v xml:space="preserve">    &lt;Placemark&gt;
      &lt;description&gt;&lt;![CDATA[FLAMANVILLE - 1 Rue de l'Eglise (Intersection Rue de l'Ecole)&lt;br&gt;&lt;br&gt;2 CAV&lt;br&gt;&lt;br&gt;Présent sur 1 tournée(s)&lt;br&gt;&lt;br&gt;Taux de remplissage moyen 57%]]&gt;&lt;/description&gt;
      &lt;Style&gt;
        &lt;IconStyle&gt;
          &lt;color&gt;ff00FFDD&lt;/color&gt;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&lt;Point&gt;&lt;coordinates&gt;0.8386936533035305,49.63501511998083,0&lt;/coordinates&gt;&lt;/Point&gt;
    &lt;/Placemark&gt;</v>
      </c>
    </row>
    <row r="200" spans="2:494" ht="15" hidden="1" customHeight="1" x14ac:dyDescent="0.35">
      <c r="B200" s="153" t="str">
        <f t="shared" si="176"/>
        <v>MOTTEVILLE - 156 Rue de la Gare (Face à la gare)</v>
      </c>
      <c r="C200" s="154" t="s">
        <v>104</v>
      </c>
      <c r="D200" s="155"/>
      <c r="E200" s="155"/>
      <c r="F200" s="155"/>
      <c r="G200" s="155"/>
      <c r="H200" s="155"/>
      <c r="I200" s="155"/>
      <c r="J200" s="156"/>
      <c r="K200" s="157">
        <f t="shared" si="177"/>
        <v>1</v>
      </c>
      <c r="L200" s="157">
        <f t="shared" si="178"/>
        <v>1</v>
      </c>
      <c r="M200" s="158" t="s">
        <v>1087</v>
      </c>
      <c r="N200" s="159" t="s">
        <v>1088</v>
      </c>
      <c r="O200" s="159">
        <v>76970</v>
      </c>
      <c r="P200" s="159" t="s">
        <v>1089</v>
      </c>
      <c r="Q200" s="159" t="s">
        <v>1090</v>
      </c>
      <c r="R200" s="159" t="s">
        <v>1091</v>
      </c>
      <c r="S200" s="159"/>
      <c r="T200" s="159" t="s">
        <v>94</v>
      </c>
      <c r="U200" s="159" t="s">
        <v>1092</v>
      </c>
      <c r="V200" s="160" t="s">
        <v>96</v>
      </c>
      <c r="W200" s="161"/>
      <c r="X200" s="162"/>
      <c r="Y200" s="163"/>
      <c r="Z200" s="162"/>
      <c r="AA200" s="163"/>
      <c r="AB200" s="162"/>
      <c r="AC200" s="163"/>
      <c r="AD200" s="162"/>
      <c r="AE200" s="163"/>
      <c r="AF200" s="162"/>
      <c r="AG200" s="163"/>
      <c r="AH200" s="163"/>
      <c r="AI200" s="162"/>
      <c r="AJ200" s="163">
        <v>5</v>
      </c>
      <c r="AK200" s="162"/>
      <c r="AL200" s="163"/>
      <c r="AM200" s="162"/>
      <c r="AN200" s="163"/>
      <c r="AO200" s="162"/>
      <c r="AP200" s="164"/>
      <c r="AQ200" s="164"/>
      <c r="AR200" s="164"/>
      <c r="AS200" s="164"/>
      <c r="AT200" s="164"/>
      <c r="AU200" s="164"/>
      <c r="AV200" s="164"/>
      <c r="AW200" s="164"/>
      <c r="AX200" s="164"/>
      <c r="AY200" s="165"/>
      <c r="AZ200" s="41"/>
      <c r="BA200" s="190"/>
      <c r="BB200" s="191"/>
      <c r="BC200" s="191"/>
      <c r="BD200" s="191"/>
      <c r="BE200" s="191"/>
      <c r="BF200" s="191"/>
      <c r="BG200" s="191"/>
      <c r="BH200" s="191"/>
      <c r="BI200" s="191">
        <v>200</v>
      </c>
      <c r="BJ200" s="191"/>
      <c r="BK200" s="191"/>
      <c r="BL200" s="191"/>
      <c r="BM200" s="191"/>
      <c r="BN200" s="191"/>
      <c r="BO200" s="191"/>
      <c r="BP200" s="191"/>
      <c r="BQ200" s="191"/>
      <c r="BR200" s="191"/>
      <c r="BS200" s="191"/>
      <c r="BT200" s="191"/>
      <c r="BU200" s="191"/>
      <c r="BV200" s="191"/>
      <c r="BW200" s="191"/>
      <c r="BX200" s="191"/>
      <c r="BY200" s="191"/>
      <c r="BZ200" s="191"/>
      <c r="CA200" s="191"/>
      <c r="CB200" s="191"/>
      <c r="CC200" s="191"/>
      <c r="CD200" s="191"/>
      <c r="CE200" s="192"/>
      <c r="CF200" s="190"/>
      <c r="CG200" s="191"/>
      <c r="CH200" s="191"/>
      <c r="CI200" s="191"/>
      <c r="CJ200" s="191"/>
      <c r="CK200" s="191">
        <v>50</v>
      </c>
      <c r="CL200" s="191"/>
      <c r="CM200" s="191"/>
      <c r="CN200" s="191"/>
      <c r="CO200" s="191"/>
      <c r="CP200" s="191"/>
      <c r="CQ200" s="191"/>
      <c r="CR200" s="191"/>
      <c r="CS200" s="191"/>
      <c r="CT200" s="191"/>
      <c r="CU200" s="191"/>
      <c r="CV200" s="191"/>
      <c r="CW200" s="191"/>
      <c r="CX200" s="191"/>
      <c r="CY200" s="191"/>
      <c r="CZ200" s="191"/>
      <c r="DA200" s="191"/>
      <c r="DB200" s="191"/>
      <c r="DC200" s="191"/>
      <c r="DD200" s="191"/>
      <c r="DE200" s="191"/>
      <c r="DF200" s="191"/>
      <c r="DG200" s="191"/>
      <c r="DH200" s="193"/>
      <c r="DI200" s="194"/>
      <c r="DJ200" s="191"/>
      <c r="DK200" s="191"/>
      <c r="DL200" s="191"/>
      <c r="DM200" s="191"/>
      <c r="DN200" s="191"/>
      <c r="DO200" s="191"/>
      <c r="DP200" s="191"/>
      <c r="DQ200" s="191"/>
      <c r="DR200" s="191"/>
      <c r="DS200" s="191"/>
      <c r="DT200" s="191"/>
      <c r="DU200" s="191">
        <f>100+100</f>
        <v>200</v>
      </c>
      <c r="DV200" s="191"/>
      <c r="DW200" s="191"/>
      <c r="DX200" s="191"/>
      <c r="DY200" s="191"/>
      <c r="DZ200" s="191"/>
      <c r="EA200" s="191">
        <v>50</v>
      </c>
      <c r="EB200" s="191"/>
      <c r="EC200" s="191"/>
      <c r="ED200" s="191"/>
      <c r="EE200" s="191"/>
      <c r="EF200" s="191"/>
      <c r="EG200" s="191"/>
      <c r="EH200" s="191"/>
      <c r="EI200" s="191">
        <v>50</v>
      </c>
      <c r="EJ200" s="191"/>
      <c r="EK200" s="191"/>
      <c r="EL200" s="191"/>
      <c r="EM200" s="192"/>
      <c r="EN200" s="190"/>
      <c r="EO200" s="191"/>
      <c r="EP200" s="191"/>
      <c r="EQ200" s="191"/>
      <c r="ER200" s="191"/>
      <c r="ES200" s="191"/>
      <c r="ET200" s="191"/>
      <c r="EU200" s="191"/>
      <c r="EV200" s="191"/>
      <c r="EW200" s="191"/>
      <c r="EX200" s="191"/>
      <c r="EY200" s="191"/>
      <c r="EZ200" s="191"/>
      <c r="FA200" s="191"/>
      <c r="FB200" s="191"/>
      <c r="FC200" s="191"/>
      <c r="FD200" s="191">
        <v>100</v>
      </c>
      <c r="FE200" s="191"/>
      <c r="FF200" s="191"/>
      <c r="FG200" s="191"/>
      <c r="FH200" s="191"/>
      <c r="FI200" s="191"/>
      <c r="FJ200" s="191"/>
      <c r="FK200" s="191"/>
      <c r="FL200" s="191"/>
      <c r="FM200" s="191"/>
      <c r="FN200" s="191"/>
      <c r="FO200" s="191"/>
      <c r="FP200" s="191"/>
      <c r="FQ200" s="193"/>
      <c r="FR200" s="194"/>
      <c r="FS200" s="191"/>
      <c r="FT200" s="191"/>
      <c r="FU200" s="191"/>
      <c r="FV200" s="191"/>
      <c r="FW200" s="191"/>
      <c r="FX200" s="191"/>
      <c r="FY200" s="191"/>
      <c r="FZ200" s="191"/>
      <c r="GA200" s="191"/>
      <c r="GB200" s="191"/>
      <c r="GC200" s="191"/>
      <c r="GD200" s="191"/>
      <c r="GE200" s="191"/>
      <c r="GF200" s="191">
        <v>100</v>
      </c>
      <c r="GG200" s="191"/>
      <c r="GH200" s="191"/>
      <c r="GI200" s="191"/>
      <c r="GJ200" s="191"/>
      <c r="GK200" s="191"/>
      <c r="GL200" s="191"/>
      <c r="GM200" s="191"/>
      <c r="GN200" s="191"/>
      <c r="GO200" s="191"/>
      <c r="GP200" s="191"/>
      <c r="GQ200" s="191"/>
      <c r="GR200" s="191"/>
      <c r="GS200" s="191"/>
      <c r="GT200" s="191"/>
      <c r="GU200" s="191"/>
      <c r="GV200" s="192"/>
      <c r="GW200" s="190"/>
      <c r="GX200" s="191"/>
      <c r="GY200" s="191"/>
      <c r="GZ200" s="191"/>
      <c r="HA200" s="191">
        <v>100</v>
      </c>
      <c r="HB200" s="191"/>
      <c r="HC200" s="191"/>
      <c r="HD200" s="191"/>
      <c r="HE200" s="191"/>
      <c r="HF200" s="191"/>
      <c r="HG200" s="191"/>
      <c r="HH200" s="191"/>
      <c r="HI200" s="191"/>
      <c r="HJ200" s="191"/>
      <c r="HK200" s="191"/>
      <c r="HL200" s="191"/>
      <c r="HM200" s="191"/>
      <c r="HN200" s="191"/>
      <c r="HO200" s="191"/>
      <c r="HP200" s="191"/>
      <c r="HQ200" s="191"/>
      <c r="HR200" s="191"/>
      <c r="HS200" s="191"/>
      <c r="HT200" s="191"/>
      <c r="HU200" s="191"/>
      <c r="HV200" s="191">
        <v>150</v>
      </c>
      <c r="HW200" s="191"/>
      <c r="HX200" s="191"/>
      <c r="HY200" s="191"/>
      <c r="HZ200" s="193"/>
      <c r="IA200" s="194"/>
      <c r="IB200" s="191"/>
      <c r="IC200" s="191">
        <v>10</v>
      </c>
      <c r="ID200" s="191"/>
      <c r="IE200" s="191"/>
      <c r="IF200" s="191"/>
      <c r="IG200" s="191"/>
      <c r="IH200" s="191"/>
      <c r="II200" s="191"/>
      <c r="IJ200" s="191">
        <v>50</v>
      </c>
      <c r="IK200" s="191"/>
      <c r="IL200" s="191"/>
      <c r="IM200" s="191"/>
      <c r="IN200" s="191"/>
      <c r="IO200" s="191"/>
      <c r="IP200" s="191"/>
      <c r="IQ200" s="191"/>
      <c r="IR200" s="191"/>
      <c r="IS200" s="191"/>
      <c r="IT200" s="191"/>
      <c r="IU200" s="191"/>
      <c r="IV200" s="191"/>
      <c r="IW200" s="191"/>
      <c r="IX200" s="191"/>
      <c r="IY200" s="191"/>
      <c r="IZ200" s="191"/>
      <c r="JA200" s="191"/>
      <c r="JB200" s="191"/>
      <c r="JC200" s="191"/>
      <c r="JD200" s="191"/>
      <c r="JE200" s="192"/>
      <c r="JF200" s="190"/>
      <c r="JG200" s="191"/>
      <c r="JH200" s="191"/>
      <c r="JI200" s="191"/>
      <c r="JJ200" s="191"/>
      <c r="JK200" s="191"/>
      <c r="JL200" s="191">
        <v>150</v>
      </c>
      <c r="JM200" s="191"/>
      <c r="JN200" s="191"/>
      <c r="JO200" s="191"/>
      <c r="JP200" s="191"/>
      <c r="JQ200" s="191"/>
      <c r="JR200" s="191"/>
      <c r="JS200" s="191"/>
      <c r="JT200" s="191"/>
      <c r="JU200" s="191"/>
      <c r="JV200" s="191"/>
      <c r="JW200" s="191"/>
      <c r="JX200" s="191"/>
      <c r="JY200" s="191"/>
      <c r="JZ200" s="191">
        <v>50</v>
      </c>
      <c r="KA200" s="191"/>
      <c r="KB200" s="191"/>
      <c r="KC200" s="191"/>
      <c r="KD200" s="191"/>
      <c r="KE200" s="191"/>
      <c r="KF200" s="191"/>
      <c r="KG200" s="191"/>
      <c r="KH200" s="191"/>
      <c r="KI200" s="191"/>
      <c r="KJ200" s="193"/>
      <c r="KK200" s="194"/>
      <c r="KL200" s="191"/>
      <c r="KM200" s="191"/>
      <c r="KN200" s="191">
        <v>10</v>
      </c>
      <c r="KO200" s="191"/>
      <c r="KP200" s="191"/>
      <c r="KQ200" s="191"/>
      <c r="KR200" s="191"/>
      <c r="KS200" s="191"/>
      <c r="KT200" s="191"/>
      <c r="KU200" s="191"/>
      <c r="KV200" s="191"/>
      <c r="KW200" s="191"/>
      <c r="KX200" s="191"/>
      <c r="KY200" s="191"/>
      <c r="KZ200" s="191"/>
      <c r="LA200" s="191"/>
      <c r="LB200" s="191">
        <v>200</v>
      </c>
      <c r="LC200" s="191"/>
      <c r="LD200" s="191"/>
      <c r="LE200" s="191"/>
      <c r="LF200" s="191"/>
      <c r="LG200" s="191"/>
      <c r="LH200" s="191"/>
      <c r="LI200" s="191">
        <v>200</v>
      </c>
      <c r="LJ200" s="191"/>
      <c r="LK200" s="191"/>
      <c r="LL200" s="191"/>
      <c r="LM200" s="191"/>
      <c r="LN200" s="192"/>
      <c r="LO200" s="190"/>
      <c r="LP200" s="191"/>
      <c r="LQ200" s="191"/>
      <c r="LR200" s="191"/>
      <c r="LS200" s="191"/>
      <c r="LT200" s="191"/>
      <c r="LU200" s="191"/>
      <c r="LV200" s="191"/>
      <c r="LW200" s="191">
        <v>100</v>
      </c>
      <c r="LX200" s="191"/>
      <c r="LY200" s="191"/>
      <c r="LZ200" s="191"/>
      <c r="MA200" s="191"/>
      <c r="MB200" s="191"/>
      <c r="MC200" s="191"/>
      <c r="MD200" s="191"/>
      <c r="ME200" s="191"/>
      <c r="MF200" s="191"/>
      <c r="MG200" s="191"/>
      <c r="MH200" s="191"/>
      <c r="MI200" s="191"/>
      <c r="MJ200" s="191"/>
      <c r="MK200" s="191">
        <v>50</v>
      </c>
      <c r="ML200" s="191"/>
      <c r="MM200" s="191"/>
      <c r="MN200" s="191"/>
      <c r="MO200" s="191"/>
      <c r="MP200" s="191"/>
      <c r="MQ200" s="191"/>
      <c r="MR200" s="191"/>
      <c r="MS200" s="193"/>
      <c r="MT200" s="194"/>
      <c r="MU200" s="191"/>
      <c r="MV200" s="191"/>
      <c r="MW200" s="191"/>
      <c r="MX200" s="191"/>
      <c r="MY200" s="191">
        <v>50</v>
      </c>
      <c r="MZ200" s="191"/>
      <c r="NA200" s="191"/>
      <c r="NB200" s="191"/>
      <c r="NC200" s="191"/>
      <c r="ND200" s="191"/>
      <c r="NE200" s="191"/>
      <c r="NF200" s="191"/>
      <c r="NG200" s="191"/>
      <c r="NH200" s="191"/>
      <c r="NI200" s="191"/>
      <c r="NJ200" s="191"/>
      <c r="NK200" s="191"/>
      <c r="NL200" s="191"/>
      <c r="NM200" s="191"/>
      <c r="NN200" s="191"/>
      <c r="NO200" s="191"/>
      <c r="NP200" s="191"/>
      <c r="NQ200" s="191"/>
      <c r="NR200" s="191"/>
      <c r="NS200" s="191"/>
      <c r="NT200" s="191">
        <v>100</v>
      </c>
      <c r="NU200" s="191"/>
      <c r="NV200" s="191"/>
      <c r="NW200" s="192"/>
      <c r="NX200" s="190"/>
      <c r="NY200" s="191"/>
      <c r="NZ200" s="191"/>
      <c r="OA200" s="191"/>
      <c r="OB200" s="191"/>
      <c r="OC200" s="191"/>
      <c r="OD200" s="191"/>
      <c r="OE200" s="191"/>
      <c r="OF200" s="191"/>
      <c r="OG200" s="191"/>
      <c r="OH200" s="191">
        <v>10</v>
      </c>
      <c r="OI200" s="191"/>
      <c r="OJ200" s="191"/>
      <c r="OK200" s="191"/>
      <c r="OL200" s="191"/>
      <c r="OM200" s="191"/>
      <c r="ON200" s="191"/>
      <c r="OO200" s="191"/>
      <c r="OP200" s="191"/>
      <c r="OQ200" s="191"/>
      <c r="OR200" s="191"/>
      <c r="OS200" s="191"/>
      <c r="OT200" s="191"/>
      <c r="OU200" s="191"/>
      <c r="OV200" s="191"/>
      <c r="OW200" s="191"/>
      <c r="OX200" s="191"/>
      <c r="OY200" s="191"/>
      <c r="OZ200" s="191"/>
      <c r="PA200" s="191"/>
      <c r="PB200" s="193"/>
      <c r="PC200" s="47"/>
      <c r="PD200" s="154" t="s">
        <v>98</v>
      </c>
      <c r="PE200" s="155" t="s">
        <v>98</v>
      </c>
      <c r="PF200" s="155" t="s">
        <v>98</v>
      </c>
      <c r="PG200" s="155" t="s">
        <v>98</v>
      </c>
      <c r="PH200" s="155" t="s">
        <v>98</v>
      </c>
      <c r="PI200" s="155" t="s">
        <v>98</v>
      </c>
      <c r="PJ200" s="155" t="s">
        <v>98</v>
      </c>
      <c r="PK200" s="155" t="s">
        <v>97</v>
      </c>
      <c r="PL200" s="155" t="s">
        <v>98</v>
      </c>
      <c r="PM200" s="155" t="s">
        <v>98</v>
      </c>
      <c r="PN200" s="155" t="s">
        <v>98</v>
      </c>
      <c r="PO200" s="156"/>
      <c r="PP200" s="156"/>
      <c r="PQ200" s="156"/>
      <c r="PR200" s="156"/>
      <c r="PS200" s="156"/>
      <c r="PT200" s="156"/>
      <c r="PU200" s="156"/>
      <c r="PV200" s="156"/>
      <c r="PW200" s="156"/>
      <c r="PX200" s="195"/>
      <c r="PY200" s="1"/>
      <c r="PZ200" s="196">
        <f t="shared" si="179"/>
        <v>200</v>
      </c>
      <c r="QA200" s="218">
        <f t="shared" si="180"/>
        <v>1.6684741803620589E-3</v>
      </c>
      <c r="QB200" s="219" t="str">
        <f t="shared" ca="1" si="181"/>
        <v>Attente…</v>
      </c>
      <c r="QC200" s="197">
        <f t="shared" si="182"/>
        <v>50</v>
      </c>
      <c r="QD200" s="220">
        <f t="shared" si="183"/>
        <v>4.6816479400749064E-4</v>
      </c>
      <c r="QE200" s="221" t="str">
        <f t="shared" ca="1" si="184"/>
        <v>Attente…</v>
      </c>
      <c r="QF200" s="196">
        <f t="shared" si="185"/>
        <v>300</v>
      </c>
      <c r="QG200" s="218">
        <f t="shared" si="186"/>
        <v>2.3889154323936935E-3</v>
      </c>
      <c r="QH200" s="219" t="str">
        <f t="shared" ca="1" si="187"/>
        <v>Attente…</v>
      </c>
      <c r="QI200" s="197">
        <f t="shared" si="188"/>
        <v>100</v>
      </c>
      <c r="QJ200" s="220">
        <f t="shared" si="189"/>
        <v>7.0136063964090333E-4</v>
      </c>
      <c r="QK200" s="221" t="str">
        <f t="shared" ca="1" si="190"/>
        <v>Attente…</v>
      </c>
      <c r="QL200" s="196">
        <f t="shared" si="191"/>
        <v>100</v>
      </c>
      <c r="QM200" s="218">
        <f t="shared" si="192"/>
        <v>7.3163593795727241E-4</v>
      </c>
      <c r="QN200" s="219" t="str">
        <f t="shared" ca="1" si="193"/>
        <v>Attente…</v>
      </c>
      <c r="QO200" s="197">
        <f t="shared" si="194"/>
        <v>250</v>
      </c>
      <c r="QP200" s="220">
        <f t="shared" si="195"/>
        <v>1.9572535817740547E-3</v>
      </c>
      <c r="QQ200" s="221" t="str">
        <f t="shared" ca="1" si="196"/>
        <v>Attente…</v>
      </c>
      <c r="QR200" s="196">
        <f t="shared" si="197"/>
        <v>60</v>
      </c>
      <c r="QS200" s="218">
        <f t="shared" si="198"/>
        <v>4.3194989381231777E-4</v>
      </c>
      <c r="QT200" s="219" t="str">
        <f t="shared" ca="1" si="199"/>
        <v>Attente…</v>
      </c>
      <c r="QU200" s="197">
        <f t="shared" si="200"/>
        <v>200</v>
      </c>
      <c r="QV200" s="220">
        <f t="shared" si="201"/>
        <v>1.3789299503585218E-3</v>
      </c>
      <c r="QW200" s="221" t="str">
        <f t="shared" ca="1" si="202"/>
        <v>Attente…</v>
      </c>
      <c r="QX200" s="196">
        <f t="shared" si="203"/>
        <v>410</v>
      </c>
      <c r="QY200" s="218">
        <f t="shared" si="204"/>
        <v>2.9919145334072797E-3</v>
      </c>
      <c r="QZ200" s="219" t="str">
        <f t="shared" ca="1" si="205"/>
        <v>Attente…</v>
      </c>
      <c r="RA200" s="197">
        <f t="shared" si="206"/>
        <v>150</v>
      </c>
      <c r="RB200" s="220">
        <f t="shared" si="207"/>
        <v>1.1736170878647993E-3</v>
      </c>
      <c r="RC200" s="221" t="str">
        <f t="shared" ca="1" si="208"/>
        <v>Attente…</v>
      </c>
      <c r="RD200" s="196">
        <f t="shared" si="209"/>
        <v>150</v>
      </c>
      <c r="RE200" s="218">
        <f t="shared" si="210"/>
        <v>1.4946193702670386E-3</v>
      </c>
      <c r="RF200" s="219" t="str">
        <f t="shared" ca="1" si="211"/>
        <v>Attente…</v>
      </c>
      <c r="RG200" s="197">
        <f t="shared" si="212"/>
        <v>10</v>
      </c>
      <c r="RH200" s="220">
        <f t="shared" si="213"/>
        <v>1.839249586168843E-4</v>
      </c>
      <c r="RI200" s="222" t="str">
        <f t="shared" ca="1" si="214"/>
        <v>Attente…</v>
      </c>
      <c r="RJ200" s="199">
        <f t="shared" si="215"/>
        <v>550</v>
      </c>
      <c r="RK200" s="200" t="str">
        <f t="shared" ca="1" si="172"/>
        <v>Attente…</v>
      </c>
      <c r="RL200" s="199">
        <f t="shared" si="216"/>
        <v>450</v>
      </c>
      <c r="RM200" s="200" t="str">
        <f t="shared" ca="1" si="217"/>
        <v>Atttente…</v>
      </c>
      <c r="RN200" s="199">
        <f t="shared" si="218"/>
        <v>670</v>
      </c>
      <c r="RO200" s="200" t="str">
        <f t="shared" ca="1" si="173"/>
        <v>Attente…</v>
      </c>
      <c r="RP200" s="199">
        <f t="shared" si="219"/>
        <v>310</v>
      </c>
      <c r="RQ200" s="200" t="str">
        <f t="shared" ca="1" si="174"/>
        <v>Attente…</v>
      </c>
      <c r="RR200" s="201">
        <f t="shared" si="220"/>
        <v>1980</v>
      </c>
      <c r="RS200" s="202" t="str">
        <f t="shared" ca="1" si="175"/>
        <v>Attente…</v>
      </c>
      <c r="RT200" s="103"/>
      <c r="RU200" s="203">
        <f t="shared" si="221"/>
        <v>0.47142857142857147</v>
      </c>
      <c r="RV200" s="204">
        <f t="shared" si="171"/>
        <v>1</v>
      </c>
      <c r="RW200" s="204">
        <f t="shared" si="171"/>
        <v>1</v>
      </c>
      <c r="RX200" s="204">
        <f t="shared" si="222"/>
        <v>21</v>
      </c>
      <c r="RY200" s="205" t="str">
        <f t="shared" si="223"/>
        <v>MOTTEVILLE - 156 Rue de la Gare (Face à la gare)</v>
      </c>
      <c r="RZ200" s="189" t="str">
        <f>IF(OR(RZ199="",RZ199="  &lt;/Document&gt;
&lt;/kml&gt;"),"",
IF(B200="","  &lt;/Document&gt;
&lt;/kml&gt;",
IF(TournéesCAV!Q200=""," ",
"    &lt;Placemark&gt;
      &lt;description&gt;&lt;![CDATA["&amp;B200&amp;"&lt;br&gt;&lt;br&gt;"&amp;RV200&amp;" CAV&lt;br&gt;&lt;br&gt;Présent sur "&amp;RW200&amp;" tournée(s)&lt;br&gt;&lt;br&gt;Taux de remplissage moyen "&amp;TEXT(RU200*1000,"0 %")&amp;"]]&gt;&lt;/description&gt;
      &lt;Style&gt;
        &lt;IconStyle&gt;
          &lt;color&gt;ff"&amp;
          DEC2HEX(0,2)&amp;
          DEC2HEX(
            IF(RU200&lt;=0.5,
               INT(255*(RU200*2)),
               255
            ),2)&amp;
          DEC2HEX(
            IF(RU200&lt;=0.5,
               255,
               INT(255*(1-(RU200-0.5)*2))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&lt;Point&gt;&lt;coordinates&gt;"&amp;R200&amp;","&amp;Q200&amp;",0&lt;/coordinates&gt;&lt;/Point&gt;
    &lt;/Placemark&gt;"
)))</f>
        <v xml:space="preserve">    &lt;Placemark&gt;
      &lt;description&gt;&lt;![CDATA[MOTTEVILLE - 156 Rue de la Gare (Face à la gare)&lt;br&gt;&lt;br&gt;1 CAV&lt;br&gt;&lt;br&gt;Présent sur 1 tournée(s)&lt;br&gt;&lt;br&gt;Taux de remplissage moyen 47%]]&gt;&lt;/description&gt;
      &lt;Style&gt;
        &lt;IconStyle&gt;
          &lt;color&gt;ff00F0FF&lt;/color&gt;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&lt;Point&gt;&lt;coordinates&gt;0.8497941,49.6372744,0&lt;/coordinates&gt;&lt;/Point&gt;
    &lt;/Placemark&gt;</v>
      </c>
    </row>
    <row r="201" spans="2:494" ht="15" hidden="1" customHeight="1" x14ac:dyDescent="0.35">
      <c r="B201" s="153" t="str">
        <f t="shared" si="176"/>
        <v>CIDEVILLE - 55 rue du Centre (A côté du garage et bacs verre)</v>
      </c>
      <c r="C201" s="154" t="s">
        <v>104</v>
      </c>
      <c r="D201" s="155"/>
      <c r="E201" s="155"/>
      <c r="F201" s="155"/>
      <c r="G201" s="155"/>
      <c r="H201" s="155"/>
      <c r="I201" s="155"/>
      <c r="J201" s="156"/>
      <c r="K201" s="157">
        <f t="shared" si="177"/>
        <v>1</v>
      </c>
      <c r="L201" s="157">
        <f t="shared" si="178"/>
        <v>1</v>
      </c>
      <c r="M201" s="158" t="s">
        <v>1093</v>
      </c>
      <c r="N201" s="159" t="s">
        <v>1094</v>
      </c>
      <c r="O201" s="159">
        <v>76570</v>
      </c>
      <c r="P201" s="159" t="s">
        <v>1095</v>
      </c>
      <c r="Q201" s="159" t="s">
        <v>1096</v>
      </c>
      <c r="R201" s="159" t="s">
        <v>1097</v>
      </c>
      <c r="S201" s="159"/>
      <c r="T201" s="159" t="s">
        <v>94</v>
      </c>
      <c r="U201" s="159" t="s">
        <v>1098</v>
      </c>
      <c r="V201" s="160" t="s">
        <v>96</v>
      </c>
      <c r="W201" s="161"/>
      <c r="X201" s="162"/>
      <c r="Y201" s="163"/>
      <c r="Z201" s="162"/>
      <c r="AA201" s="163"/>
      <c r="AB201" s="162"/>
      <c r="AC201" s="163"/>
      <c r="AD201" s="162"/>
      <c r="AE201" s="163"/>
      <c r="AF201" s="162"/>
      <c r="AG201" s="163"/>
      <c r="AH201" s="163"/>
      <c r="AI201" s="162"/>
      <c r="AJ201" s="163">
        <v>6</v>
      </c>
      <c r="AK201" s="162"/>
      <c r="AL201" s="163"/>
      <c r="AM201" s="162"/>
      <c r="AN201" s="163"/>
      <c r="AO201" s="162"/>
      <c r="AP201" s="164"/>
      <c r="AQ201" s="164"/>
      <c r="AR201" s="164"/>
      <c r="AS201" s="164"/>
      <c r="AT201" s="164"/>
      <c r="AU201" s="164"/>
      <c r="AV201" s="164"/>
      <c r="AW201" s="164"/>
      <c r="AX201" s="164"/>
      <c r="AY201" s="165"/>
      <c r="AZ201" s="41"/>
      <c r="BA201" s="190"/>
      <c r="BB201" s="191"/>
      <c r="BC201" s="191"/>
      <c r="BD201" s="191"/>
      <c r="BE201" s="191"/>
      <c r="BF201" s="191"/>
      <c r="BG201" s="191"/>
      <c r="BH201" s="191"/>
      <c r="BI201" s="191">
        <v>150</v>
      </c>
      <c r="BJ201" s="191"/>
      <c r="BK201" s="191"/>
      <c r="BL201" s="191"/>
      <c r="BM201" s="191"/>
      <c r="BN201" s="191"/>
      <c r="BO201" s="191"/>
      <c r="BP201" s="191"/>
      <c r="BQ201" s="191"/>
      <c r="BR201" s="191"/>
      <c r="BS201" s="191"/>
      <c r="BT201" s="191"/>
      <c r="BU201" s="191"/>
      <c r="BV201" s="191"/>
      <c r="BW201" s="191"/>
      <c r="BX201" s="191"/>
      <c r="BY201" s="191"/>
      <c r="BZ201" s="191"/>
      <c r="CA201" s="191"/>
      <c r="CB201" s="191"/>
      <c r="CC201" s="191"/>
      <c r="CD201" s="191"/>
      <c r="CE201" s="192"/>
      <c r="CF201" s="190"/>
      <c r="CG201" s="191"/>
      <c r="CH201" s="191"/>
      <c r="CI201" s="191"/>
      <c r="CJ201" s="191"/>
      <c r="CK201" s="191">
        <v>150</v>
      </c>
      <c r="CL201" s="191"/>
      <c r="CM201" s="191"/>
      <c r="CN201" s="191"/>
      <c r="CO201" s="191"/>
      <c r="CP201" s="191"/>
      <c r="CQ201" s="191"/>
      <c r="CR201" s="191"/>
      <c r="CS201" s="191"/>
      <c r="CT201" s="191"/>
      <c r="CU201" s="191"/>
      <c r="CV201" s="191"/>
      <c r="CW201" s="191"/>
      <c r="CX201" s="191"/>
      <c r="CY201" s="191"/>
      <c r="CZ201" s="191"/>
      <c r="DA201" s="191"/>
      <c r="DB201" s="191"/>
      <c r="DC201" s="191"/>
      <c r="DD201" s="191"/>
      <c r="DE201" s="191"/>
      <c r="DF201" s="191"/>
      <c r="DG201" s="191"/>
      <c r="DH201" s="193"/>
      <c r="DI201" s="194"/>
      <c r="DJ201" s="191"/>
      <c r="DK201" s="191"/>
      <c r="DL201" s="191"/>
      <c r="DM201" s="191"/>
      <c r="DN201" s="191"/>
      <c r="DO201" s="191"/>
      <c r="DP201" s="191"/>
      <c r="DQ201" s="191"/>
      <c r="DR201" s="191"/>
      <c r="DS201" s="191"/>
      <c r="DT201" s="191"/>
      <c r="DU201" s="191">
        <f>150+50</f>
        <v>200</v>
      </c>
      <c r="DV201" s="191"/>
      <c r="DW201" s="191"/>
      <c r="DX201" s="191"/>
      <c r="DY201" s="191"/>
      <c r="DZ201" s="191"/>
      <c r="EA201" s="191">
        <v>10</v>
      </c>
      <c r="EB201" s="191"/>
      <c r="EC201" s="191"/>
      <c r="ED201" s="191"/>
      <c r="EE201" s="191"/>
      <c r="EF201" s="191"/>
      <c r="EG201" s="191"/>
      <c r="EH201" s="191"/>
      <c r="EI201" s="191">
        <v>10</v>
      </c>
      <c r="EJ201" s="191"/>
      <c r="EK201" s="191"/>
      <c r="EL201" s="191"/>
      <c r="EM201" s="192"/>
      <c r="EN201" s="190"/>
      <c r="EO201" s="191"/>
      <c r="EP201" s="191"/>
      <c r="EQ201" s="191"/>
      <c r="ER201" s="191"/>
      <c r="ES201" s="191"/>
      <c r="ET201" s="191"/>
      <c r="EU201" s="191"/>
      <c r="EV201" s="191"/>
      <c r="EW201" s="191"/>
      <c r="EX201" s="191"/>
      <c r="EY201" s="191"/>
      <c r="EZ201" s="191"/>
      <c r="FA201" s="191"/>
      <c r="FB201" s="191"/>
      <c r="FC201" s="191"/>
      <c r="FD201" s="191">
        <v>50</v>
      </c>
      <c r="FE201" s="191"/>
      <c r="FF201" s="191"/>
      <c r="FG201" s="191"/>
      <c r="FH201" s="191"/>
      <c r="FI201" s="191"/>
      <c r="FJ201" s="191"/>
      <c r="FK201" s="191"/>
      <c r="FL201" s="191"/>
      <c r="FM201" s="191"/>
      <c r="FN201" s="191"/>
      <c r="FO201" s="191"/>
      <c r="FP201" s="191"/>
      <c r="FQ201" s="193"/>
      <c r="FR201" s="194"/>
      <c r="FS201" s="191"/>
      <c r="FT201" s="191"/>
      <c r="FU201" s="191"/>
      <c r="FV201" s="191"/>
      <c r="FW201" s="191"/>
      <c r="FX201" s="191"/>
      <c r="FY201" s="191"/>
      <c r="FZ201" s="191"/>
      <c r="GA201" s="191"/>
      <c r="GB201" s="191"/>
      <c r="GC201" s="191"/>
      <c r="GD201" s="191"/>
      <c r="GE201" s="191"/>
      <c r="GF201" s="191">
        <v>50</v>
      </c>
      <c r="GG201" s="191"/>
      <c r="GH201" s="191"/>
      <c r="GI201" s="191"/>
      <c r="GJ201" s="191"/>
      <c r="GK201" s="191"/>
      <c r="GL201" s="191"/>
      <c r="GM201" s="191"/>
      <c r="GN201" s="191"/>
      <c r="GO201" s="191"/>
      <c r="GP201" s="191"/>
      <c r="GQ201" s="191"/>
      <c r="GR201" s="191"/>
      <c r="GS201" s="191"/>
      <c r="GT201" s="191"/>
      <c r="GU201" s="191"/>
      <c r="GV201" s="192"/>
      <c r="GW201" s="190"/>
      <c r="GX201" s="191"/>
      <c r="GY201" s="191"/>
      <c r="GZ201" s="191"/>
      <c r="HA201" s="191">
        <v>100</v>
      </c>
      <c r="HB201" s="191"/>
      <c r="HC201" s="191"/>
      <c r="HD201" s="191"/>
      <c r="HE201" s="191"/>
      <c r="HF201" s="191"/>
      <c r="HG201" s="191"/>
      <c r="HH201" s="191"/>
      <c r="HI201" s="191"/>
      <c r="HJ201" s="191"/>
      <c r="HK201" s="191"/>
      <c r="HL201" s="191"/>
      <c r="HM201" s="191"/>
      <c r="HN201" s="191"/>
      <c r="HO201" s="191"/>
      <c r="HP201" s="191"/>
      <c r="HQ201" s="191"/>
      <c r="HR201" s="191"/>
      <c r="HS201" s="191"/>
      <c r="HT201" s="191"/>
      <c r="HU201" s="191"/>
      <c r="HV201" s="191">
        <v>150</v>
      </c>
      <c r="HW201" s="191"/>
      <c r="HX201" s="191"/>
      <c r="HY201" s="191"/>
      <c r="HZ201" s="193"/>
      <c r="IA201" s="194"/>
      <c r="IB201" s="191"/>
      <c r="IC201" s="191">
        <v>10</v>
      </c>
      <c r="ID201" s="191"/>
      <c r="IE201" s="191"/>
      <c r="IF201" s="191"/>
      <c r="IG201" s="191"/>
      <c r="IH201" s="191"/>
      <c r="II201" s="191"/>
      <c r="IJ201" s="191">
        <v>50</v>
      </c>
      <c r="IK201" s="191"/>
      <c r="IL201" s="191"/>
      <c r="IM201" s="191"/>
      <c r="IN201" s="191"/>
      <c r="IO201" s="191"/>
      <c r="IP201" s="191"/>
      <c r="IQ201" s="191"/>
      <c r="IR201" s="191"/>
      <c r="IS201" s="191"/>
      <c r="IT201" s="191"/>
      <c r="IU201" s="191"/>
      <c r="IV201" s="191"/>
      <c r="IW201" s="191"/>
      <c r="IX201" s="191"/>
      <c r="IY201" s="191"/>
      <c r="IZ201" s="191"/>
      <c r="JA201" s="191"/>
      <c r="JB201" s="191"/>
      <c r="JC201" s="191"/>
      <c r="JD201" s="191"/>
      <c r="JE201" s="192"/>
      <c r="JF201" s="190"/>
      <c r="JG201" s="191"/>
      <c r="JH201" s="191"/>
      <c r="JI201" s="191"/>
      <c r="JJ201" s="191"/>
      <c r="JK201" s="191"/>
      <c r="JL201" s="191"/>
      <c r="JM201" s="191"/>
      <c r="JN201" s="191"/>
      <c r="JO201" s="191"/>
      <c r="JP201" s="191"/>
      <c r="JQ201" s="191">
        <v>200</v>
      </c>
      <c r="JR201" s="191"/>
      <c r="JS201" s="191"/>
      <c r="JT201" s="191"/>
      <c r="JU201" s="191"/>
      <c r="JV201" s="191"/>
      <c r="JW201" s="191"/>
      <c r="JX201" s="191"/>
      <c r="JY201" s="191"/>
      <c r="JZ201" s="191">
        <v>50</v>
      </c>
      <c r="KA201" s="191"/>
      <c r="KB201" s="191"/>
      <c r="KC201" s="191"/>
      <c r="KD201" s="191"/>
      <c r="KE201" s="191"/>
      <c r="KF201" s="191"/>
      <c r="KG201" s="191"/>
      <c r="KH201" s="191"/>
      <c r="KI201" s="191"/>
      <c r="KJ201" s="193"/>
      <c r="KK201" s="194"/>
      <c r="KL201" s="191"/>
      <c r="KM201" s="191"/>
      <c r="KN201" s="191">
        <v>10</v>
      </c>
      <c r="KO201" s="191"/>
      <c r="KP201" s="191"/>
      <c r="KQ201" s="191"/>
      <c r="KR201" s="191"/>
      <c r="KS201" s="191"/>
      <c r="KT201" s="191"/>
      <c r="KU201" s="191"/>
      <c r="KV201" s="191"/>
      <c r="KW201" s="191"/>
      <c r="KX201" s="191"/>
      <c r="KY201" s="191"/>
      <c r="KZ201" s="191"/>
      <c r="LA201" s="191"/>
      <c r="LB201" s="191">
        <v>100</v>
      </c>
      <c r="LC201" s="191"/>
      <c r="LD201" s="191"/>
      <c r="LE201" s="191"/>
      <c r="LF201" s="191"/>
      <c r="LG201" s="191"/>
      <c r="LH201" s="191"/>
      <c r="LI201" s="191">
        <v>200</v>
      </c>
      <c r="LJ201" s="191"/>
      <c r="LK201" s="191"/>
      <c r="LL201" s="191"/>
      <c r="LM201" s="191"/>
      <c r="LN201" s="192"/>
      <c r="LO201" s="190"/>
      <c r="LP201" s="191"/>
      <c r="LQ201" s="191"/>
      <c r="LR201" s="191"/>
      <c r="LS201" s="191"/>
      <c r="LT201" s="191"/>
      <c r="LU201" s="191"/>
      <c r="LV201" s="191"/>
      <c r="LW201" s="191">
        <v>100</v>
      </c>
      <c r="LX201" s="191"/>
      <c r="LY201" s="191"/>
      <c r="LZ201" s="191"/>
      <c r="MA201" s="191"/>
      <c r="MB201" s="191"/>
      <c r="MC201" s="191"/>
      <c r="MD201" s="191"/>
      <c r="ME201" s="191"/>
      <c r="MF201" s="191"/>
      <c r="MG201" s="191"/>
      <c r="MH201" s="191"/>
      <c r="MI201" s="191"/>
      <c r="MJ201" s="191"/>
      <c r="MK201" s="191">
        <v>100</v>
      </c>
      <c r="ML201" s="191"/>
      <c r="MM201" s="191"/>
      <c r="MN201" s="191"/>
      <c r="MO201" s="191"/>
      <c r="MP201" s="191"/>
      <c r="MQ201" s="191"/>
      <c r="MR201" s="191"/>
      <c r="MS201" s="193"/>
      <c r="MT201" s="194"/>
      <c r="MU201" s="191"/>
      <c r="MV201" s="191"/>
      <c r="MW201" s="191"/>
      <c r="MX201" s="191"/>
      <c r="MY201" s="191">
        <v>50</v>
      </c>
      <c r="MZ201" s="191"/>
      <c r="NA201" s="191"/>
      <c r="NB201" s="191"/>
      <c r="NC201" s="191"/>
      <c r="ND201" s="191"/>
      <c r="NE201" s="191"/>
      <c r="NF201" s="191"/>
      <c r="NG201" s="191"/>
      <c r="NH201" s="191"/>
      <c r="NI201" s="191"/>
      <c r="NJ201" s="191"/>
      <c r="NK201" s="191"/>
      <c r="NL201" s="191"/>
      <c r="NM201" s="191"/>
      <c r="NN201" s="191"/>
      <c r="NO201" s="191"/>
      <c r="NP201" s="191"/>
      <c r="NQ201" s="191"/>
      <c r="NR201" s="191"/>
      <c r="NS201" s="191"/>
      <c r="NT201" s="191">
        <v>100</v>
      </c>
      <c r="NU201" s="191"/>
      <c r="NV201" s="191"/>
      <c r="NW201" s="192"/>
      <c r="NX201" s="190"/>
      <c r="NY201" s="191"/>
      <c r="NZ201" s="191"/>
      <c r="OA201" s="191"/>
      <c r="OB201" s="191"/>
      <c r="OC201" s="191"/>
      <c r="OD201" s="191"/>
      <c r="OE201" s="191"/>
      <c r="OF201" s="191"/>
      <c r="OG201" s="191"/>
      <c r="OH201" s="191"/>
      <c r="OI201" s="191"/>
      <c r="OJ201" s="191"/>
      <c r="OK201" s="191"/>
      <c r="OL201" s="191"/>
      <c r="OM201" s="191"/>
      <c r="ON201" s="191"/>
      <c r="OO201" s="191"/>
      <c r="OP201" s="191"/>
      <c r="OQ201" s="191"/>
      <c r="OR201" s="191"/>
      <c r="OS201" s="191"/>
      <c r="OT201" s="191"/>
      <c r="OU201" s="191"/>
      <c r="OV201" s="191"/>
      <c r="OW201" s="191"/>
      <c r="OX201" s="191"/>
      <c r="OY201" s="191"/>
      <c r="OZ201" s="191"/>
      <c r="PA201" s="191"/>
      <c r="PB201" s="193"/>
      <c r="PC201" s="47"/>
      <c r="PD201" s="154" t="s">
        <v>98</v>
      </c>
      <c r="PE201" s="155" t="s">
        <v>98</v>
      </c>
      <c r="PF201" s="155" t="s">
        <v>98</v>
      </c>
      <c r="PG201" s="155" t="s">
        <v>98</v>
      </c>
      <c r="PH201" s="155" t="s">
        <v>98</v>
      </c>
      <c r="PI201" s="155" t="s">
        <v>98</v>
      </c>
      <c r="PJ201" s="155" t="s">
        <v>98</v>
      </c>
      <c r="PK201" s="155" t="s">
        <v>97</v>
      </c>
      <c r="PL201" s="155" t="s">
        <v>98</v>
      </c>
      <c r="PM201" s="155" t="s">
        <v>98</v>
      </c>
      <c r="PN201" s="155" t="s">
        <v>98</v>
      </c>
      <c r="PO201" s="156"/>
      <c r="PP201" s="156"/>
      <c r="PQ201" s="156"/>
      <c r="PR201" s="156"/>
      <c r="PS201" s="156"/>
      <c r="PT201" s="156"/>
      <c r="PU201" s="156"/>
      <c r="PV201" s="156"/>
      <c r="PW201" s="156"/>
      <c r="PX201" s="195"/>
      <c r="PY201" s="1"/>
      <c r="PZ201" s="196">
        <f t="shared" si="179"/>
        <v>150</v>
      </c>
      <c r="QA201" s="218">
        <f t="shared" si="180"/>
        <v>1.2513556352715441E-3</v>
      </c>
      <c r="QB201" s="219" t="str">
        <f t="shared" ca="1" si="181"/>
        <v>Attente…</v>
      </c>
      <c r="QC201" s="197">
        <f t="shared" si="182"/>
        <v>150</v>
      </c>
      <c r="QD201" s="220">
        <f t="shared" si="183"/>
        <v>1.4044943820224719E-3</v>
      </c>
      <c r="QE201" s="221" t="str">
        <f t="shared" ca="1" si="184"/>
        <v>Attente…</v>
      </c>
      <c r="QF201" s="196">
        <f t="shared" si="185"/>
        <v>220</v>
      </c>
      <c r="QG201" s="218">
        <f t="shared" si="186"/>
        <v>1.7518713170887085E-3</v>
      </c>
      <c r="QH201" s="219" t="str">
        <f t="shared" ca="1" si="187"/>
        <v>Attente…</v>
      </c>
      <c r="QI201" s="197">
        <f t="shared" si="188"/>
        <v>50</v>
      </c>
      <c r="QJ201" s="220">
        <f t="shared" si="189"/>
        <v>3.5068031982045167E-4</v>
      </c>
      <c r="QK201" s="221" t="str">
        <f t="shared" ca="1" si="190"/>
        <v>Attente…</v>
      </c>
      <c r="QL201" s="196">
        <f t="shared" si="191"/>
        <v>50</v>
      </c>
      <c r="QM201" s="218">
        <f t="shared" si="192"/>
        <v>3.658179689786362E-4</v>
      </c>
      <c r="QN201" s="219" t="str">
        <f t="shared" ca="1" si="193"/>
        <v>Attente…</v>
      </c>
      <c r="QO201" s="197">
        <f t="shared" si="194"/>
        <v>250</v>
      </c>
      <c r="QP201" s="220">
        <f t="shared" si="195"/>
        <v>1.9572535817740547E-3</v>
      </c>
      <c r="QQ201" s="221" t="str">
        <f t="shared" ca="1" si="196"/>
        <v>Attente…</v>
      </c>
      <c r="QR201" s="196">
        <f t="shared" si="197"/>
        <v>60</v>
      </c>
      <c r="QS201" s="218">
        <f t="shared" si="198"/>
        <v>4.3194989381231777E-4</v>
      </c>
      <c r="QT201" s="219" t="str">
        <f t="shared" ca="1" si="199"/>
        <v>Attente…</v>
      </c>
      <c r="QU201" s="197">
        <f t="shared" si="200"/>
        <v>250</v>
      </c>
      <c r="QV201" s="220">
        <f t="shared" si="201"/>
        <v>1.7236624379481523E-3</v>
      </c>
      <c r="QW201" s="221" t="str">
        <f t="shared" ca="1" si="202"/>
        <v>Attente…</v>
      </c>
      <c r="QX201" s="196">
        <f t="shared" si="203"/>
        <v>310</v>
      </c>
      <c r="QY201" s="218">
        <f t="shared" si="204"/>
        <v>2.262179281356724E-3</v>
      </c>
      <c r="QZ201" s="219" t="str">
        <f t="shared" ca="1" si="205"/>
        <v>Attente…</v>
      </c>
      <c r="RA201" s="197">
        <f t="shared" si="206"/>
        <v>200</v>
      </c>
      <c r="RB201" s="220">
        <f t="shared" si="207"/>
        <v>1.5648227838197324E-3</v>
      </c>
      <c r="RC201" s="221" t="str">
        <f t="shared" ca="1" si="208"/>
        <v>Attente…</v>
      </c>
      <c r="RD201" s="196">
        <f t="shared" si="209"/>
        <v>150</v>
      </c>
      <c r="RE201" s="218">
        <f t="shared" si="210"/>
        <v>1.4946193702670386E-3</v>
      </c>
      <c r="RF201" s="219" t="str">
        <f t="shared" ca="1" si="211"/>
        <v>Attente…</v>
      </c>
      <c r="RG201" s="197">
        <f t="shared" si="212"/>
        <v>0</v>
      </c>
      <c r="RH201" s="220">
        <f t="shared" si="213"/>
        <v>0</v>
      </c>
      <c r="RI201" s="222" t="str">
        <f t="shared" ca="1" si="214"/>
        <v>Attente…</v>
      </c>
      <c r="RJ201" s="199">
        <f t="shared" si="215"/>
        <v>520</v>
      </c>
      <c r="RK201" s="200" t="str">
        <f t="shared" ca="1" si="172"/>
        <v>Attente…</v>
      </c>
      <c r="RL201" s="199">
        <f t="shared" si="216"/>
        <v>350</v>
      </c>
      <c r="RM201" s="200" t="str">
        <f t="shared" ca="1" si="217"/>
        <v>Atttente…</v>
      </c>
      <c r="RN201" s="199">
        <f t="shared" si="218"/>
        <v>620</v>
      </c>
      <c r="RO201" s="200" t="str">
        <f t="shared" ca="1" si="173"/>
        <v>Attente…</v>
      </c>
      <c r="RP201" s="199">
        <f t="shared" si="219"/>
        <v>350</v>
      </c>
      <c r="RQ201" s="200" t="str">
        <f t="shared" ca="1" si="174"/>
        <v>Attente…</v>
      </c>
      <c r="RR201" s="201">
        <f t="shared" si="220"/>
        <v>1840</v>
      </c>
      <c r="RS201" s="202" t="str">
        <f t="shared" ca="1" si="175"/>
        <v>Attente…</v>
      </c>
      <c r="RT201" s="103"/>
      <c r="RU201" s="203">
        <f t="shared" si="221"/>
        <v>0.46</v>
      </c>
      <c r="RV201" s="204">
        <f t="shared" si="171"/>
        <v>1</v>
      </c>
      <c r="RW201" s="204">
        <f t="shared" si="171"/>
        <v>1</v>
      </c>
      <c r="RX201" s="204">
        <f t="shared" si="222"/>
        <v>20</v>
      </c>
      <c r="RY201" s="205" t="str">
        <f t="shared" si="223"/>
        <v>CIDEVILLE - 55 rue du Centre (A côté du garage et bacs verre)</v>
      </c>
      <c r="RZ201" s="189" t="str">
        <f>IF(OR(RZ200="",RZ200="  &lt;/Document&gt;
&lt;/kml&gt;"),"",
IF(B201="","  &lt;/Document&gt;
&lt;/kml&gt;",
IF(TournéesCAV!Q201=""," ",
"    &lt;Placemark&gt;
      &lt;description&gt;&lt;![CDATA["&amp;B201&amp;"&lt;br&gt;&lt;br&gt;"&amp;RV201&amp;" CAV&lt;br&gt;&lt;br&gt;Présent sur "&amp;RW201&amp;" tournée(s)&lt;br&gt;&lt;br&gt;Taux de remplissage moyen "&amp;TEXT(RU201*1000,"0 %")&amp;"]]&gt;&lt;/description&gt;
      &lt;Style&gt;
        &lt;IconStyle&gt;
          &lt;color&gt;ff"&amp;
          DEC2HEX(0,2)&amp;
          DEC2HEX(
            IF(RU201&lt;=0.5,
               INT(255*(RU201*2)),
               255
            ),2)&amp;
          DEC2HEX(
            IF(RU201&lt;=0.5,
               255,
               INT(255*(1-(RU201-0.5)*2))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&lt;Point&gt;&lt;coordinates&gt;"&amp;R201&amp;","&amp;Q201&amp;",0&lt;/coordinates&gt;&lt;/Point&gt;
    &lt;/Placemark&gt;"
)))</f>
        <v xml:space="preserve">    &lt;Placemark&gt;
      &lt;description&gt;&lt;![CDATA[CIDEVILLE - 55 rue du Centre (A côté du garage et bacs verre)&lt;br&gt;&lt;br&gt;1 CAV&lt;br&gt;&lt;br&gt;Présent sur 1 tournée(s)&lt;br&gt;&lt;br&gt;Taux de remplissage moyen 46%]]&gt;&lt;/description&gt;
      &lt;Style&gt;
        &lt;IconStyle&gt;
          &lt;color&gt;ff00EAFF&lt;/color&gt;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&lt;Point&gt;&lt;coordinates&gt;0.8944882,49.6154562,0&lt;/coordinates&gt;&lt;/Point&gt;
    &lt;/Placemark&gt;</v>
      </c>
    </row>
    <row r="202" spans="2:494" ht="15" hidden="1" customHeight="1" x14ac:dyDescent="0.35">
      <c r="B202" s="153" t="str">
        <f t="shared" si="176"/>
        <v>PETIT-COURONNE - 220 Rue Du 14 Juillet (Croisement rue du Pommeret)</v>
      </c>
      <c r="C202" s="154">
        <v>40</v>
      </c>
      <c r="D202" s="155"/>
      <c r="E202" s="155"/>
      <c r="F202" s="155"/>
      <c r="G202" s="155"/>
      <c r="H202" s="155"/>
      <c r="I202" s="155"/>
      <c r="J202" s="156"/>
      <c r="K202" s="157">
        <f t="shared" si="177"/>
        <v>1</v>
      </c>
      <c r="L202" s="157">
        <f t="shared" si="178"/>
        <v>2</v>
      </c>
      <c r="M202" s="158" t="s">
        <v>1099</v>
      </c>
      <c r="N202" s="159" t="s">
        <v>1100</v>
      </c>
      <c r="O202" s="159">
        <v>76650</v>
      </c>
      <c r="P202" s="159" t="s">
        <v>1101</v>
      </c>
      <c r="Q202" s="159" t="s">
        <v>1102</v>
      </c>
      <c r="R202" s="159" t="s">
        <v>1103</v>
      </c>
      <c r="S202" s="159" t="s">
        <v>93</v>
      </c>
      <c r="T202" s="159" t="s">
        <v>94</v>
      </c>
      <c r="U202" s="159" t="s">
        <v>1104</v>
      </c>
      <c r="V202" s="160" t="s">
        <v>96</v>
      </c>
      <c r="W202" s="161"/>
      <c r="X202" s="162"/>
      <c r="Y202" s="163">
        <v>16</v>
      </c>
      <c r="Z202" s="162">
        <v>13</v>
      </c>
      <c r="AA202" s="163"/>
      <c r="AB202" s="162"/>
      <c r="AC202" s="163"/>
      <c r="AD202" s="162"/>
      <c r="AE202" s="163"/>
      <c r="AF202" s="162"/>
      <c r="AG202" s="163"/>
      <c r="AH202" s="163"/>
      <c r="AI202" s="162"/>
      <c r="AJ202" s="163"/>
      <c r="AK202" s="162"/>
      <c r="AL202" s="163"/>
      <c r="AM202" s="162"/>
      <c r="AN202" s="163"/>
      <c r="AO202" s="162"/>
      <c r="AP202" s="164"/>
      <c r="AQ202" s="164"/>
      <c r="AR202" s="164"/>
      <c r="AS202" s="164"/>
      <c r="AT202" s="164"/>
      <c r="AU202" s="164"/>
      <c r="AV202" s="164"/>
      <c r="AW202" s="164"/>
      <c r="AX202" s="164"/>
      <c r="AY202" s="165"/>
      <c r="AZ202" s="41"/>
      <c r="BA202" s="190"/>
      <c r="BB202" s="191">
        <v>200</v>
      </c>
      <c r="BC202" s="191"/>
      <c r="BD202" s="191"/>
      <c r="BE202" s="191"/>
      <c r="BF202" s="191"/>
      <c r="BG202" s="191"/>
      <c r="BH202" s="191"/>
      <c r="BI202" s="191">
        <v>50</v>
      </c>
      <c r="BJ202" s="191"/>
      <c r="BK202" s="191"/>
      <c r="BL202" s="191"/>
      <c r="BM202" s="191">
        <v>200</v>
      </c>
      <c r="BN202" s="191"/>
      <c r="BO202" s="191"/>
      <c r="BP202" s="191">
        <v>100</v>
      </c>
      <c r="BQ202" s="191"/>
      <c r="BR202" s="191"/>
      <c r="BS202" s="191"/>
      <c r="BT202" s="191">
        <v>10</v>
      </c>
      <c r="BU202" s="191"/>
      <c r="BV202" s="191"/>
      <c r="BW202" s="191">
        <v>50</v>
      </c>
      <c r="BX202" s="191"/>
      <c r="BY202" s="191"/>
      <c r="BZ202" s="191"/>
      <c r="CA202" s="191"/>
      <c r="CB202" s="191"/>
      <c r="CC202" s="191"/>
      <c r="CD202" s="191">
        <v>100</v>
      </c>
      <c r="CE202" s="192"/>
      <c r="CF202" s="190"/>
      <c r="CG202" s="191"/>
      <c r="CH202" s="191">
        <v>100</v>
      </c>
      <c r="CI202" s="191"/>
      <c r="CJ202" s="191"/>
      <c r="CK202" s="191">
        <v>50</v>
      </c>
      <c r="CL202" s="191"/>
      <c r="CM202" s="191"/>
      <c r="CN202" s="191"/>
      <c r="CO202" s="191">
        <v>100</v>
      </c>
      <c r="CP202" s="191"/>
      <c r="CQ202" s="191"/>
      <c r="CR202" s="191">
        <v>50</v>
      </c>
      <c r="CS202" s="191"/>
      <c r="CT202" s="191"/>
      <c r="CU202" s="191"/>
      <c r="CV202" s="191">
        <v>50</v>
      </c>
      <c r="CW202" s="191"/>
      <c r="CX202" s="191"/>
      <c r="CY202" s="191">
        <v>50</v>
      </c>
      <c r="CZ202" s="191"/>
      <c r="DA202" s="191"/>
      <c r="DB202" s="191"/>
      <c r="DC202" s="191">
        <v>100</v>
      </c>
      <c r="DD202" s="191"/>
      <c r="DE202" s="191"/>
      <c r="DF202" s="191">
        <v>50</v>
      </c>
      <c r="DG202" s="191"/>
      <c r="DH202" s="193"/>
      <c r="DI202" s="194"/>
      <c r="DJ202" s="191"/>
      <c r="DK202" s="191">
        <v>100</v>
      </c>
      <c r="DL202" s="191"/>
      <c r="DM202" s="191"/>
      <c r="DN202" s="191">
        <v>50</v>
      </c>
      <c r="DO202" s="191"/>
      <c r="DP202" s="191"/>
      <c r="DQ202" s="191"/>
      <c r="DR202" s="191">
        <v>150</v>
      </c>
      <c r="DS202" s="191"/>
      <c r="DT202" s="191"/>
      <c r="DU202" s="191">
        <v>10</v>
      </c>
      <c r="DV202" s="191"/>
      <c r="DW202" s="191"/>
      <c r="DX202" s="191"/>
      <c r="DY202" s="191">
        <v>100</v>
      </c>
      <c r="DZ202" s="191"/>
      <c r="EA202" s="191"/>
      <c r="EB202" s="191">
        <v>10</v>
      </c>
      <c r="EC202" s="191"/>
      <c r="ED202" s="191"/>
      <c r="EE202" s="191"/>
      <c r="EF202" s="191">
        <v>150</v>
      </c>
      <c r="EG202" s="191"/>
      <c r="EH202" s="191"/>
      <c r="EI202" s="191">
        <v>50</v>
      </c>
      <c r="EJ202" s="191"/>
      <c r="EK202" s="191"/>
      <c r="EL202" s="191"/>
      <c r="EM202" s="192">
        <v>100</v>
      </c>
      <c r="EN202" s="190"/>
      <c r="EO202" s="191"/>
      <c r="EP202" s="191">
        <v>10</v>
      </c>
      <c r="EQ202" s="191"/>
      <c r="ER202" s="191"/>
      <c r="ES202" s="191"/>
      <c r="ET202" s="191">
        <v>200</v>
      </c>
      <c r="EU202" s="191"/>
      <c r="EV202" s="191"/>
      <c r="EW202" s="191">
        <v>50</v>
      </c>
      <c r="EX202" s="191"/>
      <c r="EY202" s="191"/>
      <c r="EZ202" s="191"/>
      <c r="FA202" s="191">
        <v>50</v>
      </c>
      <c r="FB202" s="191"/>
      <c r="FC202" s="191"/>
      <c r="FD202" s="191">
        <v>50</v>
      </c>
      <c r="FE202" s="191"/>
      <c r="FF202" s="191"/>
      <c r="FG202" s="191"/>
      <c r="FH202" s="191"/>
      <c r="FI202" s="191">
        <v>200</v>
      </c>
      <c r="FJ202" s="191"/>
      <c r="FK202" s="191"/>
      <c r="FL202" s="191"/>
      <c r="FM202" s="191"/>
      <c r="FN202" s="191"/>
      <c r="FO202" s="191"/>
      <c r="FP202" s="191"/>
      <c r="FQ202" s="193">
        <v>200</v>
      </c>
      <c r="FR202" s="194"/>
      <c r="FS202" s="191"/>
      <c r="FT202" s="191"/>
      <c r="FU202" s="191"/>
      <c r="FV202" s="191">
        <v>200</v>
      </c>
      <c r="FW202" s="191"/>
      <c r="FX202" s="191"/>
      <c r="FY202" s="191"/>
      <c r="FZ202" s="191"/>
      <c r="GA202" s="191"/>
      <c r="GB202" s="191"/>
      <c r="GC202" s="191">
        <v>150</v>
      </c>
      <c r="GD202" s="191"/>
      <c r="GE202" s="191"/>
      <c r="GF202" s="191">
        <v>50</v>
      </c>
      <c r="GG202" s="191"/>
      <c r="GH202" s="191"/>
      <c r="GI202" s="191"/>
      <c r="GJ202" s="191">
        <v>200</v>
      </c>
      <c r="GK202" s="191"/>
      <c r="GL202" s="191"/>
      <c r="GM202" s="191">
        <v>50</v>
      </c>
      <c r="GN202" s="191"/>
      <c r="GO202" s="191"/>
      <c r="GP202" s="191"/>
      <c r="GQ202" s="191"/>
      <c r="GR202" s="191">
        <v>100</v>
      </c>
      <c r="GS202" s="191"/>
      <c r="GT202" s="191"/>
      <c r="GU202" s="191"/>
      <c r="GV202" s="192"/>
      <c r="GW202" s="190"/>
      <c r="GX202" s="191">
        <v>100</v>
      </c>
      <c r="GY202" s="191"/>
      <c r="GZ202" s="191"/>
      <c r="HA202" s="191">
        <v>100</v>
      </c>
      <c r="HB202" s="191"/>
      <c r="HC202" s="191"/>
      <c r="HD202" s="191"/>
      <c r="HE202" s="191"/>
      <c r="HF202" s="191"/>
      <c r="HG202" s="191">
        <v>100</v>
      </c>
      <c r="HH202" s="191"/>
      <c r="HI202" s="191"/>
      <c r="HJ202" s="191"/>
      <c r="HK202" s="191"/>
      <c r="HL202" s="191">
        <v>150</v>
      </c>
      <c r="HM202" s="191"/>
      <c r="HN202" s="191"/>
      <c r="HO202" s="191"/>
      <c r="HP202" s="191"/>
      <c r="HQ202" s="191"/>
      <c r="HR202" s="191"/>
      <c r="HS202" s="191"/>
      <c r="HT202" s="191">
        <v>150</v>
      </c>
      <c r="HU202" s="191"/>
      <c r="HV202" s="191">
        <v>50</v>
      </c>
      <c r="HW202" s="191"/>
      <c r="HX202" s="191"/>
      <c r="HY202" s="191"/>
      <c r="HZ202" s="193">
        <v>150</v>
      </c>
      <c r="IA202" s="194"/>
      <c r="IB202" s="191"/>
      <c r="IC202" s="191">
        <v>100</v>
      </c>
      <c r="ID202" s="191"/>
      <c r="IE202" s="191"/>
      <c r="IF202" s="191"/>
      <c r="IG202" s="191">
        <v>50</v>
      </c>
      <c r="IH202" s="191"/>
      <c r="II202" s="191"/>
      <c r="IJ202" s="191">
        <v>10</v>
      </c>
      <c r="IK202" s="191"/>
      <c r="IL202" s="191"/>
      <c r="IM202" s="191"/>
      <c r="IN202" s="191">
        <v>100</v>
      </c>
      <c r="IO202" s="191"/>
      <c r="IP202" s="191"/>
      <c r="IQ202" s="191"/>
      <c r="IR202" s="191"/>
      <c r="IS202" s="191"/>
      <c r="IT202" s="191"/>
      <c r="IU202" s="191">
        <v>100</v>
      </c>
      <c r="IV202" s="191"/>
      <c r="IW202" s="191"/>
      <c r="IX202" s="191">
        <v>100</v>
      </c>
      <c r="IY202" s="191"/>
      <c r="IZ202" s="191"/>
      <c r="JA202" s="191"/>
      <c r="JB202" s="191">
        <v>200</v>
      </c>
      <c r="JC202" s="191"/>
      <c r="JD202" s="191"/>
      <c r="JE202" s="192">
        <v>50</v>
      </c>
      <c r="JF202" s="190"/>
      <c r="JG202" s="191"/>
      <c r="JH202" s="191"/>
      <c r="JI202" s="191">
        <v>100</v>
      </c>
      <c r="JJ202" s="191"/>
      <c r="JK202" s="191"/>
      <c r="JL202" s="191">
        <v>100</v>
      </c>
      <c r="JM202" s="191"/>
      <c r="JN202" s="191"/>
      <c r="JO202" s="191"/>
      <c r="JP202" s="191"/>
      <c r="JQ202" s="191"/>
      <c r="JR202" s="191">
        <v>100</v>
      </c>
      <c r="JS202" s="191"/>
      <c r="JT202" s="191"/>
      <c r="JU202" s="191"/>
      <c r="JV202" s="191"/>
      <c r="JW202" s="191">
        <v>100</v>
      </c>
      <c r="JX202" s="191"/>
      <c r="JY202" s="191"/>
      <c r="JZ202" s="191">
        <v>100</v>
      </c>
      <c r="KA202" s="191"/>
      <c r="KB202" s="191"/>
      <c r="KC202" s="191"/>
      <c r="KD202" s="191"/>
      <c r="KE202" s="191"/>
      <c r="KF202" s="191">
        <v>150</v>
      </c>
      <c r="KG202" s="191">
        <v>10</v>
      </c>
      <c r="KH202" s="191"/>
      <c r="KI202" s="191"/>
      <c r="KJ202" s="193"/>
      <c r="KK202" s="194"/>
      <c r="KL202" s="191"/>
      <c r="KM202" s="191"/>
      <c r="KN202" s="191">
        <v>200</v>
      </c>
      <c r="KO202" s="191"/>
      <c r="KP202" s="191"/>
      <c r="KQ202" s="191"/>
      <c r="KR202" s="191"/>
      <c r="KS202" s="191"/>
      <c r="KT202" s="191"/>
      <c r="KU202" s="191"/>
      <c r="KV202" s="191"/>
      <c r="KW202" s="191"/>
      <c r="KX202" s="191"/>
      <c r="KY202" s="191">
        <v>200</v>
      </c>
      <c r="KZ202" s="191"/>
      <c r="LA202" s="191"/>
      <c r="LB202" s="191">
        <v>150</v>
      </c>
      <c r="LC202" s="191"/>
      <c r="LD202" s="191"/>
      <c r="LE202" s="191"/>
      <c r="LF202" s="191">
        <v>100</v>
      </c>
      <c r="LG202" s="191"/>
      <c r="LH202" s="191"/>
      <c r="LI202" s="191">
        <v>10</v>
      </c>
      <c r="LJ202" s="191"/>
      <c r="LK202" s="191"/>
      <c r="LL202" s="191"/>
      <c r="LM202" s="191">
        <v>100</v>
      </c>
      <c r="LN202" s="192"/>
      <c r="LO202" s="190"/>
      <c r="LP202" s="191">
        <v>100</v>
      </c>
      <c r="LQ202" s="191"/>
      <c r="LR202" s="191"/>
      <c r="LS202" s="191"/>
      <c r="LT202" s="191">
        <v>50</v>
      </c>
      <c r="LU202" s="191"/>
      <c r="LV202" s="191"/>
      <c r="LW202" s="191">
        <v>10</v>
      </c>
      <c r="LX202" s="191"/>
      <c r="LY202" s="191"/>
      <c r="LZ202" s="191"/>
      <c r="MA202" s="191">
        <v>150</v>
      </c>
      <c r="MB202" s="191"/>
      <c r="MC202" s="191"/>
      <c r="MD202" s="191">
        <v>10</v>
      </c>
      <c r="ME202" s="191"/>
      <c r="MF202" s="191"/>
      <c r="MG202" s="191"/>
      <c r="MH202" s="191">
        <v>100</v>
      </c>
      <c r="MI202" s="191"/>
      <c r="MJ202" s="191"/>
      <c r="MK202" s="191">
        <v>10</v>
      </c>
      <c r="ML202" s="191"/>
      <c r="MM202" s="191"/>
      <c r="MN202" s="191"/>
      <c r="MO202" s="191">
        <v>100</v>
      </c>
      <c r="MP202" s="191"/>
      <c r="MQ202" s="191"/>
      <c r="MR202" s="191">
        <v>100</v>
      </c>
      <c r="MS202" s="193"/>
      <c r="MT202" s="194"/>
      <c r="MU202" s="191"/>
      <c r="MV202" s="191">
        <v>100</v>
      </c>
      <c r="MW202" s="191"/>
      <c r="MX202" s="191"/>
      <c r="MY202" s="191">
        <v>100</v>
      </c>
      <c r="MZ202" s="191"/>
      <c r="NA202" s="191"/>
      <c r="NB202" s="191"/>
      <c r="NC202" s="191">
        <v>50</v>
      </c>
      <c r="ND202" s="191"/>
      <c r="NE202" s="191"/>
      <c r="NF202" s="191"/>
      <c r="NG202" s="191"/>
      <c r="NH202" s="191"/>
      <c r="NI202" s="191"/>
      <c r="NJ202" s="191">
        <v>150</v>
      </c>
      <c r="NK202" s="191"/>
      <c r="NL202" s="191"/>
      <c r="NM202" s="191"/>
      <c r="NN202" s="191"/>
      <c r="NO202" s="191"/>
      <c r="NP202" s="191"/>
      <c r="NQ202" s="191">
        <v>100</v>
      </c>
      <c r="NR202" s="191"/>
      <c r="NS202" s="191"/>
      <c r="NT202" s="191">
        <v>50</v>
      </c>
      <c r="NU202" s="191"/>
      <c r="NV202" s="191"/>
      <c r="NW202" s="192"/>
      <c r="NX202" s="190">
        <v>50</v>
      </c>
      <c r="NY202" s="191"/>
      <c r="NZ202" s="191"/>
      <c r="OA202" s="191">
        <v>50</v>
      </c>
      <c r="OB202" s="191"/>
      <c r="OC202" s="191"/>
      <c r="OD202" s="191"/>
      <c r="OE202" s="191">
        <v>50</v>
      </c>
      <c r="OF202" s="191"/>
      <c r="OG202" s="191"/>
      <c r="OH202" s="191">
        <v>10</v>
      </c>
      <c r="OI202" s="191"/>
      <c r="OJ202" s="191"/>
      <c r="OK202" s="191"/>
      <c r="OL202" s="191">
        <v>10</v>
      </c>
      <c r="OM202" s="191"/>
      <c r="ON202" s="191"/>
      <c r="OO202" s="191">
        <v>10</v>
      </c>
      <c r="OP202" s="191"/>
      <c r="OQ202" s="191"/>
      <c r="OR202" s="191"/>
      <c r="OS202" s="191"/>
      <c r="OT202" s="191"/>
      <c r="OU202" s="191"/>
      <c r="OV202" s="191"/>
      <c r="OW202" s="191"/>
      <c r="OX202" s="191"/>
      <c r="OY202" s="191"/>
      <c r="OZ202" s="191"/>
      <c r="PA202" s="191"/>
      <c r="PB202" s="193"/>
      <c r="PC202" s="47"/>
      <c r="PD202" s="154" t="s">
        <v>97</v>
      </c>
      <c r="PE202" s="155" t="s">
        <v>98</v>
      </c>
      <c r="PF202" s="155" t="s">
        <v>98</v>
      </c>
      <c r="PG202" s="155" t="s">
        <v>98</v>
      </c>
      <c r="PH202" s="155" t="s">
        <v>98</v>
      </c>
      <c r="PI202" s="155" t="s">
        <v>98</v>
      </c>
      <c r="PJ202" s="155" t="s">
        <v>98</v>
      </c>
      <c r="PK202" s="155" t="s">
        <v>98</v>
      </c>
      <c r="PL202" s="155" t="s">
        <v>98</v>
      </c>
      <c r="PM202" s="155" t="s">
        <v>98</v>
      </c>
      <c r="PN202" s="155" t="s">
        <v>98</v>
      </c>
      <c r="PO202" s="156"/>
      <c r="PP202" s="156"/>
      <c r="PQ202" s="156"/>
      <c r="PR202" s="156"/>
      <c r="PS202" s="156"/>
      <c r="PT202" s="156"/>
      <c r="PU202" s="156"/>
      <c r="PV202" s="156"/>
      <c r="PW202" s="156"/>
      <c r="PX202" s="195"/>
      <c r="PY202" s="1"/>
      <c r="PZ202" s="196">
        <f t="shared" si="179"/>
        <v>710</v>
      </c>
      <c r="QA202" s="218">
        <f t="shared" si="180"/>
        <v>5.9230833402853095E-3</v>
      </c>
      <c r="QB202" s="219" t="str">
        <f t="shared" ca="1" si="181"/>
        <v>Attente…</v>
      </c>
      <c r="QC202" s="197">
        <f t="shared" si="182"/>
        <v>550</v>
      </c>
      <c r="QD202" s="220">
        <f t="shared" si="183"/>
        <v>5.1498127340823966E-3</v>
      </c>
      <c r="QE202" s="221" t="str">
        <f t="shared" ca="1" si="184"/>
        <v>Attente…</v>
      </c>
      <c r="QF202" s="196">
        <f t="shared" si="185"/>
        <v>720</v>
      </c>
      <c r="QG202" s="218">
        <f t="shared" si="186"/>
        <v>5.733397037744864E-3</v>
      </c>
      <c r="QH202" s="219" t="str">
        <f t="shared" ca="1" si="187"/>
        <v>Attente…</v>
      </c>
      <c r="QI202" s="197">
        <f t="shared" si="188"/>
        <v>760</v>
      </c>
      <c r="QJ202" s="220">
        <f t="shared" si="189"/>
        <v>5.3303408612708656E-3</v>
      </c>
      <c r="QK202" s="221" t="str">
        <f t="shared" ca="1" si="190"/>
        <v>Attente…</v>
      </c>
      <c r="QL202" s="196">
        <f t="shared" si="191"/>
        <v>750</v>
      </c>
      <c r="QM202" s="218">
        <f t="shared" si="192"/>
        <v>5.4872695346795432E-3</v>
      </c>
      <c r="QN202" s="219" t="str">
        <f t="shared" ca="1" si="193"/>
        <v>Attente…</v>
      </c>
      <c r="QO202" s="197">
        <f t="shared" si="194"/>
        <v>800</v>
      </c>
      <c r="QP202" s="220">
        <f t="shared" si="195"/>
        <v>6.2632114616769747E-3</v>
      </c>
      <c r="QQ202" s="221" t="str">
        <f t="shared" ca="1" si="196"/>
        <v>Attente…</v>
      </c>
      <c r="QR202" s="196">
        <f t="shared" si="197"/>
        <v>710</v>
      </c>
      <c r="QS202" s="218">
        <f t="shared" si="198"/>
        <v>5.1114070767790936E-3</v>
      </c>
      <c r="QT202" s="219" t="str">
        <f t="shared" ca="1" si="199"/>
        <v>Attente…</v>
      </c>
      <c r="QU202" s="197">
        <f t="shared" si="200"/>
        <v>660</v>
      </c>
      <c r="QV202" s="220">
        <f t="shared" si="201"/>
        <v>4.5504688361831221E-3</v>
      </c>
      <c r="QW202" s="221" t="str">
        <f t="shared" ca="1" si="202"/>
        <v>Attente…</v>
      </c>
      <c r="QX202" s="196">
        <f t="shared" si="203"/>
        <v>760</v>
      </c>
      <c r="QY202" s="218">
        <f t="shared" si="204"/>
        <v>5.5459879155842261E-3</v>
      </c>
      <c r="QZ202" s="219" t="str">
        <f t="shared" ca="1" si="205"/>
        <v>Attente…</v>
      </c>
      <c r="RA202" s="197">
        <f t="shared" si="206"/>
        <v>630</v>
      </c>
      <c r="RB202" s="220">
        <f t="shared" si="207"/>
        <v>4.9291917690321568E-3</v>
      </c>
      <c r="RC202" s="221" t="str">
        <f t="shared" ca="1" si="208"/>
        <v>Attente…</v>
      </c>
      <c r="RD202" s="196">
        <f t="shared" si="209"/>
        <v>550</v>
      </c>
      <c r="RE202" s="218">
        <f t="shared" si="210"/>
        <v>5.4802710243124749E-3</v>
      </c>
      <c r="RF202" s="219" t="str">
        <f t="shared" ca="1" si="211"/>
        <v>Attente…</v>
      </c>
      <c r="RG202" s="197">
        <f t="shared" si="212"/>
        <v>180</v>
      </c>
      <c r="RH202" s="220">
        <f t="shared" si="213"/>
        <v>3.3106492551039177E-3</v>
      </c>
      <c r="RI202" s="222" t="str">
        <f t="shared" ca="1" si="214"/>
        <v>Attente…</v>
      </c>
      <c r="RJ202" s="199">
        <f t="shared" si="215"/>
        <v>1980</v>
      </c>
      <c r="RK202" s="200" t="str">
        <f t="shared" ca="1" si="172"/>
        <v>Attente…</v>
      </c>
      <c r="RL202" s="199">
        <f t="shared" si="216"/>
        <v>2310</v>
      </c>
      <c r="RM202" s="200" t="str">
        <f t="shared" ca="1" si="217"/>
        <v>Atttente…</v>
      </c>
      <c r="RN202" s="199">
        <f t="shared" si="218"/>
        <v>2130</v>
      </c>
      <c r="RO202" s="200" t="str">
        <f t="shared" ca="1" si="173"/>
        <v>Attente…</v>
      </c>
      <c r="RP202" s="199">
        <f t="shared" si="219"/>
        <v>1360</v>
      </c>
      <c r="RQ202" s="200" t="str">
        <f t="shared" ca="1" si="174"/>
        <v>Attente…</v>
      </c>
      <c r="RR202" s="201">
        <f t="shared" si="220"/>
        <v>7780</v>
      </c>
      <c r="RS202" s="202" t="str">
        <f t="shared" ca="1" si="175"/>
        <v>Attente…</v>
      </c>
      <c r="RT202" s="103"/>
      <c r="RU202" s="203">
        <f t="shared" si="221"/>
        <v>0.45232558139534879</v>
      </c>
      <c r="RV202" s="204">
        <f t="shared" si="171"/>
        <v>1</v>
      </c>
      <c r="RW202" s="204">
        <f t="shared" si="171"/>
        <v>2</v>
      </c>
      <c r="RX202" s="204">
        <f t="shared" si="222"/>
        <v>86</v>
      </c>
      <c r="RY202" s="205" t="str">
        <f t="shared" si="223"/>
        <v>PETIT-COURONNE - 220 Rue Du 14 Juillet (Croisement rue du Pommeret)</v>
      </c>
      <c r="RZ202" s="189" t="str">
        <f>IF(OR(RZ201="",RZ201="  &lt;/Document&gt;
&lt;/kml&gt;"),"",
IF(B202="","  &lt;/Document&gt;
&lt;/kml&gt;",
IF(TournéesCAV!Q202=""," ",
"    &lt;Placemark&gt;
      &lt;description&gt;&lt;![CDATA["&amp;B202&amp;"&lt;br&gt;&lt;br&gt;"&amp;RV202&amp;" CAV&lt;br&gt;&lt;br&gt;Présent sur "&amp;RW202&amp;" tournée(s)&lt;br&gt;&lt;br&gt;Taux de remplissage moyen "&amp;TEXT(RU202*1000,"0 %")&amp;"]]&gt;&lt;/description&gt;
      &lt;Style&gt;
        &lt;IconStyle&gt;
          &lt;color&gt;ff"&amp;
          DEC2HEX(0,2)&amp;
          DEC2HEX(
            IF(RU202&lt;=0.5,
               INT(255*(RU202*2)),
               255
            ),2)&amp;
          DEC2HEX(
            IF(RU202&lt;=0.5,
               255,
               INT(255*(1-(RU202-0.5)*2))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&lt;Point&gt;&lt;coordinates&gt;"&amp;R202&amp;","&amp;Q202&amp;",0&lt;/coordinates&gt;&lt;/Point&gt;
    &lt;/Placemark&gt;"
)))</f>
        <v xml:space="preserve">    &lt;Placemark&gt;
      &lt;description&gt;&lt;![CDATA[PETIT-COURONNE - 220 Rue Du 14 Juillet (Croisement rue du Pommeret)&lt;br&gt;&lt;br&gt;1 CAV&lt;br&gt;&lt;br&gt;Présent sur 2 tournée(s)&lt;br&gt;&lt;br&gt;Taux de remplissage moyen 45%]]&gt;&lt;/description&gt;
      &lt;Style&gt;
        &lt;IconStyle&gt;
          &lt;color&gt;ff00E6FF&lt;/color&gt;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&lt;Point&gt;&lt;coordinates&gt;1.028463,49.3838783,0&lt;/coordinates&gt;&lt;/Point&gt;
    &lt;/Placemark&gt;</v>
      </c>
    </row>
    <row r="203" spans="2:494" ht="15" hidden="1" customHeight="1" x14ac:dyDescent="0.35">
      <c r="B203" s="153" t="str">
        <f t="shared" si="176"/>
        <v>PETIT-COURONNE - 44 Place Pierre Mendès France (Parking Coccinelle)</v>
      </c>
      <c r="C203" s="154">
        <v>120</v>
      </c>
      <c r="D203" s="155"/>
      <c r="E203" s="155"/>
      <c r="F203" s="155"/>
      <c r="G203" s="155"/>
      <c r="H203" s="155"/>
      <c r="I203" s="155"/>
      <c r="J203" s="156"/>
      <c r="K203" s="157">
        <f t="shared" si="177"/>
        <v>1</v>
      </c>
      <c r="L203" s="157">
        <f t="shared" si="178"/>
        <v>2</v>
      </c>
      <c r="M203" s="158" t="s">
        <v>1105</v>
      </c>
      <c r="N203" s="159" t="s">
        <v>1106</v>
      </c>
      <c r="O203" s="159">
        <v>76650</v>
      </c>
      <c r="P203" s="159" t="s">
        <v>1101</v>
      </c>
      <c r="Q203" s="159" t="s">
        <v>1107</v>
      </c>
      <c r="R203" s="159" t="s">
        <v>1108</v>
      </c>
      <c r="S203" s="159" t="s">
        <v>93</v>
      </c>
      <c r="T203" s="159" t="s">
        <v>110</v>
      </c>
      <c r="U203" s="159" t="s">
        <v>1109</v>
      </c>
      <c r="V203" s="160" t="s">
        <v>96</v>
      </c>
      <c r="W203" s="161"/>
      <c r="X203" s="162"/>
      <c r="Y203" s="163">
        <v>17</v>
      </c>
      <c r="Z203" s="162">
        <v>14</v>
      </c>
      <c r="AA203" s="163"/>
      <c r="AB203" s="162"/>
      <c r="AC203" s="163"/>
      <c r="AD203" s="162"/>
      <c r="AE203" s="163"/>
      <c r="AF203" s="162"/>
      <c r="AG203" s="163"/>
      <c r="AH203" s="163"/>
      <c r="AI203" s="162"/>
      <c r="AJ203" s="163"/>
      <c r="AK203" s="162"/>
      <c r="AL203" s="163"/>
      <c r="AM203" s="162"/>
      <c r="AN203" s="163"/>
      <c r="AO203" s="162"/>
      <c r="AP203" s="164"/>
      <c r="AQ203" s="164"/>
      <c r="AR203" s="164"/>
      <c r="AS203" s="164"/>
      <c r="AT203" s="164"/>
      <c r="AU203" s="164"/>
      <c r="AV203" s="164"/>
      <c r="AW203" s="164"/>
      <c r="AX203" s="164"/>
      <c r="AY203" s="165"/>
      <c r="AZ203" s="41"/>
      <c r="BA203" s="190"/>
      <c r="BB203" s="191">
        <v>200</v>
      </c>
      <c r="BC203" s="191"/>
      <c r="BD203" s="191"/>
      <c r="BE203" s="191"/>
      <c r="BF203" s="191"/>
      <c r="BG203" s="191"/>
      <c r="BH203" s="191"/>
      <c r="BI203" s="191">
        <v>150</v>
      </c>
      <c r="BJ203" s="191"/>
      <c r="BK203" s="191"/>
      <c r="BL203" s="191"/>
      <c r="BM203" s="191"/>
      <c r="BN203" s="191"/>
      <c r="BO203" s="191"/>
      <c r="BP203" s="191">
        <v>200</v>
      </c>
      <c r="BQ203" s="191"/>
      <c r="BR203" s="191"/>
      <c r="BS203" s="191"/>
      <c r="BT203" s="191">
        <v>50</v>
      </c>
      <c r="BU203" s="191"/>
      <c r="BV203" s="191"/>
      <c r="BW203" s="191">
        <v>100</v>
      </c>
      <c r="BX203" s="191"/>
      <c r="BY203" s="191"/>
      <c r="BZ203" s="191"/>
      <c r="CA203" s="191"/>
      <c r="CB203" s="191"/>
      <c r="CC203" s="191"/>
      <c r="CD203" s="191">
        <v>150</v>
      </c>
      <c r="CE203" s="192"/>
      <c r="CF203" s="190"/>
      <c r="CG203" s="191"/>
      <c r="CH203" s="191">
        <v>150</v>
      </c>
      <c r="CI203" s="191"/>
      <c r="CJ203" s="191"/>
      <c r="CK203" s="191">
        <v>100</v>
      </c>
      <c r="CL203" s="191"/>
      <c r="CM203" s="191"/>
      <c r="CN203" s="191"/>
      <c r="CO203" s="191">
        <v>100</v>
      </c>
      <c r="CP203" s="191"/>
      <c r="CQ203" s="191"/>
      <c r="CR203" s="191">
        <v>100</v>
      </c>
      <c r="CS203" s="191"/>
      <c r="CT203" s="191"/>
      <c r="CU203" s="191"/>
      <c r="CV203" s="191">
        <v>200</v>
      </c>
      <c r="CW203" s="191"/>
      <c r="CX203" s="191"/>
      <c r="CY203" s="191">
        <v>100</v>
      </c>
      <c r="CZ203" s="191"/>
      <c r="DA203" s="191"/>
      <c r="DB203" s="191"/>
      <c r="DC203" s="191">
        <v>150</v>
      </c>
      <c r="DD203" s="191"/>
      <c r="DE203" s="191"/>
      <c r="DF203" s="191">
        <v>100</v>
      </c>
      <c r="DG203" s="191"/>
      <c r="DH203" s="193"/>
      <c r="DI203" s="194"/>
      <c r="DJ203" s="191"/>
      <c r="DK203" s="191">
        <v>50</v>
      </c>
      <c r="DL203" s="191"/>
      <c r="DM203" s="191"/>
      <c r="DN203" s="191">
        <v>50</v>
      </c>
      <c r="DO203" s="191"/>
      <c r="DP203" s="191"/>
      <c r="DQ203" s="191"/>
      <c r="DR203" s="191">
        <v>50</v>
      </c>
      <c r="DS203" s="191"/>
      <c r="DT203" s="191"/>
      <c r="DU203" s="191">
        <v>100</v>
      </c>
      <c r="DV203" s="191"/>
      <c r="DW203" s="191"/>
      <c r="DX203" s="191"/>
      <c r="DY203" s="191">
        <v>100</v>
      </c>
      <c r="DZ203" s="191"/>
      <c r="EA203" s="191"/>
      <c r="EB203" s="191">
        <v>100</v>
      </c>
      <c r="EC203" s="191"/>
      <c r="ED203" s="191"/>
      <c r="EE203" s="191"/>
      <c r="EF203" s="191">
        <v>150</v>
      </c>
      <c r="EG203" s="191"/>
      <c r="EH203" s="191"/>
      <c r="EI203" s="191">
        <v>50</v>
      </c>
      <c r="EJ203" s="191"/>
      <c r="EK203" s="191"/>
      <c r="EL203" s="191"/>
      <c r="EM203" s="192">
        <v>100</v>
      </c>
      <c r="EN203" s="190"/>
      <c r="EO203" s="191"/>
      <c r="EP203" s="191">
        <v>100</v>
      </c>
      <c r="EQ203" s="191"/>
      <c r="ER203" s="191"/>
      <c r="ES203" s="191"/>
      <c r="ET203" s="191">
        <v>100</v>
      </c>
      <c r="EU203" s="191"/>
      <c r="EV203" s="191"/>
      <c r="EW203" s="191">
        <v>150</v>
      </c>
      <c r="EX203" s="191"/>
      <c r="EY203" s="191"/>
      <c r="EZ203" s="191"/>
      <c r="FA203" s="191">
        <v>150</v>
      </c>
      <c r="FB203" s="191"/>
      <c r="FC203" s="191"/>
      <c r="FD203" s="191">
        <v>100</v>
      </c>
      <c r="FE203" s="191"/>
      <c r="FF203" s="191"/>
      <c r="FG203" s="191"/>
      <c r="FH203" s="191"/>
      <c r="FI203" s="191">
        <v>200</v>
      </c>
      <c r="FJ203" s="191"/>
      <c r="FK203" s="191"/>
      <c r="FL203" s="191"/>
      <c r="FM203" s="191"/>
      <c r="FN203" s="191"/>
      <c r="FO203" s="191"/>
      <c r="FP203" s="191"/>
      <c r="FQ203" s="193"/>
      <c r="FR203" s="194"/>
      <c r="FS203" s="191"/>
      <c r="FT203" s="191"/>
      <c r="FU203" s="191"/>
      <c r="FV203" s="191">
        <v>200</v>
      </c>
      <c r="FW203" s="191"/>
      <c r="FX203" s="191"/>
      <c r="FY203" s="191"/>
      <c r="FZ203" s="191"/>
      <c r="GA203" s="191"/>
      <c r="GB203" s="191"/>
      <c r="GC203" s="191">
        <v>150</v>
      </c>
      <c r="GD203" s="191"/>
      <c r="GE203" s="191"/>
      <c r="GF203" s="191">
        <v>50</v>
      </c>
      <c r="GG203" s="191"/>
      <c r="GH203" s="191"/>
      <c r="GI203" s="191"/>
      <c r="GJ203" s="191">
        <v>100</v>
      </c>
      <c r="GK203" s="191"/>
      <c r="GL203" s="191"/>
      <c r="GM203" s="191">
        <v>150</v>
      </c>
      <c r="GN203" s="191"/>
      <c r="GO203" s="191"/>
      <c r="GP203" s="191"/>
      <c r="GQ203" s="191"/>
      <c r="GR203" s="191">
        <v>200</v>
      </c>
      <c r="GS203" s="191"/>
      <c r="GT203" s="191"/>
      <c r="GU203" s="191"/>
      <c r="GV203" s="192"/>
      <c r="GW203" s="190"/>
      <c r="GX203" s="191">
        <v>100</v>
      </c>
      <c r="GY203" s="191"/>
      <c r="GZ203" s="191"/>
      <c r="HA203" s="191">
        <v>200</v>
      </c>
      <c r="HB203" s="191"/>
      <c r="HC203" s="191"/>
      <c r="HD203" s="191"/>
      <c r="HE203" s="191"/>
      <c r="HF203" s="191"/>
      <c r="HG203" s="191">
        <v>200</v>
      </c>
      <c r="HH203" s="191"/>
      <c r="HI203" s="191"/>
      <c r="HJ203" s="191"/>
      <c r="HK203" s="191"/>
      <c r="HL203" s="191">
        <v>200</v>
      </c>
      <c r="HM203" s="191"/>
      <c r="HN203" s="191"/>
      <c r="HO203" s="191"/>
      <c r="HP203" s="191"/>
      <c r="HQ203" s="191"/>
      <c r="HR203" s="191"/>
      <c r="HS203" s="191"/>
      <c r="HT203" s="191">
        <v>200</v>
      </c>
      <c r="HU203" s="191"/>
      <c r="HV203" s="191">
        <v>100</v>
      </c>
      <c r="HW203" s="191"/>
      <c r="HX203" s="191"/>
      <c r="HY203" s="191"/>
      <c r="HZ203" s="193">
        <v>100</v>
      </c>
      <c r="IA203" s="194"/>
      <c r="IB203" s="191"/>
      <c r="IC203" s="191">
        <v>150</v>
      </c>
      <c r="ID203" s="191"/>
      <c r="IE203" s="191"/>
      <c r="IF203" s="191"/>
      <c r="IG203" s="191">
        <v>150</v>
      </c>
      <c r="IH203" s="191"/>
      <c r="II203" s="191"/>
      <c r="IJ203" s="191">
        <v>50</v>
      </c>
      <c r="IK203" s="191"/>
      <c r="IL203" s="191"/>
      <c r="IM203" s="191"/>
      <c r="IN203" s="191">
        <v>150</v>
      </c>
      <c r="IO203" s="191"/>
      <c r="IP203" s="191"/>
      <c r="IQ203" s="191"/>
      <c r="IR203" s="191"/>
      <c r="IS203" s="191"/>
      <c r="IT203" s="191"/>
      <c r="IU203" s="191">
        <v>200</v>
      </c>
      <c r="IV203" s="191"/>
      <c r="IW203" s="191"/>
      <c r="IX203" s="191">
        <v>100</v>
      </c>
      <c r="IY203" s="191"/>
      <c r="IZ203" s="191"/>
      <c r="JA203" s="191"/>
      <c r="JB203" s="191">
        <v>200</v>
      </c>
      <c r="JC203" s="191"/>
      <c r="JD203" s="191"/>
      <c r="JE203" s="192">
        <v>100</v>
      </c>
      <c r="JF203" s="190"/>
      <c r="JG203" s="191"/>
      <c r="JH203" s="191"/>
      <c r="JI203" s="191">
        <v>200</v>
      </c>
      <c r="JJ203" s="191"/>
      <c r="JK203" s="191"/>
      <c r="JL203" s="191">
        <v>50</v>
      </c>
      <c r="JM203" s="191"/>
      <c r="JN203" s="191"/>
      <c r="JO203" s="191"/>
      <c r="JP203" s="191"/>
      <c r="JQ203" s="191"/>
      <c r="JR203" s="191">
        <v>200</v>
      </c>
      <c r="JS203" s="191"/>
      <c r="JT203" s="191"/>
      <c r="JU203" s="191"/>
      <c r="JV203" s="191"/>
      <c r="JW203" s="191"/>
      <c r="JX203" s="191"/>
      <c r="JY203" s="191"/>
      <c r="JZ203" s="191">
        <v>100</v>
      </c>
      <c r="KA203" s="191"/>
      <c r="KB203" s="191"/>
      <c r="KC203" s="191"/>
      <c r="KD203" s="191"/>
      <c r="KE203" s="191"/>
      <c r="KF203" s="191">
        <v>200</v>
      </c>
      <c r="KG203" s="191">
        <v>50</v>
      </c>
      <c r="KH203" s="191"/>
      <c r="KI203" s="191"/>
      <c r="KJ203" s="193"/>
      <c r="KK203" s="194"/>
      <c r="KL203" s="191"/>
      <c r="KM203" s="191"/>
      <c r="KN203" s="191">
        <v>200</v>
      </c>
      <c r="KO203" s="191"/>
      <c r="KP203" s="191"/>
      <c r="KQ203" s="191"/>
      <c r="KR203" s="191"/>
      <c r="KS203" s="191"/>
      <c r="KT203" s="191"/>
      <c r="KU203" s="191"/>
      <c r="KV203" s="191"/>
      <c r="KW203" s="191"/>
      <c r="KX203" s="191"/>
      <c r="KY203" s="191">
        <v>200</v>
      </c>
      <c r="KZ203" s="191"/>
      <c r="LA203" s="191"/>
      <c r="LB203" s="191">
        <v>200</v>
      </c>
      <c r="LC203" s="191"/>
      <c r="LD203" s="191"/>
      <c r="LE203" s="191"/>
      <c r="LF203" s="191">
        <v>10</v>
      </c>
      <c r="LG203" s="191"/>
      <c r="LH203" s="191"/>
      <c r="LI203" s="191">
        <v>10</v>
      </c>
      <c r="LJ203" s="191"/>
      <c r="LK203" s="191"/>
      <c r="LL203" s="191"/>
      <c r="LM203" s="191">
        <v>100</v>
      </c>
      <c r="LN203" s="192"/>
      <c r="LO203" s="190"/>
      <c r="LP203" s="191">
        <v>50</v>
      </c>
      <c r="LQ203" s="191"/>
      <c r="LR203" s="191"/>
      <c r="LS203" s="191"/>
      <c r="LT203" s="191">
        <v>100</v>
      </c>
      <c r="LU203" s="191"/>
      <c r="LV203" s="191"/>
      <c r="LW203" s="191">
        <v>10</v>
      </c>
      <c r="LX203" s="191"/>
      <c r="LY203" s="191"/>
      <c r="LZ203" s="191"/>
      <c r="MA203" s="191">
        <v>100</v>
      </c>
      <c r="MB203" s="191"/>
      <c r="MC203" s="191"/>
      <c r="MD203" s="191">
        <v>150</v>
      </c>
      <c r="ME203" s="191"/>
      <c r="MF203" s="191"/>
      <c r="MG203" s="191"/>
      <c r="MH203" s="191">
        <v>150</v>
      </c>
      <c r="MI203" s="191"/>
      <c r="MJ203" s="191"/>
      <c r="MK203" s="191">
        <v>50</v>
      </c>
      <c r="ML203" s="191"/>
      <c r="MM203" s="191"/>
      <c r="MN203" s="191"/>
      <c r="MO203" s="191">
        <v>100</v>
      </c>
      <c r="MP203" s="191"/>
      <c r="MQ203" s="191"/>
      <c r="MR203" s="191">
        <v>100</v>
      </c>
      <c r="MS203" s="193"/>
      <c r="MT203" s="194"/>
      <c r="MU203" s="191"/>
      <c r="MV203" s="191">
        <v>150</v>
      </c>
      <c r="MW203" s="191"/>
      <c r="MX203" s="191"/>
      <c r="MY203" s="191">
        <v>100</v>
      </c>
      <c r="MZ203" s="191"/>
      <c r="NA203" s="191"/>
      <c r="NB203" s="191"/>
      <c r="NC203" s="191">
        <v>100</v>
      </c>
      <c r="ND203" s="191"/>
      <c r="NE203" s="191"/>
      <c r="NF203" s="191"/>
      <c r="NG203" s="191"/>
      <c r="NH203" s="191"/>
      <c r="NI203" s="191"/>
      <c r="NJ203" s="191">
        <v>100</v>
      </c>
      <c r="NK203" s="191"/>
      <c r="NL203" s="191"/>
      <c r="NM203" s="191"/>
      <c r="NN203" s="191"/>
      <c r="NO203" s="191"/>
      <c r="NP203" s="191"/>
      <c r="NQ203" s="191">
        <v>100</v>
      </c>
      <c r="NR203" s="191"/>
      <c r="NS203" s="191"/>
      <c r="NT203" s="191">
        <v>50</v>
      </c>
      <c r="NU203" s="191"/>
      <c r="NV203" s="191"/>
      <c r="NW203" s="192"/>
      <c r="NX203" s="190">
        <v>150</v>
      </c>
      <c r="NY203" s="191"/>
      <c r="NZ203" s="191"/>
      <c r="OA203" s="191">
        <v>50</v>
      </c>
      <c r="OB203" s="191"/>
      <c r="OC203" s="191"/>
      <c r="OD203" s="191"/>
      <c r="OE203" s="191">
        <v>50</v>
      </c>
      <c r="OF203" s="191"/>
      <c r="OG203" s="191"/>
      <c r="OH203" s="191">
        <v>100</v>
      </c>
      <c r="OI203" s="191"/>
      <c r="OJ203" s="191"/>
      <c r="OK203" s="191"/>
      <c r="OL203" s="191"/>
      <c r="OM203" s="191"/>
      <c r="ON203" s="191"/>
      <c r="OO203" s="191">
        <v>100</v>
      </c>
      <c r="OP203" s="191"/>
      <c r="OQ203" s="191"/>
      <c r="OR203" s="191"/>
      <c r="OS203" s="191"/>
      <c r="OT203" s="191"/>
      <c r="OU203" s="191"/>
      <c r="OV203" s="191"/>
      <c r="OW203" s="191"/>
      <c r="OX203" s="191"/>
      <c r="OY203" s="191"/>
      <c r="OZ203" s="191"/>
      <c r="PA203" s="191"/>
      <c r="PB203" s="193"/>
      <c r="PC203" s="47"/>
      <c r="PD203" s="154" t="s">
        <v>97</v>
      </c>
      <c r="PE203" s="155" t="s">
        <v>98</v>
      </c>
      <c r="PF203" s="155" t="s">
        <v>98</v>
      </c>
      <c r="PG203" s="155" t="s">
        <v>98</v>
      </c>
      <c r="PH203" s="155" t="s">
        <v>98</v>
      </c>
      <c r="PI203" s="155" t="s">
        <v>98</v>
      </c>
      <c r="PJ203" s="155" t="s">
        <v>98</v>
      </c>
      <c r="PK203" s="155" t="s">
        <v>98</v>
      </c>
      <c r="PL203" s="155" t="s">
        <v>98</v>
      </c>
      <c r="PM203" s="155" t="s">
        <v>98</v>
      </c>
      <c r="PN203" s="155" t="s">
        <v>98</v>
      </c>
      <c r="PO203" s="156"/>
      <c r="PP203" s="156"/>
      <c r="PQ203" s="156"/>
      <c r="PR203" s="156"/>
      <c r="PS203" s="156"/>
      <c r="PT203" s="156"/>
      <c r="PU203" s="156"/>
      <c r="PV203" s="156"/>
      <c r="PW203" s="156"/>
      <c r="PX203" s="195"/>
      <c r="PY203" s="1"/>
      <c r="PZ203" s="196">
        <f t="shared" si="179"/>
        <v>850</v>
      </c>
      <c r="QA203" s="218">
        <f t="shared" si="180"/>
        <v>7.0910152665387503E-3</v>
      </c>
      <c r="QB203" s="219" t="str">
        <f t="shared" ca="1" si="181"/>
        <v>Attente…</v>
      </c>
      <c r="QC203" s="197">
        <f t="shared" si="182"/>
        <v>1000</v>
      </c>
      <c r="QD203" s="220">
        <f t="shared" si="183"/>
        <v>9.3632958801498131E-3</v>
      </c>
      <c r="QE203" s="221" t="str">
        <f t="shared" ca="1" si="184"/>
        <v>Attente…</v>
      </c>
      <c r="QF203" s="196">
        <f t="shared" si="185"/>
        <v>750</v>
      </c>
      <c r="QG203" s="218">
        <f t="shared" si="186"/>
        <v>5.972288580984233E-3</v>
      </c>
      <c r="QH203" s="219" t="str">
        <f t="shared" ca="1" si="187"/>
        <v>Attente…</v>
      </c>
      <c r="QI203" s="197">
        <f t="shared" si="188"/>
        <v>800</v>
      </c>
      <c r="QJ203" s="220">
        <f t="shared" si="189"/>
        <v>5.6108851171272267E-3</v>
      </c>
      <c r="QK203" s="221" t="str">
        <f t="shared" ca="1" si="190"/>
        <v>Attente…</v>
      </c>
      <c r="QL203" s="196">
        <f t="shared" si="191"/>
        <v>850</v>
      </c>
      <c r="QM203" s="218">
        <f t="shared" si="192"/>
        <v>6.2189054726368162E-3</v>
      </c>
      <c r="QN203" s="219" t="str">
        <f t="shared" ca="1" si="193"/>
        <v>Attente…</v>
      </c>
      <c r="QO203" s="197">
        <f t="shared" si="194"/>
        <v>1100</v>
      </c>
      <c r="QP203" s="220">
        <f t="shared" si="195"/>
        <v>8.611915759805841E-3</v>
      </c>
      <c r="QQ203" s="221" t="str">
        <f t="shared" ca="1" si="196"/>
        <v>Attente…</v>
      </c>
      <c r="QR203" s="196">
        <f t="shared" si="197"/>
        <v>1100</v>
      </c>
      <c r="QS203" s="218">
        <f t="shared" si="198"/>
        <v>7.9190813865591594E-3</v>
      </c>
      <c r="QT203" s="219" t="str">
        <f t="shared" ca="1" si="199"/>
        <v>Attente…</v>
      </c>
      <c r="QU203" s="197">
        <f t="shared" si="200"/>
        <v>800</v>
      </c>
      <c r="QV203" s="220">
        <f t="shared" si="201"/>
        <v>5.5157198014340872E-3</v>
      </c>
      <c r="QW203" s="221" t="str">
        <f t="shared" ca="1" si="202"/>
        <v>Attente…</v>
      </c>
      <c r="QX203" s="196">
        <f t="shared" si="203"/>
        <v>720</v>
      </c>
      <c r="QY203" s="218">
        <f t="shared" si="204"/>
        <v>5.2540938147640033E-3</v>
      </c>
      <c r="QZ203" s="219" t="str">
        <f t="shared" ca="1" si="205"/>
        <v>Attente…</v>
      </c>
      <c r="RA203" s="197">
        <f t="shared" si="206"/>
        <v>810</v>
      </c>
      <c r="RB203" s="220">
        <f t="shared" si="207"/>
        <v>6.3375322744699163E-3</v>
      </c>
      <c r="RC203" s="221" t="str">
        <f t="shared" ca="1" si="208"/>
        <v>Attente…</v>
      </c>
      <c r="RD203" s="196">
        <f t="shared" si="209"/>
        <v>600</v>
      </c>
      <c r="RE203" s="218">
        <f t="shared" si="210"/>
        <v>5.9784774810681543E-3</v>
      </c>
      <c r="RF203" s="219" t="str">
        <f t="shared" ca="1" si="211"/>
        <v>Attente…</v>
      </c>
      <c r="RG203" s="197">
        <f t="shared" si="212"/>
        <v>450</v>
      </c>
      <c r="RH203" s="220">
        <f t="shared" si="213"/>
        <v>8.2766231377597935E-3</v>
      </c>
      <c r="RI203" s="222" t="str">
        <f t="shared" ca="1" si="214"/>
        <v>Attente…</v>
      </c>
      <c r="RJ203" s="199">
        <f t="shared" si="215"/>
        <v>2600</v>
      </c>
      <c r="RK203" s="200" t="str">
        <f t="shared" ca="1" si="172"/>
        <v>Attente…</v>
      </c>
      <c r="RL203" s="199">
        <f t="shared" si="216"/>
        <v>2750</v>
      </c>
      <c r="RM203" s="200" t="str">
        <f t="shared" ca="1" si="217"/>
        <v>Atttente…</v>
      </c>
      <c r="RN203" s="199">
        <f t="shared" si="218"/>
        <v>2620</v>
      </c>
      <c r="RO203" s="200" t="str">
        <f t="shared" ca="1" si="173"/>
        <v>Attente…</v>
      </c>
      <c r="RP203" s="199">
        <f t="shared" si="219"/>
        <v>1860</v>
      </c>
      <c r="RQ203" s="200" t="str">
        <f t="shared" ca="1" si="174"/>
        <v>Attente…</v>
      </c>
      <c r="RR203" s="201">
        <f t="shared" si="220"/>
        <v>9830</v>
      </c>
      <c r="RS203" s="202" t="str">
        <f t="shared" ca="1" si="175"/>
        <v>Attente…</v>
      </c>
      <c r="RT203" s="103"/>
      <c r="RU203" s="203">
        <f t="shared" si="221"/>
        <v>0.599390243902439</v>
      </c>
      <c r="RV203" s="204">
        <f t="shared" si="171"/>
        <v>1</v>
      </c>
      <c r="RW203" s="204">
        <f t="shared" si="171"/>
        <v>2</v>
      </c>
      <c r="RX203" s="204">
        <f t="shared" si="222"/>
        <v>82</v>
      </c>
      <c r="RY203" s="205" t="str">
        <f t="shared" si="223"/>
        <v>PETIT-COURONNE - 44 Place Pierre Mendès France (Parking Coccinelle)</v>
      </c>
      <c r="RZ203" s="189" t="str">
        <f>IF(OR(RZ202="",RZ202="  &lt;/Document&gt;
&lt;/kml&gt;"),"",
IF(B203="","  &lt;/Document&gt;
&lt;/kml&gt;",
IF(TournéesCAV!Q203=""," ",
"    &lt;Placemark&gt;
      &lt;description&gt;&lt;![CDATA["&amp;B203&amp;"&lt;br&gt;&lt;br&gt;"&amp;RV203&amp;" CAV&lt;br&gt;&lt;br&gt;Présent sur "&amp;RW203&amp;" tournée(s)&lt;br&gt;&lt;br&gt;Taux de remplissage moyen "&amp;TEXT(RU203*1000,"0 %")&amp;"]]&gt;&lt;/description&gt;
      &lt;Style&gt;
        &lt;IconStyle&gt;
          &lt;color&gt;ff"&amp;
          DEC2HEX(0,2)&amp;
          DEC2HEX(
            IF(RU203&lt;=0.5,
               INT(255*(RU203*2)),
               255
            ),2)&amp;
          DEC2HEX(
            IF(RU203&lt;=0.5,
               255,
               INT(255*(1-(RU203-0.5)*2))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&lt;Point&gt;&lt;coordinates&gt;"&amp;R203&amp;","&amp;Q203&amp;",0&lt;/coordinates&gt;&lt;/Point&gt;
    &lt;/Placemark&gt;"
)))</f>
        <v xml:space="preserve">    &lt;Placemark&gt;
      &lt;description&gt;&lt;![CDATA[PETIT-COURONNE - 44 Place Pierre Mendès France (Parking Coccinelle)&lt;br&gt;&lt;br&gt;1 CAV&lt;br&gt;&lt;br&gt;Présent sur 2 tournée(s)&lt;br&gt;&lt;br&gt;Taux de remplissage moyen 60%]]&gt;&lt;/description&gt;
      &lt;Style&gt;
        &lt;IconStyle&gt;
          &lt;color&gt;ff00FFCC&lt;/color&gt;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&lt;Point&gt;&lt;coordinates&gt;1.0376402,49.3884892,0&lt;/coordinates&gt;&lt;/Point&gt;
    &lt;/Placemark&gt;</v>
      </c>
    </row>
    <row r="204" spans="2:494" ht="15" hidden="1" customHeight="1" x14ac:dyDescent="0.35">
      <c r="B204" s="153" t="str">
        <f t="shared" si="176"/>
        <v>MAROMME - 13 Route de Duclair (Parking Signa)</v>
      </c>
      <c r="C204" s="154">
        <v>149</v>
      </c>
      <c r="D204" s="155"/>
      <c r="E204" s="155"/>
      <c r="F204" s="155"/>
      <c r="G204" s="155"/>
      <c r="H204" s="155"/>
      <c r="I204" s="155"/>
      <c r="J204" s="156"/>
      <c r="K204" s="157">
        <f t="shared" si="177"/>
        <v>1</v>
      </c>
      <c r="L204" s="157">
        <f t="shared" si="178"/>
        <v>1</v>
      </c>
      <c r="M204" s="158" t="s">
        <v>1110</v>
      </c>
      <c r="N204" s="159" t="s">
        <v>1111</v>
      </c>
      <c r="O204" s="159">
        <v>76150</v>
      </c>
      <c r="P204" s="159" t="s">
        <v>1112</v>
      </c>
      <c r="Q204" s="159" t="s">
        <v>1113</v>
      </c>
      <c r="R204" s="159" t="s">
        <v>1114</v>
      </c>
      <c r="S204" s="159" t="s">
        <v>93</v>
      </c>
      <c r="T204" s="159" t="s">
        <v>94</v>
      </c>
      <c r="U204" s="159" t="s">
        <v>1115</v>
      </c>
      <c r="V204" s="160" t="s">
        <v>96</v>
      </c>
      <c r="W204" s="161"/>
      <c r="X204" s="162"/>
      <c r="Y204" s="163"/>
      <c r="Z204" s="162"/>
      <c r="AA204" s="163"/>
      <c r="AB204" s="162"/>
      <c r="AC204" s="163"/>
      <c r="AD204" s="162"/>
      <c r="AE204" s="163"/>
      <c r="AF204" s="162"/>
      <c r="AG204" s="207">
        <v>16</v>
      </c>
      <c r="AH204" s="163"/>
      <c r="AI204" s="162"/>
      <c r="AJ204" s="163"/>
      <c r="AK204" s="162"/>
      <c r="AL204" s="163"/>
      <c r="AM204" s="162"/>
      <c r="AN204" s="163"/>
      <c r="AO204" s="162"/>
      <c r="AP204" s="164"/>
      <c r="AQ204" s="164"/>
      <c r="AR204" s="164"/>
      <c r="AS204" s="164"/>
      <c r="AT204" s="164"/>
      <c r="AU204" s="164"/>
      <c r="AV204" s="164"/>
      <c r="AW204" s="164"/>
      <c r="AX204" s="164"/>
      <c r="AY204" s="165"/>
      <c r="AZ204" s="41"/>
      <c r="BA204" s="190"/>
      <c r="BB204" s="191">
        <v>200</v>
      </c>
      <c r="BC204" s="191"/>
      <c r="BD204" s="191"/>
      <c r="BE204" s="191"/>
      <c r="BF204" s="191"/>
      <c r="BG204" s="191"/>
      <c r="BH204" s="191">
        <v>100</v>
      </c>
      <c r="BI204" s="191"/>
      <c r="BJ204" s="191"/>
      <c r="BK204" s="191"/>
      <c r="BL204" s="191"/>
      <c r="BM204" s="191"/>
      <c r="BN204" s="191"/>
      <c r="BO204" s="191">
        <v>200</v>
      </c>
      <c r="BP204" s="191"/>
      <c r="BQ204" s="191"/>
      <c r="BR204" s="191"/>
      <c r="BS204" s="191"/>
      <c r="BT204" s="191"/>
      <c r="BU204" s="191"/>
      <c r="BV204" s="191"/>
      <c r="BW204" s="191"/>
      <c r="BX204" s="191"/>
      <c r="BY204" s="191"/>
      <c r="BZ204" s="191"/>
      <c r="CA204" s="191"/>
      <c r="CB204" s="191"/>
      <c r="CC204" s="191">
        <v>200</v>
      </c>
      <c r="CD204" s="191"/>
      <c r="CE204" s="192"/>
      <c r="CF204" s="190"/>
      <c r="CG204" s="191"/>
      <c r="CH204" s="191"/>
      <c r="CI204" s="191"/>
      <c r="CJ204" s="191">
        <v>100</v>
      </c>
      <c r="CK204" s="191"/>
      <c r="CL204" s="191"/>
      <c r="CM204" s="191"/>
      <c r="CN204" s="191"/>
      <c r="CO204" s="191"/>
      <c r="CP204" s="191"/>
      <c r="CQ204" s="191">
        <v>150</v>
      </c>
      <c r="CR204" s="191"/>
      <c r="CS204" s="191"/>
      <c r="CT204" s="191"/>
      <c r="CU204" s="191"/>
      <c r="CV204" s="191"/>
      <c r="CW204" s="191"/>
      <c r="CX204" s="191">
        <v>100</v>
      </c>
      <c r="CY204" s="191"/>
      <c r="CZ204" s="191"/>
      <c r="DA204" s="191"/>
      <c r="DB204" s="191"/>
      <c r="DC204" s="191"/>
      <c r="DD204" s="191"/>
      <c r="DE204" s="191">
        <v>150</v>
      </c>
      <c r="DF204" s="191"/>
      <c r="DG204" s="191"/>
      <c r="DH204" s="193"/>
      <c r="DI204" s="194"/>
      <c r="DJ204" s="191"/>
      <c r="DK204" s="191"/>
      <c r="DL204" s="191"/>
      <c r="DM204" s="191">
        <v>100</v>
      </c>
      <c r="DN204" s="191"/>
      <c r="DO204" s="191"/>
      <c r="DP204" s="191"/>
      <c r="DQ204" s="191"/>
      <c r="DR204" s="191"/>
      <c r="DS204" s="191"/>
      <c r="DT204" s="191">
        <v>100</v>
      </c>
      <c r="DU204" s="191"/>
      <c r="DV204" s="191"/>
      <c r="DW204" s="191"/>
      <c r="DX204" s="191"/>
      <c r="DY204" s="191"/>
      <c r="DZ204" s="191"/>
      <c r="EA204" s="191">
        <v>200</v>
      </c>
      <c r="EB204" s="191"/>
      <c r="EC204" s="191"/>
      <c r="ED204" s="191"/>
      <c r="EE204" s="191"/>
      <c r="EF204" s="191"/>
      <c r="EG204" s="191"/>
      <c r="EH204" s="191">
        <v>200</v>
      </c>
      <c r="EI204" s="191"/>
      <c r="EJ204" s="191"/>
      <c r="EK204" s="191"/>
      <c r="EL204" s="191"/>
      <c r="EM204" s="192"/>
      <c r="EN204" s="190"/>
      <c r="EO204" s="191"/>
      <c r="EP204" s="191"/>
      <c r="EQ204" s="191"/>
      <c r="ER204" s="191"/>
      <c r="ES204" s="191"/>
      <c r="ET204" s="191"/>
      <c r="EU204" s="191"/>
      <c r="EV204" s="191">
        <v>150</v>
      </c>
      <c r="EW204" s="191"/>
      <c r="EX204" s="191"/>
      <c r="EY204" s="191"/>
      <c r="EZ204" s="191"/>
      <c r="FA204" s="191"/>
      <c r="FB204" s="191"/>
      <c r="FC204" s="191">
        <v>200</v>
      </c>
      <c r="FD204" s="191"/>
      <c r="FE204" s="191"/>
      <c r="FF204" s="191"/>
      <c r="FG204" s="191"/>
      <c r="FH204" s="191"/>
      <c r="FI204" s="191"/>
      <c r="FJ204" s="191">
        <v>100</v>
      </c>
      <c r="FK204" s="191"/>
      <c r="FL204" s="191"/>
      <c r="FM204" s="191"/>
      <c r="FN204" s="191"/>
      <c r="FO204" s="191"/>
      <c r="FP204" s="191"/>
      <c r="FQ204" s="193">
        <v>200</v>
      </c>
      <c r="FR204" s="194"/>
      <c r="FS204" s="191"/>
      <c r="FT204" s="191"/>
      <c r="FU204" s="191"/>
      <c r="FV204" s="191"/>
      <c r="FW204" s="191"/>
      <c r="FX204" s="191">
        <v>150</v>
      </c>
      <c r="FY204" s="191"/>
      <c r="FZ204" s="191"/>
      <c r="GA204" s="191"/>
      <c r="GB204" s="191"/>
      <c r="GC204" s="191"/>
      <c r="GD204" s="191"/>
      <c r="GE204" s="191">
        <v>150</v>
      </c>
      <c r="GF204" s="191"/>
      <c r="GG204" s="191"/>
      <c r="GH204" s="191"/>
      <c r="GI204" s="191"/>
      <c r="GJ204" s="191"/>
      <c r="GK204" s="191"/>
      <c r="GL204" s="191">
        <v>200</v>
      </c>
      <c r="GM204" s="191"/>
      <c r="GN204" s="191"/>
      <c r="GO204" s="191"/>
      <c r="GP204" s="191"/>
      <c r="GQ204" s="191"/>
      <c r="GR204" s="191"/>
      <c r="GS204" s="191">
        <v>100</v>
      </c>
      <c r="GT204" s="191"/>
      <c r="GU204" s="191"/>
      <c r="GV204" s="192"/>
      <c r="GW204" s="190"/>
      <c r="GX204" s="191"/>
      <c r="GY204" s="191"/>
      <c r="GZ204" s="191">
        <v>150</v>
      </c>
      <c r="HA204" s="191"/>
      <c r="HB204" s="191"/>
      <c r="HC204" s="191"/>
      <c r="HD204" s="191"/>
      <c r="HE204" s="191"/>
      <c r="HF204" s="191"/>
      <c r="HG204" s="191">
        <v>150</v>
      </c>
      <c r="HH204" s="191"/>
      <c r="HI204" s="191"/>
      <c r="HJ204" s="191"/>
      <c r="HK204" s="191"/>
      <c r="HL204" s="191"/>
      <c r="HM204" s="191"/>
      <c r="HN204" s="191">
        <v>200</v>
      </c>
      <c r="HO204" s="191"/>
      <c r="HP204" s="191"/>
      <c r="HQ204" s="191"/>
      <c r="HR204" s="191"/>
      <c r="HS204" s="191"/>
      <c r="HT204" s="191"/>
      <c r="HU204" s="191">
        <v>200</v>
      </c>
      <c r="HV204" s="191"/>
      <c r="HW204" s="191"/>
      <c r="HX204" s="191"/>
      <c r="HY204" s="191"/>
      <c r="HZ204" s="193"/>
      <c r="IA204" s="194"/>
      <c r="IB204" s="191">
        <v>50</v>
      </c>
      <c r="IC204" s="191"/>
      <c r="ID204" s="191"/>
      <c r="IE204" s="191"/>
      <c r="IF204" s="191"/>
      <c r="IG204" s="191"/>
      <c r="IH204" s="191">
        <v>200</v>
      </c>
      <c r="II204" s="191">
        <v>100</v>
      </c>
      <c r="IJ204" s="191"/>
      <c r="IK204" s="191"/>
      <c r="IL204" s="191"/>
      <c r="IM204" s="191"/>
      <c r="IN204" s="191"/>
      <c r="IO204" s="191"/>
      <c r="IP204" s="191"/>
      <c r="IQ204" s="191"/>
      <c r="IR204" s="191">
        <v>100</v>
      </c>
      <c r="IS204" s="191"/>
      <c r="IT204" s="191"/>
      <c r="IU204" s="191"/>
      <c r="IV204" s="191"/>
      <c r="IW204" s="191">
        <v>200</v>
      </c>
      <c r="IX204" s="191"/>
      <c r="IY204" s="191"/>
      <c r="IZ204" s="191"/>
      <c r="JA204" s="191"/>
      <c r="JB204" s="191"/>
      <c r="JC204" s="191"/>
      <c r="JD204" s="191">
        <v>200</v>
      </c>
      <c r="JE204" s="192"/>
      <c r="JF204" s="190"/>
      <c r="JG204" s="191"/>
      <c r="JH204" s="191"/>
      <c r="JI204" s="191"/>
      <c r="JJ204" s="191"/>
      <c r="JK204" s="191">
        <v>200</v>
      </c>
      <c r="JL204" s="191"/>
      <c r="JM204" s="191"/>
      <c r="JN204" s="191"/>
      <c r="JO204" s="191"/>
      <c r="JP204" s="191"/>
      <c r="JQ204" s="191"/>
      <c r="JR204" s="191">
        <v>150</v>
      </c>
      <c r="JS204" s="191"/>
      <c r="JT204" s="191"/>
      <c r="JU204" s="191"/>
      <c r="JV204" s="191"/>
      <c r="JW204" s="191"/>
      <c r="JX204" s="191"/>
      <c r="JY204" s="191"/>
      <c r="JZ204" s="191">
        <v>200</v>
      </c>
      <c r="KA204" s="191"/>
      <c r="KB204" s="191"/>
      <c r="KC204" s="191"/>
      <c r="KD204" s="191"/>
      <c r="KE204" s="191"/>
      <c r="KF204" s="191">
        <v>200</v>
      </c>
      <c r="KG204" s="191"/>
      <c r="KH204" s="191"/>
      <c r="KI204" s="191"/>
      <c r="KJ204" s="193"/>
      <c r="KK204" s="194"/>
      <c r="KL204" s="191"/>
      <c r="KM204" s="191">
        <v>200</v>
      </c>
      <c r="KN204" s="191"/>
      <c r="KO204" s="191"/>
      <c r="KP204" s="191"/>
      <c r="KQ204" s="191"/>
      <c r="KR204" s="191"/>
      <c r="KS204" s="191"/>
      <c r="KT204" s="191"/>
      <c r="KU204" s="191"/>
      <c r="KV204" s="191"/>
      <c r="KW204" s="191"/>
      <c r="KX204" s="191"/>
      <c r="KY204" s="191"/>
      <c r="KZ204" s="191"/>
      <c r="LA204" s="191">
        <v>200</v>
      </c>
      <c r="LB204" s="191"/>
      <c r="LC204" s="191"/>
      <c r="LD204" s="191"/>
      <c r="LE204" s="191"/>
      <c r="LF204" s="191"/>
      <c r="LG204" s="191"/>
      <c r="LH204" s="191">
        <v>200</v>
      </c>
      <c r="LI204" s="191"/>
      <c r="LJ204" s="191"/>
      <c r="LK204" s="191"/>
      <c r="LL204" s="191"/>
      <c r="LM204" s="191"/>
      <c r="LN204" s="192"/>
      <c r="LO204" s="190"/>
      <c r="LP204" s="191"/>
      <c r="LQ204" s="191"/>
      <c r="LR204" s="191"/>
      <c r="LS204" s="191"/>
      <c r="LT204" s="191"/>
      <c r="LU204" s="191"/>
      <c r="LV204" s="191">
        <v>200</v>
      </c>
      <c r="LW204" s="191"/>
      <c r="LX204" s="191"/>
      <c r="LY204" s="191"/>
      <c r="LZ204" s="191"/>
      <c r="MA204" s="191"/>
      <c r="MB204" s="191"/>
      <c r="MC204" s="191">
        <v>150</v>
      </c>
      <c r="MD204" s="191"/>
      <c r="ME204" s="191"/>
      <c r="MF204" s="191"/>
      <c r="MG204" s="191"/>
      <c r="MH204" s="191"/>
      <c r="MI204" s="191"/>
      <c r="MJ204" s="191">
        <v>200</v>
      </c>
      <c r="MK204" s="191"/>
      <c r="ML204" s="191"/>
      <c r="MM204" s="191"/>
      <c r="MN204" s="191"/>
      <c r="MO204" s="191"/>
      <c r="MP204" s="191"/>
      <c r="MQ204" s="191">
        <v>100</v>
      </c>
      <c r="MR204" s="191"/>
      <c r="MS204" s="193"/>
      <c r="MT204" s="194"/>
      <c r="MU204" s="191"/>
      <c r="MV204" s="191"/>
      <c r="MW204" s="191"/>
      <c r="MX204" s="191">
        <v>150</v>
      </c>
      <c r="MY204" s="191"/>
      <c r="MZ204" s="191"/>
      <c r="NA204" s="191"/>
      <c r="NB204" s="191"/>
      <c r="NC204" s="191"/>
      <c r="ND204" s="191"/>
      <c r="NE204" s="191"/>
      <c r="NF204" s="191">
        <v>100</v>
      </c>
      <c r="NG204" s="191"/>
      <c r="NH204" s="191"/>
      <c r="NI204" s="191"/>
      <c r="NJ204" s="191"/>
      <c r="NK204" s="191"/>
      <c r="NL204" s="191"/>
      <c r="NM204" s="191"/>
      <c r="NN204" s="191"/>
      <c r="NO204" s="191"/>
      <c r="NP204" s="191"/>
      <c r="NQ204" s="191"/>
      <c r="NR204" s="191"/>
      <c r="NS204" s="191">
        <v>100</v>
      </c>
      <c r="NT204" s="191"/>
      <c r="NU204" s="191"/>
      <c r="NV204" s="191"/>
      <c r="NW204" s="192"/>
      <c r="NX204" s="190"/>
      <c r="NY204" s="191"/>
      <c r="NZ204" s="191">
        <v>10</v>
      </c>
      <c r="OA204" s="191"/>
      <c r="OB204" s="191"/>
      <c r="OC204" s="191"/>
      <c r="OD204" s="191"/>
      <c r="OE204" s="191"/>
      <c r="OF204" s="191"/>
      <c r="OG204" s="191"/>
      <c r="OH204" s="191"/>
      <c r="OI204" s="191"/>
      <c r="OJ204" s="191"/>
      <c r="OK204" s="191"/>
      <c r="OL204" s="191"/>
      <c r="OM204" s="191"/>
      <c r="ON204" s="191">
        <v>100</v>
      </c>
      <c r="OO204" s="191"/>
      <c r="OP204" s="191"/>
      <c r="OQ204" s="191"/>
      <c r="OR204" s="191"/>
      <c r="OS204" s="191"/>
      <c r="OT204" s="191"/>
      <c r="OU204" s="191"/>
      <c r="OV204" s="191"/>
      <c r="OW204" s="191"/>
      <c r="OX204" s="191"/>
      <c r="OY204" s="191"/>
      <c r="OZ204" s="191"/>
      <c r="PA204" s="191"/>
      <c r="PB204" s="193"/>
      <c r="PC204" s="47"/>
      <c r="PD204" s="154" t="s">
        <v>97</v>
      </c>
      <c r="PE204" s="155" t="s">
        <v>98</v>
      </c>
      <c r="PF204" s="155" t="s">
        <v>98</v>
      </c>
      <c r="PG204" s="155" t="s">
        <v>98</v>
      </c>
      <c r="PH204" s="155" t="s">
        <v>98</v>
      </c>
      <c r="PI204" s="155" t="s">
        <v>98</v>
      </c>
      <c r="PJ204" s="155" t="s">
        <v>98</v>
      </c>
      <c r="PK204" s="155" t="s">
        <v>98</v>
      </c>
      <c r="PL204" s="155" t="s">
        <v>98</v>
      </c>
      <c r="PM204" s="155" t="s">
        <v>98</v>
      </c>
      <c r="PN204" s="155" t="s">
        <v>98</v>
      </c>
      <c r="PO204" s="156"/>
      <c r="PP204" s="156"/>
      <c r="PQ204" s="156"/>
      <c r="PR204" s="156"/>
      <c r="PS204" s="156"/>
      <c r="PT204" s="156"/>
      <c r="PU204" s="156"/>
      <c r="PV204" s="156"/>
      <c r="PW204" s="156"/>
      <c r="PX204" s="195"/>
      <c r="PY204" s="1"/>
      <c r="PZ204" s="196">
        <f t="shared" si="179"/>
        <v>700</v>
      </c>
      <c r="QA204" s="218">
        <f t="shared" si="180"/>
        <v>5.8396596312672066E-3</v>
      </c>
      <c r="QB204" s="219" t="str">
        <f t="shared" ca="1" si="181"/>
        <v>Attente…</v>
      </c>
      <c r="QC204" s="197">
        <f t="shared" si="182"/>
        <v>500</v>
      </c>
      <c r="QD204" s="220">
        <f t="shared" si="183"/>
        <v>4.6816479400749065E-3</v>
      </c>
      <c r="QE204" s="221" t="str">
        <f t="shared" ca="1" si="184"/>
        <v>Attente…</v>
      </c>
      <c r="QF204" s="196">
        <f t="shared" si="185"/>
        <v>600</v>
      </c>
      <c r="QG204" s="218">
        <f t="shared" si="186"/>
        <v>4.7778308647873869E-3</v>
      </c>
      <c r="QH204" s="219" t="str">
        <f t="shared" ca="1" si="187"/>
        <v>Attente…</v>
      </c>
      <c r="QI204" s="197">
        <f t="shared" si="188"/>
        <v>650</v>
      </c>
      <c r="QJ204" s="220">
        <f t="shared" si="189"/>
        <v>4.5588441576658719E-3</v>
      </c>
      <c r="QK204" s="221" t="str">
        <f t="shared" ca="1" si="190"/>
        <v>Attente…</v>
      </c>
      <c r="QL204" s="196">
        <f t="shared" si="191"/>
        <v>600</v>
      </c>
      <c r="QM204" s="218">
        <f t="shared" si="192"/>
        <v>4.3898156277436349E-3</v>
      </c>
      <c r="QN204" s="219" t="str">
        <f t="shared" ca="1" si="193"/>
        <v>Attente…</v>
      </c>
      <c r="QO204" s="197">
        <f t="shared" si="194"/>
        <v>700</v>
      </c>
      <c r="QP204" s="220">
        <f t="shared" si="195"/>
        <v>5.4803100289673532E-3</v>
      </c>
      <c r="QQ204" s="221" t="str">
        <f t="shared" ca="1" si="196"/>
        <v>Attente…</v>
      </c>
      <c r="QR204" s="196">
        <f t="shared" si="197"/>
        <v>850</v>
      </c>
      <c r="QS204" s="218">
        <f t="shared" si="198"/>
        <v>6.1192901623411686E-3</v>
      </c>
      <c r="QT204" s="219" t="str">
        <f t="shared" ca="1" si="199"/>
        <v>Attente…</v>
      </c>
      <c r="QU204" s="197">
        <f t="shared" si="200"/>
        <v>750</v>
      </c>
      <c r="QV204" s="220">
        <f t="shared" si="201"/>
        <v>5.1709873138444567E-3</v>
      </c>
      <c r="QW204" s="221" t="str">
        <f t="shared" ca="1" si="202"/>
        <v>Attente…</v>
      </c>
      <c r="QX204" s="196">
        <f t="shared" si="203"/>
        <v>600</v>
      </c>
      <c r="QY204" s="218">
        <f t="shared" si="204"/>
        <v>4.3784115123033365E-3</v>
      </c>
      <c r="QZ204" s="219" t="str">
        <f t="shared" ca="1" si="205"/>
        <v>Attente…</v>
      </c>
      <c r="RA204" s="197">
        <f t="shared" si="206"/>
        <v>650</v>
      </c>
      <c r="RB204" s="220">
        <f t="shared" si="207"/>
        <v>5.08567404741413E-3</v>
      </c>
      <c r="RC204" s="221" t="str">
        <f t="shared" ca="1" si="208"/>
        <v>Attente…</v>
      </c>
      <c r="RD204" s="196">
        <f t="shared" si="209"/>
        <v>350</v>
      </c>
      <c r="RE204" s="218">
        <f t="shared" si="210"/>
        <v>3.4874451972897571E-3</v>
      </c>
      <c r="RF204" s="219" t="str">
        <f t="shared" ca="1" si="211"/>
        <v>Attente…</v>
      </c>
      <c r="RG204" s="197">
        <f t="shared" si="212"/>
        <v>110</v>
      </c>
      <c r="RH204" s="220">
        <f t="shared" si="213"/>
        <v>2.0231745447857274E-3</v>
      </c>
      <c r="RI204" s="222" t="str">
        <f t="shared" ca="1" si="214"/>
        <v>Attente…</v>
      </c>
      <c r="RJ204" s="199">
        <f t="shared" si="215"/>
        <v>1800</v>
      </c>
      <c r="RK204" s="200" t="str">
        <f t="shared" ca="1" si="172"/>
        <v>Attente…</v>
      </c>
      <c r="RL204" s="199">
        <f t="shared" si="216"/>
        <v>1950</v>
      </c>
      <c r="RM204" s="200" t="str">
        <f t="shared" ca="1" si="217"/>
        <v>Atttente…</v>
      </c>
      <c r="RN204" s="199">
        <f t="shared" si="218"/>
        <v>2200</v>
      </c>
      <c r="RO204" s="200" t="str">
        <f t="shared" ca="1" si="173"/>
        <v>Attente…</v>
      </c>
      <c r="RP204" s="199">
        <f t="shared" si="219"/>
        <v>1110</v>
      </c>
      <c r="RQ204" s="200" t="str">
        <f t="shared" ca="1" si="174"/>
        <v>Attente…</v>
      </c>
      <c r="RR204" s="201">
        <f t="shared" si="220"/>
        <v>7060</v>
      </c>
      <c r="RS204" s="202" t="str">
        <f t="shared" ca="1" si="175"/>
        <v>Attente…</v>
      </c>
      <c r="RT204" s="103"/>
      <c r="RU204" s="203">
        <f t="shared" si="221"/>
        <v>0.7673913043478261</v>
      </c>
      <c r="RV204" s="204">
        <f t="shared" si="171"/>
        <v>1</v>
      </c>
      <c r="RW204" s="204">
        <f t="shared" si="171"/>
        <v>1</v>
      </c>
      <c r="RX204" s="204">
        <f t="shared" si="222"/>
        <v>46</v>
      </c>
      <c r="RY204" s="205" t="str">
        <f t="shared" si="223"/>
        <v>MAROMME - 13 Route de Duclair (Parking Signa)</v>
      </c>
      <c r="RZ204" s="189" t="str">
        <f>IF(OR(RZ203="",RZ203="  &lt;/Document&gt;
&lt;/kml&gt;"),"",
IF(B204="","  &lt;/Document&gt;
&lt;/kml&gt;",
IF(TournéesCAV!Q204=""," ",
"    &lt;Placemark&gt;
      &lt;description&gt;&lt;![CDATA["&amp;B204&amp;"&lt;br&gt;&lt;br&gt;"&amp;RV204&amp;" CAV&lt;br&gt;&lt;br&gt;Présent sur "&amp;RW204&amp;" tournée(s)&lt;br&gt;&lt;br&gt;Taux de remplissage moyen "&amp;TEXT(RU204*1000,"0 %")&amp;"]]&gt;&lt;/description&gt;
      &lt;Style&gt;
        &lt;IconStyle&gt;
          &lt;color&gt;ff"&amp;
          DEC2HEX(0,2)&amp;
          DEC2HEX(
            IF(RU204&lt;=0.5,
               INT(255*(RU204*2)),
               255
            ),2)&amp;
          DEC2HEX(
            IF(RU204&lt;=0.5,
               255,
               INT(255*(1-(RU204-0.5)*2))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&lt;Point&gt;&lt;coordinates&gt;"&amp;R204&amp;","&amp;Q204&amp;",0&lt;/coordinates&gt;&lt;/Point&gt;
    &lt;/Placemark&gt;"
)))</f>
        <v xml:space="preserve">    &lt;Placemark&gt;
      &lt;description&gt;&lt;![CDATA[MAROMME - 13 Route de Duclair (Parking Signa)&lt;br&gt;&lt;br&gt;1 CAV&lt;br&gt;&lt;br&gt;Présent sur 1 tournée(s)&lt;br&gt;&lt;br&gt;Taux de remplissage moyen 77%]]&gt;&lt;/description&gt;
      &lt;Style&gt;
        &lt;IconStyle&gt;
          &lt;color&gt;ff00FF76&lt;/color&gt;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&lt;Point&gt;&lt;coordinates&gt;1.023723836245729,49.478762680186776,0&lt;/coordinates&gt;&lt;/Point&gt;
    &lt;/Placemark&gt;</v>
      </c>
    </row>
    <row r="205" spans="2:494" ht="15" hidden="1" customHeight="1" x14ac:dyDescent="0.35">
      <c r="B205" s="153" t="str">
        <f t="shared" si="176"/>
        <v>GRAND-COURONNE - 5 Allée de la Côté Mutel (Déchetterie - 9h / 12h - 14h - 17h30)</v>
      </c>
      <c r="C205" s="154">
        <v>37</v>
      </c>
      <c r="D205" s="155"/>
      <c r="E205" s="155"/>
      <c r="F205" s="155"/>
      <c r="G205" s="155"/>
      <c r="H205" s="155"/>
      <c r="I205" s="155"/>
      <c r="J205" s="156"/>
      <c r="K205" s="157">
        <f t="shared" si="177"/>
        <v>1</v>
      </c>
      <c r="L205" s="157">
        <f t="shared" si="178"/>
        <v>1</v>
      </c>
      <c r="M205" s="158" t="s">
        <v>1116</v>
      </c>
      <c r="N205" s="159" t="s">
        <v>1117</v>
      </c>
      <c r="O205" s="159">
        <v>76530</v>
      </c>
      <c r="P205" s="159" t="s">
        <v>1118</v>
      </c>
      <c r="Q205" s="159" t="s">
        <v>1119</v>
      </c>
      <c r="R205" s="159" t="s">
        <v>1120</v>
      </c>
      <c r="S205" s="159" t="s">
        <v>93</v>
      </c>
      <c r="T205" s="159" t="s">
        <v>159</v>
      </c>
      <c r="U205" s="159" t="s">
        <v>1121</v>
      </c>
      <c r="V205" s="160" t="s">
        <v>96</v>
      </c>
      <c r="W205" s="161"/>
      <c r="X205" s="162"/>
      <c r="Y205" s="163">
        <v>18</v>
      </c>
      <c r="Z205" s="162"/>
      <c r="AA205" s="163"/>
      <c r="AB205" s="162"/>
      <c r="AC205" s="163"/>
      <c r="AD205" s="162"/>
      <c r="AE205" s="163"/>
      <c r="AF205" s="162"/>
      <c r="AG205" s="163"/>
      <c r="AH205" s="163"/>
      <c r="AI205" s="162"/>
      <c r="AJ205" s="163"/>
      <c r="AK205" s="162"/>
      <c r="AL205" s="163"/>
      <c r="AM205" s="162"/>
      <c r="AN205" s="163"/>
      <c r="AO205" s="162"/>
      <c r="AP205" s="164"/>
      <c r="AQ205" s="164"/>
      <c r="AR205" s="164"/>
      <c r="AS205" s="164"/>
      <c r="AT205" s="164"/>
      <c r="AU205" s="164"/>
      <c r="AV205" s="164"/>
      <c r="AW205" s="164"/>
      <c r="AX205" s="164"/>
      <c r="AY205" s="165"/>
      <c r="AZ205" s="41"/>
      <c r="BA205" s="190"/>
      <c r="BB205" s="191"/>
      <c r="BC205" s="191"/>
      <c r="BD205" s="191"/>
      <c r="BE205" s="191"/>
      <c r="BF205" s="191"/>
      <c r="BG205" s="191"/>
      <c r="BH205" s="191"/>
      <c r="BI205" s="191"/>
      <c r="BJ205" s="191"/>
      <c r="BK205" s="191"/>
      <c r="BL205" s="191"/>
      <c r="BM205" s="191"/>
      <c r="BN205" s="191"/>
      <c r="BO205" s="191"/>
      <c r="BP205" s="191"/>
      <c r="BQ205" s="191"/>
      <c r="BR205" s="191"/>
      <c r="BS205" s="191"/>
      <c r="BT205" s="191">
        <v>200</v>
      </c>
      <c r="BU205" s="191"/>
      <c r="BV205" s="191"/>
      <c r="BW205" s="191"/>
      <c r="BX205" s="191"/>
      <c r="BY205" s="191"/>
      <c r="BZ205" s="191"/>
      <c r="CA205" s="191"/>
      <c r="CB205" s="191"/>
      <c r="CC205" s="191"/>
      <c r="CD205" s="191"/>
      <c r="CE205" s="192"/>
      <c r="CF205" s="190"/>
      <c r="CG205" s="191"/>
      <c r="CH205" s="191">
        <v>50</v>
      </c>
      <c r="CI205" s="191"/>
      <c r="CJ205" s="191"/>
      <c r="CK205" s="191"/>
      <c r="CL205" s="191"/>
      <c r="CM205" s="191"/>
      <c r="CN205" s="191"/>
      <c r="CO205" s="191"/>
      <c r="CP205" s="191"/>
      <c r="CQ205" s="191"/>
      <c r="CR205" s="191"/>
      <c r="CS205" s="191"/>
      <c r="CT205" s="191"/>
      <c r="CU205" s="191"/>
      <c r="CV205" s="191">
        <v>100</v>
      </c>
      <c r="CW205" s="191"/>
      <c r="CX205" s="191"/>
      <c r="CY205" s="191"/>
      <c r="CZ205" s="191"/>
      <c r="DA205" s="191"/>
      <c r="DB205" s="191"/>
      <c r="DC205" s="191"/>
      <c r="DD205" s="191"/>
      <c r="DE205" s="191"/>
      <c r="DF205" s="191"/>
      <c r="DG205" s="191"/>
      <c r="DH205" s="193"/>
      <c r="DI205" s="194"/>
      <c r="DJ205" s="191"/>
      <c r="DK205" s="191">
        <v>200</v>
      </c>
      <c r="DL205" s="191"/>
      <c r="DM205" s="191"/>
      <c r="DN205" s="191"/>
      <c r="DO205" s="191"/>
      <c r="DP205" s="191"/>
      <c r="DQ205" s="191"/>
      <c r="DR205" s="191">
        <v>50</v>
      </c>
      <c r="DS205" s="191"/>
      <c r="DT205" s="191"/>
      <c r="DU205" s="191"/>
      <c r="DV205" s="191"/>
      <c r="DW205" s="191"/>
      <c r="DX205" s="191"/>
      <c r="DY205" s="191">
        <v>50</v>
      </c>
      <c r="DZ205" s="191"/>
      <c r="EA205" s="191"/>
      <c r="EB205" s="191"/>
      <c r="EC205" s="191"/>
      <c r="ED205" s="191"/>
      <c r="EE205" s="191"/>
      <c r="EF205" s="191">
        <v>150</v>
      </c>
      <c r="EG205" s="191"/>
      <c r="EH205" s="191"/>
      <c r="EI205" s="191"/>
      <c r="EJ205" s="191"/>
      <c r="EK205" s="191"/>
      <c r="EL205" s="191"/>
      <c r="EM205" s="192">
        <v>100</v>
      </c>
      <c r="EN205" s="190"/>
      <c r="EO205" s="191"/>
      <c r="EP205" s="191"/>
      <c r="EQ205" s="191"/>
      <c r="ER205" s="191"/>
      <c r="ES205" s="191"/>
      <c r="ET205" s="191">
        <v>200</v>
      </c>
      <c r="EU205" s="191"/>
      <c r="EV205" s="191"/>
      <c r="EW205" s="191"/>
      <c r="EX205" s="191"/>
      <c r="EY205" s="191"/>
      <c r="EZ205" s="191"/>
      <c r="FA205" s="191">
        <v>50</v>
      </c>
      <c r="FB205" s="191"/>
      <c r="FC205" s="191"/>
      <c r="FD205" s="191"/>
      <c r="FE205" s="191"/>
      <c r="FF205" s="191"/>
      <c r="FG205" s="191"/>
      <c r="FH205" s="191"/>
      <c r="FI205" s="191"/>
      <c r="FJ205" s="191"/>
      <c r="FK205" s="191"/>
      <c r="FL205" s="191"/>
      <c r="FM205" s="191"/>
      <c r="FN205" s="191"/>
      <c r="FO205" s="191"/>
      <c r="FP205" s="191"/>
      <c r="FQ205" s="193"/>
      <c r="FR205" s="194"/>
      <c r="FS205" s="191"/>
      <c r="FT205" s="191"/>
      <c r="FU205" s="191"/>
      <c r="FV205" s="191">
        <v>400</v>
      </c>
      <c r="FW205" s="191"/>
      <c r="FX205" s="191"/>
      <c r="FY205" s="191"/>
      <c r="FZ205" s="191"/>
      <c r="GA205" s="191"/>
      <c r="GB205" s="191"/>
      <c r="GC205" s="191"/>
      <c r="GD205" s="191"/>
      <c r="GE205" s="191"/>
      <c r="GF205" s="191"/>
      <c r="GG205" s="191"/>
      <c r="GH205" s="191"/>
      <c r="GI205" s="191"/>
      <c r="GJ205" s="191">
        <v>200</v>
      </c>
      <c r="GK205" s="191"/>
      <c r="GL205" s="191"/>
      <c r="GM205" s="191"/>
      <c r="GN205" s="191"/>
      <c r="GO205" s="191"/>
      <c r="GP205" s="191"/>
      <c r="GQ205" s="191"/>
      <c r="GR205" s="191"/>
      <c r="GS205" s="191"/>
      <c r="GT205" s="191"/>
      <c r="GU205" s="191"/>
      <c r="GV205" s="192"/>
      <c r="GW205" s="190"/>
      <c r="GX205" s="191">
        <v>200</v>
      </c>
      <c r="GY205" s="191"/>
      <c r="GZ205" s="191"/>
      <c r="HA205" s="191"/>
      <c r="HB205" s="191"/>
      <c r="HC205" s="191"/>
      <c r="HD205" s="191"/>
      <c r="HE205" s="191"/>
      <c r="HF205" s="191"/>
      <c r="HG205" s="191"/>
      <c r="HH205" s="191"/>
      <c r="HI205" s="191"/>
      <c r="HJ205" s="191"/>
      <c r="HK205" s="191"/>
      <c r="HL205" s="191">
        <v>150</v>
      </c>
      <c r="HM205" s="191"/>
      <c r="HN205" s="191"/>
      <c r="HO205" s="191"/>
      <c r="HP205" s="191"/>
      <c r="HQ205" s="191"/>
      <c r="HR205" s="191"/>
      <c r="HS205" s="191"/>
      <c r="HT205" s="191">
        <v>150</v>
      </c>
      <c r="HU205" s="191"/>
      <c r="HV205" s="191"/>
      <c r="HW205" s="191"/>
      <c r="HX205" s="191"/>
      <c r="HY205" s="191"/>
      <c r="HZ205" s="193">
        <v>50</v>
      </c>
      <c r="IA205" s="194"/>
      <c r="IB205" s="191"/>
      <c r="IC205" s="191"/>
      <c r="ID205" s="191"/>
      <c r="IE205" s="191"/>
      <c r="IF205" s="191"/>
      <c r="IG205" s="191">
        <v>150</v>
      </c>
      <c r="IH205" s="191"/>
      <c r="II205" s="191"/>
      <c r="IJ205" s="191"/>
      <c r="IK205" s="191"/>
      <c r="IL205" s="191"/>
      <c r="IM205" s="191"/>
      <c r="IN205" s="191">
        <v>150</v>
      </c>
      <c r="IO205" s="191"/>
      <c r="IP205" s="191"/>
      <c r="IQ205" s="191"/>
      <c r="IR205" s="191"/>
      <c r="IS205" s="191"/>
      <c r="IT205" s="191"/>
      <c r="IU205" s="191">
        <v>200</v>
      </c>
      <c r="IV205" s="191"/>
      <c r="IW205" s="191"/>
      <c r="IX205" s="191"/>
      <c r="IY205" s="191"/>
      <c r="IZ205" s="191"/>
      <c r="JA205" s="191"/>
      <c r="JB205" s="191">
        <v>100</v>
      </c>
      <c r="JC205" s="191"/>
      <c r="JD205" s="191"/>
      <c r="JE205" s="192"/>
      <c r="JF205" s="190"/>
      <c r="JG205" s="191"/>
      <c r="JH205" s="191"/>
      <c r="JI205" s="191">
        <v>200</v>
      </c>
      <c r="JJ205" s="191"/>
      <c r="JK205" s="191"/>
      <c r="JL205" s="191"/>
      <c r="JM205" s="191"/>
      <c r="JN205" s="191"/>
      <c r="JO205" s="191"/>
      <c r="JP205" s="191"/>
      <c r="JQ205" s="191"/>
      <c r="JR205" s="191">
        <v>200</v>
      </c>
      <c r="JS205" s="191"/>
      <c r="JT205" s="191"/>
      <c r="JU205" s="191"/>
      <c r="JV205" s="191"/>
      <c r="JW205" s="191">
        <v>100</v>
      </c>
      <c r="JX205" s="191"/>
      <c r="JY205" s="191"/>
      <c r="JZ205" s="191"/>
      <c r="KA205" s="191"/>
      <c r="KB205" s="191"/>
      <c r="KC205" s="191"/>
      <c r="KD205" s="191"/>
      <c r="KE205" s="191"/>
      <c r="KF205" s="191"/>
      <c r="KG205" s="191"/>
      <c r="KH205" s="191"/>
      <c r="KI205" s="191"/>
      <c r="KJ205" s="193"/>
      <c r="KK205" s="194"/>
      <c r="KL205" s="191"/>
      <c r="KM205" s="191"/>
      <c r="KN205" s="191"/>
      <c r="KO205" s="191"/>
      <c r="KP205" s="191"/>
      <c r="KQ205" s="191"/>
      <c r="KR205" s="191"/>
      <c r="KS205" s="191"/>
      <c r="KT205" s="191"/>
      <c r="KU205" s="191"/>
      <c r="KV205" s="191"/>
      <c r="KW205" s="191"/>
      <c r="KX205" s="191"/>
      <c r="KY205" s="191">
        <v>200</v>
      </c>
      <c r="KZ205" s="191"/>
      <c r="LA205" s="191"/>
      <c r="LB205" s="191"/>
      <c r="LC205" s="191"/>
      <c r="LD205" s="191"/>
      <c r="LE205" s="191"/>
      <c r="LF205" s="191">
        <v>50</v>
      </c>
      <c r="LG205" s="191"/>
      <c r="LH205" s="191"/>
      <c r="LI205" s="191"/>
      <c r="LJ205" s="191"/>
      <c r="LK205" s="191"/>
      <c r="LL205" s="191"/>
      <c r="LM205" s="191">
        <v>10</v>
      </c>
      <c r="LN205" s="192"/>
      <c r="LO205" s="190"/>
      <c r="LP205" s="191"/>
      <c r="LQ205" s="191"/>
      <c r="LR205" s="191"/>
      <c r="LS205" s="191"/>
      <c r="LT205" s="191">
        <v>100</v>
      </c>
      <c r="LU205" s="191"/>
      <c r="LV205" s="191"/>
      <c r="LW205" s="191"/>
      <c r="LX205" s="191"/>
      <c r="LY205" s="191"/>
      <c r="LZ205" s="191"/>
      <c r="MA205" s="191">
        <v>50</v>
      </c>
      <c r="MB205" s="191"/>
      <c r="MC205" s="191"/>
      <c r="MD205" s="191"/>
      <c r="ME205" s="191"/>
      <c r="MF205" s="191"/>
      <c r="MG205" s="191"/>
      <c r="MH205" s="191">
        <v>100</v>
      </c>
      <c r="MI205" s="191"/>
      <c r="MJ205" s="191"/>
      <c r="MK205" s="191"/>
      <c r="ML205" s="191"/>
      <c r="MM205" s="191"/>
      <c r="MN205" s="191"/>
      <c r="MO205" s="191">
        <v>100</v>
      </c>
      <c r="MP205" s="191"/>
      <c r="MQ205" s="191"/>
      <c r="MR205" s="191"/>
      <c r="MS205" s="193"/>
      <c r="MT205" s="194"/>
      <c r="MU205" s="191"/>
      <c r="MV205" s="191">
        <v>200</v>
      </c>
      <c r="MW205" s="191"/>
      <c r="MX205" s="191"/>
      <c r="MY205" s="191"/>
      <c r="MZ205" s="191"/>
      <c r="NA205" s="191"/>
      <c r="NB205" s="191"/>
      <c r="NC205" s="191">
        <v>100</v>
      </c>
      <c r="ND205" s="191"/>
      <c r="NE205" s="191"/>
      <c r="NF205" s="191"/>
      <c r="NG205" s="191"/>
      <c r="NH205" s="191"/>
      <c r="NI205" s="191"/>
      <c r="NJ205" s="191">
        <v>100</v>
      </c>
      <c r="NK205" s="191"/>
      <c r="NL205" s="191"/>
      <c r="NM205" s="191"/>
      <c r="NN205" s="191"/>
      <c r="NO205" s="191"/>
      <c r="NP205" s="191"/>
      <c r="NQ205" s="191">
        <v>50</v>
      </c>
      <c r="NR205" s="191"/>
      <c r="NS205" s="191"/>
      <c r="NT205" s="191"/>
      <c r="NU205" s="191"/>
      <c r="NV205" s="191"/>
      <c r="NW205" s="192"/>
      <c r="NX205" s="190">
        <v>50</v>
      </c>
      <c r="NY205" s="191"/>
      <c r="NZ205" s="191"/>
      <c r="OA205" s="191"/>
      <c r="OB205" s="191"/>
      <c r="OC205" s="191"/>
      <c r="OD205" s="191"/>
      <c r="OE205" s="191">
        <v>50</v>
      </c>
      <c r="OF205" s="191"/>
      <c r="OG205" s="191"/>
      <c r="OH205" s="191"/>
      <c r="OI205" s="191"/>
      <c r="OJ205" s="191"/>
      <c r="OK205" s="191"/>
      <c r="OL205" s="191">
        <v>200</v>
      </c>
      <c r="OM205" s="191"/>
      <c r="ON205" s="191"/>
      <c r="OO205" s="191"/>
      <c r="OP205" s="191"/>
      <c r="OQ205" s="191"/>
      <c r="OR205" s="191"/>
      <c r="OS205" s="191"/>
      <c r="OT205" s="191"/>
      <c r="OU205" s="191"/>
      <c r="OV205" s="191"/>
      <c r="OW205" s="191"/>
      <c r="OX205" s="191"/>
      <c r="OY205" s="191"/>
      <c r="OZ205" s="191"/>
      <c r="PA205" s="191"/>
      <c r="PB205" s="193"/>
      <c r="PC205" s="47"/>
      <c r="PD205" s="154" t="s">
        <v>97</v>
      </c>
      <c r="PE205" s="155" t="s">
        <v>97</v>
      </c>
      <c r="PF205" s="155" t="s">
        <v>98</v>
      </c>
      <c r="PG205" s="155" t="s">
        <v>98</v>
      </c>
      <c r="PH205" s="155" t="s">
        <v>98</v>
      </c>
      <c r="PI205" s="155" t="s">
        <v>98</v>
      </c>
      <c r="PJ205" s="155" t="s">
        <v>98</v>
      </c>
      <c r="PK205" s="155" t="s">
        <v>98</v>
      </c>
      <c r="PL205" s="155" t="s">
        <v>98</v>
      </c>
      <c r="PM205" s="155" t="s">
        <v>98</v>
      </c>
      <c r="PN205" s="155" t="s">
        <v>98</v>
      </c>
      <c r="PO205" s="156"/>
      <c r="PP205" s="156"/>
      <c r="PQ205" s="156"/>
      <c r="PR205" s="156"/>
      <c r="PS205" s="156"/>
      <c r="PT205" s="156"/>
      <c r="PU205" s="156"/>
      <c r="PV205" s="156"/>
      <c r="PW205" s="156"/>
      <c r="PX205" s="195"/>
      <c r="PY205" s="1"/>
      <c r="PZ205" s="196">
        <f t="shared" si="179"/>
        <v>200</v>
      </c>
      <c r="QA205" s="218">
        <f t="shared" si="180"/>
        <v>1.6684741803620589E-3</v>
      </c>
      <c r="QB205" s="219" t="str">
        <f t="shared" ca="1" si="181"/>
        <v>Attente…</v>
      </c>
      <c r="QC205" s="197">
        <f t="shared" si="182"/>
        <v>150</v>
      </c>
      <c r="QD205" s="220">
        <f t="shared" si="183"/>
        <v>1.4044943820224719E-3</v>
      </c>
      <c r="QE205" s="221" t="str">
        <f t="shared" ca="1" si="184"/>
        <v>Attente…</v>
      </c>
      <c r="QF205" s="196">
        <f t="shared" si="185"/>
        <v>550</v>
      </c>
      <c r="QG205" s="218">
        <f t="shared" si="186"/>
        <v>4.379678292721771E-3</v>
      </c>
      <c r="QH205" s="219" t="str">
        <f t="shared" ca="1" si="187"/>
        <v>Attente…</v>
      </c>
      <c r="QI205" s="197">
        <f t="shared" si="188"/>
        <v>250</v>
      </c>
      <c r="QJ205" s="220">
        <f t="shared" si="189"/>
        <v>1.7534015991022584E-3</v>
      </c>
      <c r="QK205" s="221" t="str">
        <f t="shared" ca="1" si="190"/>
        <v>Attente…</v>
      </c>
      <c r="QL205" s="196">
        <f t="shared" si="191"/>
        <v>600</v>
      </c>
      <c r="QM205" s="218">
        <f t="shared" si="192"/>
        <v>4.3898156277436349E-3</v>
      </c>
      <c r="QN205" s="219" t="str">
        <f t="shared" ca="1" si="193"/>
        <v>Attente…</v>
      </c>
      <c r="QO205" s="197">
        <f t="shared" si="194"/>
        <v>550</v>
      </c>
      <c r="QP205" s="220">
        <f t="shared" si="195"/>
        <v>4.3059578799029205E-3</v>
      </c>
      <c r="QQ205" s="221" t="str">
        <f t="shared" ca="1" si="196"/>
        <v>Attente…</v>
      </c>
      <c r="QR205" s="196">
        <f t="shared" si="197"/>
        <v>600</v>
      </c>
      <c r="QS205" s="218">
        <f t="shared" si="198"/>
        <v>4.3194989381231778E-3</v>
      </c>
      <c r="QT205" s="219" t="str">
        <f t="shared" ca="1" si="199"/>
        <v>Attente…</v>
      </c>
      <c r="QU205" s="197">
        <f t="shared" si="200"/>
        <v>500</v>
      </c>
      <c r="QV205" s="220">
        <f t="shared" si="201"/>
        <v>3.4473248758963046E-3</v>
      </c>
      <c r="QW205" s="221" t="str">
        <f t="shared" ca="1" si="202"/>
        <v>Attente…</v>
      </c>
      <c r="QX205" s="196">
        <f t="shared" si="203"/>
        <v>260</v>
      </c>
      <c r="QY205" s="218">
        <f t="shared" si="204"/>
        <v>1.8973116553314458E-3</v>
      </c>
      <c r="QZ205" s="219" t="str">
        <f t="shared" ca="1" si="205"/>
        <v>Attente…</v>
      </c>
      <c r="RA205" s="197">
        <f t="shared" si="206"/>
        <v>350</v>
      </c>
      <c r="RB205" s="220">
        <f t="shared" si="207"/>
        <v>2.7384398716845319E-3</v>
      </c>
      <c r="RC205" s="221" t="str">
        <f t="shared" ca="1" si="208"/>
        <v>Attente…</v>
      </c>
      <c r="RD205" s="196">
        <f t="shared" si="209"/>
        <v>450</v>
      </c>
      <c r="RE205" s="218">
        <f t="shared" si="210"/>
        <v>4.483858110801116E-3</v>
      </c>
      <c r="RF205" s="219" t="str">
        <f t="shared" ca="1" si="211"/>
        <v>Attente…</v>
      </c>
      <c r="RG205" s="197">
        <f t="shared" si="212"/>
        <v>300</v>
      </c>
      <c r="RH205" s="220">
        <f t="shared" si="213"/>
        <v>5.5177487585065296E-3</v>
      </c>
      <c r="RI205" s="222" t="str">
        <f t="shared" ca="1" si="214"/>
        <v>Attente…</v>
      </c>
      <c r="RJ205" s="199">
        <f t="shared" si="215"/>
        <v>900</v>
      </c>
      <c r="RK205" s="200" t="str">
        <f t="shared" ca="1" si="172"/>
        <v>Attente…</v>
      </c>
      <c r="RL205" s="199">
        <f t="shared" si="216"/>
        <v>1400</v>
      </c>
      <c r="RM205" s="200" t="str">
        <f t="shared" ca="1" si="217"/>
        <v>Atttente…</v>
      </c>
      <c r="RN205" s="199">
        <f t="shared" si="218"/>
        <v>1360</v>
      </c>
      <c r="RO205" s="200" t="str">
        <f t="shared" ca="1" si="173"/>
        <v>Attente…</v>
      </c>
      <c r="RP205" s="199">
        <f t="shared" si="219"/>
        <v>1100</v>
      </c>
      <c r="RQ205" s="200" t="str">
        <f t="shared" ca="1" si="174"/>
        <v>Attente…</v>
      </c>
      <c r="RR205" s="201">
        <f t="shared" si="220"/>
        <v>4760</v>
      </c>
      <c r="RS205" s="202" t="str">
        <f t="shared" ca="1" si="175"/>
        <v>Attente…</v>
      </c>
      <c r="RT205" s="103"/>
      <c r="RU205" s="203">
        <f t="shared" si="221"/>
        <v>0.64324324324324322</v>
      </c>
      <c r="RV205" s="204">
        <f t="shared" si="171"/>
        <v>1</v>
      </c>
      <c r="RW205" s="204">
        <f t="shared" si="171"/>
        <v>1</v>
      </c>
      <c r="RX205" s="204">
        <f t="shared" si="222"/>
        <v>37</v>
      </c>
      <c r="RY205" s="205" t="str">
        <f t="shared" si="223"/>
        <v>GRAND-COURONNE - 5 Allée de la Côté Mutel (Déchetterie - 9h / 12h - 14h - 17h30)</v>
      </c>
      <c r="RZ205" s="189" t="str">
        <f>IF(OR(RZ204="",RZ204="  &lt;/Document&gt;
&lt;/kml&gt;"),"",
IF(B205="","  &lt;/Document&gt;
&lt;/kml&gt;",
IF(TournéesCAV!Q205=""," ",
"    &lt;Placemark&gt;
      &lt;description&gt;&lt;![CDATA["&amp;B205&amp;"&lt;br&gt;&lt;br&gt;"&amp;RV205&amp;" CAV&lt;br&gt;&lt;br&gt;Présent sur "&amp;RW205&amp;" tournée(s)&lt;br&gt;&lt;br&gt;Taux de remplissage moyen "&amp;TEXT(RU205*1000,"0 %")&amp;"]]&gt;&lt;/description&gt;
      &lt;Style&gt;
        &lt;IconStyle&gt;
          &lt;color&gt;ff"&amp;
          DEC2HEX(0,2)&amp;
          DEC2HEX(
            IF(RU205&lt;=0.5,
               INT(255*(RU205*2)),
               255
            ),2)&amp;
          DEC2HEX(
            IF(RU205&lt;=0.5,
               255,
               INT(255*(1-(RU205-0.5)*2))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&lt;Point&gt;&lt;coordinates&gt;"&amp;R205&amp;","&amp;Q205&amp;",0&lt;/coordinates&gt;&lt;/Point&gt;
    &lt;/Placemark&gt;"
)))</f>
        <v xml:space="preserve">    &lt;Placemark&gt;
      &lt;description&gt;&lt;![CDATA[GRAND-COURONNE - 5 Allée de la Côté Mutel (Déchetterie - 9h / 12h - 14h - 17h30)&lt;br&gt;&lt;br&gt;1 CAV&lt;br&gt;&lt;br&gt;Présent sur 1 tournée(s)&lt;br&gt;&lt;br&gt;Taux de remplissage moyen 64%]]&gt;&lt;/description&gt;
      &lt;Style&gt;
        &lt;IconStyle&gt;
          &lt;color&gt;ff00FFB5&lt;/color&gt;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&lt;Point&gt;&lt;coordinates&gt;1.0150717,49.3667909,0&lt;/coordinates&gt;&lt;/Point&gt;
    &lt;/Placemark&gt;</v>
      </c>
    </row>
    <row r="206" spans="2:494" ht="15" hidden="1" customHeight="1" x14ac:dyDescent="0.35">
      <c r="B206" s="153" t="str">
        <f t="shared" si="176"/>
        <v>MAROMME - 2 Rue de Binche (Parking école Delbos)</v>
      </c>
      <c r="C206" s="154">
        <v>148</v>
      </c>
      <c r="D206" s="155"/>
      <c r="E206" s="155"/>
      <c r="F206" s="155"/>
      <c r="G206" s="155"/>
      <c r="H206" s="155"/>
      <c r="I206" s="155"/>
      <c r="J206" s="156"/>
      <c r="K206" s="157">
        <f t="shared" si="177"/>
        <v>1</v>
      </c>
      <c r="L206" s="157">
        <f t="shared" si="178"/>
        <v>1</v>
      </c>
      <c r="M206" s="158" t="s">
        <v>1122</v>
      </c>
      <c r="N206" s="159" t="s">
        <v>1123</v>
      </c>
      <c r="O206" s="159">
        <v>76150</v>
      </c>
      <c r="P206" s="159" t="s">
        <v>1112</v>
      </c>
      <c r="Q206" s="159" t="s">
        <v>1124</v>
      </c>
      <c r="R206" s="159" t="s">
        <v>1125</v>
      </c>
      <c r="S206" s="159" t="s">
        <v>93</v>
      </c>
      <c r="T206" s="159" t="s">
        <v>94</v>
      </c>
      <c r="U206" s="159" t="s">
        <v>1126</v>
      </c>
      <c r="V206" s="160" t="s">
        <v>96</v>
      </c>
      <c r="W206" s="161"/>
      <c r="X206" s="162"/>
      <c r="Y206" s="163"/>
      <c r="Z206" s="162"/>
      <c r="AA206" s="163"/>
      <c r="AB206" s="162"/>
      <c r="AC206" s="163"/>
      <c r="AD206" s="162"/>
      <c r="AE206" s="163"/>
      <c r="AF206" s="162"/>
      <c r="AG206" s="207">
        <v>17</v>
      </c>
      <c r="AH206" s="163"/>
      <c r="AI206" s="162"/>
      <c r="AJ206" s="163"/>
      <c r="AK206" s="162"/>
      <c r="AL206" s="163"/>
      <c r="AM206" s="162"/>
      <c r="AN206" s="163"/>
      <c r="AO206" s="162"/>
      <c r="AP206" s="164"/>
      <c r="AQ206" s="164"/>
      <c r="AR206" s="164"/>
      <c r="AS206" s="164"/>
      <c r="AT206" s="164"/>
      <c r="AU206" s="164"/>
      <c r="AV206" s="164"/>
      <c r="AW206" s="164"/>
      <c r="AX206" s="164"/>
      <c r="AY206" s="165"/>
      <c r="AZ206" s="41"/>
      <c r="BA206" s="190"/>
      <c r="BB206" s="191">
        <v>200</v>
      </c>
      <c r="BC206" s="191"/>
      <c r="BD206" s="191"/>
      <c r="BE206" s="191"/>
      <c r="BF206" s="191"/>
      <c r="BG206" s="191"/>
      <c r="BH206" s="191"/>
      <c r="BI206" s="191"/>
      <c r="BJ206" s="191"/>
      <c r="BK206" s="191"/>
      <c r="BL206" s="191"/>
      <c r="BM206" s="191"/>
      <c r="BN206" s="191"/>
      <c r="BO206" s="191">
        <v>100</v>
      </c>
      <c r="BP206" s="191"/>
      <c r="BQ206" s="191"/>
      <c r="BR206" s="191"/>
      <c r="BS206" s="191"/>
      <c r="BT206" s="191"/>
      <c r="BU206" s="191"/>
      <c r="BV206" s="191"/>
      <c r="BW206" s="191"/>
      <c r="BX206" s="191"/>
      <c r="BY206" s="191"/>
      <c r="BZ206" s="191"/>
      <c r="CA206" s="191"/>
      <c r="CB206" s="191"/>
      <c r="CC206" s="191">
        <v>150</v>
      </c>
      <c r="CD206" s="191"/>
      <c r="CE206" s="192"/>
      <c r="CF206" s="190"/>
      <c r="CG206" s="191"/>
      <c r="CH206" s="191"/>
      <c r="CI206" s="191"/>
      <c r="CJ206" s="191">
        <v>200</v>
      </c>
      <c r="CK206" s="191"/>
      <c r="CL206" s="191"/>
      <c r="CM206" s="191"/>
      <c r="CN206" s="191"/>
      <c r="CO206" s="191"/>
      <c r="CP206" s="191"/>
      <c r="CQ206" s="191">
        <v>150</v>
      </c>
      <c r="CR206" s="191"/>
      <c r="CS206" s="191"/>
      <c r="CT206" s="191"/>
      <c r="CU206" s="191"/>
      <c r="CV206" s="191"/>
      <c r="CW206" s="191"/>
      <c r="CX206" s="191">
        <v>10</v>
      </c>
      <c r="CY206" s="191"/>
      <c r="CZ206" s="191"/>
      <c r="DA206" s="191"/>
      <c r="DB206" s="191"/>
      <c r="DC206" s="191"/>
      <c r="DD206" s="191"/>
      <c r="DE206" s="191">
        <v>200</v>
      </c>
      <c r="DF206" s="191"/>
      <c r="DG206" s="191"/>
      <c r="DH206" s="193"/>
      <c r="DI206" s="194"/>
      <c r="DJ206" s="191"/>
      <c r="DK206" s="191"/>
      <c r="DL206" s="191"/>
      <c r="DM206" s="191">
        <v>150</v>
      </c>
      <c r="DN206" s="191"/>
      <c r="DO206" s="191"/>
      <c r="DP206" s="191"/>
      <c r="DQ206" s="191"/>
      <c r="DR206" s="191"/>
      <c r="DS206" s="191"/>
      <c r="DT206" s="191">
        <v>150</v>
      </c>
      <c r="DU206" s="191"/>
      <c r="DV206" s="191"/>
      <c r="DW206" s="191"/>
      <c r="DX206" s="191"/>
      <c r="DY206" s="191"/>
      <c r="DZ206" s="191"/>
      <c r="EA206" s="191">
        <v>200</v>
      </c>
      <c r="EB206" s="191"/>
      <c r="EC206" s="191"/>
      <c r="ED206" s="191"/>
      <c r="EE206" s="191"/>
      <c r="EF206" s="191"/>
      <c r="EG206" s="191"/>
      <c r="EH206" s="191">
        <v>200</v>
      </c>
      <c r="EI206" s="191"/>
      <c r="EJ206" s="191"/>
      <c r="EK206" s="191"/>
      <c r="EL206" s="191"/>
      <c r="EM206" s="192"/>
      <c r="EN206" s="190"/>
      <c r="EO206" s="191">
        <v>150</v>
      </c>
      <c r="EP206" s="191"/>
      <c r="EQ206" s="191"/>
      <c r="ER206" s="191"/>
      <c r="ES206" s="191"/>
      <c r="ET206" s="191"/>
      <c r="EU206" s="191"/>
      <c r="EV206" s="191">
        <v>200</v>
      </c>
      <c r="EW206" s="191"/>
      <c r="EX206" s="191"/>
      <c r="EY206" s="191"/>
      <c r="EZ206" s="191"/>
      <c r="FA206" s="191"/>
      <c r="FB206" s="191"/>
      <c r="FC206" s="191">
        <v>200</v>
      </c>
      <c r="FD206" s="191"/>
      <c r="FE206" s="191"/>
      <c r="FF206" s="191"/>
      <c r="FG206" s="191"/>
      <c r="FH206" s="191"/>
      <c r="FI206" s="191"/>
      <c r="FJ206" s="191">
        <v>150</v>
      </c>
      <c r="FK206" s="191"/>
      <c r="FL206" s="191"/>
      <c r="FM206" s="191"/>
      <c r="FN206" s="191"/>
      <c r="FO206" s="191"/>
      <c r="FP206" s="191"/>
      <c r="FQ206" s="193">
        <v>200</v>
      </c>
      <c r="FR206" s="194"/>
      <c r="FS206" s="191"/>
      <c r="FT206" s="191"/>
      <c r="FU206" s="191"/>
      <c r="FV206" s="191"/>
      <c r="FW206" s="191"/>
      <c r="FX206" s="191">
        <v>200</v>
      </c>
      <c r="FY206" s="191"/>
      <c r="FZ206" s="191"/>
      <c r="GA206" s="191"/>
      <c r="GB206" s="191"/>
      <c r="GC206" s="191"/>
      <c r="GD206" s="191"/>
      <c r="GE206" s="191">
        <v>200</v>
      </c>
      <c r="GF206" s="191"/>
      <c r="GG206" s="191"/>
      <c r="GH206" s="191"/>
      <c r="GI206" s="191"/>
      <c r="GJ206" s="191"/>
      <c r="GK206" s="191"/>
      <c r="GL206" s="191">
        <v>150</v>
      </c>
      <c r="GM206" s="191"/>
      <c r="GN206" s="191"/>
      <c r="GO206" s="191"/>
      <c r="GP206" s="191"/>
      <c r="GQ206" s="191"/>
      <c r="GR206" s="191"/>
      <c r="GS206" s="191">
        <v>100</v>
      </c>
      <c r="GT206" s="191"/>
      <c r="GU206" s="191"/>
      <c r="GV206" s="192"/>
      <c r="GW206" s="190"/>
      <c r="GX206" s="191"/>
      <c r="GY206" s="191"/>
      <c r="GZ206" s="191">
        <v>200</v>
      </c>
      <c r="HA206" s="191"/>
      <c r="HB206" s="191"/>
      <c r="HC206" s="191"/>
      <c r="HD206" s="191"/>
      <c r="HE206" s="191"/>
      <c r="HF206" s="191"/>
      <c r="HG206" s="191">
        <v>200</v>
      </c>
      <c r="HH206" s="191"/>
      <c r="HI206" s="191"/>
      <c r="HJ206" s="191"/>
      <c r="HK206" s="191"/>
      <c r="HL206" s="191"/>
      <c r="HM206" s="191"/>
      <c r="HN206" s="191">
        <v>150</v>
      </c>
      <c r="HO206" s="191"/>
      <c r="HP206" s="191"/>
      <c r="HQ206" s="191"/>
      <c r="HR206" s="191"/>
      <c r="HS206" s="191"/>
      <c r="HT206" s="191"/>
      <c r="HU206" s="191">
        <v>200</v>
      </c>
      <c r="HV206" s="191"/>
      <c r="HW206" s="191"/>
      <c r="HX206" s="191"/>
      <c r="HY206" s="191"/>
      <c r="HZ206" s="193"/>
      <c r="IA206" s="194"/>
      <c r="IB206" s="191">
        <v>100</v>
      </c>
      <c r="IC206" s="191"/>
      <c r="ID206" s="191"/>
      <c r="IE206" s="191"/>
      <c r="IF206" s="191"/>
      <c r="IG206" s="191"/>
      <c r="IH206" s="191"/>
      <c r="II206" s="191">
        <v>200</v>
      </c>
      <c r="IJ206" s="191"/>
      <c r="IK206" s="191"/>
      <c r="IL206" s="191"/>
      <c r="IM206" s="191"/>
      <c r="IN206" s="191"/>
      <c r="IO206" s="191"/>
      <c r="IP206" s="191"/>
      <c r="IQ206" s="191"/>
      <c r="IR206" s="191">
        <v>200</v>
      </c>
      <c r="IS206" s="191"/>
      <c r="IT206" s="191"/>
      <c r="IU206" s="191"/>
      <c r="IV206" s="191"/>
      <c r="IW206" s="191">
        <v>50</v>
      </c>
      <c r="IX206" s="191"/>
      <c r="IY206" s="191"/>
      <c r="IZ206" s="191"/>
      <c r="JA206" s="191"/>
      <c r="JB206" s="191"/>
      <c r="JC206" s="191"/>
      <c r="JD206" s="191">
        <v>200</v>
      </c>
      <c r="JE206" s="192"/>
      <c r="JF206" s="190"/>
      <c r="JG206" s="191"/>
      <c r="JH206" s="191"/>
      <c r="JI206" s="191"/>
      <c r="JJ206" s="191"/>
      <c r="JK206" s="191">
        <v>150</v>
      </c>
      <c r="JL206" s="191"/>
      <c r="JM206" s="191"/>
      <c r="JN206" s="191"/>
      <c r="JO206" s="191"/>
      <c r="JP206" s="191"/>
      <c r="JQ206" s="191"/>
      <c r="JR206" s="191">
        <v>100</v>
      </c>
      <c r="JS206" s="191"/>
      <c r="JT206" s="191"/>
      <c r="JU206" s="191"/>
      <c r="JV206" s="191"/>
      <c r="JW206" s="191"/>
      <c r="JX206" s="191"/>
      <c r="JY206" s="191"/>
      <c r="JZ206" s="191">
        <v>200</v>
      </c>
      <c r="KA206" s="191"/>
      <c r="KB206" s="191"/>
      <c r="KC206" s="191"/>
      <c r="KD206" s="191"/>
      <c r="KE206" s="191"/>
      <c r="KF206" s="191">
        <v>200</v>
      </c>
      <c r="KG206" s="191"/>
      <c r="KH206" s="191"/>
      <c r="KI206" s="191"/>
      <c r="KJ206" s="193"/>
      <c r="KK206" s="194"/>
      <c r="KL206" s="191"/>
      <c r="KM206" s="191">
        <v>200</v>
      </c>
      <c r="KN206" s="191"/>
      <c r="KO206" s="191"/>
      <c r="KP206" s="191"/>
      <c r="KQ206" s="191"/>
      <c r="KR206" s="191"/>
      <c r="KS206" s="191"/>
      <c r="KT206" s="191"/>
      <c r="KU206" s="191"/>
      <c r="KV206" s="191"/>
      <c r="KW206" s="191"/>
      <c r="KX206" s="191"/>
      <c r="KY206" s="191"/>
      <c r="KZ206" s="191"/>
      <c r="LA206" s="191">
        <v>200</v>
      </c>
      <c r="LB206" s="191"/>
      <c r="LC206" s="191"/>
      <c r="LD206" s="191"/>
      <c r="LE206" s="191"/>
      <c r="LF206" s="191"/>
      <c r="LG206" s="191"/>
      <c r="LH206" s="191">
        <v>50</v>
      </c>
      <c r="LI206" s="191"/>
      <c r="LJ206" s="191"/>
      <c r="LK206" s="191"/>
      <c r="LL206" s="191"/>
      <c r="LM206" s="191"/>
      <c r="LN206" s="192"/>
      <c r="LO206" s="190"/>
      <c r="LP206" s="191"/>
      <c r="LQ206" s="191"/>
      <c r="LR206" s="191"/>
      <c r="LS206" s="191"/>
      <c r="LT206" s="191"/>
      <c r="LU206" s="191"/>
      <c r="LV206" s="191">
        <v>200</v>
      </c>
      <c r="LW206" s="191"/>
      <c r="LX206" s="191"/>
      <c r="LY206" s="191"/>
      <c r="LZ206" s="191"/>
      <c r="MA206" s="191"/>
      <c r="MB206" s="191"/>
      <c r="MC206" s="191">
        <v>200</v>
      </c>
      <c r="MD206" s="191"/>
      <c r="ME206" s="191"/>
      <c r="MF206" s="191"/>
      <c r="MG206" s="191"/>
      <c r="MH206" s="191"/>
      <c r="MI206" s="191"/>
      <c r="MJ206" s="191">
        <v>150</v>
      </c>
      <c r="MK206" s="191"/>
      <c r="ML206" s="191"/>
      <c r="MM206" s="191"/>
      <c r="MN206" s="191"/>
      <c r="MO206" s="191"/>
      <c r="MP206" s="191"/>
      <c r="MQ206" s="191">
        <v>100</v>
      </c>
      <c r="MR206" s="191"/>
      <c r="MS206" s="193"/>
      <c r="MT206" s="194"/>
      <c r="MU206" s="191"/>
      <c r="MV206" s="191"/>
      <c r="MW206" s="191"/>
      <c r="MX206" s="191">
        <v>200</v>
      </c>
      <c r="MY206" s="191"/>
      <c r="MZ206" s="191"/>
      <c r="NA206" s="191"/>
      <c r="NB206" s="191"/>
      <c r="NC206" s="191"/>
      <c r="ND206" s="191"/>
      <c r="NE206" s="191"/>
      <c r="NF206" s="191">
        <v>150</v>
      </c>
      <c r="NG206" s="191"/>
      <c r="NH206" s="191"/>
      <c r="NI206" s="191"/>
      <c r="NJ206" s="191"/>
      <c r="NK206" s="191"/>
      <c r="NL206" s="191"/>
      <c r="NM206" s="191"/>
      <c r="NN206" s="191"/>
      <c r="NO206" s="191"/>
      <c r="NP206" s="191"/>
      <c r="NQ206" s="191"/>
      <c r="NR206" s="191"/>
      <c r="NS206" s="191">
        <v>100</v>
      </c>
      <c r="NT206" s="191"/>
      <c r="NU206" s="191"/>
      <c r="NV206" s="191"/>
      <c r="NW206" s="192"/>
      <c r="NX206" s="190"/>
      <c r="NY206" s="191"/>
      <c r="NZ206" s="191">
        <v>10</v>
      </c>
      <c r="OA206" s="191"/>
      <c r="OB206" s="191"/>
      <c r="OC206" s="191"/>
      <c r="OD206" s="191"/>
      <c r="OE206" s="191"/>
      <c r="OF206" s="191"/>
      <c r="OG206" s="191"/>
      <c r="OH206" s="191"/>
      <c r="OI206" s="191"/>
      <c r="OJ206" s="191"/>
      <c r="OK206" s="191"/>
      <c r="OL206" s="191"/>
      <c r="OM206" s="191"/>
      <c r="ON206" s="191">
        <v>100</v>
      </c>
      <c r="OO206" s="191"/>
      <c r="OP206" s="191"/>
      <c r="OQ206" s="191"/>
      <c r="OR206" s="191"/>
      <c r="OS206" s="191"/>
      <c r="OT206" s="191"/>
      <c r="OU206" s="191"/>
      <c r="OV206" s="191"/>
      <c r="OW206" s="191"/>
      <c r="OX206" s="191"/>
      <c r="OY206" s="191"/>
      <c r="OZ206" s="191"/>
      <c r="PA206" s="191"/>
      <c r="PB206" s="193"/>
      <c r="PC206" s="47"/>
      <c r="PD206" s="154" t="s">
        <v>97</v>
      </c>
      <c r="PE206" s="155" t="s">
        <v>98</v>
      </c>
      <c r="PF206" s="155" t="s">
        <v>98</v>
      </c>
      <c r="PG206" s="155" t="s">
        <v>98</v>
      </c>
      <c r="PH206" s="155" t="s">
        <v>98</v>
      </c>
      <c r="PI206" s="155" t="s">
        <v>98</v>
      </c>
      <c r="PJ206" s="155" t="s">
        <v>98</v>
      </c>
      <c r="PK206" s="155" t="s">
        <v>98</v>
      </c>
      <c r="PL206" s="155" t="s">
        <v>98</v>
      </c>
      <c r="PM206" s="155" t="s">
        <v>98</v>
      </c>
      <c r="PN206" s="155" t="s">
        <v>98</v>
      </c>
      <c r="PO206" s="156"/>
      <c r="PP206" s="156"/>
      <c r="PQ206" s="156"/>
      <c r="PR206" s="156"/>
      <c r="PS206" s="156"/>
      <c r="PT206" s="156"/>
      <c r="PU206" s="156"/>
      <c r="PV206" s="156"/>
      <c r="PW206" s="156"/>
      <c r="PX206" s="195"/>
      <c r="PY206" s="1"/>
      <c r="PZ206" s="196">
        <f t="shared" si="179"/>
        <v>450</v>
      </c>
      <c r="QA206" s="218">
        <f t="shared" si="180"/>
        <v>3.7540669058146324E-3</v>
      </c>
      <c r="QB206" s="219" t="str">
        <f t="shared" ca="1" si="181"/>
        <v>Attente…</v>
      </c>
      <c r="QC206" s="197">
        <f t="shared" si="182"/>
        <v>560</v>
      </c>
      <c r="QD206" s="220">
        <f t="shared" si="183"/>
        <v>5.2434456928838954E-3</v>
      </c>
      <c r="QE206" s="221" t="str">
        <f t="shared" ca="1" si="184"/>
        <v>Attente…</v>
      </c>
      <c r="QF206" s="196">
        <f t="shared" si="185"/>
        <v>700</v>
      </c>
      <c r="QG206" s="218">
        <f t="shared" si="186"/>
        <v>5.5741360089186179E-3</v>
      </c>
      <c r="QH206" s="219" t="str">
        <f t="shared" ca="1" si="187"/>
        <v>Attente…</v>
      </c>
      <c r="QI206" s="197">
        <f t="shared" si="188"/>
        <v>900</v>
      </c>
      <c r="QJ206" s="220">
        <f t="shared" si="189"/>
        <v>6.3122457567681301E-3</v>
      </c>
      <c r="QK206" s="221" t="str">
        <f t="shared" ca="1" si="190"/>
        <v>Attente…</v>
      </c>
      <c r="QL206" s="196">
        <f t="shared" si="191"/>
        <v>650</v>
      </c>
      <c r="QM206" s="218">
        <f t="shared" si="192"/>
        <v>4.755633596722271E-3</v>
      </c>
      <c r="QN206" s="219" t="str">
        <f t="shared" ca="1" si="193"/>
        <v>Attente…</v>
      </c>
      <c r="QO206" s="197">
        <f t="shared" si="194"/>
        <v>750</v>
      </c>
      <c r="QP206" s="220">
        <f t="shared" si="195"/>
        <v>5.8717607453221635E-3</v>
      </c>
      <c r="QQ206" s="221" t="str">
        <f t="shared" ca="1" si="196"/>
        <v>Attente…</v>
      </c>
      <c r="QR206" s="196">
        <f t="shared" si="197"/>
        <v>750</v>
      </c>
      <c r="QS206" s="218">
        <f t="shared" si="198"/>
        <v>5.3993736726539723E-3</v>
      </c>
      <c r="QT206" s="219" t="str">
        <f t="shared" ca="1" si="199"/>
        <v>Attente…</v>
      </c>
      <c r="QU206" s="197">
        <f t="shared" si="200"/>
        <v>650</v>
      </c>
      <c r="QV206" s="220">
        <f t="shared" si="201"/>
        <v>4.4815223386651956E-3</v>
      </c>
      <c r="QW206" s="221" t="str">
        <f t="shared" ca="1" si="202"/>
        <v>Attente…</v>
      </c>
      <c r="QX206" s="196">
        <f t="shared" si="203"/>
        <v>450</v>
      </c>
      <c r="QY206" s="218">
        <f t="shared" si="204"/>
        <v>3.2838086342275022E-3</v>
      </c>
      <c r="QZ206" s="219" t="str">
        <f t="shared" ca="1" si="205"/>
        <v>Attente…</v>
      </c>
      <c r="RA206" s="197">
        <f t="shared" si="206"/>
        <v>650</v>
      </c>
      <c r="RB206" s="220">
        <f t="shared" si="207"/>
        <v>5.08567404741413E-3</v>
      </c>
      <c r="RC206" s="221" t="str">
        <f t="shared" ca="1" si="208"/>
        <v>Attente…</v>
      </c>
      <c r="RD206" s="196">
        <f t="shared" si="209"/>
        <v>450</v>
      </c>
      <c r="RE206" s="218">
        <f t="shared" si="210"/>
        <v>4.483858110801116E-3</v>
      </c>
      <c r="RF206" s="219" t="str">
        <f t="shared" ca="1" si="211"/>
        <v>Attente…</v>
      </c>
      <c r="RG206" s="197">
        <f t="shared" si="212"/>
        <v>110</v>
      </c>
      <c r="RH206" s="220">
        <f t="shared" si="213"/>
        <v>2.0231745447857274E-3</v>
      </c>
      <c r="RI206" s="222" t="str">
        <f t="shared" ca="1" si="214"/>
        <v>Attente…</v>
      </c>
      <c r="RJ206" s="199">
        <f t="shared" si="215"/>
        <v>1710</v>
      </c>
      <c r="RK206" s="200" t="str">
        <f t="shared" ca="1" si="172"/>
        <v>Attente…</v>
      </c>
      <c r="RL206" s="199">
        <f t="shared" si="216"/>
        <v>2300</v>
      </c>
      <c r="RM206" s="200" t="str">
        <f t="shared" ca="1" si="217"/>
        <v>Atttente…</v>
      </c>
      <c r="RN206" s="199">
        <f t="shared" si="218"/>
        <v>1850</v>
      </c>
      <c r="RO206" s="200" t="str">
        <f t="shared" ca="1" si="173"/>
        <v>Attente…</v>
      </c>
      <c r="RP206" s="199">
        <f t="shared" si="219"/>
        <v>1210</v>
      </c>
      <c r="RQ206" s="200" t="str">
        <f t="shared" ca="1" si="174"/>
        <v>Attente…</v>
      </c>
      <c r="RR206" s="201">
        <f t="shared" si="220"/>
        <v>7070</v>
      </c>
      <c r="RS206" s="202" t="str">
        <f t="shared" ca="1" si="175"/>
        <v>Attente…</v>
      </c>
      <c r="RT206" s="103"/>
      <c r="RU206" s="203">
        <f t="shared" si="221"/>
        <v>0.78555555555555556</v>
      </c>
      <c r="RV206" s="204">
        <f t="shared" si="171"/>
        <v>1</v>
      </c>
      <c r="RW206" s="204">
        <f t="shared" si="171"/>
        <v>1</v>
      </c>
      <c r="RX206" s="204">
        <f t="shared" si="222"/>
        <v>45</v>
      </c>
      <c r="RY206" s="205" t="str">
        <f t="shared" si="223"/>
        <v>MAROMME - 2 Rue de Binche (Parking école Delbos)</v>
      </c>
      <c r="RZ206" s="189" t="str">
        <f>IF(OR(RZ205="",RZ205="  &lt;/Document&gt;
&lt;/kml&gt;"),"",
IF(B206="","  &lt;/Document&gt;
&lt;/kml&gt;",
IF(TournéesCAV!Q206=""," ",
"    &lt;Placemark&gt;
      &lt;description&gt;&lt;![CDATA["&amp;B206&amp;"&lt;br&gt;&lt;br&gt;"&amp;RV206&amp;" CAV&lt;br&gt;&lt;br&gt;Présent sur "&amp;RW206&amp;" tournée(s)&lt;br&gt;&lt;br&gt;Taux de remplissage moyen "&amp;TEXT(RU206*1000,"0 %")&amp;"]]&gt;&lt;/description&gt;
      &lt;Style&gt;
        &lt;IconStyle&gt;
          &lt;color&gt;ff"&amp;
          DEC2HEX(0,2)&amp;
          DEC2HEX(
            IF(RU206&lt;=0.5,
               INT(255*(RU206*2)),
               255
            ),2)&amp;
          DEC2HEX(
            IF(RU206&lt;=0.5,
               255,
               INT(255*(1-(RU206-0.5)*2))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&lt;Point&gt;&lt;coordinates&gt;"&amp;R206&amp;","&amp;Q206&amp;",0&lt;/coordinates&gt;&lt;/Point&gt;
    &lt;/Placemark&gt;"
)))</f>
        <v xml:space="preserve">    &lt;Placemark&gt;
      &lt;description&gt;&lt;![CDATA[MAROMME - 2 Rue de Binche (Parking école Delbos)&lt;br&gt;&lt;br&gt;1 CAV&lt;br&gt;&lt;br&gt;Présent sur 1 tournée(s)&lt;br&gt;&lt;br&gt;Taux de remplissage moyen 79%]]&gt;&lt;/description&gt;
      &lt;Style&gt;
        &lt;IconStyle&gt;
          &lt;color&gt;ff00FF6D&lt;/color&gt;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&lt;Point&gt;&lt;coordinates&gt;1.0413057,49.474356,0&lt;/coordinates&gt;&lt;/Point&gt;
    &lt;/Placemark&gt;</v>
      </c>
    </row>
    <row r="207" spans="2:494" ht="15" customHeight="1" x14ac:dyDescent="0.35">
      <c r="B207" s="153" t="str">
        <f t="shared" si="176"/>
        <v>ROUEN - 29 Rue George d'Ambroise (Angle rue Duguay Trouin)</v>
      </c>
      <c r="C207" s="154">
        <v>140</v>
      </c>
      <c r="D207" s="155"/>
      <c r="E207" s="155"/>
      <c r="F207" s="155"/>
      <c r="G207" s="155"/>
      <c r="H207" s="155"/>
      <c r="I207" s="155"/>
      <c r="J207" s="156"/>
      <c r="K207" s="157">
        <f t="shared" si="177"/>
        <v>1</v>
      </c>
      <c r="L207" s="157">
        <f t="shared" si="178"/>
        <v>2</v>
      </c>
      <c r="M207" s="158" t="s">
        <v>1127</v>
      </c>
      <c r="N207" s="159" t="s">
        <v>1128</v>
      </c>
      <c r="O207" s="159">
        <v>76000</v>
      </c>
      <c r="P207" s="159" t="s">
        <v>90</v>
      </c>
      <c r="Q207" s="159" t="s">
        <v>1129</v>
      </c>
      <c r="R207" s="159" t="s">
        <v>1130</v>
      </c>
      <c r="S207" s="159" t="s">
        <v>93</v>
      </c>
      <c r="T207" s="159" t="s">
        <v>94</v>
      </c>
      <c r="U207" s="159" t="s">
        <v>1131</v>
      </c>
      <c r="V207" s="160" t="s">
        <v>96</v>
      </c>
      <c r="W207" s="161">
        <v>27</v>
      </c>
      <c r="X207" s="162">
        <v>23</v>
      </c>
      <c r="Y207" s="163"/>
      <c r="Z207" s="162"/>
      <c r="AA207" s="163"/>
      <c r="AB207" s="162"/>
      <c r="AC207" s="163"/>
      <c r="AD207" s="162"/>
      <c r="AE207" s="163"/>
      <c r="AF207" s="162"/>
      <c r="AG207" s="163"/>
      <c r="AH207" s="163"/>
      <c r="AI207" s="162"/>
      <c r="AJ207" s="163"/>
      <c r="AK207" s="162"/>
      <c r="AL207" s="163"/>
      <c r="AM207" s="162"/>
      <c r="AN207" s="163"/>
      <c r="AO207" s="162"/>
      <c r="AP207" s="164"/>
      <c r="AQ207" s="164"/>
      <c r="AR207" s="164"/>
      <c r="AS207" s="164"/>
      <c r="AT207" s="164"/>
      <c r="AU207" s="164"/>
      <c r="AV207" s="164"/>
      <c r="AW207" s="164"/>
      <c r="AX207" s="164"/>
      <c r="AY207" s="165"/>
      <c r="AZ207" s="41"/>
      <c r="BA207" s="190"/>
      <c r="BB207" s="191"/>
      <c r="BC207" s="191"/>
      <c r="BD207" s="191"/>
      <c r="BE207" s="191"/>
      <c r="BF207" s="191"/>
      <c r="BG207" s="191"/>
      <c r="BH207" s="191"/>
      <c r="BI207" s="191"/>
      <c r="BJ207" s="191">
        <v>100</v>
      </c>
      <c r="BK207" s="191"/>
      <c r="BL207" s="191"/>
      <c r="BM207" s="191"/>
      <c r="BN207" s="191"/>
      <c r="BO207" s="191"/>
      <c r="BP207" s="191"/>
      <c r="BQ207" s="191"/>
      <c r="BR207" s="191"/>
      <c r="BS207" s="191"/>
      <c r="BT207" s="191"/>
      <c r="BU207" s="191"/>
      <c r="BV207" s="191"/>
      <c r="BW207" s="191"/>
      <c r="BX207" s="191"/>
      <c r="BY207" s="191"/>
      <c r="BZ207" s="191"/>
      <c r="CA207" s="191"/>
      <c r="CB207" s="191"/>
      <c r="CC207" s="191"/>
      <c r="CD207" s="191"/>
      <c r="CE207" s="192">
        <v>10</v>
      </c>
      <c r="CF207" s="190"/>
      <c r="CG207" s="191"/>
      <c r="CH207" s="191"/>
      <c r="CI207" s="191"/>
      <c r="CJ207" s="191"/>
      <c r="CK207" s="191"/>
      <c r="CL207" s="191">
        <v>50</v>
      </c>
      <c r="CM207" s="191"/>
      <c r="CN207" s="191"/>
      <c r="CO207" s="191"/>
      <c r="CP207" s="191"/>
      <c r="CQ207" s="191"/>
      <c r="CR207" s="191"/>
      <c r="CS207" s="191">
        <v>10</v>
      </c>
      <c r="CT207" s="191"/>
      <c r="CU207" s="191"/>
      <c r="CV207" s="191"/>
      <c r="CW207" s="191"/>
      <c r="CX207" s="191"/>
      <c r="CY207" s="191"/>
      <c r="CZ207" s="191"/>
      <c r="DA207" s="191"/>
      <c r="DB207" s="191"/>
      <c r="DC207" s="191"/>
      <c r="DD207" s="191"/>
      <c r="DE207" s="191"/>
      <c r="DF207" s="191"/>
      <c r="DG207" s="191"/>
      <c r="DH207" s="193"/>
      <c r="DI207" s="194"/>
      <c r="DJ207" s="191"/>
      <c r="DK207" s="191"/>
      <c r="DL207" s="191"/>
      <c r="DM207" s="191"/>
      <c r="DN207" s="191"/>
      <c r="DO207" s="191"/>
      <c r="DP207" s="191"/>
      <c r="DQ207" s="191"/>
      <c r="DR207" s="191"/>
      <c r="DS207" s="191"/>
      <c r="DT207" s="191"/>
      <c r="DU207" s="191"/>
      <c r="DV207" s="191"/>
      <c r="DW207" s="191"/>
      <c r="DX207" s="191"/>
      <c r="DY207" s="191"/>
      <c r="DZ207" s="191"/>
      <c r="EA207" s="191"/>
      <c r="EB207" s="191"/>
      <c r="EC207" s="191">
        <v>50</v>
      </c>
      <c r="ED207" s="191"/>
      <c r="EE207" s="191"/>
      <c r="EF207" s="191"/>
      <c r="EG207" s="191"/>
      <c r="EH207" s="191"/>
      <c r="EI207" s="191"/>
      <c r="EJ207" s="191"/>
      <c r="EK207" s="191"/>
      <c r="EL207" s="191"/>
      <c r="EM207" s="192"/>
      <c r="EN207" s="190"/>
      <c r="EO207" s="191"/>
      <c r="EP207" s="191"/>
      <c r="EQ207" s="191"/>
      <c r="ER207" s="191"/>
      <c r="ES207" s="191"/>
      <c r="ET207" s="191"/>
      <c r="EU207" s="191"/>
      <c r="EV207" s="191"/>
      <c r="EW207" s="191"/>
      <c r="EX207" s="191"/>
      <c r="EY207" s="191"/>
      <c r="EZ207" s="191"/>
      <c r="FA207" s="191"/>
      <c r="FB207" s="191"/>
      <c r="FC207" s="191"/>
      <c r="FD207" s="191"/>
      <c r="FE207" s="191"/>
      <c r="FF207" s="191"/>
      <c r="FG207" s="191"/>
      <c r="FH207" s="191"/>
      <c r="FI207" s="191"/>
      <c r="FJ207" s="191"/>
      <c r="FK207" s="191"/>
      <c r="FL207" s="191"/>
      <c r="FM207" s="191"/>
      <c r="FN207" s="191"/>
      <c r="FO207" s="191"/>
      <c r="FP207" s="191"/>
      <c r="FQ207" s="193"/>
      <c r="FR207" s="194"/>
      <c r="FS207" s="191"/>
      <c r="FT207" s="191"/>
      <c r="FU207" s="191"/>
      <c r="FV207" s="191"/>
      <c r="FW207" s="191"/>
      <c r="FX207" s="191"/>
      <c r="FY207" s="191"/>
      <c r="FZ207" s="191"/>
      <c r="GA207" s="191"/>
      <c r="GB207" s="191"/>
      <c r="GC207" s="191"/>
      <c r="GD207" s="191"/>
      <c r="GE207" s="191"/>
      <c r="GF207" s="191"/>
      <c r="GG207" s="191">
        <v>50</v>
      </c>
      <c r="GH207" s="191"/>
      <c r="GI207" s="191"/>
      <c r="GJ207" s="191"/>
      <c r="GK207" s="191"/>
      <c r="GL207" s="191"/>
      <c r="GM207" s="191"/>
      <c r="GN207" s="191"/>
      <c r="GO207" s="191"/>
      <c r="GP207" s="191"/>
      <c r="GQ207" s="191"/>
      <c r="GR207" s="191"/>
      <c r="GS207" s="191"/>
      <c r="GT207" s="191"/>
      <c r="GU207" s="191"/>
      <c r="GV207" s="192"/>
      <c r="GW207" s="190"/>
      <c r="GX207" s="191"/>
      <c r="GY207" s="191"/>
      <c r="GZ207" s="191"/>
      <c r="HA207" s="191"/>
      <c r="HB207" s="191"/>
      <c r="HC207" s="191"/>
      <c r="HD207" s="191"/>
      <c r="HE207" s="191"/>
      <c r="HF207" s="191"/>
      <c r="HG207" s="191"/>
      <c r="HH207" s="191"/>
      <c r="HI207" s="191"/>
      <c r="HJ207" s="191"/>
      <c r="HK207" s="191"/>
      <c r="HL207" s="191"/>
      <c r="HM207" s="191"/>
      <c r="HN207" s="191"/>
      <c r="HO207" s="191"/>
      <c r="HP207" s="191">
        <v>200</v>
      </c>
      <c r="HQ207" s="191"/>
      <c r="HR207" s="191"/>
      <c r="HS207" s="191"/>
      <c r="HT207" s="191"/>
      <c r="HU207" s="191"/>
      <c r="HV207" s="191"/>
      <c r="HW207" s="191"/>
      <c r="HX207" s="191"/>
      <c r="HY207" s="191"/>
      <c r="HZ207" s="193"/>
      <c r="IA207" s="194"/>
      <c r="IB207" s="191"/>
      <c r="IC207" s="191">
        <v>10</v>
      </c>
      <c r="ID207" s="191">
        <v>50</v>
      </c>
      <c r="IE207" s="191"/>
      <c r="IF207" s="191"/>
      <c r="IG207" s="191"/>
      <c r="IH207" s="191"/>
      <c r="II207" s="191"/>
      <c r="IJ207" s="191">
        <v>10</v>
      </c>
      <c r="IK207" s="191"/>
      <c r="IL207" s="191"/>
      <c r="IM207" s="191"/>
      <c r="IN207" s="191"/>
      <c r="IO207" s="191"/>
      <c r="IP207" s="191"/>
      <c r="IQ207" s="191"/>
      <c r="IR207" s="191"/>
      <c r="IS207" s="191"/>
      <c r="IT207" s="191"/>
      <c r="IU207" s="191"/>
      <c r="IV207" s="191"/>
      <c r="IW207" s="191"/>
      <c r="IX207" s="191"/>
      <c r="IY207" s="191"/>
      <c r="IZ207" s="191"/>
      <c r="JA207" s="191"/>
      <c r="JB207" s="191"/>
      <c r="JC207" s="191"/>
      <c r="JD207" s="191"/>
      <c r="JE207" s="192"/>
      <c r="JF207" s="190">
        <v>50</v>
      </c>
      <c r="JG207" s="191"/>
      <c r="JH207" s="191"/>
      <c r="JI207" s="191"/>
      <c r="JJ207" s="191"/>
      <c r="JK207" s="191"/>
      <c r="JL207" s="191"/>
      <c r="JM207" s="191">
        <v>100</v>
      </c>
      <c r="JN207" s="191"/>
      <c r="JO207" s="191"/>
      <c r="JP207" s="191"/>
      <c r="JQ207" s="191"/>
      <c r="JR207" s="191"/>
      <c r="JS207" s="191"/>
      <c r="JT207" s="191"/>
      <c r="JU207" s="191"/>
      <c r="JV207" s="191"/>
      <c r="JW207" s="191"/>
      <c r="JX207" s="191"/>
      <c r="JY207" s="191"/>
      <c r="JZ207" s="191"/>
      <c r="KA207" s="191">
        <v>50</v>
      </c>
      <c r="KB207" s="191"/>
      <c r="KC207" s="191"/>
      <c r="KD207" s="191"/>
      <c r="KE207" s="191"/>
      <c r="KF207" s="191"/>
      <c r="KG207" s="191"/>
      <c r="KH207" s="191">
        <v>50</v>
      </c>
      <c r="KI207" s="191"/>
      <c r="KJ207" s="193"/>
      <c r="KK207" s="194"/>
      <c r="KL207" s="191"/>
      <c r="KM207" s="191"/>
      <c r="KN207" s="191">
        <v>50</v>
      </c>
      <c r="KO207" s="191"/>
      <c r="KP207" s="191"/>
      <c r="KQ207" s="191"/>
      <c r="KR207" s="191"/>
      <c r="KS207" s="191"/>
      <c r="KT207" s="191"/>
      <c r="KU207" s="191"/>
      <c r="KV207" s="191">
        <v>100</v>
      </c>
      <c r="KW207" s="191"/>
      <c r="KX207" s="191"/>
      <c r="KY207" s="191"/>
      <c r="KZ207" s="191"/>
      <c r="LA207" s="191"/>
      <c r="LB207" s="191"/>
      <c r="LC207" s="191">
        <v>50</v>
      </c>
      <c r="LD207" s="191"/>
      <c r="LE207" s="191"/>
      <c r="LF207" s="191"/>
      <c r="LG207" s="191"/>
      <c r="LH207" s="191"/>
      <c r="LI207" s="191"/>
      <c r="LJ207" s="191">
        <v>50</v>
      </c>
      <c r="LK207" s="191"/>
      <c r="LL207" s="191"/>
      <c r="LM207" s="191"/>
      <c r="LN207" s="192"/>
      <c r="LO207" s="190"/>
      <c r="LP207" s="191"/>
      <c r="LQ207" s="191"/>
      <c r="LR207" s="191"/>
      <c r="LS207" s="191"/>
      <c r="LT207" s="191"/>
      <c r="LU207" s="191">
        <v>10</v>
      </c>
      <c r="LV207" s="191"/>
      <c r="LW207" s="191"/>
      <c r="LX207" s="191">
        <v>150</v>
      </c>
      <c r="LY207" s="191"/>
      <c r="LZ207" s="191"/>
      <c r="MA207" s="191">
        <v>10</v>
      </c>
      <c r="MB207" s="191"/>
      <c r="MC207" s="191"/>
      <c r="MD207" s="191"/>
      <c r="ME207" s="191">
        <v>50</v>
      </c>
      <c r="MF207" s="191"/>
      <c r="MG207" s="191"/>
      <c r="MH207" s="191">
        <v>50</v>
      </c>
      <c r="MI207" s="191"/>
      <c r="MJ207" s="191"/>
      <c r="MK207" s="191"/>
      <c r="ML207" s="191">
        <v>10</v>
      </c>
      <c r="MM207" s="191"/>
      <c r="MN207" s="191"/>
      <c r="MO207" s="191">
        <v>10</v>
      </c>
      <c r="MP207" s="191"/>
      <c r="MQ207" s="191"/>
      <c r="MR207" s="191"/>
      <c r="MS207" s="193">
        <v>50</v>
      </c>
      <c r="MT207" s="194"/>
      <c r="MU207" s="191"/>
      <c r="MV207" s="191">
        <v>50</v>
      </c>
      <c r="MW207" s="191"/>
      <c r="MX207" s="191"/>
      <c r="MY207" s="191"/>
      <c r="MZ207" s="191">
        <v>50</v>
      </c>
      <c r="NA207" s="191"/>
      <c r="NB207" s="191"/>
      <c r="NC207" s="191">
        <v>10</v>
      </c>
      <c r="ND207" s="191"/>
      <c r="NE207" s="191"/>
      <c r="NF207" s="191"/>
      <c r="NG207" s="191">
        <v>50</v>
      </c>
      <c r="NH207" s="191"/>
      <c r="NI207" s="191"/>
      <c r="NJ207" s="191"/>
      <c r="NK207" s="191"/>
      <c r="NL207" s="191"/>
      <c r="NM207" s="191"/>
      <c r="NN207" s="191">
        <v>50</v>
      </c>
      <c r="NO207" s="191"/>
      <c r="NP207" s="191"/>
      <c r="NQ207" s="191">
        <v>10</v>
      </c>
      <c r="NR207" s="191"/>
      <c r="NS207" s="191"/>
      <c r="NT207" s="191"/>
      <c r="NU207" s="191">
        <v>50</v>
      </c>
      <c r="NV207" s="191"/>
      <c r="NW207" s="192"/>
      <c r="NX207" s="190">
        <v>10</v>
      </c>
      <c r="NY207" s="191"/>
      <c r="NZ207" s="191"/>
      <c r="OA207" s="191"/>
      <c r="OB207" s="191">
        <v>10</v>
      </c>
      <c r="OC207" s="191"/>
      <c r="OD207" s="191"/>
      <c r="OE207" s="191">
        <v>10</v>
      </c>
      <c r="OF207" s="191"/>
      <c r="OG207" s="191"/>
      <c r="OH207" s="191"/>
      <c r="OI207" s="191"/>
      <c r="OJ207" s="191"/>
      <c r="OK207" s="191"/>
      <c r="OL207" s="191"/>
      <c r="OM207" s="191"/>
      <c r="ON207" s="191"/>
      <c r="OO207" s="191"/>
      <c r="OP207" s="191"/>
      <c r="OQ207" s="191"/>
      <c r="OR207" s="191"/>
      <c r="OS207" s="191"/>
      <c r="OT207" s="191"/>
      <c r="OU207" s="191"/>
      <c r="OV207" s="191"/>
      <c r="OW207" s="191"/>
      <c r="OX207" s="191"/>
      <c r="OY207" s="191"/>
      <c r="OZ207" s="191"/>
      <c r="PA207" s="191"/>
      <c r="PB207" s="193"/>
      <c r="PC207" s="47"/>
      <c r="PD207" s="154" t="s">
        <v>97</v>
      </c>
      <c r="PE207" s="155" t="s">
        <v>98</v>
      </c>
      <c r="PF207" s="155" t="s">
        <v>98</v>
      </c>
      <c r="PG207" s="155" t="s">
        <v>98</v>
      </c>
      <c r="PH207" s="155" t="s">
        <v>98</v>
      </c>
      <c r="PI207" s="155" t="s">
        <v>98</v>
      </c>
      <c r="PJ207" s="155" t="s">
        <v>98</v>
      </c>
      <c r="PK207" s="155" t="s">
        <v>98</v>
      </c>
      <c r="PL207" s="155" t="s">
        <v>98</v>
      </c>
      <c r="PM207" s="155" t="s">
        <v>98</v>
      </c>
      <c r="PN207" s="155" t="s">
        <v>98</v>
      </c>
      <c r="PO207" s="156"/>
      <c r="PP207" s="156"/>
      <c r="PQ207" s="156"/>
      <c r="PR207" s="156"/>
      <c r="PS207" s="156"/>
      <c r="PT207" s="156"/>
      <c r="PU207" s="156"/>
      <c r="PV207" s="156"/>
      <c r="PW207" s="156"/>
      <c r="PX207" s="195"/>
      <c r="PY207" s="1"/>
      <c r="PZ207" s="196">
        <f t="shared" si="179"/>
        <v>110</v>
      </c>
      <c r="QA207" s="218">
        <f t="shared" si="180"/>
        <v>9.1766079919913238E-4</v>
      </c>
      <c r="QB207" s="219" t="str">
        <f t="shared" ca="1" si="181"/>
        <v>Attente…</v>
      </c>
      <c r="QC207" s="197">
        <f t="shared" si="182"/>
        <v>60</v>
      </c>
      <c r="QD207" s="220">
        <f t="shared" si="183"/>
        <v>5.6179775280898881E-4</v>
      </c>
      <c r="QE207" s="221" t="str">
        <f t="shared" ca="1" si="184"/>
        <v>Attente…</v>
      </c>
      <c r="QF207" s="196">
        <f t="shared" si="185"/>
        <v>50</v>
      </c>
      <c r="QG207" s="218">
        <f t="shared" si="186"/>
        <v>3.9815257206561556E-4</v>
      </c>
      <c r="QH207" s="219" t="str">
        <f t="shared" ca="1" si="187"/>
        <v>Attente…</v>
      </c>
      <c r="QI207" s="197">
        <f t="shared" si="188"/>
        <v>0</v>
      </c>
      <c r="QJ207" s="220">
        <f t="shared" si="189"/>
        <v>0</v>
      </c>
      <c r="QK207" s="221" t="str">
        <f t="shared" ca="1" si="190"/>
        <v>Attente…</v>
      </c>
      <c r="QL207" s="196">
        <f t="shared" si="191"/>
        <v>50</v>
      </c>
      <c r="QM207" s="218">
        <f t="shared" si="192"/>
        <v>3.658179689786362E-4</v>
      </c>
      <c r="QN207" s="219" t="str">
        <f t="shared" ca="1" si="193"/>
        <v>Attente…</v>
      </c>
      <c r="QO207" s="197">
        <f t="shared" si="194"/>
        <v>200</v>
      </c>
      <c r="QP207" s="220">
        <f t="shared" si="195"/>
        <v>1.5658028654192437E-3</v>
      </c>
      <c r="QQ207" s="221" t="str">
        <f t="shared" ca="1" si="196"/>
        <v>Attente…</v>
      </c>
      <c r="QR207" s="196">
        <f t="shared" si="197"/>
        <v>70</v>
      </c>
      <c r="QS207" s="218">
        <f t="shared" si="198"/>
        <v>5.0394154278103739E-4</v>
      </c>
      <c r="QT207" s="219" t="str">
        <f t="shared" ca="1" si="199"/>
        <v>Attente…</v>
      </c>
      <c r="QU207" s="197">
        <f t="shared" si="200"/>
        <v>250</v>
      </c>
      <c r="QV207" s="220">
        <f t="shared" si="201"/>
        <v>1.7236624379481523E-3</v>
      </c>
      <c r="QW207" s="221" t="str">
        <f t="shared" ca="1" si="202"/>
        <v>Attente…</v>
      </c>
      <c r="QX207" s="196">
        <f t="shared" si="203"/>
        <v>250</v>
      </c>
      <c r="QY207" s="218">
        <f t="shared" si="204"/>
        <v>1.8243381301263901E-3</v>
      </c>
      <c r="QZ207" s="219" t="str">
        <f t="shared" ca="1" si="205"/>
        <v>Attente…</v>
      </c>
      <c r="RA207" s="197">
        <f t="shared" si="206"/>
        <v>340</v>
      </c>
      <c r="RB207" s="220">
        <f t="shared" si="207"/>
        <v>2.6601987324935453E-3</v>
      </c>
      <c r="RC207" s="221" t="str">
        <f t="shared" ca="1" si="208"/>
        <v>Attente…</v>
      </c>
      <c r="RD207" s="196">
        <f t="shared" si="209"/>
        <v>270</v>
      </c>
      <c r="RE207" s="218">
        <f t="shared" si="210"/>
        <v>2.6903148664806694E-3</v>
      </c>
      <c r="RF207" s="219" t="str">
        <f t="shared" ca="1" si="211"/>
        <v>Attente…</v>
      </c>
      <c r="RG207" s="197">
        <f t="shared" si="212"/>
        <v>30</v>
      </c>
      <c r="RH207" s="220">
        <f t="shared" si="213"/>
        <v>5.5177487585065296E-4</v>
      </c>
      <c r="RI207" s="222" t="str">
        <f t="shared" ca="1" si="214"/>
        <v>Attente…</v>
      </c>
      <c r="RJ207" s="199">
        <f t="shared" si="215"/>
        <v>220</v>
      </c>
      <c r="RK207" s="200" t="str">
        <f t="shared" ca="1" si="172"/>
        <v>Attente…</v>
      </c>
      <c r="RL207" s="199">
        <f t="shared" si="216"/>
        <v>250</v>
      </c>
      <c r="RM207" s="200" t="str">
        <f t="shared" ca="1" si="217"/>
        <v>Atttente…</v>
      </c>
      <c r="RN207" s="199">
        <f t="shared" si="218"/>
        <v>570</v>
      </c>
      <c r="RO207" s="200" t="str">
        <f t="shared" ca="1" si="173"/>
        <v>Attente…</v>
      </c>
      <c r="RP207" s="199">
        <f t="shared" si="219"/>
        <v>640</v>
      </c>
      <c r="RQ207" s="200" t="str">
        <f t="shared" ca="1" si="174"/>
        <v>Attente…</v>
      </c>
      <c r="RR207" s="201">
        <f t="shared" si="220"/>
        <v>1680</v>
      </c>
      <c r="RS207" s="202" t="str">
        <f t="shared" ca="1" si="175"/>
        <v>Attente…</v>
      </c>
      <c r="RT207" s="103"/>
      <c r="RU207" s="203">
        <f t="shared" si="221"/>
        <v>0.23333333333333331</v>
      </c>
      <c r="RV207" s="204">
        <f t="shared" si="171"/>
        <v>1</v>
      </c>
      <c r="RW207" s="204">
        <f t="shared" si="171"/>
        <v>2</v>
      </c>
      <c r="RX207" s="204">
        <f t="shared" si="222"/>
        <v>36</v>
      </c>
      <c r="RY207" s="205" t="str">
        <f t="shared" si="223"/>
        <v>ROUEN - 29 Rue George d'Ambroise (Angle rue Duguay Trouin)</v>
      </c>
      <c r="RZ207" s="189" t="str">
        <f>IF(OR(RZ206="",RZ206="  &lt;/Document&gt;
&lt;/kml&gt;"),"",
IF(B207="","  &lt;/Document&gt;
&lt;/kml&gt;",
IF(TournéesCAV!Q207=""," ",
"    &lt;Placemark&gt;
      &lt;description&gt;&lt;![CDATA["&amp;B207&amp;"&lt;br&gt;&lt;br&gt;"&amp;RV207&amp;" CAV&lt;br&gt;&lt;br&gt;Présent sur "&amp;RW207&amp;" tournée(s)&lt;br&gt;&lt;br&gt;Taux de remplissage moyen "&amp;TEXT(RU207*1000,"0 %")&amp;"]]&gt;&lt;/description&gt;
      &lt;Style&gt;
        &lt;IconStyle&gt;
          &lt;color&gt;ff"&amp;
          DEC2HEX(0,2)&amp;
          DEC2HEX(
            IF(RU207&lt;=0.5,
               INT(255*(RU207*2)),
               255
            ),2)&amp;
          DEC2HEX(
            IF(RU207&lt;=0.5,
               255,
               INT(255*(1-(RU207-0.5)*2))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&lt;Point&gt;&lt;coordinates&gt;"&amp;R207&amp;","&amp;Q207&amp;",0&lt;/coordinates&gt;&lt;/Point&gt;
    &lt;/Placemark&gt;"
)))</f>
        <v xml:space="preserve">    &lt;Placemark&gt;
      &lt;description&gt;&lt;![CDATA[ROUEN - 29 Rue George d'Ambroise (Angle rue Duguay Trouin)&lt;br&gt;&lt;br&gt;1 CAV&lt;br&gt;&lt;br&gt;Présent sur 2 tournée(s)&lt;br&gt;&lt;br&gt;Taux de remplissage moyen 23%]]&gt;&lt;/description&gt;
      &lt;Style&gt;
        &lt;IconStyle&gt;
          &lt;color&gt;ff0077FF&lt;/color&gt;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&lt;Point&gt;&lt;coordinates&gt;1.0808909,49.4430129,0&lt;/coordinates&gt;&lt;/Point&gt;
    &lt;/Placemark&gt;</v>
      </c>
    </row>
    <row r="208" spans="2:494" ht="15" customHeight="1" x14ac:dyDescent="0.35">
      <c r="B208" s="153" t="str">
        <f t="shared" si="176"/>
        <v>ROUEN - 79 Rue Amédée Dormoy (A coté de l'entrée Intermarché)</v>
      </c>
      <c r="C208" s="154">
        <v>125</v>
      </c>
      <c r="D208" s="155"/>
      <c r="E208" s="155"/>
      <c r="F208" s="155"/>
      <c r="G208" s="155"/>
      <c r="H208" s="155"/>
      <c r="I208" s="155"/>
      <c r="J208" s="156"/>
      <c r="K208" s="157">
        <f t="shared" si="177"/>
        <v>1</v>
      </c>
      <c r="L208" s="157">
        <f t="shared" si="178"/>
        <v>2</v>
      </c>
      <c r="M208" s="158" t="s">
        <v>1132</v>
      </c>
      <c r="N208" s="159" t="s">
        <v>1133</v>
      </c>
      <c r="O208" s="159">
        <v>76000</v>
      </c>
      <c r="P208" s="159" t="s">
        <v>90</v>
      </c>
      <c r="Q208" s="159" t="s">
        <v>1134</v>
      </c>
      <c r="R208" s="159" t="s">
        <v>1135</v>
      </c>
      <c r="S208" s="159" t="s">
        <v>93</v>
      </c>
      <c r="T208" s="159" t="s">
        <v>94</v>
      </c>
      <c r="U208" s="159" t="s">
        <v>1136</v>
      </c>
      <c r="V208" s="160" t="s">
        <v>96</v>
      </c>
      <c r="W208" s="210">
        <v>28</v>
      </c>
      <c r="X208" s="162">
        <v>29</v>
      </c>
      <c r="Y208" s="162"/>
      <c r="Z208" s="162"/>
      <c r="AA208" s="162"/>
      <c r="AB208" s="162"/>
      <c r="AC208" s="162"/>
      <c r="AD208" s="162"/>
      <c r="AE208" s="162"/>
      <c r="AF208" s="162"/>
      <c r="AG208" s="162"/>
      <c r="AH208" s="162"/>
      <c r="AI208" s="162"/>
      <c r="AJ208" s="162"/>
      <c r="AK208" s="162"/>
      <c r="AL208" s="162"/>
      <c r="AM208" s="162"/>
      <c r="AN208" s="162"/>
      <c r="AO208" s="162"/>
      <c r="AP208" s="164"/>
      <c r="AQ208" s="164"/>
      <c r="AR208" s="164"/>
      <c r="AS208" s="164"/>
      <c r="AT208" s="164"/>
      <c r="AU208" s="164"/>
      <c r="AV208" s="164"/>
      <c r="AW208" s="164"/>
      <c r="AX208" s="164"/>
      <c r="AY208" s="165"/>
      <c r="AZ208" s="41"/>
      <c r="BA208" s="190"/>
      <c r="BB208" s="191"/>
      <c r="BC208" s="191">
        <v>100</v>
      </c>
      <c r="BD208" s="191"/>
      <c r="BE208" s="191"/>
      <c r="BF208" s="191"/>
      <c r="BG208" s="191"/>
      <c r="BH208" s="191"/>
      <c r="BI208" s="191"/>
      <c r="BJ208" s="191">
        <v>100</v>
      </c>
      <c r="BK208" s="191"/>
      <c r="BL208" s="191"/>
      <c r="BM208" s="191">
        <v>50</v>
      </c>
      <c r="BN208" s="191"/>
      <c r="BO208" s="191"/>
      <c r="BP208" s="191"/>
      <c r="BQ208" s="191">
        <v>10</v>
      </c>
      <c r="BR208" s="191"/>
      <c r="BS208" s="191"/>
      <c r="BT208" s="191"/>
      <c r="BU208" s="191"/>
      <c r="BV208" s="191"/>
      <c r="BW208" s="191"/>
      <c r="BX208" s="191">
        <v>10</v>
      </c>
      <c r="BY208" s="191"/>
      <c r="BZ208" s="191"/>
      <c r="CA208" s="191">
        <v>150</v>
      </c>
      <c r="CB208" s="191"/>
      <c r="CC208" s="191"/>
      <c r="CD208" s="191"/>
      <c r="CE208" s="192">
        <v>10</v>
      </c>
      <c r="CF208" s="190"/>
      <c r="CG208" s="191"/>
      <c r="CH208" s="191">
        <v>100</v>
      </c>
      <c r="CI208" s="191"/>
      <c r="CJ208" s="191"/>
      <c r="CK208" s="191"/>
      <c r="CL208" s="191">
        <v>10</v>
      </c>
      <c r="CM208" s="191"/>
      <c r="CN208" s="191"/>
      <c r="CO208" s="191">
        <v>10</v>
      </c>
      <c r="CP208" s="191"/>
      <c r="CQ208" s="191"/>
      <c r="CR208" s="191"/>
      <c r="CS208" s="191">
        <v>100</v>
      </c>
      <c r="CT208" s="191"/>
      <c r="CU208" s="191"/>
      <c r="CV208" s="191">
        <v>50</v>
      </c>
      <c r="CW208" s="191"/>
      <c r="CX208" s="191"/>
      <c r="CY208" s="191"/>
      <c r="CZ208" s="191">
        <v>50</v>
      </c>
      <c r="DA208" s="191"/>
      <c r="DB208" s="191"/>
      <c r="DC208" s="191">
        <v>150</v>
      </c>
      <c r="DD208" s="191"/>
      <c r="DE208" s="191"/>
      <c r="DF208" s="191"/>
      <c r="DG208" s="191">
        <v>100</v>
      </c>
      <c r="DH208" s="193"/>
      <c r="DI208" s="194"/>
      <c r="DJ208" s="191"/>
      <c r="DK208" s="191">
        <v>50</v>
      </c>
      <c r="DL208" s="191"/>
      <c r="DM208" s="191"/>
      <c r="DN208" s="191"/>
      <c r="DO208" s="191"/>
      <c r="DP208" s="191"/>
      <c r="DQ208" s="191"/>
      <c r="DR208" s="191">
        <v>150</v>
      </c>
      <c r="DS208" s="191"/>
      <c r="DT208" s="191"/>
      <c r="DU208" s="191"/>
      <c r="DV208" s="191">
        <v>100</v>
      </c>
      <c r="DW208" s="191"/>
      <c r="DX208" s="191"/>
      <c r="DY208" s="191">
        <v>100</v>
      </c>
      <c r="DZ208" s="191"/>
      <c r="EA208" s="191"/>
      <c r="EB208" s="191"/>
      <c r="EC208" s="191">
        <v>50</v>
      </c>
      <c r="ED208" s="191"/>
      <c r="EE208" s="191"/>
      <c r="EF208" s="191">
        <v>100</v>
      </c>
      <c r="EG208" s="191"/>
      <c r="EH208" s="191"/>
      <c r="EI208" s="191"/>
      <c r="EJ208" s="191">
        <v>50</v>
      </c>
      <c r="EK208" s="191"/>
      <c r="EL208" s="191"/>
      <c r="EM208" s="192">
        <v>100</v>
      </c>
      <c r="EN208" s="190"/>
      <c r="EO208" s="191"/>
      <c r="EP208" s="191"/>
      <c r="EQ208" s="191">
        <v>50</v>
      </c>
      <c r="ER208" s="191"/>
      <c r="ES208" s="191"/>
      <c r="ET208" s="191">
        <v>50</v>
      </c>
      <c r="EU208" s="191"/>
      <c r="EV208" s="191"/>
      <c r="EW208" s="191"/>
      <c r="EX208" s="191">
        <v>100</v>
      </c>
      <c r="EY208" s="191"/>
      <c r="EZ208" s="191"/>
      <c r="FA208" s="191">
        <v>50</v>
      </c>
      <c r="FB208" s="191"/>
      <c r="FC208" s="191"/>
      <c r="FD208" s="191"/>
      <c r="FE208" s="191">
        <v>50</v>
      </c>
      <c r="FF208" s="191"/>
      <c r="FG208" s="191"/>
      <c r="FH208" s="191"/>
      <c r="FI208" s="191"/>
      <c r="FJ208" s="191"/>
      <c r="FK208" s="191">
        <v>100</v>
      </c>
      <c r="FL208" s="191"/>
      <c r="FM208" s="191"/>
      <c r="FN208" s="191"/>
      <c r="FO208" s="191">
        <v>100</v>
      </c>
      <c r="FP208" s="191"/>
      <c r="FQ208" s="193"/>
      <c r="FR208" s="194"/>
      <c r="FS208" s="191"/>
      <c r="FT208" s="191"/>
      <c r="FU208" s="191"/>
      <c r="FV208" s="191">
        <v>200</v>
      </c>
      <c r="FW208" s="191"/>
      <c r="FX208" s="191"/>
      <c r="FY208" s="191"/>
      <c r="FZ208" s="191">
        <v>100</v>
      </c>
      <c r="GA208" s="191"/>
      <c r="GB208" s="191"/>
      <c r="GC208" s="191"/>
      <c r="GD208" s="191"/>
      <c r="GE208" s="191"/>
      <c r="GF208" s="191"/>
      <c r="GG208" s="191"/>
      <c r="GH208" s="191"/>
      <c r="GI208" s="191"/>
      <c r="GJ208" s="191">
        <v>150</v>
      </c>
      <c r="GK208" s="191"/>
      <c r="GL208" s="191"/>
      <c r="GM208" s="191"/>
      <c r="GN208" s="191">
        <v>10</v>
      </c>
      <c r="GO208" s="191"/>
      <c r="GP208" s="191"/>
      <c r="GQ208" s="191">
        <v>50</v>
      </c>
      <c r="GR208" s="191"/>
      <c r="GS208" s="191"/>
      <c r="GT208" s="191"/>
      <c r="GU208" s="191"/>
      <c r="GV208" s="192"/>
      <c r="GW208" s="190"/>
      <c r="GX208" s="191">
        <v>100</v>
      </c>
      <c r="GY208" s="191"/>
      <c r="GZ208" s="191"/>
      <c r="HA208" s="191"/>
      <c r="HB208" s="191">
        <v>50</v>
      </c>
      <c r="HC208" s="191"/>
      <c r="HD208" s="191"/>
      <c r="HE208" s="191"/>
      <c r="HF208" s="191"/>
      <c r="HG208" s="191"/>
      <c r="HH208" s="191"/>
      <c r="HI208" s="191">
        <v>10</v>
      </c>
      <c r="HJ208" s="191"/>
      <c r="HK208" s="191"/>
      <c r="HL208" s="191"/>
      <c r="HM208" s="191"/>
      <c r="HN208" s="191"/>
      <c r="HO208" s="191"/>
      <c r="HP208" s="191">
        <v>10</v>
      </c>
      <c r="HQ208" s="191"/>
      <c r="HR208" s="191"/>
      <c r="HS208" s="191">
        <v>10</v>
      </c>
      <c r="HT208" s="191"/>
      <c r="HU208" s="191"/>
      <c r="HV208" s="191"/>
      <c r="HW208" s="191"/>
      <c r="HX208" s="191"/>
      <c r="HY208" s="191"/>
      <c r="HZ208" s="193"/>
      <c r="IA208" s="194"/>
      <c r="IB208" s="191"/>
      <c r="IC208" s="191">
        <v>100</v>
      </c>
      <c r="ID208" s="191">
        <v>10</v>
      </c>
      <c r="IE208" s="191"/>
      <c r="IF208" s="191"/>
      <c r="IG208" s="191"/>
      <c r="IH208" s="191"/>
      <c r="II208" s="191"/>
      <c r="IJ208" s="191">
        <v>100</v>
      </c>
      <c r="IK208" s="191"/>
      <c r="IL208" s="191"/>
      <c r="IM208" s="191"/>
      <c r="IN208" s="191">
        <v>100</v>
      </c>
      <c r="IO208" s="191"/>
      <c r="IP208" s="191"/>
      <c r="IQ208" s="191"/>
      <c r="IR208" s="191"/>
      <c r="IS208" s="191"/>
      <c r="IT208" s="191"/>
      <c r="IU208" s="191"/>
      <c r="IV208" s="191"/>
      <c r="IW208" s="191"/>
      <c r="IX208" s="191"/>
      <c r="IY208" s="191"/>
      <c r="IZ208" s="191"/>
      <c r="JA208" s="191"/>
      <c r="JB208" s="191"/>
      <c r="JC208" s="191"/>
      <c r="JD208" s="191"/>
      <c r="JE208" s="192"/>
      <c r="JF208" s="190">
        <v>10</v>
      </c>
      <c r="JG208" s="191"/>
      <c r="JH208" s="191"/>
      <c r="JI208" s="191"/>
      <c r="JJ208" s="191"/>
      <c r="JK208" s="191"/>
      <c r="JL208" s="191"/>
      <c r="JM208" s="191">
        <v>100</v>
      </c>
      <c r="JN208" s="191"/>
      <c r="JO208" s="191"/>
      <c r="JP208" s="191">
        <v>150</v>
      </c>
      <c r="JQ208" s="191"/>
      <c r="JR208" s="191"/>
      <c r="JS208" s="191"/>
      <c r="JT208" s="191"/>
      <c r="JU208" s="191"/>
      <c r="JV208" s="191"/>
      <c r="JW208" s="191">
        <v>100</v>
      </c>
      <c r="JX208" s="191"/>
      <c r="JY208" s="191"/>
      <c r="JZ208" s="191"/>
      <c r="KA208" s="191">
        <v>100</v>
      </c>
      <c r="KB208" s="191"/>
      <c r="KC208" s="191"/>
      <c r="KD208" s="191"/>
      <c r="KE208" s="191"/>
      <c r="KF208" s="191"/>
      <c r="KG208" s="191"/>
      <c r="KH208" s="191">
        <v>50</v>
      </c>
      <c r="KI208" s="191"/>
      <c r="KJ208" s="193"/>
      <c r="KK208" s="194">
        <v>100</v>
      </c>
      <c r="KL208" s="191"/>
      <c r="KM208" s="191"/>
      <c r="KN208" s="191">
        <v>50</v>
      </c>
      <c r="KO208" s="191"/>
      <c r="KP208" s="191"/>
      <c r="KQ208" s="191"/>
      <c r="KR208" s="191"/>
      <c r="KS208" s="191"/>
      <c r="KT208" s="191"/>
      <c r="KU208" s="191"/>
      <c r="KV208" s="191">
        <v>150</v>
      </c>
      <c r="KW208" s="191"/>
      <c r="KX208" s="191"/>
      <c r="KY208" s="191"/>
      <c r="KZ208" s="191"/>
      <c r="LA208" s="191"/>
      <c r="LB208" s="191"/>
      <c r="LC208" s="191">
        <v>100</v>
      </c>
      <c r="LD208" s="191"/>
      <c r="LE208" s="191"/>
      <c r="LF208" s="191">
        <v>100</v>
      </c>
      <c r="LG208" s="191"/>
      <c r="LH208" s="191"/>
      <c r="LI208" s="191"/>
      <c r="LJ208" s="191">
        <v>50</v>
      </c>
      <c r="LK208" s="191"/>
      <c r="LL208" s="191"/>
      <c r="LM208" s="191">
        <v>100</v>
      </c>
      <c r="LN208" s="192"/>
      <c r="LO208" s="190"/>
      <c r="LP208" s="191"/>
      <c r="LQ208" s="191"/>
      <c r="LR208" s="191"/>
      <c r="LS208" s="191"/>
      <c r="LT208" s="191"/>
      <c r="LU208" s="191">
        <v>100</v>
      </c>
      <c r="LV208" s="191"/>
      <c r="LW208" s="191"/>
      <c r="LX208" s="191">
        <v>50</v>
      </c>
      <c r="LY208" s="191"/>
      <c r="LZ208" s="191"/>
      <c r="MA208" s="191">
        <v>50</v>
      </c>
      <c r="MB208" s="191"/>
      <c r="MC208" s="191"/>
      <c r="MD208" s="191"/>
      <c r="ME208" s="191">
        <v>50</v>
      </c>
      <c r="MF208" s="191"/>
      <c r="MG208" s="191"/>
      <c r="MH208" s="191">
        <v>50</v>
      </c>
      <c r="MI208" s="191"/>
      <c r="MJ208" s="191"/>
      <c r="MK208" s="191"/>
      <c r="ML208" s="191">
        <v>10</v>
      </c>
      <c r="MM208" s="191"/>
      <c r="MN208" s="191"/>
      <c r="MO208" s="191">
        <v>50</v>
      </c>
      <c r="MP208" s="191"/>
      <c r="MQ208" s="191"/>
      <c r="MR208" s="191"/>
      <c r="MS208" s="193">
        <v>50</v>
      </c>
      <c r="MT208" s="194"/>
      <c r="MU208" s="191"/>
      <c r="MV208" s="191">
        <v>100</v>
      </c>
      <c r="MW208" s="191"/>
      <c r="MX208" s="191"/>
      <c r="MY208" s="191"/>
      <c r="MZ208" s="191">
        <v>50</v>
      </c>
      <c r="NA208" s="191"/>
      <c r="NB208" s="191"/>
      <c r="NC208" s="191">
        <v>50</v>
      </c>
      <c r="ND208" s="191"/>
      <c r="NE208" s="191"/>
      <c r="NF208" s="191"/>
      <c r="NG208" s="191">
        <v>50</v>
      </c>
      <c r="NH208" s="191"/>
      <c r="NI208" s="191"/>
      <c r="NJ208" s="191">
        <v>50</v>
      </c>
      <c r="NK208" s="191"/>
      <c r="NL208" s="191"/>
      <c r="NM208" s="191"/>
      <c r="NN208" s="191">
        <v>100</v>
      </c>
      <c r="NO208" s="191"/>
      <c r="NP208" s="191"/>
      <c r="NQ208" s="191">
        <v>100</v>
      </c>
      <c r="NR208" s="191"/>
      <c r="NS208" s="191"/>
      <c r="NT208" s="191"/>
      <c r="NU208" s="191">
        <v>100</v>
      </c>
      <c r="NV208" s="191"/>
      <c r="NW208" s="192"/>
      <c r="NX208" s="190">
        <v>50</v>
      </c>
      <c r="NY208" s="191"/>
      <c r="NZ208" s="191"/>
      <c r="OA208" s="191"/>
      <c r="OB208" s="191">
        <v>50</v>
      </c>
      <c r="OC208" s="191"/>
      <c r="OD208" s="191"/>
      <c r="OE208" s="191">
        <v>50</v>
      </c>
      <c r="OF208" s="191"/>
      <c r="OG208" s="191"/>
      <c r="OH208" s="191"/>
      <c r="OI208" s="191">
        <v>50</v>
      </c>
      <c r="OJ208" s="191"/>
      <c r="OK208" s="191"/>
      <c r="OL208" s="191"/>
      <c r="OM208" s="191"/>
      <c r="ON208" s="191"/>
      <c r="OO208" s="191"/>
      <c r="OP208" s="191"/>
      <c r="OQ208" s="191"/>
      <c r="OR208" s="191"/>
      <c r="OS208" s="191"/>
      <c r="OT208" s="191"/>
      <c r="OU208" s="191"/>
      <c r="OV208" s="191"/>
      <c r="OW208" s="191"/>
      <c r="OX208" s="191"/>
      <c r="OY208" s="191"/>
      <c r="OZ208" s="191"/>
      <c r="PA208" s="191"/>
      <c r="PB208" s="193"/>
      <c r="PC208" s="47"/>
      <c r="PD208" s="154" t="s">
        <v>97</v>
      </c>
      <c r="PE208" s="155" t="s">
        <v>98</v>
      </c>
      <c r="PF208" s="155" t="s">
        <v>98</v>
      </c>
      <c r="PG208" s="155" t="s">
        <v>98</v>
      </c>
      <c r="PH208" s="155" t="s">
        <v>98</v>
      </c>
      <c r="PI208" s="155" t="s">
        <v>98</v>
      </c>
      <c r="PJ208" s="155" t="s">
        <v>98</v>
      </c>
      <c r="PK208" s="155" t="s">
        <v>98</v>
      </c>
      <c r="PL208" s="155" t="s">
        <v>98</v>
      </c>
      <c r="PM208" s="155" t="s">
        <v>98</v>
      </c>
      <c r="PN208" s="155" t="s">
        <v>98</v>
      </c>
      <c r="PO208" s="156"/>
      <c r="PP208" s="156"/>
      <c r="PQ208" s="156"/>
      <c r="PR208" s="156"/>
      <c r="PS208" s="156"/>
      <c r="PT208" s="156"/>
      <c r="PU208" s="156"/>
      <c r="PV208" s="156"/>
      <c r="PW208" s="156"/>
      <c r="PX208" s="195"/>
      <c r="PY208" s="1"/>
      <c r="PZ208" s="196">
        <f t="shared" si="179"/>
        <v>430</v>
      </c>
      <c r="QA208" s="218">
        <f t="shared" si="180"/>
        <v>3.5872194877784266E-3</v>
      </c>
      <c r="QB208" s="219" t="str">
        <f t="shared" ca="1" si="181"/>
        <v>Attente…</v>
      </c>
      <c r="QC208" s="197">
        <f t="shared" si="182"/>
        <v>570</v>
      </c>
      <c r="QD208" s="220">
        <f t="shared" si="183"/>
        <v>5.3370786516853935E-3</v>
      </c>
      <c r="QE208" s="221" t="str">
        <f t="shared" ca="1" si="184"/>
        <v>Attente…</v>
      </c>
      <c r="QF208" s="196">
        <f t="shared" si="185"/>
        <v>700</v>
      </c>
      <c r="QG208" s="218">
        <f t="shared" si="186"/>
        <v>5.5741360089186179E-3</v>
      </c>
      <c r="QH208" s="219" t="str">
        <f t="shared" ca="1" si="187"/>
        <v>Attente…</v>
      </c>
      <c r="QI208" s="197">
        <f t="shared" si="188"/>
        <v>500</v>
      </c>
      <c r="QJ208" s="220">
        <f t="shared" si="189"/>
        <v>3.5068031982045168E-3</v>
      </c>
      <c r="QK208" s="221" t="str">
        <f t="shared" ca="1" si="190"/>
        <v>Attente…</v>
      </c>
      <c r="QL208" s="196">
        <f t="shared" si="191"/>
        <v>510</v>
      </c>
      <c r="QM208" s="218">
        <f t="shared" si="192"/>
        <v>3.7313432835820895E-3</v>
      </c>
      <c r="QN208" s="219" t="str">
        <f t="shared" ca="1" si="193"/>
        <v>Attente…</v>
      </c>
      <c r="QO208" s="197">
        <f t="shared" si="194"/>
        <v>180</v>
      </c>
      <c r="QP208" s="220">
        <f t="shared" si="195"/>
        <v>1.4092225788773192E-3</v>
      </c>
      <c r="QQ208" s="221" t="str">
        <f t="shared" ca="1" si="196"/>
        <v>Attente…</v>
      </c>
      <c r="QR208" s="196">
        <f t="shared" si="197"/>
        <v>310</v>
      </c>
      <c r="QS208" s="218">
        <f t="shared" si="198"/>
        <v>2.2317411180303084E-3</v>
      </c>
      <c r="QT208" s="219" t="str">
        <f t="shared" ca="1" si="199"/>
        <v>Attente…</v>
      </c>
      <c r="QU208" s="197">
        <f t="shared" si="200"/>
        <v>510</v>
      </c>
      <c r="QV208" s="220">
        <f t="shared" si="201"/>
        <v>3.5162713734142306E-3</v>
      </c>
      <c r="QW208" s="221" t="str">
        <f t="shared" ca="1" si="202"/>
        <v>Attente…</v>
      </c>
      <c r="QX208" s="196">
        <f t="shared" si="203"/>
        <v>650</v>
      </c>
      <c r="QY208" s="218">
        <f t="shared" si="204"/>
        <v>4.7432791383286146E-3</v>
      </c>
      <c r="QZ208" s="219" t="str">
        <f t="shared" ca="1" si="205"/>
        <v>Attente…</v>
      </c>
      <c r="RA208" s="197">
        <f t="shared" si="206"/>
        <v>410</v>
      </c>
      <c r="RB208" s="220">
        <f t="shared" si="207"/>
        <v>3.2078867068304514E-3</v>
      </c>
      <c r="RC208" s="221" t="str">
        <f t="shared" ca="1" si="208"/>
        <v>Attente…</v>
      </c>
      <c r="RD208" s="196">
        <f t="shared" si="209"/>
        <v>600</v>
      </c>
      <c r="RE208" s="218">
        <f t="shared" si="210"/>
        <v>5.9784774810681543E-3</v>
      </c>
      <c r="RF208" s="219" t="str">
        <f t="shared" ca="1" si="211"/>
        <v>Attente…</v>
      </c>
      <c r="RG208" s="197">
        <f t="shared" si="212"/>
        <v>200</v>
      </c>
      <c r="RH208" s="220">
        <f t="shared" si="213"/>
        <v>3.6784991723376862E-3</v>
      </c>
      <c r="RI208" s="222" t="str">
        <f t="shared" ca="1" si="214"/>
        <v>Attente…</v>
      </c>
      <c r="RJ208" s="199">
        <f t="shared" si="215"/>
        <v>1700</v>
      </c>
      <c r="RK208" s="200" t="str">
        <f t="shared" ca="1" si="172"/>
        <v>Attente…</v>
      </c>
      <c r="RL208" s="199">
        <f t="shared" si="216"/>
        <v>1190</v>
      </c>
      <c r="RM208" s="200" t="str">
        <f t="shared" ca="1" si="217"/>
        <v>Atttente…</v>
      </c>
      <c r="RN208" s="199">
        <f t="shared" si="218"/>
        <v>1470</v>
      </c>
      <c r="RO208" s="200" t="str">
        <f t="shared" ca="1" si="173"/>
        <v>Attente…</v>
      </c>
      <c r="RP208" s="199">
        <f t="shared" si="219"/>
        <v>1210</v>
      </c>
      <c r="RQ208" s="200" t="str">
        <f t="shared" ca="1" si="174"/>
        <v>Attente…</v>
      </c>
      <c r="RR208" s="201">
        <f t="shared" si="220"/>
        <v>5570</v>
      </c>
      <c r="RS208" s="202" t="str">
        <f t="shared" ca="1" si="175"/>
        <v>Attente…</v>
      </c>
      <c r="RT208" s="103"/>
      <c r="RU208" s="203">
        <f t="shared" si="221"/>
        <v>0.36168831168831167</v>
      </c>
      <c r="RV208" s="204">
        <f t="shared" si="171"/>
        <v>1</v>
      </c>
      <c r="RW208" s="204">
        <f t="shared" si="171"/>
        <v>2</v>
      </c>
      <c r="RX208" s="204">
        <f t="shared" si="222"/>
        <v>77</v>
      </c>
      <c r="RY208" s="205" t="str">
        <f t="shared" si="223"/>
        <v>ROUEN - 79 Rue Amédée Dormoy (A coté de l'entrée Intermarché)</v>
      </c>
      <c r="RZ208" s="189" t="str">
        <f>IF(OR(RZ207="",RZ207="  &lt;/Document&gt;
&lt;/kml&gt;"),"",
IF(B208="","  &lt;/Document&gt;
&lt;/kml&gt;",
IF(TournéesCAV!Q208=""," ",
"    &lt;Placemark&gt;
      &lt;description&gt;&lt;![CDATA["&amp;B208&amp;"&lt;br&gt;&lt;br&gt;"&amp;RV208&amp;" CAV&lt;br&gt;&lt;br&gt;Présent sur "&amp;RW208&amp;" tournée(s)&lt;br&gt;&lt;br&gt;Taux de remplissage moyen "&amp;TEXT(RU208*1000,"0 %")&amp;"]]&gt;&lt;/description&gt;
      &lt;Style&gt;
        &lt;IconStyle&gt;
          &lt;color&gt;ff"&amp;
          DEC2HEX(0,2)&amp;
          DEC2HEX(
            IF(RU208&lt;=0.5,
               INT(255*(RU208*2)),
               255
            ),2)&amp;
          DEC2HEX(
            IF(RU208&lt;=0.5,
               255,
               INT(255*(1-(RU208-0.5)*2))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&lt;Point&gt;&lt;coordinates&gt;"&amp;R208&amp;","&amp;Q208&amp;",0&lt;/coordinates&gt;&lt;/Point&gt;
    &lt;/Placemark&gt;"
)))</f>
        <v xml:space="preserve">    &lt;Placemark&gt;
      &lt;description&gt;&lt;![CDATA[ROUEN - 79 Rue Amédée Dormoy (A coté de l'entrée Intermarché)&lt;br&gt;&lt;br&gt;1 CAV&lt;br&gt;&lt;br&gt;Présent sur 2 tournée(s)&lt;br&gt;&lt;br&gt;Taux de remplissage moyen 36%]]&gt;&lt;/description&gt;
      &lt;Style&gt;
        &lt;IconStyle&gt;
          &lt;color&gt;ff00B8FF&lt;/color&gt;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&lt;Point&gt;&lt;coordinates&gt;1.0665611,49.4499497,0&lt;/coordinates&gt;&lt;/Point&gt;
    &lt;/Placemark&gt;</v>
      </c>
    </row>
    <row r="209" spans="1:494" ht="15" hidden="1" customHeight="1" x14ac:dyDescent="0.35">
      <c r="B209" s="208" t="str">
        <f t="shared" si="176"/>
        <v>ROUEN - Avenue des Martyrs (Angle rue Linné)</v>
      </c>
      <c r="C209" s="154"/>
      <c r="D209" s="155"/>
      <c r="E209" s="155"/>
      <c r="F209" s="155"/>
      <c r="G209" s="155"/>
      <c r="H209" s="155"/>
      <c r="I209" s="155"/>
      <c r="J209" s="156"/>
      <c r="K209" s="157">
        <f t="shared" si="177"/>
        <v>0</v>
      </c>
      <c r="L209" s="157">
        <f t="shared" si="178"/>
        <v>0</v>
      </c>
      <c r="M209" s="158" t="s">
        <v>1137</v>
      </c>
      <c r="N209" s="159" t="s">
        <v>1138</v>
      </c>
      <c r="O209" s="159">
        <v>76000</v>
      </c>
      <c r="P209" s="159" t="s">
        <v>90</v>
      </c>
      <c r="Q209" s="159"/>
      <c r="R209" s="159"/>
      <c r="S209" s="159"/>
      <c r="T209" s="159" t="s">
        <v>94</v>
      </c>
      <c r="U209" s="159" t="s">
        <v>1139</v>
      </c>
      <c r="V209" s="160" t="s">
        <v>96</v>
      </c>
      <c r="W209" s="161"/>
      <c r="X209" s="162"/>
      <c r="Y209" s="163"/>
      <c r="Z209" s="162"/>
      <c r="AA209" s="163"/>
      <c r="AB209" s="162"/>
      <c r="AC209" s="163"/>
      <c r="AD209" s="162"/>
      <c r="AE209" s="163"/>
      <c r="AF209" s="162"/>
      <c r="AG209" s="163"/>
      <c r="AH209" s="163"/>
      <c r="AI209" s="162"/>
      <c r="AJ209" s="163"/>
      <c r="AK209" s="162"/>
      <c r="AL209" s="163"/>
      <c r="AM209" s="162"/>
      <c r="AN209" s="163"/>
      <c r="AO209" s="162"/>
      <c r="AP209" s="164"/>
      <c r="AQ209" s="164"/>
      <c r="AR209" s="164"/>
      <c r="AS209" s="164"/>
      <c r="AT209" s="164"/>
      <c r="AU209" s="164"/>
      <c r="AV209" s="164"/>
      <c r="AW209" s="164"/>
      <c r="AX209" s="164"/>
      <c r="AY209" s="165"/>
      <c r="AZ209" s="41"/>
      <c r="BA209" s="190"/>
      <c r="BB209" s="191"/>
      <c r="BC209" s="191"/>
      <c r="BD209" s="191"/>
      <c r="BE209" s="191"/>
      <c r="BF209" s="191"/>
      <c r="BG209" s="191"/>
      <c r="BH209" s="191"/>
      <c r="BI209" s="191"/>
      <c r="BJ209" s="191"/>
      <c r="BK209" s="191"/>
      <c r="BL209" s="191"/>
      <c r="BM209" s="191"/>
      <c r="BN209" s="191"/>
      <c r="BO209" s="191"/>
      <c r="BP209" s="191"/>
      <c r="BQ209" s="191"/>
      <c r="BR209" s="191"/>
      <c r="BS209" s="191"/>
      <c r="BT209" s="191"/>
      <c r="BU209" s="191"/>
      <c r="BV209" s="191"/>
      <c r="BW209" s="191"/>
      <c r="BX209" s="191"/>
      <c r="BY209" s="191"/>
      <c r="BZ209" s="191"/>
      <c r="CA209" s="191"/>
      <c r="CB209" s="191"/>
      <c r="CC209" s="191"/>
      <c r="CD209" s="191"/>
      <c r="CE209" s="192"/>
      <c r="CF209" s="190"/>
      <c r="CG209" s="191"/>
      <c r="CH209" s="191"/>
      <c r="CI209" s="191"/>
      <c r="CJ209" s="191"/>
      <c r="CK209" s="191"/>
      <c r="CL209" s="191"/>
      <c r="CM209" s="191"/>
      <c r="CN209" s="191"/>
      <c r="CO209" s="191"/>
      <c r="CP209" s="191"/>
      <c r="CQ209" s="191"/>
      <c r="CR209" s="191"/>
      <c r="CS209" s="191"/>
      <c r="CT209" s="191"/>
      <c r="CU209" s="191"/>
      <c r="CV209" s="191"/>
      <c r="CW209" s="191"/>
      <c r="CX209" s="191"/>
      <c r="CY209" s="191"/>
      <c r="CZ209" s="191"/>
      <c r="DA209" s="191"/>
      <c r="DB209" s="191"/>
      <c r="DC209" s="191"/>
      <c r="DD209" s="191"/>
      <c r="DE209" s="191"/>
      <c r="DF209" s="191"/>
      <c r="DG209" s="191"/>
      <c r="DH209" s="193"/>
      <c r="DI209" s="194"/>
      <c r="DJ209" s="191"/>
      <c r="DK209" s="191"/>
      <c r="DL209" s="191"/>
      <c r="DM209" s="191"/>
      <c r="DN209" s="191"/>
      <c r="DO209" s="191"/>
      <c r="DP209" s="191"/>
      <c r="DQ209" s="191"/>
      <c r="DR209" s="191"/>
      <c r="DS209" s="191"/>
      <c r="DT209" s="191"/>
      <c r="DU209" s="191"/>
      <c r="DV209" s="191"/>
      <c r="DW209" s="191"/>
      <c r="DX209" s="191"/>
      <c r="DY209" s="191"/>
      <c r="DZ209" s="191"/>
      <c r="EA209" s="191"/>
      <c r="EB209" s="191"/>
      <c r="EC209" s="191"/>
      <c r="ED209" s="191"/>
      <c r="EE209" s="191"/>
      <c r="EF209" s="191"/>
      <c r="EG209" s="191"/>
      <c r="EH209" s="191"/>
      <c r="EI209" s="191"/>
      <c r="EJ209" s="191"/>
      <c r="EK209" s="191"/>
      <c r="EL209" s="191"/>
      <c r="EM209" s="192"/>
      <c r="EN209" s="190"/>
      <c r="EO209" s="191"/>
      <c r="EP209" s="191"/>
      <c r="EQ209" s="191"/>
      <c r="ER209" s="191"/>
      <c r="ES209" s="191"/>
      <c r="ET209" s="191"/>
      <c r="EU209" s="191"/>
      <c r="EV209" s="191"/>
      <c r="EW209" s="191"/>
      <c r="EX209" s="191"/>
      <c r="EY209" s="191"/>
      <c r="EZ209" s="191"/>
      <c r="FA209" s="191"/>
      <c r="FB209" s="191"/>
      <c r="FC209" s="191"/>
      <c r="FD209" s="191"/>
      <c r="FE209" s="191"/>
      <c r="FF209" s="191"/>
      <c r="FG209" s="191"/>
      <c r="FH209" s="191"/>
      <c r="FI209" s="191"/>
      <c r="FJ209" s="191"/>
      <c r="FK209" s="191"/>
      <c r="FL209" s="191"/>
      <c r="FM209" s="191"/>
      <c r="FN209" s="191"/>
      <c r="FO209" s="191"/>
      <c r="FP209" s="191"/>
      <c r="FQ209" s="193"/>
      <c r="FR209" s="194"/>
      <c r="FS209" s="191"/>
      <c r="FT209" s="191"/>
      <c r="FU209" s="191"/>
      <c r="FV209" s="191"/>
      <c r="FW209" s="191"/>
      <c r="FX209" s="191"/>
      <c r="FY209" s="191"/>
      <c r="FZ209" s="191"/>
      <c r="GA209" s="191"/>
      <c r="GB209" s="191"/>
      <c r="GC209" s="191"/>
      <c r="GD209" s="191"/>
      <c r="GE209" s="191"/>
      <c r="GF209" s="191"/>
      <c r="GG209" s="191"/>
      <c r="GH209" s="191"/>
      <c r="GI209" s="191"/>
      <c r="GJ209" s="191"/>
      <c r="GK209" s="191"/>
      <c r="GL209" s="191"/>
      <c r="GM209" s="191"/>
      <c r="GN209" s="191"/>
      <c r="GO209" s="191"/>
      <c r="GP209" s="191"/>
      <c r="GQ209" s="191"/>
      <c r="GR209" s="191"/>
      <c r="GS209" s="191"/>
      <c r="GT209" s="191"/>
      <c r="GU209" s="191"/>
      <c r="GV209" s="192"/>
      <c r="GW209" s="190"/>
      <c r="GX209" s="191"/>
      <c r="GY209" s="191"/>
      <c r="GZ209" s="191"/>
      <c r="HA209" s="191"/>
      <c r="HB209" s="191"/>
      <c r="HC209" s="191"/>
      <c r="HD209" s="191"/>
      <c r="HE209" s="191"/>
      <c r="HF209" s="191"/>
      <c r="HG209" s="191"/>
      <c r="HH209" s="191"/>
      <c r="HI209" s="191"/>
      <c r="HJ209" s="191"/>
      <c r="HK209" s="191"/>
      <c r="HL209" s="191"/>
      <c r="HM209" s="191"/>
      <c r="HN209" s="191"/>
      <c r="HO209" s="191"/>
      <c r="HP209" s="191"/>
      <c r="HQ209" s="191"/>
      <c r="HR209" s="191"/>
      <c r="HS209" s="191"/>
      <c r="HT209" s="191"/>
      <c r="HU209" s="191"/>
      <c r="HV209" s="191"/>
      <c r="HW209" s="191"/>
      <c r="HX209" s="191"/>
      <c r="HY209" s="191"/>
      <c r="HZ209" s="193"/>
      <c r="IA209" s="194"/>
      <c r="IB209" s="191"/>
      <c r="IC209" s="191"/>
      <c r="ID209" s="191"/>
      <c r="IE209" s="191"/>
      <c r="IF209" s="191"/>
      <c r="IG209" s="191"/>
      <c r="IH209" s="191"/>
      <c r="II209" s="191"/>
      <c r="IJ209" s="191"/>
      <c r="IK209" s="191"/>
      <c r="IL209" s="191"/>
      <c r="IM209" s="191"/>
      <c r="IN209" s="191"/>
      <c r="IO209" s="191"/>
      <c r="IP209" s="191"/>
      <c r="IQ209" s="191"/>
      <c r="IR209" s="191"/>
      <c r="IS209" s="191"/>
      <c r="IT209" s="191"/>
      <c r="IU209" s="191"/>
      <c r="IV209" s="191"/>
      <c r="IW209" s="191"/>
      <c r="IX209" s="191"/>
      <c r="IY209" s="191"/>
      <c r="IZ209" s="191"/>
      <c r="JA209" s="191"/>
      <c r="JB209" s="191"/>
      <c r="JC209" s="191"/>
      <c r="JD209" s="191"/>
      <c r="JE209" s="192"/>
      <c r="JF209" s="190"/>
      <c r="JG209" s="191"/>
      <c r="JH209" s="191"/>
      <c r="JI209" s="191"/>
      <c r="JJ209" s="191"/>
      <c r="JK209" s="191"/>
      <c r="JL209" s="191"/>
      <c r="JM209" s="191"/>
      <c r="JN209" s="191"/>
      <c r="JO209" s="191"/>
      <c r="JP209" s="191"/>
      <c r="JQ209" s="191"/>
      <c r="JR209" s="191"/>
      <c r="JS209" s="191"/>
      <c r="JT209" s="191"/>
      <c r="JU209" s="191"/>
      <c r="JV209" s="191"/>
      <c r="JW209" s="191"/>
      <c r="JX209" s="191"/>
      <c r="JY209" s="191"/>
      <c r="JZ209" s="191"/>
      <c r="KA209" s="191"/>
      <c r="KB209" s="191"/>
      <c r="KC209" s="191"/>
      <c r="KD209" s="191"/>
      <c r="KE209" s="191"/>
      <c r="KF209" s="191"/>
      <c r="KG209" s="191"/>
      <c r="KH209" s="191"/>
      <c r="KI209" s="191"/>
      <c r="KJ209" s="193"/>
      <c r="KK209" s="194"/>
      <c r="KL209" s="191"/>
      <c r="KM209" s="191"/>
      <c r="KN209" s="191"/>
      <c r="KO209" s="191"/>
      <c r="KP209" s="191"/>
      <c r="KQ209" s="191"/>
      <c r="KR209" s="191"/>
      <c r="KS209" s="191"/>
      <c r="KT209" s="191"/>
      <c r="KU209" s="191"/>
      <c r="KV209" s="191"/>
      <c r="KW209" s="191"/>
      <c r="KX209" s="191"/>
      <c r="KY209" s="191"/>
      <c r="KZ209" s="191"/>
      <c r="LA209" s="191"/>
      <c r="LB209" s="191"/>
      <c r="LC209" s="191"/>
      <c r="LD209" s="191"/>
      <c r="LE209" s="191"/>
      <c r="LF209" s="191"/>
      <c r="LG209" s="191"/>
      <c r="LH209" s="191"/>
      <c r="LI209" s="191"/>
      <c r="LJ209" s="191"/>
      <c r="LK209" s="191"/>
      <c r="LL209" s="191"/>
      <c r="LM209" s="191"/>
      <c r="LN209" s="192"/>
      <c r="LO209" s="190"/>
      <c r="LP209" s="191"/>
      <c r="LQ209" s="191"/>
      <c r="LR209" s="191"/>
      <c r="LS209" s="191"/>
      <c r="LT209" s="191"/>
      <c r="LU209" s="191"/>
      <c r="LV209" s="191"/>
      <c r="LW209" s="191"/>
      <c r="LX209" s="191"/>
      <c r="LY209" s="191"/>
      <c r="LZ209" s="191"/>
      <c r="MA209" s="191"/>
      <c r="MB209" s="191"/>
      <c r="MC209" s="191"/>
      <c r="MD209" s="191"/>
      <c r="ME209" s="191"/>
      <c r="MF209" s="191"/>
      <c r="MG209" s="191"/>
      <c r="MH209" s="191"/>
      <c r="MI209" s="191"/>
      <c r="MJ209" s="191"/>
      <c r="MK209" s="191"/>
      <c r="ML209" s="191"/>
      <c r="MM209" s="191"/>
      <c r="MN209" s="191"/>
      <c r="MO209" s="191"/>
      <c r="MP209" s="191"/>
      <c r="MQ209" s="191"/>
      <c r="MR209" s="191"/>
      <c r="MS209" s="193"/>
      <c r="MT209" s="194"/>
      <c r="MU209" s="191"/>
      <c r="MV209" s="191"/>
      <c r="MW209" s="191"/>
      <c r="MX209" s="191"/>
      <c r="MY209" s="191"/>
      <c r="MZ209" s="191"/>
      <c r="NA209" s="191"/>
      <c r="NB209" s="191"/>
      <c r="NC209" s="191"/>
      <c r="ND209" s="191"/>
      <c r="NE209" s="191"/>
      <c r="NF209" s="191"/>
      <c r="NG209" s="191"/>
      <c r="NH209" s="191"/>
      <c r="NI209" s="191"/>
      <c r="NJ209" s="191"/>
      <c r="NK209" s="191"/>
      <c r="NL209" s="191"/>
      <c r="NM209" s="191"/>
      <c r="NN209" s="191"/>
      <c r="NO209" s="191"/>
      <c r="NP209" s="191"/>
      <c r="NQ209" s="191"/>
      <c r="NR209" s="191"/>
      <c r="NS209" s="191"/>
      <c r="NT209" s="191"/>
      <c r="NU209" s="191"/>
      <c r="NV209" s="191"/>
      <c r="NW209" s="192"/>
      <c r="NX209" s="190"/>
      <c r="NY209" s="191"/>
      <c r="NZ209" s="191"/>
      <c r="OA209" s="191"/>
      <c r="OB209" s="191"/>
      <c r="OC209" s="191"/>
      <c r="OD209" s="191"/>
      <c r="OE209" s="191"/>
      <c r="OF209" s="191"/>
      <c r="OG209" s="191"/>
      <c r="OH209" s="191"/>
      <c r="OI209" s="191"/>
      <c r="OJ209" s="191"/>
      <c r="OK209" s="191"/>
      <c r="OL209" s="191"/>
      <c r="OM209" s="191"/>
      <c r="ON209" s="191"/>
      <c r="OO209" s="191"/>
      <c r="OP209" s="191"/>
      <c r="OQ209" s="191"/>
      <c r="OR209" s="191"/>
      <c r="OS209" s="191"/>
      <c r="OT209" s="191"/>
      <c r="OU209" s="191"/>
      <c r="OV209" s="191"/>
      <c r="OW209" s="191"/>
      <c r="OX209" s="191"/>
      <c r="OY209" s="191"/>
      <c r="OZ209" s="191"/>
      <c r="PA209" s="191"/>
      <c r="PB209" s="193"/>
      <c r="PC209" s="47"/>
      <c r="PD209" s="154" t="s">
        <v>97</v>
      </c>
      <c r="PE209" s="155" t="s">
        <v>98</v>
      </c>
      <c r="PF209" s="155" t="s">
        <v>98</v>
      </c>
      <c r="PG209" s="155" t="s">
        <v>98</v>
      </c>
      <c r="PH209" s="155" t="s">
        <v>98</v>
      </c>
      <c r="PI209" s="155" t="s">
        <v>98</v>
      </c>
      <c r="PJ209" s="155" t="s">
        <v>98</v>
      </c>
      <c r="PK209" s="155" t="s">
        <v>98</v>
      </c>
      <c r="PL209" s="155" t="s">
        <v>98</v>
      </c>
      <c r="PM209" s="155" t="s">
        <v>98</v>
      </c>
      <c r="PN209" s="155" t="s">
        <v>98</v>
      </c>
      <c r="PO209" s="156"/>
      <c r="PP209" s="156"/>
      <c r="PQ209" s="156"/>
      <c r="PR209" s="156"/>
      <c r="PS209" s="156"/>
      <c r="PT209" s="156"/>
      <c r="PU209" s="156"/>
      <c r="PV209" s="156"/>
      <c r="PW209" s="156"/>
      <c r="PX209" s="195"/>
      <c r="PY209" s="1"/>
      <c r="PZ209" s="196">
        <f t="shared" si="179"/>
        <v>0</v>
      </c>
      <c r="QA209" s="218">
        <f t="shared" si="180"/>
        <v>0</v>
      </c>
      <c r="QB209" s="219" t="str">
        <f t="shared" ca="1" si="181"/>
        <v>Attente…</v>
      </c>
      <c r="QC209" s="197">
        <f t="shared" si="182"/>
        <v>0</v>
      </c>
      <c r="QD209" s="220">
        <f t="shared" si="183"/>
        <v>0</v>
      </c>
      <c r="QE209" s="221" t="str">
        <f t="shared" ca="1" si="184"/>
        <v>Attente…</v>
      </c>
      <c r="QF209" s="196">
        <f t="shared" si="185"/>
        <v>0</v>
      </c>
      <c r="QG209" s="218">
        <f t="shared" si="186"/>
        <v>0</v>
      </c>
      <c r="QH209" s="219" t="str">
        <f t="shared" ca="1" si="187"/>
        <v>Attente…</v>
      </c>
      <c r="QI209" s="197">
        <f t="shared" si="188"/>
        <v>0</v>
      </c>
      <c r="QJ209" s="220">
        <f t="shared" si="189"/>
        <v>0</v>
      </c>
      <c r="QK209" s="221" t="str">
        <f t="shared" ca="1" si="190"/>
        <v>Attente…</v>
      </c>
      <c r="QL209" s="196">
        <f t="shared" si="191"/>
        <v>0</v>
      </c>
      <c r="QM209" s="218">
        <f t="shared" si="192"/>
        <v>0</v>
      </c>
      <c r="QN209" s="219" t="str">
        <f t="shared" ca="1" si="193"/>
        <v>Attente…</v>
      </c>
      <c r="QO209" s="197">
        <f t="shared" si="194"/>
        <v>0</v>
      </c>
      <c r="QP209" s="220">
        <f t="shared" si="195"/>
        <v>0</v>
      </c>
      <c r="QQ209" s="221" t="str">
        <f t="shared" ca="1" si="196"/>
        <v>Attente…</v>
      </c>
      <c r="QR209" s="196">
        <f t="shared" si="197"/>
        <v>0</v>
      </c>
      <c r="QS209" s="218">
        <f t="shared" si="198"/>
        <v>0</v>
      </c>
      <c r="QT209" s="219" t="str">
        <f t="shared" ca="1" si="199"/>
        <v>Attente…</v>
      </c>
      <c r="QU209" s="197">
        <f t="shared" si="200"/>
        <v>0</v>
      </c>
      <c r="QV209" s="220">
        <f t="shared" si="201"/>
        <v>0</v>
      </c>
      <c r="QW209" s="221" t="str">
        <f t="shared" ca="1" si="202"/>
        <v>Attente…</v>
      </c>
      <c r="QX209" s="196">
        <f t="shared" si="203"/>
        <v>0</v>
      </c>
      <c r="QY209" s="218">
        <f t="shared" si="204"/>
        <v>0</v>
      </c>
      <c r="QZ209" s="219" t="str">
        <f t="shared" ca="1" si="205"/>
        <v>Attente…</v>
      </c>
      <c r="RA209" s="197">
        <f t="shared" si="206"/>
        <v>0</v>
      </c>
      <c r="RB209" s="220">
        <f t="shared" si="207"/>
        <v>0</v>
      </c>
      <c r="RC209" s="221" t="str">
        <f t="shared" ca="1" si="208"/>
        <v>Attente…</v>
      </c>
      <c r="RD209" s="196">
        <f t="shared" si="209"/>
        <v>0</v>
      </c>
      <c r="RE209" s="218">
        <f t="shared" si="210"/>
        <v>0</v>
      </c>
      <c r="RF209" s="219" t="str">
        <f t="shared" ca="1" si="211"/>
        <v>Attente…</v>
      </c>
      <c r="RG209" s="197">
        <f t="shared" si="212"/>
        <v>0</v>
      </c>
      <c r="RH209" s="220">
        <f t="shared" si="213"/>
        <v>0</v>
      </c>
      <c r="RI209" s="222" t="str">
        <f t="shared" ca="1" si="214"/>
        <v>Attente…</v>
      </c>
      <c r="RJ209" s="199">
        <f t="shared" si="215"/>
        <v>0</v>
      </c>
      <c r="RK209" s="200" t="str">
        <f t="shared" ca="1" si="172"/>
        <v>Attente…</v>
      </c>
      <c r="RL209" s="199">
        <f t="shared" si="216"/>
        <v>0</v>
      </c>
      <c r="RM209" s="200" t="str">
        <f t="shared" ca="1" si="217"/>
        <v>Atttente…</v>
      </c>
      <c r="RN209" s="199">
        <f t="shared" si="218"/>
        <v>0</v>
      </c>
      <c r="RO209" s="200" t="str">
        <f t="shared" ca="1" si="173"/>
        <v>Attente…</v>
      </c>
      <c r="RP209" s="199">
        <f t="shared" si="219"/>
        <v>0</v>
      </c>
      <c r="RQ209" s="200" t="str">
        <f t="shared" ca="1" si="174"/>
        <v>Attente…</v>
      </c>
      <c r="RR209" s="201">
        <f t="shared" si="220"/>
        <v>0</v>
      </c>
      <c r="RS209" s="202" t="str">
        <f t="shared" ca="1" si="175"/>
        <v>Attente…</v>
      </c>
      <c r="RT209" s="103"/>
      <c r="RU209" s="203" t="str">
        <f t="shared" si="221"/>
        <v/>
      </c>
      <c r="RV209" s="204">
        <f t="shared" si="171"/>
        <v>0</v>
      </c>
      <c r="RW209" s="204">
        <f t="shared" si="171"/>
        <v>0</v>
      </c>
      <c r="RX209" s="204">
        <f t="shared" si="222"/>
        <v>0</v>
      </c>
      <c r="RY209" s="205" t="str">
        <f t="shared" si="223"/>
        <v>ROUEN - Avenue des Martyrs (Angle rue Linné)</v>
      </c>
      <c r="RZ209" s="189" t="str">
        <f>IF(OR(RZ208="",RZ208="  &lt;/Document&gt;
&lt;/kml&gt;"),"",
IF(B209="","  &lt;/Document&gt;
&lt;/kml&gt;",
IF(TournéesCAV!Q209=""," ",
"    &lt;Placemark&gt;
      &lt;description&gt;&lt;![CDATA["&amp;B209&amp;"&lt;br&gt;&lt;br&gt;"&amp;RV209&amp;" CAV&lt;br&gt;&lt;br&gt;Présent sur "&amp;RW209&amp;" tournée(s)&lt;br&gt;&lt;br&gt;Taux de remplissage moyen "&amp;TEXT(RU209*1000,"0 %")&amp;"]]&gt;&lt;/description&gt;
      &lt;Style&gt;
        &lt;IconStyle&gt;
          &lt;color&gt;ff"&amp;
          DEC2HEX(0,2)&amp;
          DEC2HEX(
            IF(RU209&lt;=0.5,
               INT(255*(RU209*2)),
               255
            ),2)&amp;
          DEC2HEX(
            IF(RU209&lt;=0.5,
               255,
               INT(255*(1-(RU209-0.5)*2))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&lt;Point&gt;&lt;coordinates&gt;"&amp;R209&amp;","&amp;Q209&amp;",0&lt;/coordinates&gt;&lt;/Point&gt;
    &lt;/Placemark&gt;"
)))</f>
        <v xml:space="preserve"> </v>
      </c>
    </row>
    <row r="210" spans="1:494" ht="15" customHeight="1" x14ac:dyDescent="0.35">
      <c r="B210" s="153" t="str">
        <f t="shared" si="176"/>
        <v>ROUEN - 10 Rue Moise</v>
      </c>
      <c r="C210" s="154">
        <v>154</v>
      </c>
      <c r="D210" s="155"/>
      <c r="E210" s="155"/>
      <c r="F210" s="155"/>
      <c r="G210" s="155"/>
      <c r="H210" s="155"/>
      <c r="I210" s="155"/>
      <c r="J210" s="156"/>
      <c r="K210" s="157">
        <f t="shared" si="177"/>
        <v>1</v>
      </c>
      <c r="L210" s="157">
        <f t="shared" si="178"/>
        <v>1</v>
      </c>
      <c r="M210" s="158" t="s">
        <v>1140</v>
      </c>
      <c r="N210" s="159"/>
      <c r="O210" s="159">
        <v>76000</v>
      </c>
      <c r="P210" s="159" t="s">
        <v>90</v>
      </c>
      <c r="Q210" s="159" t="s">
        <v>1141</v>
      </c>
      <c r="R210" s="159" t="s">
        <v>1142</v>
      </c>
      <c r="S210" s="159" t="s">
        <v>93</v>
      </c>
      <c r="T210" s="159" t="s">
        <v>94</v>
      </c>
      <c r="U210" s="159" t="s">
        <v>1143</v>
      </c>
      <c r="V210" s="160" t="s">
        <v>96</v>
      </c>
      <c r="W210" s="210">
        <v>29</v>
      </c>
      <c r="X210" s="162"/>
      <c r="Y210" s="162"/>
      <c r="Z210" s="162"/>
      <c r="AA210" s="162"/>
      <c r="AB210" s="162"/>
      <c r="AC210" s="162"/>
      <c r="AD210" s="162"/>
      <c r="AE210" s="162"/>
      <c r="AF210" s="162"/>
      <c r="AG210" s="162"/>
      <c r="AH210" s="162"/>
      <c r="AI210" s="162"/>
      <c r="AJ210" s="162"/>
      <c r="AK210" s="162"/>
      <c r="AL210" s="162"/>
      <c r="AM210" s="162"/>
      <c r="AN210" s="162"/>
      <c r="AO210" s="162"/>
      <c r="AP210" s="164"/>
      <c r="AQ210" s="164"/>
      <c r="AR210" s="164"/>
      <c r="AS210" s="164"/>
      <c r="AT210" s="164"/>
      <c r="AU210" s="164"/>
      <c r="AV210" s="164"/>
      <c r="AW210" s="164"/>
      <c r="AX210" s="164"/>
      <c r="AY210" s="165"/>
      <c r="AZ210" s="41"/>
      <c r="BA210" s="190"/>
      <c r="BB210" s="191"/>
      <c r="BC210" s="191"/>
      <c r="BD210" s="191"/>
      <c r="BE210" s="191"/>
      <c r="BF210" s="191"/>
      <c r="BG210" s="191"/>
      <c r="BH210" s="191"/>
      <c r="BI210" s="191"/>
      <c r="BJ210" s="191"/>
      <c r="BK210" s="191"/>
      <c r="BL210" s="191"/>
      <c r="BM210" s="191">
        <v>50</v>
      </c>
      <c r="BN210" s="191"/>
      <c r="BO210" s="191"/>
      <c r="BP210" s="191"/>
      <c r="BQ210" s="191"/>
      <c r="BR210" s="191"/>
      <c r="BS210" s="191"/>
      <c r="BT210" s="191"/>
      <c r="BU210" s="191"/>
      <c r="BV210" s="191"/>
      <c r="BW210" s="191"/>
      <c r="BX210" s="191"/>
      <c r="BY210" s="191"/>
      <c r="BZ210" s="191"/>
      <c r="CA210" s="191">
        <v>50</v>
      </c>
      <c r="CB210" s="191"/>
      <c r="CC210" s="191"/>
      <c r="CD210" s="191"/>
      <c r="CE210" s="192"/>
      <c r="CF210" s="190"/>
      <c r="CG210" s="191"/>
      <c r="CH210" s="191">
        <v>50</v>
      </c>
      <c r="CI210" s="191"/>
      <c r="CJ210" s="191"/>
      <c r="CK210" s="191"/>
      <c r="CL210" s="191"/>
      <c r="CM210" s="191"/>
      <c r="CN210" s="191"/>
      <c r="CO210" s="191">
        <v>10</v>
      </c>
      <c r="CP210" s="191"/>
      <c r="CQ210" s="191"/>
      <c r="CR210" s="191"/>
      <c r="CS210" s="191"/>
      <c r="CT210" s="191"/>
      <c r="CU210" s="191"/>
      <c r="CV210" s="191">
        <v>10</v>
      </c>
      <c r="CW210" s="191"/>
      <c r="CX210" s="191"/>
      <c r="CY210" s="191"/>
      <c r="CZ210" s="191"/>
      <c r="DA210" s="191"/>
      <c r="DB210" s="191"/>
      <c r="DC210" s="191">
        <v>10</v>
      </c>
      <c r="DD210" s="191"/>
      <c r="DE210" s="191"/>
      <c r="DF210" s="191"/>
      <c r="DG210" s="191"/>
      <c r="DH210" s="193"/>
      <c r="DI210" s="194"/>
      <c r="DJ210" s="191"/>
      <c r="DK210" s="191">
        <v>50</v>
      </c>
      <c r="DL210" s="191"/>
      <c r="DM210" s="191"/>
      <c r="DN210" s="191"/>
      <c r="DO210" s="191"/>
      <c r="DP210" s="191"/>
      <c r="DQ210" s="191"/>
      <c r="DR210" s="191">
        <v>10</v>
      </c>
      <c r="DS210" s="191"/>
      <c r="DT210" s="191"/>
      <c r="DU210" s="191"/>
      <c r="DV210" s="191"/>
      <c r="DW210" s="191"/>
      <c r="DX210" s="191"/>
      <c r="DY210" s="191">
        <v>50</v>
      </c>
      <c r="DZ210" s="191"/>
      <c r="EA210" s="191"/>
      <c r="EB210" s="191"/>
      <c r="EC210" s="191"/>
      <c r="ED210" s="191"/>
      <c r="EE210" s="191"/>
      <c r="EF210" s="191">
        <v>10</v>
      </c>
      <c r="EG210" s="191"/>
      <c r="EH210" s="191"/>
      <c r="EI210" s="191"/>
      <c r="EJ210" s="191"/>
      <c r="EK210" s="191"/>
      <c r="EL210" s="191"/>
      <c r="EM210" s="192">
        <v>50</v>
      </c>
      <c r="EN210" s="190"/>
      <c r="EO210" s="191"/>
      <c r="EP210" s="191"/>
      <c r="EQ210" s="191"/>
      <c r="ER210" s="191"/>
      <c r="ES210" s="191"/>
      <c r="ET210" s="191">
        <v>50</v>
      </c>
      <c r="EU210" s="191"/>
      <c r="EV210" s="191"/>
      <c r="EW210" s="191"/>
      <c r="EX210" s="191"/>
      <c r="EY210" s="191"/>
      <c r="EZ210" s="191"/>
      <c r="FA210" s="191">
        <v>50</v>
      </c>
      <c r="FB210" s="191"/>
      <c r="FC210" s="191"/>
      <c r="FD210" s="191"/>
      <c r="FE210" s="191"/>
      <c r="FF210" s="191"/>
      <c r="FG210" s="191"/>
      <c r="FH210" s="191"/>
      <c r="FI210" s="191"/>
      <c r="FJ210" s="191"/>
      <c r="FK210" s="191"/>
      <c r="FL210" s="191"/>
      <c r="FM210" s="191"/>
      <c r="FN210" s="191"/>
      <c r="FO210" s="191">
        <v>150</v>
      </c>
      <c r="FP210" s="191"/>
      <c r="FQ210" s="193"/>
      <c r="FR210" s="194"/>
      <c r="FS210" s="191"/>
      <c r="FT210" s="191"/>
      <c r="FU210" s="191"/>
      <c r="FV210" s="191"/>
      <c r="FW210" s="191"/>
      <c r="FX210" s="191"/>
      <c r="FY210" s="191"/>
      <c r="FZ210" s="191"/>
      <c r="GA210" s="191"/>
      <c r="GB210" s="191"/>
      <c r="GC210" s="191">
        <v>150</v>
      </c>
      <c r="GD210" s="191"/>
      <c r="GE210" s="191"/>
      <c r="GF210" s="191"/>
      <c r="GG210" s="191"/>
      <c r="GH210" s="191"/>
      <c r="GI210" s="191"/>
      <c r="GJ210" s="191">
        <v>150</v>
      </c>
      <c r="GK210" s="191"/>
      <c r="GL210" s="191"/>
      <c r="GM210" s="191"/>
      <c r="GN210" s="191"/>
      <c r="GO210" s="191"/>
      <c r="GP210" s="191"/>
      <c r="GQ210" s="191">
        <v>50</v>
      </c>
      <c r="GR210" s="191"/>
      <c r="GS210" s="191"/>
      <c r="GT210" s="191"/>
      <c r="GU210" s="191"/>
      <c r="GV210" s="192"/>
      <c r="GW210" s="190"/>
      <c r="GX210" s="191">
        <v>100</v>
      </c>
      <c r="GY210" s="191"/>
      <c r="GZ210" s="191"/>
      <c r="HA210" s="191"/>
      <c r="HB210" s="191"/>
      <c r="HC210" s="191"/>
      <c r="HD210" s="191"/>
      <c r="HE210" s="191"/>
      <c r="HF210" s="191"/>
      <c r="HG210" s="191"/>
      <c r="HH210" s="191"/>
      <c r="HI210" s="191"/>
      <c r="HJ210" s="191"/>
      <c r="HK210" s="191"/>
      <c r="HL210" s="191"/>
      <c r="HM210" s="191"/>
      <c r="HN210" s="191"/>
      <c r="HO210" s="191"/>
      <c r="HP210" s="191"/>
      <c r="HQ210" s="191"/>
      <c r="HR210" s="191"/>
      <c r="HS210" s="191">
        <v>150</v>
      </c>
      <c r="HT210" s="191"/>
      <c r="HU210" s="191"/>
      <c r="HV210" s="191"/>
      <c r="HW210" s="191"/>
      <c r="HX210" s="191"/>
      <c r="HY210" s="191"/>
      <c r="HZ210" s="193"/>
      <c r="IA210" s="194">
        <v>10</v>
      </c>
      <c r="IB210" s="191"/>
      <c r="IC210" s="191"/>
      <c r="ID210" s="191"/>
      <c r="IE210" s="191"/>
      <c r="IF210" s="191"/>
      <c r="IG210" s="191"/>
      <c r="IH210" s="191"/>
      <c r="II210" s="191"/>
      <c r="IJ210" s="191"/>
      <c r="IK210" s="191"/>
      <c r="IL210" s="191"/>
      <c r="IM210" s="191"/>
      <c r="IN210" s="191">
        <v>100</v>
      </c>
      <c r="IO210" s="191"/>
      <c r="IP210" s="191"/>
      <c r="IQ210" s="191"/>
      <c r="IR210" s="191"/>
      <c r="IS210" s="191"/>
      <c r="IT210" s="191"/>
      <c r="IU210" s="191"/>
      <c r="IV210" s="191"/>
      <c r="IW210" s="191"/>
      <c r="IX210" s="191"/>
      <c r="IY210" s="191"/>
      <c r="IZ210" s="191"/>
      <c r="JA210" s="191"/>
      <c r="JB210" s="191"/>
      <c r="JC210" s="191">
        <v>100</v>
      </c>
      <c r="JD210" s="191"/>
      <c r="JE210" s="192"/>
      <c r="JF210" s="190"/>
      <c r="JG210" s="191"/>
      <c r="JH210" s="191"/>
      <c r="JI210" s="191"/>
      <c r="JJ210" s="191"/>
      <c r="JK210" s="191"/>
      <c r="JL210" s="191"/>
      <c r="JM210" s="191"/>
      <c r="JN210" s="191"/>
      <c r="JO210" s="191"/>
      <c r="JP210" s="191">
        <v>10</v>
      </c>
      <c r="JQ210" s="191"/>
      <c r="JR210" s="191"/>
      <c r="JS210" s="191"/>
      <c r="JT210" s="191"/>
      <c r="JU210" s="191"/>
      <c r="JV210" s="191"/>
      <c r="JW210" s="191">
        <v>50</v>
      </c>
      <c r="JX210" s="191"/>
      <c r="JY210" s="191"/>
      <c r="JZ210" s="191"/>
      <c r="KA210" s="191"/>
      <c r="KB210" s="191"/>
      <c r="KC210" s="191"/>
      <c r="KD210" s="191">
        <v>50</v>
      </c>
      <c r="KE210" s="191"/>
      <c r="KF210" s="191"/>
      <c r="KG210" s="191"/>
      <c r="KH210" s="191"/>
      <c r="KI210" s="191"/>
      <c r="KJ210" s="193"/>
      <c r="KK210" s="194">
        <v>100</v>
      </c>
      <c r="KL210" s="191"/>
      <c r="KM210" s="191"/>
      <c r="KN210" s="191"/>
      <c r="KO210" s="191"/>
      <c r="KP210" s="191"/>
      <c r="KQ210" s="191"/>
      <c r="KR210" s="191"/>
      <c r="KS210" s="191"/>
      <c r="KT210" s="191"/>
      <c r="KU210" s="191"/>
      <c r="KV210" s="191"/>
      <c r="KW210" s="191"/>
      <c r="KX210" s="191"/>
      <c r="KY210" s="191"/>
      <c r="KZ210" s="191"/>
      <c r="LA210" s="191"/>
      <c r="LB210" s="191"/>
      <c r="LC210" s="191"/>
      <c r="LD210" s="191"/>
      <c r="LE210" s="191"/>
      <c r="LF210" s="191">
        <v>10</v>
      </c>
      <c r="LG210" s="191"/>
      <c r="LH210" s="191"/>
      <c r="LI210" s="191"/>
      <c r="LJ210" s="191"/>
      <c r="LK210" s="191"/>
      <c r="LL210" s="191"/>
      <c r="LM210" s="191"/>
      <c r="LN210" s="192"/>
      <c r="LO210" s="190"/>
      <c r="LP210" s="191"/>
      <c r="LQ210" s="191"/>
      <c r="LR210" s="191"/>
      <c r="LS210" s="191"/>
      <c r="LT210" s="191"/>
      <c r="LU210" s="191">
        <v>100</v>
      </c>
      <c r="LV210" s="191"/>
      <c r="LW210" s="191"/>
      <c r="LX210" s="191"/>
      <c r="LY210" s="191"/>
      <c r="LZ210" s="191"/>
      <c r="MA210" s="191">
        <v>10</v>
      </c>
      <c r="MB210" s="191"/>
      <c r="MC210" s="191"/>
      <c r="MD210" s="191"/>
      <c r="ME210" s="191"/>
      <c r="MF210" s="191"/>
      <c r="MG210" s="191"/>
      <c r="MH210" s="191">
        <v>50</v>
      </c>
      <c r="MI210" s="191"/>
      <c r="MJ210" s="191"/>
      <c r="MK210" s="191"/>
      <c r="ML210" s="191"/>
      <c r="MM210" s="191"/>
      <c r="MN210" s="191"/>
      <c r="MO210" s="191">
        <v>50</v>
      </c>
      <c r="MP210" s="191"/>
      <c r="MQ210" s="191"/>
      <c r="MR210" s="191"/>
      <c r="MS210" s="193"/>
      <c r="MT210" s="194"/>
      <c r="MU210" s="191"/>
      <c r="MV210" s="191">
        <v>100</v>
      </c>
      <c r="MW210" s="191"/>
      <c r="MX210" s="191"/>
      <c r="MY210" s="191"/>
      <c r="MZ210" s="191"/>
      <c r="NA210" s="191"/>
      <c r="NB210" s="191"/>
      <c r="NC210" s="191"/>
      <c r="ND210" s="191"/>
      <c r="NE210" s="191"/>
      <c r="NF210" s="191"/>
      <c r="NG210" s="191"/>
      <c r="NH210" s="191"/>
      <c r="NI210" s="191"/>
      <c r="NJ210" s="191">
        <v>10</v>
      </c>
      <c r="NK210" s="191"/>
      <c r="NL210" s="191"/>
      <c r="NM210" s="191"/>
      <c r="NN210" s="191"/>
      <c r="NO210" s="191"/>
      <c r="NP210" s="191"/>
      <c r="NQ210" s="191">
        <v>10</v>
      </c>
      <c r="NR210" s="191"/>
      <c r="NS210" s="191"/>
      <c r="NT210" s="191"/>
      <c r="NU210" s="191"/>
      <c r="NV210" s="191"/>
      <c r="NW210" s="192"/>
      <c r="NX210" s="190">
        <v>10</v>
      </c>
      <c r="NY210" s="191"/>
      <c r="NZ210" s="191"/>
      <c r="OA210" s="191"/>
      <c r="OB210" s="191"/>
      <c r="OC210" s="191"/>
      <c r="OD210" s="191"/>
      <c r="OE210" s="191">
        <v>100</v>
      </c>
      <c r="OF210" s="191"/>
      <c r="OG210" s="191"/>
      <c r="OH210" s="191"/>
      <c r="OI210" s="191"/>
      <c r="OJ210" s="191"/>
      <c r="OK210" s="191"/>
      <c r="OL210" s="191">
        <v>10</v>
      </c>
      <c r="OM210" s="191"/>
      <c r="ON210" s="191"/>
      <c r="OO210" s="191"/>
      <c r="OP210" s="191"/>
      <c r="OQ210" s="191"/>
      <c r="OR210" s="191"/>
      <c r="OS210" s="191"/>
      <c r="OT210" s="191"/>
      <c r="OU210" s="191"/>
      <c r="OV210" s="191"/>
      <c r="OW210" s="191"/>
      <c r="OX210" s="191"/>
      <c r="OY210" s="191"/>
      <c r="OZ210" s="191"/>
      <c r="PA210" s="191"/>
      <c r="PB210" s="193"/>
      <c r="PC210" s="47"/>
      <c r="PD210" s="154" t="s">
        <v>97</v>
      </c>
      <c r="PE210" s="155" t="s">
        <v>98</v>
      </c>
      <c r="PF210" s="155" t="s">
        <v>98</v>
      </c>
      <c r="PG210" s="155" t="s">
        <v>98</v>
      </c>
      <c r="PH210" s="155" t="s">
        <v>98</v>
      </c>
      <c r="PI210" s="155" t="s">
        <v>98</v>
      </c>
      <c r="PJ210" s="155" t="s">
        <v>98</v>
      </c>
      <c r="PK210" s="155" t="s">
        <v>98</v>
      </c>
      <c r="PL210" s="155" t="s">
        <v>98</v>
      </c>
      <c r="PM210" s="155" t="s">
        <v>98</v>
      </c>
      <c r="PN210" s="155" t="s">
        <v>98</v>
      </c>
      <c r="PO210" s="156"/>
      <c r="PP210" s="156"/>
      <c r="PQ210" s="156"/>
      <c r="PR210" s="156"/>
      <c r="PS210" s="156"/>
      <c r="PT210" s="156"/>
      <c r="PU210" s="156"/>
      <c r="PV210" s="156"/>
      <c r="PW210" s="156"/>
      <c r="PX210" s="195"/>
      <c r="PY210" s="1"/>
      <c r="PZ210" s="196">
        <f t="shared" si="179"/>
        <v>100</v>
      </c>
      <c r="QA210" s="218">
        <f t="shared" si="180"/>
        <v>8.3423709018102946E-4</v>
      </c>
      <c r="QB210" s="219" t="str">
        <f t="shared" ca="1" si="181"/>
        <v>Attente…</v>
      </c>
      <c r="QC210" s="197">
        <f t="shared" si="182"/>
        <v>80</v>
      </c>
      <c r="QD210" s="220">
        <f t="shared" si="183"/>
        <v>7.4906367041198505E-4</v>
      </c>
      <c r="QE210" s="221" t="str">
        <f t="shared" ca="1" si="184"/>
        <v>Attente…</v>
      </c>
      <c r="QF210" s="196">
        <f t="shared" si="185"/>
        <v>170</v>
      </c>
      <c r="QG210" s="218">
        <f t="shared" si="186"/>
        <v>1.3537187450230928E-3</v>
      </c>
      <c r="QH210" s="219" t="str">
        <f t="shared" ca="1" si="187"/>
        <v>Attente…</v>
      </c>
      <c r="QI210" s="197">
        <f t="shared" si="188"/>
        <v>250</v>
      </c>
      <c r="QJ210" s="220">
        <f t="shared" si="189"/>
        <v>1.7534015991022584E-3</v>
      </c>
      <c r="QK210" s="221" t="str">
        <f t="shared" ca="1" si="190"/>
        <v>Attente…</v>
      </c>
      <c r="QL210" s="196">
        <f t="shared" si="191"/>
        <v>350</v>
      </c>
      <c r="QM210" s="218">
        <f t="shared" si="192"/>
        <v>2.5607257828504535E-3</v>
      </c>
      <c r="QN210" s="219" t="str">
        <f t="shared" ca="1" si="193"/>
        <v>Attente…</v>
      </c>
      <c r="QO210" s="197">
        <f t="shared" si="194"/>
        <v>250</v>
      </c>
      <c r="QP210" s="220">
        <f t="shared" si="195"/>
        <v>1.9572535817740547E-3</v>
      </c>
      <c r="QQ210" s="221" t="str">
        <f t="shared" ca="1" si="196"/>
        <v>Attente…</v>
      </c>
      <c r="QR210" s="196">
        <f t="shared" si="197"/>
        <v>210</v>
      </c>
      <c r="QS210" s="218">
        <f t="shared" si="198"/>
        <v>1.5118246283431123E-3</v>
      </c>
      <c r="QT210" s="219" t="str">
        <f t="shared" ca="1" si="199"/>
        <v>Attente…</v>
      </c>
      <c r="QU210" s="197">
        <f t="shared" si="200"/>
        <v>110</v>
      </c>
      <c r="QV210" s="220">
        <f t="shared" si="201"/>
        <v>7.5841147269718702E-4</v>
      </c>
      <c r="QW210" s="221" t="str">
        <f t="shared" ca="1" si="202"/>
        <v>Attente…</v>
      </c>
      <c r="QX210" s="196">
        <f t="shared" si="203"/>
        <v>110</v>
      </c>
      <c r="QY210" s="218">
        <f t="shared" si="204"/>
        <v>8.0270877725561161E-4</v>
      </c>
      <c r="QZ210" s="219" t="str">
        <f t="shared" ca="1" si="205"/>
        <v>Attente…</v>
      </c>
      <c r="RA210" s="197">
        <f t="shared" si="206"/>
        <v>210</v>
      </c>
      <c r="RB210" s="220">
        <f t="shared" si="207"/>
        <v>1.643063923010719E-3</v>
      </c>
      <c r="RC210" s="221" t="str">
        <f t="shared" ca="1" si="208"/>
        <v>Attente…</v>
      </c>
      <c r="RD210" s="196">
        <f t="shared" si="209"/>
        <v>120</v>
      </c>
      <c r="RE210" s="218">
        <f t="shared" si="210"/>
        <v>1.1956954962136308E-3</v>
      </c>
      <c r="RF210" s="219" t="str">
        <f t="shared" ca="1" si="211"/>
        <v>Attente…</v>
      </c>
      <c r="RG210" s="197">
        <f t="shared" si="212"/>
        <v>120</v>
      </c>
      <c r="RH210" s="220">
        <f t="shared" si="213"/>
        <v>2.2070995034026118E-3</v>
      </c>
      <c r="RI210" s="222" t="str">
        <f t="shared" ca="1" si="214"/>
        <v>Attente…</v>
      </c>
      <c r="RJ210" s="199">
        <f t="shared" si="215"/>
        <v>350</v>
      </c>
      <c r="RK210" s="200" t="str">
        <f t="shared" ca="1" si="172"/>
        <v>Attente…</v>
      </c>
      <c r="RL210" s="199">
        <f t="shared" si="216"/>
        <v>850</v>
      </c>
      <c r="RM210" s="200" t="str">
        <f t="shared" ca="1" si="217"/>
        <v>Atttente…</v>
      </c>
      <c r="RN210" s="199">
        <f t="shared" si="218"/>
        <v>430</v>
      </c>
      <c r="RO210" s="200" t="str">
        <f t="shared" ca="1" si="173"/>
        <v>Attente…</v>
      </c>
      <c r="RP210" s="199">
        <f t="shared" si="219"/>
        <v>450</v>
      </c>
      <c r="RQ210" s="200" t="str">
        <f t="shared" ca="1" si="174"/>
        <v>Attente…</v>
      </c>
      <c r="RR210" s="201">
        <f t="shared" si="220"/>
        <v>2080</v>
      </c>
      <c r="RS210" s="202" t="str">
        <f t="shared" ca="1" si="175"/>
        <v>Attente…</v>
      </c>
      <c r="RT210" s="103"/>
      <c r="RU210" s="203">
        <f t="shared" si="221"/>
        <v>0.2810810810810811</v>
      </c>
      <c r="RV210" s="204">
        <f t="shared" si="171"/>
        <v>1</v>
      </c>
      <c r="RW210" s="204">
        <f t="shared" si="171"/>
        <v>1</v>
      </c>
      <c r="RX210" s="204">
        <f t="shared" si="222"/>
        <v>37</v>
      </c>
      <c r="RY210" s="205" t="str">
        <f t="shared" si="223"/>
        <v>ROUEN - 10 Rue Moise</v>
      </c>
      <c r="RZ210" s="189" t="str">
        <f>IF(OR(RZ209="",RZ209="  &lt;/Document&gt;
&lt;/kml&gt;"),"",
IF(B210="","  &lt;/Document&gt;
&lt;/kml&gt;",
IF(TournéesCAV!Q210=""," ",
"    &lt;Placemark&gt;
      &lt;description&gt;&lt;![CDATA["&amp;B210&amp;"&lt;br&gt;&lt;br&gt;"&amp;RV210&amp;" CAV&lt;br&gt;&lt;br&gt;Présent sur "&amp;RW210&amp;" tournée(s)&lt;br&gt;&lt;br&gt;Taux de remplissage moyen "&amp;TEXT(RU210*1000,"0 %")&amp;"]]&gt;&lt;/description&gt;
      &lt;Style&gt;
        &lt;IconStyle&gt;
          &lt;color&gt;ff"&amp;
          DEC2HEX(0,2)&amp;
          DEC2HEX(
            IF(RU210&lt;=0.5,
               INT(255*(RU210*2)),
               255
            ),2)&amp;
          DEC2HEX(
            IF(RU210&lt;=0.5,
               255,
               INT(255*(1-(RU210-0.5)*2))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&lt;Point&gt;&lt;coordinates&gt;"&amp;R210&amp;","&amp;Q210&amp;",0&lt;/coordinates&gt;&lt;/Point&gt;
    &lt;/Placemark&gt;"
)))</f>
        <v xml:space="preserve">    &lt;Placemark&gt;
      &lt;description&gt;&lt;![CDATA[ROUEN - 10 Rue Moise&lt;br&gt;&lt;br&gt;1 CAV&lt;br&gt;&lt;br&gt;Présent sur 1 tournée(s)&lt;br&gt;&lt;br&gt;Taux de remplissage moyen 28%]]&gt;&lt;/description&gt;
      &lt;Style&gt;
        &lt;IconStyle&gt;
          &lt;color&gt;ff008FFF&lt;/color&gt;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&lt;Point&gt;&lt;coordinates&gt;1.064157,49.451788,0&lt;/coordinates&gt;&lt;/Point&gt;
    &lt;/Placemark&gt;</v>
      </c>
    </row>
    <row r="211" spans="1:494" ht="15" customHeight="1" x14ac:dyDescent="0.35">
      <c r="B211" s="153" t="str">
        <f t="shared" si="176"/>
        <v>ROUEN - 145 Boulevard Jean Jaurès (Face au n°306)</v>
      </c>
      <c r="C211" s="154">
        <v>141</v>
      </c>
      <c r="D211" s="155"/>
      <c r="E211" s="155"/>
      <c r="F211" s="155"/>
      <c r="G211" s="155"/>
      <c r="H211" s="155"/>
      <c r="I211" s="155"/>
      <c r="J211" s="156"/>
      <c r="K211" s="157">
        <f t="shared" si="177"/>
        <v>1</v>
      </c>
      <c r="L211" s="157">
        <f t="shared" si="178"/>
        <v>2</v>
      </c>
      <c r="M211" s="158" t="s">
        <v>1144</v>
      </c>
      <c r="N211" s="159" t="s">
        <v>1145</v>
      </c>
      <c r="O211" s="159">
        <v>76000</v>
      </c>
      <c r="P211" s="159" t="s">
        <v>90</v>
      </c>
      <c r="Q211" s="159" t="s">
        <v>1146</v>
      </c>
      <c r="R211" s="159" t="s">
        <v>1147</v>
      </c>
      <c r="S211" s="159" t="s">
        <v>93</v>
      </c>
      <c r="T211" s="159" t="s">
        <v>94</v>
      </c>
      <c r="U211" s="159" t="s">
        <v>1148</v>
      </c>
      <c r="V211" s="160" t="s">
        <v>96</v>
      </c>
      <c r="W211" s="210">
        <v>30</v>
      </c>
      <c r="X211" s="162">
        <v>30</v>
      </c>
      <c r="Y211" s="162"/>
      <c r="Z211" s="162"/>
      <c r="AA211" s="162"/>
      <c r="AB211" s="162"/>
      <c r="AC211" s="162"/>
      <c r="AD211" s="162"/>
      <c r="AE211" s="162"/>
      <c r="AF211" s="162"/>
      <c r="AG211" s="162"/>
      <c r="AH211" s="162"/>
      <c r="AI211" s="162"/>
      <c r="AJ211" s="162"/>
      <c r="AK211" s="162"/>
      <c r="AL211" s="162"/>
      <c r="AM211" s="162"/>
      <c r="AN211" s="162"/>
      <c r="AO211" s="162"/>
      <c r="AP211" s="164"/>
      <c r="AQ211" s="164"/>
      <c r="AR211" s="164"/>
      <c r="AS211" s="164"/>
      <c r="AT211" s="164"/>
      <c r="AU211" s="164"/>
      <c r="AV211" s="164"/>
      <c r="AW211" s="164"/>
      <c r="AX211" s="164"/>
      <c r="AY211" s="165"/>
      <c r="AZ211" s="41"/>
      <c r="BA211" s="190"/>
      <c r="BB211" s="191"/>
      <c r="BC211" s="191">
        <v>100</v>
      </c>
      <c r="BD211" s="191"/>
      <c r="BE211" s="191"/>
      <c r="BF211" s="191"/>
      <c r="BG211" s="191"/>
      <c r="BH211" s="191"/>
      <c r="BI211" s="191"/>
      <c r="BJ211" s="191">
        <v>50</v>
      </c>
      <c r="BK211" s="191"/>
      <c r="BL211" s="191"/>
      <c r="BM211" s="191">
        <v>50</v>
      </c>
      <c r="BN211" s="191"/>
      <c r="BO211" s="191"/>
      <c r="BP211" s="191"/>
      <c r="BQ211" s="191">
        <v>10</v>
      </c>
      <c r="BR211" s="191"/>
      <c r="BS211" s="191"/>
      <c r="BT211" s="191"/>
      <c r="BU211" s="191"/>
      <c r="BV211" s="191"/>
      <c r="BW211" s="191"/>
      <c r="BX211" s="191">
        <v>10</v>
      </c>
      <c r="BY211" s="191"/>
      <c r="BZ211" s="191"/>
      <c r="CA211" s="191">
        <v>100</v>
      </c>
      <c r="CB211" s="191"/>
      <c r="CC211" s="191"/>
      <c r="CD211" s="191"/>
      <c r="CE211" s="192">
        <v>10</v>
      </c>
      <c r="CF211" s="190"/>
      <c r="CG211" s="191"/>
      <c r="CH211" s="191">
        <v>50</v>
      </c>
      <c r="CI211" s="191"/>
      <c r="CJ211" s="191"/>
      <c r="CK211" s="191"/>
      <c r="CL211" s="191">
        <v>10</v>
      </c>
      <c r="CM211" s="191"/>
      <c r="CN211" s="191"/>
      <c r="CO211" s="191">
        <v>10</v>
      </c>
      <c r="CP211" s="191"/>
      <c r="CQ211" s="191"/>
      <c r="CR211" s="191"/>
      <c r="CS211" s="191">
        <v>10</v>
      </c>
      <c r="CT211" s="191"/>
      <c r="CU211" s="191"/>
      <c r="CV211" s="191">
        <v>50</v>
      </c>
      <c r="CW211" s="191"/>
      <c r="CX211" s="191"/>
      <c r="CY211" s="191"/>
      <c r="CZ211" s="191">
        <v>10</v>
      </c>
      <c r="DA211" s="191"/>
      <c r="DB211" s="191"/>
      <c r="DC211" s="191">
        <v>100</v>
      </c>
      <c r="DD211" s="191"/>
      <c r="DE211" s="191"/>
      <c r="DF211" s="191"/>
      <c r="DG211" s="191">
        <v>10</v>
      </c>
      <c r="DH211" s="193"/>
      <c r="DI211" s="194"/>
      <c r="DJ211" s="191"/>
      <c r="DK211" s="191">
        <v>50</v>
      </c>
      <c r="DL211" s="191"/>
      <c r="DM211" s="191"/>
      <c r="DN211" s="191"/>
      <c r="DO211" s="191"/>
      <c r="DP211" s="191"/>
      <c r="DQ211" s="191"/>
      <c r="DR211" s="191">
        <v>10</v>
      </c>
      <c r="DS211" s="191"/>
      <c r="DT211" s="191"/>
      <c r="DU211" s="191"/>
      <c r="DV211" s="191">
        <v>10</v>
      </c>
      <c r="DW211" s="191"/>
      <c r="DX211" s="191"/>
      <c r="DY211" s="191">
        <v>50</v>
      </c>
      <c r="DZ211" s="191"/>
      <c r="EA211" s="191"/>
      <c r="EB211" s="191"/>
      <c r="EC211" s="191">
        <v>50</v>
      </c>
      <c r="ED211" s="191"/>
      <c r="EE211" s="191"/>
      <c r="EF211" s="191">
        <v>50</v>
      </c>
      <c r="EG211" s="191"/>
      <c r="EH211" s="191"/>
      <c r="EI211" s="191"/>
      <c r="EJ211" s="191">
        <v>50</v>
      </c>
      <c r="EK211" s="191"/>
      <c r="EL211" s="191"/>
      <c r="EM211" s="192">
        <v>50</v>
      </c>
      <c r="EN211" s="190"/>
      <c r="EO211" s="191"/>
      <c r="EP211" s="191"/>
      <c r="EQ211" s="191">
        <v>10</v>
      </c>
      <c r="ER211" s="191"/>
      <c r="ES211" s="191"/>
      <c r="ET211" s="191">
        <v>10</v>
      </c>
      <c r="EU211" s="191"/>
      <c r="EV211" s="191"/>
      <c r="EW211" s="191"/>
      <c r="EX211" s="191">
        <v>100</v>
      </c>
      <c r="EY211" s="191"/>
      <c r="EZ211" s="191"/>
      <c r="FA211" s="191">
        <v>10</v>
      </c>
      <c r="FB211" s="191"/>
      <c r="FC211" s="191"/>
      <c r="FD211" s="191"/>
      <c r="FE211" s="191">
        <v>10</v>
      </c>
      <c r="FF211" s="191"/>
      <c r="FG211" s="191"/>
      <c r="FH211" s="191"/>
      <c r="FI211" s="191"/>
      <c r="FJ211" s="191"/>
      <c r="FK211" s="191">
        <v>50</v>
      </c>
      <c r="FL211" s="191"/>
      <c r="FM211" s="191"/>
      <c r="FN211" s="191"/>
      <c r="FO211" s="191">
        <v>10</v>
      </c>
      <c r="FP211" s="191"/>
      <c r="FQ211" s="193"/>
      <c r="FR211" s="194"/>
      <c r="FS211" s="191"/>
      <c r="FT211" s="191"/>
      <c r="FU211" s="191"/>
      <c r="FV211" s="191">
        <v>150</v>
      </c>
      <c r="FW211" s="191"/>
      <c r="FX211" s="191"/>
      <c r="FY211" s="191"/>
      <c r="FZ211" s="191">
        <v>50</v>
      </c>
      <c r="GA211" s="191"/>
      <c r="GB211" s="191"/>
      <c r="GC211" s="191">
        <v>50</v>
      </c>
      <c r="GD211" s="191"/>
      <c r="GE211" s="191"/>
      <c r="GF211" s="191"/>
      <c r="GG211" s="191"/>
      <c r="GH211" s="191"/>
      <c r="GI211" s="191"/>
      <c r="GJ211" s="191">
        <v>100</v>
      </c>
      <c r="GK211" s="191"/>
      <c r="GL211" s="191"/>
      <c r="GM211" s="191"/>
      <c r="GN211" s="191"/>
      <c r="GO211" s="191"/>
      <c r="GP211" s="191"/>
      <c r="GQ211" s="191">
        <v>50</v>
      </c>
      <c r="GR211" s="191"/>
      <c r="GS211" s="191"/>
      <c r="GT211" s="191"/>
      <c r="GU211" s="191"/>
      <c r="GV211" s="192"/>
      <c r="GW211" s="190"/>
      <c r="GX211" s="191">
        <v>150</v>
      </c>
      <c r="GY211" s="191"/>
      <c r="GZ211" s="191"/>
      <c r="HA211" s="191"/>
      <c r="HB211" s="191">
        <v>50</v>
      </c>
      <c r="HC211" s="191"/>
      <c r="HD211" s="191"/>
      <c r="HE211" s="191"/>
      <c r="HF211" s="191"/>
      <c r="HG211" s="191"/>
      <c r="HH211" s="191"/>
      <c r="HI211" s="191">
        <v>100</v>
      </c>
      <c r="HJ211" s="191"/>
      <c r="HK211" s="191"/>
      <c r="HL211" s="191"/>
      <c r="HM211" s="191"/>
      <c r="HN211" s="191"/>
      <c r="HO211" s="191"/>
      <c r="HP211" s="191">
        <v>50</v>
      </c>
      <c r="HQ211" s="191"/>
      <c r="HR211" s="191"/>
      <c r="HS211" s="191">
        <v>50</v>
      </c>
      <c r="HT211" s="191"/>
      <c r="HU211" s="191"/>
      <c r="HV211" s="191"/>
      <c r="HW211" s="191"/>
      <c r="HX211" s="191"/>
      <c r="HY211" s="191"/>
      <c r="HZ211" s="193"/>
      <c r="IA211" s="194"/>
      <c r="IB211" s="191"/>
      <c r="IC211" s="191">
        <v>50</v>
      </c>
      <c r="ID211" s="191">
        <v>50</v>
      </c>
      <c r="IE211" s="191"/>
      <c r="IF211" s="191"/>
      <c r="IG211" s="191"/>
      <c r="IH211" s="191"/>
      <c r="II211" s="191"/>
      <c r="IJ211" s="191">
        <v>100</v>
      </c>
      <c r="IK211" s="191"/>
      <c r="IL211" s="191"/>
      <c r="IM211" s="191"/>
      <c r="IN211" s="191">
        <v>10</v>
      </c>
      <c r="IO211" s="191"/>
      <c r="IP211" s="191"/>
      <c r="IQ211" s="191"/>
      <c r="IR211" s="191"/>
      <c r="IS211" s="191"/>
      <c r="IT211" s="191"/>
      <c r="IU211" s="191"/>
      <c r="IV211" s="191"/>
      <c r="IW211" s="191"/>
      <c r="IX211" s="191"/>
      <c r="IY211" s="191"/>
      <c r="IZ211" s="191"/>
      <c r="JA211" s="191"/>
      <c r="JB211" s="191"/>
      <c r="JC211" s="191"/>
      <c r="JD211" s="191"/>
      <c r="JE211" s="192"/>
      <c r="JF211" s="190">
        <v>50</v>
      </c>
      <c r="JG211" s="191"/>
      <c r="JH211" s="191"/>
      <c r="JI211" s="191"/>
      <c r="JJ211" s="191"/>
      <c r="JK211" s="191"/>
      <c r="JL211" s="191"/>
      <c r="JM211" s="191">
        <v>100</v>
      </c>
      <c r="JN211" s="191"/>
      <c r="JO211" s="191"/>
      <c r="JP211" s="191">
        <v>50</v>
      </c>
      <c r="JQ211" s="191"/>
      <c r="JR211" s="191"/>
      <c r="JS211" s="191"/>
      <c r="JT211" s="191"/>
      <c r="JU211" s="191"/>
      <c r="JV211" s="191"/>
      <c r="JW211" s="191">
        <v>100</v>
      </c>
      <c r="JX211" s="191"/>
      <c r="JY211" s="191"/>
      <c r="JZ211" s="191"/>
      <c r="KA211" s="191">
        <v>50</v>
      </c>
      <c r="KB211" s="191"/>
      <c r="KC211" s="191"/>
      <c r="KD211" s="191">
        <v>150</v>
      </c>
      <c r="KE211" s="191"/>
      <c r="KF211" s="191"/>
      <c r="KG211" s="191"/>
      <c r="KH211" s="191">
        <v>50</v>
      </c>
      <c r="KI211" s="191"/>
      <c r="KJ211" s="193"/>
      <c r="KK211" s="194">
        <v>100</v>
      </c>
      <c r="KL211" s="191"/>
      <c r="KM211" s="191"/>
      <c r="KN211" s="191">
        <v>50</v>
      </c>
      <c r="KO211" s="191"/>
      <c r="KP211" s="191"/>
      <c r="KQ211" s="191"/>
      <c r="KR211" s="191"/>
      <c r="KS211" s="191"/>
      <c r="KT211" s="191"/>
      <c r="KU211" s="191"/>
      <c r="KV211" s="191">
        <v>150</v>
      </c>
      <c r="KW211" s="191"/>
      <c r="KX211" s="191"/>
      <c r="KY211" s="191"/>
      <c r="KZ211" s="191"/>
      <c r="LA211" s="191"/>
      <c r="LB211" s="191"/>
      <c r="LC211" s="191">
        <v>50</v>
      </c>
      <c r="LD211" s="191"/>
      <c r="LE211" s="191"/>
      <c r="LF211" s="191">
        <v>10</v>
      </c>
      <c r="LG211" s="191"/>
      <c r="LH211" s="191"/>
      <c r="LI211" s="191"/>
      <c r="LJ211" s="191">
        <v>50</v>
      </c>
      <c r="LK211" s="191"/>
      <c r="LL211" s="191"/>
      <c r="LM211" s="191"/>
      <c r="LN211" s="192"/>
      <c r="LO211" s="190"/>
      <c r="LP211" s="191"/>
      <c r="LQ211" s="191"/>
      <c r="LR211" s="191"/>
      <c r="LS211" s="191"/>
      <c r="LT211" s="191"/>
      <c r="LU211" s="191">
        <v>50</v>
      </c>
      <c r="LV211" s="191"/>
      <c r="LW211" s="191"/>
      <c r="LX211" s="191">
        <v>50</v>
      </c>
      <c r="LY211" s="191"/>
      <c r="LZ211" s="191"/>
      <c r="MA211" s="191">
        <v>50</v>
      </c>
      <c r="MB211" s="191"/>
      <c r="MC211" s="191"/>
      <c r="MD211" s="191"/>
      <c r="ME211" s="191">
        <v>50</v>
      </c>
      <c r="MF211" s="191"/>
      <c r="MG211" s="191"/>
      <c r="MH211" s="191">
        <v>10</v>
      </c>
      <c r="MI211" s="191"/>
      <c r="MJ211" s="191"/>
      <c r="MK211" s="191"/>
      <c r="ML211" s="191">
        <v>10</v>
      </c>
      <c r="MM211" s="191"/>
      <c r="MN211" s="191"/>
      <c r="MO211" s="191">
        <v>50</v>
      </c>
      <c r="MP211" s="191"/>
      <c r="MQ211" s="191"/>
      <c r="MR211" s="191"/>
      <c r="MS211" s="193">
        <v>50</v>
      </c>
      <c r="MT211" s="194"/>
      <c r="MU211" s="191"/>
      <c r="MV211" s="191"/>
      <c r="MW211" s="191"/>
      <c r="MX211" s="191"/>
      <c r="MY211" s="191"/>
      <c r="MZ211" s="191">
        <v>10</v>
      </c>
      <c r="NA211" s="191"/>
      <c r="NB211" s="191"/>
      <c r="NC211" s="191">
        <v>10</v>
      </c>
      <c r="ND211" s="191"/>
      <c r="NE211" s="191"/>
      <c r="NF211" s="191"/>
      <c r="NG211" s="191">
        <v>10</v>
      </c>
      <c r="NH211" s="191"/>
      <c r="NI211" s="191"/>
      <c r="NJ211" s="191">
        <v>50</v>
      </c>
      <c r="NK211" s="191"/>
      <c r="NL211" s="191"/>
      <c r="NM211" s="191"/>
      <c r="NN211" s="191">
        <v>50</v>
      </c>
      <c r="NO211" s="191"/>
      <c r="NP211" s="191"/>
      <c r="NQ211" s="191">
        <v>100</v>
      </c>
      <c r="NR211" s="191"/>
      <c r="NS211" s="191"/>
      <c r="NT211" s="191"/>
      <c r="NU211" s="191">
        <v>10</v>
      </c>
      <c r="NV211" s="191"/>
      <c r="NW211" s="192"/>
      <c r="NX211" s="190">
        <v>10</v>
      </c>
      <c r="NY211" s="191"/>
      <c r="NZ211" s="191"/>
      <c r="OA211" s="191"/>
      <c r="OB211" s="191">
        <v>10</v>
      </c>
      <c r="OC211" s="191"/>
      <c r="OD211" s="191"/>
      <c r="OE211" s="191">
        <v>10</v>
      </c>
      <c r="OF211" s="191"/>
      <c r="OG211" s="191"/>
      <c r="OH211" s="191"/>
      <c r="OI211" s="191">
        <v>10</v>
      </c>
      <c r="OJ211" s="191"/>
      <c r="OK211" s="191"/>
      <c r="OL211" s="191"/>
      <c r="OM211" s="191"/>
      <c r="ON211" s="191"/>
      <c r="OO211" s="191"/>
      <c r="OP211" s="191"/>
      <c r="OQ211" s="191"/>
      <c r="OR211" s="191"/>
      <c r="OS211" s="191"/>
      <c r="OT211" s="191"/>
      <c r="OU211" s="191"/>
      <c r="OV211" s="191"/>
      <c r="OW211" s="191"/>
      <c r="OX211" s="191"/>
      <c r="OY211" s="191"/>
      <c r="OZ211" s="191"/>
      <c r="PA211" s="191"/>
      <c r="PB211" s="193"/>
      <c r="PC211" s="47"/>
      <c r="PD211" s="154" t="s">
        <v>97</v>
      </c>
      <c r="PE211" s="155" t="s">
        <v>98</v>
      </c>
      <c r="PF211" s="155" t="s">
        <v>98</v>
      </c>
      <c r="PG211" s="155" t="s">
        <v>98</v>
      </c>
      <c r="PH211" s="155" t="s">
        <v>98</v>
      </c>
      <c r="PI211" s="155" t="s">
        <v>98</v>
      </c>
      <c r="PJ211" s="155" t="s">
        <v>98</v>
      </c>
      <c r="PK211" s="155" t="s">
        <v>98</v>
      </c>
      <c r="PL211" s="155" t="s">
        <v>98</v>
      </c>
      <c r="PM211" s="155" t="s">
        <v>98</v>
      </c>
      <c r="PN211" s="155" t="s">
        <v>98</v>
      </c>
      <c r="PO211" s="156"/>
      <c r="PP211" s="156"/>
      <c r="PQ211" s="156"/>
      <c r="PR211" s="156"/>
      <c r="PS211" s="156"/>
      <c r="PT211" s="156"/>
      <c r="PU211" s="156"/>
      <c r="PV211" s="156"/>
      <c r="PW211" s="156"/>
      <c r="PX211" s="195"/>
      <c r="PY211" s="1"/>
      <c r="PZ211" s="196">
        <f t="shared" si="179"/>
        <v>330</v>
      </c>
      <c r="QA211" s="218">
        <f t="shared" si="180"/>
        <v>2.752982397597397E-3</v>
      </c>
      <c r="QB211" s="219" t="str">
        <f t="shared" ca="1" si="181"/>
        <v>Attente…</v>
      </c>
      <c r="QC211" s="197">
        <f t="shared" si="182"/>
        <v>250</v>
      </c>
      <c r="QD211" s="220">
        <f t="shared" si="183"/>
        <v>2.3408239700374533E-3</v>
      </c>
      <c r="QE211" s="221" t="str">
        <f t="shared" ca="1" si="184"/>
        <v>Attente…</v>
      </c>
      <c r="QF211" s="196">
        <f t="shared" si="185"/>
        <v>320</v>
      </c>
      <c r="QG211" s="218">
        <f t="shared" si="186"/>
        <v>2.5481764612199395E-3</v>
      </c>
      <c r="QH211" s="219" t="str">
        <f t="shared" ca="1" si="187"/>
        <v>Attente…</v>
      </c>
      <c r="QI211" s="197">
        <f t="shared" si="188"/>
        <v>200</v>
      </c>
      <c r="QJ211" s="220">
        <f t="shared" si="189"/>
        <v>1.4027212792818067E-3</v>
      </c>
      <c r="QK211" s="221" t="str">
        <f t="shared" ca="1" si="190"/>
        <v>Attente…</v>
      </c>
      <c r="QL211" s="196">
        <f t="shared" si="191"/>
        <v>400</v>
      </c>
      <c r="QM211" s="218">
        <f t="shared" si="192"/>
        <v>2.9265437518290896E-3</v>
      </c>
      <c r="QN211" s="219" t="str">
        <f t="shared" ca="1" si="193"/>
        <v>Attente…</v>
      </c>
      <c r="QO211" s="197">
        <f t="shared" si="194"/>
        <v>400</v>
      </c>
      <c r="QP211" s="220">
        <f t="shared" si="195"/>
        <v>3.1316057308384874E-3</v>
      </c>
      <c r="QQ211" s="221" t="str">
        <f t="shared" ca="1" si="196"/>
        <v>Attente…</v>
      </c>
      <c r="QR211" s="196">
        <f t="shared" si="197"/>
        <v>210</v>
      </c>
      <c r="QS211" s="218">
        <f t="shared" si="198"/>
        <v>1.5118246283431123E-3</v>
      </c>
      <c r="QT211" s="219" t="str">
        <f t="shared" ca="1" si="199"/>
        <v>Attente…</v>
      </c>
      <c r="QU211" s="197">
        <f t="shared" si="200"/>
        <v>550</v>
      </c>
      <c r="QV211" s="220">
        <f t="shared" si="201"/>
        <v>3.7920573634859351E-3</v>
      </c>
      <c r="QW211" s="221" t="str">
        <f t="shared" ca="1" si="202"/>
        <v>Attente…</v>
      </c>
      <c r="QX211" s="196">
        <f t="shared" si="203"/>
        <v>410</v>
      </c>
      <c r="QY211" s="218">
        <f t="shared" si="204"/>
        <v>2.9919145334072797E-3</v>
      </c>
      <c r="QZ211" s="219" t="str">
        <f t="shared" ca="1" si="205"/>
        <v>Attente…</v>
      </c>
      <c r="RA211" s="197">
        <f t="shared" si="206"/>
        <v>320</v>
      </c>
      <c r="RB211" s="220">
        <f t="shared" si="207"/>
        <v>2.5037164541115717E-3</v>
      </c>
      <c r="RC211" s="221" t="str">
        <f t="shared" ca="1" si="208"/>
        <v>Attente…</v>
      </c>
      <c r="RD211" s="196">
        <f t="shared" si="209"/>
        <v>240</v>
      </c>
      <c r="RE211" s="218">
        <f t="shared" si="210"/>
        <v>2.3913909924272616E-3</v>
      </c>
      <c r="RF211" s="219" t="str">
        <f t="shared" ca="1" si="211"/>
        <v>Attente…</v>
      </c>
      <c r="RG211" s="197">
        <f t="shared" si="212"/>
        <v>40</v>
      </c>
      <c r="RH211" s="220">
        <f t="shared" si="213"/>
        <v>7.356998344675372E-4</v>
      </c>
      <c r="RI211" s="222" t="str">
        <f t="shared" ca="1" si="214"/>
        <v>Attente…</v>
      </c>
      <c r="RJ211" s="199">
        <f t="shared" si="215"/>
        <v>900</v>
      </c>
      <c r="RK211" s="200" t="str">
        <f t="shared" ca="1" si="172"/>
        <v>Attente…</v>
      </c>
      <c r="RL211" s="199">
        <f t="shared" si="216"/>
        <v>1000</v>
      </c>
      <c r="RM211" s="200" t="str">
        <f t="shared" ca="1" si="217"/>
        <v>Atttente…</v>
      </c>
      <c r="RN211" s="199">
        <f t="shared" si="218"/>
        <v>1170</v>
      </c>
      <c r="RO211" s="200" t="str">
        <f t="shared" ca="1" si="173"/>
        <v>Attente…</v>
      </c>
      <c r="RP211" s="199">
        <f t="shared" si="219"/>
        <v>600</v>
      </c>
      <c r="RQ211" s="200" t="str">
        <f t="shared" ca="1" si="174"/>
        <v>Attente…</v>
      </c>
      <c r="RR211" s="201">
        <f t="shared" si="220"/>
        <v>3670</v>
      </c>
      <c r="RS211" s="202" t="str">
        <f t="shared" ca="1" si="175"/>
        <v>Attente…</v>
      </c>
      <c r="RT211" s="103"/>
      <c r="RU211" s="203">
        <f t="shared" si="221"/>
        <v>0.24144736842105263</v>
      </c>
      <c r="RV211" s="204">
        <f t="shared" si="171"/>
        <v>1</v>
      </c>
      <c r="RW211" s="204">
        <f t="shared" si="171"/>
        <v>2</v>
      </c>
      <c r="RX211" s="204">
        <f t="shared" si="222"/>
        <v>76</v>
      </c>
      <c r="RY211" s="205" t="str">
        <f t="shared" si="223"/>
        <v>ROUEN - 145 Boulevard Jean Jaurès (Face au n°306)</v>
      </c>
      <c r="RZ211" s="189" t="str">
        <f>IF(OR(RZ210="",RZ210="  &lt;/Document&gt;
&lt;/kml&gt;"),"",
IF(B211="","  &lt;/Document&gt;
&lt;/kml&gt;",
IF(TournéesCAV!Q211=""," ",
"    &lt;Placemark&gt;
      &lt;description&gt;&lt;![CDATA["&amp;B211&amp;"&lt;br&gt;&lt;br&gt;"&amp;RV211&amp;" CAV&lt;br&gt;&lt;br&gt;Présent sur "&amp;RW211&amp;" tournée(s)&lt;br&gt;&lt;br&gt;Taux de remplissage moyen "&amp;TEXT(RU211*1000,"0 %")&amp;"]]&gt;&lt;/description&gt;
      &lt;Style&gt;
        &lt;IconStyle&gt;
          &lt;color&gt;ff"&amp;
          DEC2HEX(0,2)&amp;
          DEC2HEX(
            IF(RU211&lt;=0.5,
               INT(255*(RU211*2)),
               255
            ),2)&amp;
          DEC2HEX(
            IF(RU211&lt;=0.5,
               255,
               INT(255*(1-(RU211-0.5)*2))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&lt;Point&gt;&lt;coordinates&gt;"&amp;R211&amp;","&amp;Q211&amp;",0&lt;/coordinates&gt;&lt;/Point&gt;
    &lt;/Placemark&gt;"
)))</f>
        <v xml:space="preserve">    &lt;Placemark&gt;
      &lt;description&gt;&lt;![CDATA[ROUEN - 145 Boulevard Jean Jaurès (Face au n°306)&lt;br&gt;&lt;br&gt;1 CAV&lt;br&gt;&lt;br&gt;Présent sur 2 tournée(s)&lt;br&gt;&lt;br&gt;Taux de remplissage moyen 24%]]&gt;&lt;/description&gt;
      &lt;Style&gt;
        &lt;IconStyle&gt;
          &lt;color&gt;ff007BFF&lt;/color&gt;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&lt;Point&gt;&lt;coordinates&gt;1.058519,49.4527917,0&lt;/coordinates&gt;&lt;/Point&gt;
    &lt;/Placemark&gt;</v>
      </c>
    </row>
    <row r="212" spans="1:494" ht="15" customHeight="1" x14ac:dyDescent="0.35">
      <c r="B212" s="153" t="str">
        <f t="shared" si="176"/>
        <v>ROUEN - 2 rue du Loup</v>
      </c>
      <c r="C212" s="154">
        <v>123</v>
      </c>
      <c r="D212" s="155"/>
      <c r="E212" s="155"/>
      <c r="F212" s="155"/>
      <c r="G212" s="155"/>
      <c r="H212" s="155"/>
      <c r="I212" s="155"/>
      <c r="J212" s="156"/>
      <c r="K212" s="157">
        <f t="shared" si="177"/>
        <v>1</v>
      </c>
      <c r="L212" s="157">
        <f t="shared" si="178"/>
        <v>2</v>
      </c>
      <c r="M212" s="158" t="s">
        <v>1149</v>
      </c>
      <c r="N212" s="159"/>
      <c r="O212" s="159">
        <v>76000</v>
      </c>
      <c r="P212" s="159" t="s">
        <v>90</v>
      </c>
      <c r="Q212" s="159" t="s">
        <v>1150</v>
      </c>
      <c r="R212" s="159" t="s">
        <v>1151</v>
      </c>
      <c r="S212" s="159" t="s">
        <v>93</v>
      </c>
      <c r="T212" s="159" t="s">
        <v>94</v>
      </c>
      <c r="U212" s="159" t="s">
        <v>1152</v>
      </c>
      <c r="V212" s="160" t="s">
        <v>96</v>
      </c>
      <c r="W212" s="210">
        <v>31</v>
      </c>
      <c r="X212" s="162">
        <v>31</v>
      </c>
      <c r="Y212" s="162"/>
      <c r="Z212" s="162"/>
      <c r="AA212" s="162"/>
      <c r="AB212" s="162"/>
      <c r="AC212" s="162"/>
      <c r="AD212" s="162"/>
      <c r="AE212" s="162"/>
      <c r="AF212" s="162"/>
      <c r="AG212" s="162"/>
      <c r="AH212" s="162"/>
      <c r="AI212" s="162"/>
      <c r="AJ212" s="162"/>
      <c r="AK212" s="162"/>
      <c r="AL212" s="162"/>
      <c r="AM212" s="162"/>
      <c r="AN212" s="162"/>
      <c r="AO212" s="162"/>
      <c r="AP212" s="164"/>
      <c r="AQ212" s="164"/>
      <c r="AR212" s="164"/>
      <c r="AS212" s="164"/>
      <c r="AT212" s="164"/>
      <c r="AU212" s="164"/>
      <c r="AV212" s="164"/>
      <c r="AW212" s="164"/>
      <c r="AX212" s="164"/>
      <c r="AY212" s="165"/>
      <c r="AZ212" s="41"/>
      <c r="BA212" s="190"/>
      <c r="BB212" s="191"/>
      <c r="BC212" s="191">
        <v>100</v>
      </c>
      <c r="BD212" s="191"/>
      <c r="BE212" s="191"/>
      <c r="BF212" s="191"/>
      <c r="BG212" s="191"/>
      <c r="BH212" s="191"/>
      <c r="BI212" s="191"/>
      <c r="BJ212" s="191">
        <v>50</v>
      </c>
      <c r="BK212" s="191"/>
      <c r="BL212" s="191"/>
      <c r="BM212" s="191">
        <v>50</v>
      </c>
      <c r="BN212" s="191"/>
      <c r="BO212" s="191"/>
      <c r="BP212" s="191"/>
      <c r="BQ212" s="191">
        <v>10</v>
      </c>
      <c r="BR212" s="191"/>
      <c r="BS212" s="191"/>
      <c r="BT212" s="191"/>
      <c r="BU212" s="191"/>
      <c r="BV212" s="191"/>
      <c r="BW212" s="191"/>
      <c r="BX212" s="191">
        <v>50</v>
      </c>
      <c r="BY212" s="191"/>
      <c r="BZ212" s="191"/>
      <c r="CA212" s="191">
        <v>100</v>
      </c>
      <c r="CB212" s="191"/>
      <c r="CC212" s="191"/>
      <c r="CD212" s="191"/>
      <c r="CE212" s="192">
        <v>50</v>
      </c>
      <c r="CF212" s="190"/>
      <c r="CG212" s="191"/>
      <c r="CH212" s="191">
        <v>50</v>
      </c>
      <c r="CI212" s="191"/>
      <c r="CJ212" s="191"/>
      <c r="CK212" s="191"/>
      <c r="CL212" s="191">
        <v>10</v>
      </c>
      <c r="CM212" s="191"/>
      <c r="CN212" s="191"/>
      <c r="CO212" s="191">
        <v>10</v>
      </c>
      <c r="CP212" s="191"/>
      <c r="CQ212" s="191"/>
      <c r="CR212" s="191"/>
      <c r="CS212" s="191">
        <v>10</v>
      </c>
      <c r="CT212" s="191"/>
      <c r="CU212" s="191"/>
      <c r="CV212" s="191">
        <v>50</v>
      </c>
      <c r="CW212" s="191"/>
      <c r="CX212" s="191"/>
      <c r="CY212" s="191"/>
      <c r="CZ212" s="191">
        <v>50</v>
      </c>
      <c r="DA212" s="191"/>
      <c r="DB212" s="191"/>
      <c r="DC212" s="191">
        <v>10</v>
      </c>
      <c r="DD212" s="191"/>
      <c r="DE212" s="191"/>
      <c r="DF212" s="191"/>
      <c r="DG212" s="191">
        <v>50</v>
      </c>
      <c r="DH212" s="193"/>
      <c r="DI212" s="194"/>
      <c r="DJ212" s="191"/>
      <c r="DK212" s="191">
        <v>100</v>
      </c>
      <c r="DL212" s="191"/>
      <c r="DM212" s="191"/>
      <c r="DN212" s="191"/>
      <c r="DO212" s="191"/>
      <c r="DP212" s="191"/>
      <c r="DQ212" s="191"/>
      <c r="DR212" s="191">
        <v>10</v>
      </c>
      <c r="DS212" s="191"/>
      <c r="DT212" s="191"/>
      <c r="DU212" s="191"/>
      <c r="DV212" s="191"/>
      <c r="DW212" s="191"/>
      <c r="DX212" s="191"/>
      <c r="DY212" s="191">
        <v>50</v>
      </c>
      <c r="DZ212" s="191"/>
      <c r="EA212" s="191"/>
      <c r="EB212" s="191"/>
      <c r="EC212" s="191">
        <v>50</v>
      </c>
      <c r="ED212" s="191"/>
      <c r="EE212" s="191"/>
      <c r="EF212" s="191">
        <v>50</v>
      </c>
      <c r="EG212" s="191"/>
      <c r="EH212" s="191"/>
      <c r="EI212" s="191"/>
      <c r="EJ212" s="191">
        <v>50</v>
      </c>
      <c r="EK212" s="191"/>
      <c r="EL212" s="191"/>
      <c r="EM212" s="192">
        <v>100</v>
      </c>
      <c r="EN212" s="190"/>
      <c r="EO212" s="191"/>
      <c r="EP212" s="191"/>
      <c r="EQ212" s="191">
        <v>50</v>
      </c>
      <c r="ER212" s="191"/>
      <c r="ES212" s="191"/>
      <c r="ET212" s="191">
        <v>50</v>
      </c>
      <c r="EU212" s="191"/>
      <c r="EV212" s="191"/>
      <c r="EW212" s="191"/>
      <c r="EX212" s="191">
        <v>50</v>
      </c>
      <c r="EY212" s="191"/>
      <c r="EZ212" s="191"/>
      <c r="FA212" s="191">
        <v>10</v>
      </c>
      <c r="FB212" s="191"/>
      <c r="FC212" s="191"/>
      <c r="FD212" s="191"/>
      <c r="FE212" s="191">
        <v>10</v>
      </c>
      <c r="FF212" s="191"/>
      <c r="FG212" s="191"/>
      <c r="FH212" s="191"/>
      <c r="FI212" s="191"/>
      <c r="FJ212" s="191"/>
      <c r="FK212" s="191">
        <v>50</v>
      </c>
      <c r="FL212" s="191"/>
      <c r="FM212" s="191"/>
      <c r="FN212" s="191"/>
      <c r="FO212" s="191">
        <v>50</v>
      </c>
      <c r="FP212" s="191"/>
      <c r="FQ212" s="193"/>
      <c r="FR212" s="194"/>
      <c r="FS212" s="191"/>
      <c r="FT212" s="191"/>
      <c r="FU212" s="191"/>
      <c r="FV212" s="191"/>
      <c r="FW212" s="191"/>
      <c r="FX212" s="191"/>
      <c r="FY212" s="191"/>
      <c r="FZ212" s="191">
        <v>200</v>
      </c>
      <c r="GA212" s="191"/>
      <c r="GB212" s="191"/>
      <c r="GC212" s="191">
        <v>10</v>
      </c>
      <c r="GD212" s="191"/>
      <c r="GE212" s="191"/>
      <c r="GF212" s="191"/>
      <c r="GG212" s="191"/>
      <c r="GH212" s="191"/>
      <c r="GI212" s="191"/>
      <c r="GJ212" s="191">
        <v>50</v>
      </c>
      <c r="GK212" s="191"/>
      <c r="GL212" s="191"/>
      <c r="GM212" s="191"/>
      <c r="GN212" s="191"/>
      <c r="GO212" s="191"/>
      <c r="GP212" s="191"/>
      <c r="GQ212" s="191">
        <v>50</v>
      </c>
      <c r="GR212" s="191"/>
      <c r="GS212" s="191"/>
      <c r="GT212" s="191"/>
      <c r="GU212" s="191"/>
      <c r="GV212" s="192"/>
      <c r="GW212" s="190"/>
      <c r="GX212" s="191">
        <v>100</v>
      </c>
      <c r="GY212" s="191"/>
      <c r="GZ212" s="191"/>
      <c r="HA212" s="191"/>
      <c r="HB212" s="191">
        <v>50</v>
      </c>
      <c r="HC212" s="191"/>
      <c r="HD212" s="191"/>
      <c r="HE212" s="191"/>
      <c r="HF212" s="191"/>
      <c r="HG212" s="191"/>
      <c r="HH212" s="191"/>
      <c r="HI212" s="191">
        <v>50</v>
      </c>
      <c r="HJ212" s="191"/>
      <c r="HK212" s="191"/>
      <c r="HL212" s="191"/>
      <c r="HM212" s="191"/>
      <c r="HN212" s="191"/>
      <c r="HO212" s="191"/>
      <c r="HP212" s="191">
        <v>50</v>
      </c>
      <c r="HQ212" s="191"/>
      <c r="HR212" s="191"/>
      <c r="HS212" s="191">
        <f>10+50</f>
        <v>60</v>
      </c>
      <c r="HT212" s="191"/>
      <c r="HU212" s="191"/>
      <c r="HV212" s="191"/>
      <c r="HW212" s="191"/>
      <c r="HX212" s="191"/>
      <c r="HY212" s="191"/>
      <c r="HZ212" s="193"/>
      <c r="IA212" s="194"/>
      <c r="IB212" s="191"/>
      <c r="IC212" s="191">
        <v>10</v>
      </c>
      <c r="ID212" s="191">
        <v>50</v>
      </c>
      <c r="IE212" s="191"/>
      <c r="IF212" s="191"/>
      <c r="IG212" s="191"/>
      <c r="IH212" s="191"/>
      <c r="II212" s="191"/>
      <c r="IJ212" s="191">
        <v>100</v>
      </c>
      <c r="IK212" s="191"/>
      <c r="IL212" s="191"/>
      <c r="IM212" s="191"/>
      <c r="IN212" s="191">
        <v>50</v>
      </c>
      <c r="IO212" s="191"/>
      <c r="IP212" s="191"/>
      <c r="IQ212" s="191"/>
      <c r="IR212" s="191"/>
      <c r="IS212" s="191"/>
      <c r="IT212" s="191"/>
      <c r="IU212" s="191"/>
      <c r="IV212" s="191"/>
      <c r="IW212" s="191"/>
      <c r="IX212" s="191"/>
      <c r="IY212" s="191"/>
      <c r="IZ212" s="191"/>
      <c r="JA212" s="191"/>
      <c r="JB212" s="191"/>
      <c r="JC212" s="191"/>
      <c r="JD212" s="191"/>
      <c r="JE212" s="192"/>
      <c r="JF212" s="190">
        <v>100</v>
      </c>
      <c r="JG212" s="191"/>
      <c r="JH212" s="191"/>
      <c r="JI212" s="191"/>
      <c r="JJ212" s="191"/>
      <c r="JK212" s="191"/>
      <c r="JL212" s="191"/>
      <c r="JM212" s="191">
        <v>50</v>
      </c>
      <c r="JN212" s="191"/>
      <c r="JO212" s="191"/>
      <c r="JP212" s="191">
        <v>50</v>
      </c>
      <c r="JQ212" s="191"/>
      <c r="JR212" s="191"/>
      <c r="JS212" s="191"/>
      <c r="JT212" s="191"/>
      <c r="JU212" s="191"/>
      <c r="JV212" s="191"/>
      <c r="JW212" s="191">
        <v>100</v>
      </c>
      <c r="JX212" s="191"/>
      <c r="JY212" s="191"/>
      <c r="JZ212" s="191"/>
      <c r="KA212" s="191">
        <v>50</v>
      </c>
      <c r="KB212" s="191"/>
      <c r="KC212" s="191"/>
      <c r="KD212" s="191">
        <v>100</v>
      </c>
      <c r="KE212" s="191"/>
      <c r="KF212" s="191"/>
      <c r="KG212" s="191"/>
      <c r="KH212" s="191">
        <v>50</v>
      </c>
      <c r="KI212" s="191"/>
      <c r="KJ212" s="193"/>
      <c r="KK212" s="194">
        <v>100</v>
      </c>
      <c r="KL212" s="191"/>
      <c r="KM212" s="191"/>
      <c r="KN212" s="191">
        <v>50</v>
      </c>
      <c r="KO212" s="191"/>
      <c r="KP212" s="191"/>
      <c r="KQ212" s="191"/>
      <c r="KR212" s="191"/>
      <c r="KS212" s="191"/>
      <c r="KT212" s="191"/>
      <c r="KU212" s="191"/>
      <c r="KV212" s="191">
        <v>150</v>
      </c>
      <c r="KW212" s="191"/>
      <c r="KX212" s="191"/>
      <c r="KY212" s="191"/>
      <c r="KZ212" s="191"/>
      <c r="LA212" s="191"/>
      <c r="LB212" s="191"/>
      <c r="LC212" s="191">
        <v>50</v>
      </c>
      <c r="LD212" s="191"/>
      <c r="LE212" s="191"/>
      <c r="LF212" s="191">
        <v>100</v>
      </c>
      <c r="LG212" s="191"/>
      <c r="LH212" s="191"/>
      <c r="LI212" s="191"/>
      <c r="LJ212" s="191">
        <v>50</v>
      </c>
      <c r="LK212" s="191"/>
      <c r="LL212" s="191"/>
      <c r="LM212" s="191"/>
      <c r="LN212" s="192"/>
      <c r="LO212" s="190"/>
      <c r="LP212" s="191"/>
      <c r="LQ212" s="191"/>
      <c r="LR212" s="191"/>
      <c r="LS212" s="191"/>
      <c r="LT212" s="191"/>
      <c r="LU212" s="191">
        <v>100</v>
      </c>
      <c r="LV212" s="191"/>
      <c r="LW212" s="191"/>
      <c r="LX212" s="191">
        <v>50</v>
      </c>
      <c r="LY212" s="191"/>
      <c r="LZ212" s="191"/>
      <c r="MA212" s="191">
        <v>10</v>
      </c>
      <c r="MB212" s="191"/>
      <c r="MC212" s="191"/>
      <c r="MD212" s="191"/>
      <c r="ME212" s="191">
        <v>10</v>
      </c>
      <c r="MF212" s="191"/>
      <c r="MG212" s="191"/>
      <c r="MH212" s="191">
        <v>50</v>
      </c>
      <c r="MI212" s="191"/>
      <c r="MJ212" s="191"/>
      <c r="MK212" s="191"/>
      <c r="ML212" s="191">
        <v>10</v>
      </c>
      <c r="MM212" s="191"/>
      <c r="MN212" s="191"/>
      <c r="MO212" s="191">
        <v>50</v>
      </c>
      <c r="MP212" s="191"/>
      <c r="MQ212" s="191"/>
      <c r="MR212" s="191"/>
      <c r="MS212" s="193">
        <v>50</v>
      </c>
      <c r="MT212" s="194"/>
      <c r="MU212" s="191"/>
      <c r="MV212" s="191"/>
      <c r="MW212" s="191"/>
      <c r="MX212" s="191"/>
      <c r="MY212" s="191"/>
      <c r="MZ212" s="191">
        <v>10</v>
      </c>
      <c r="NA212" s="191"/>
      <c r="NB212" s="191"/>
      <c r="NC212" s="191">
        <v>10</v>
      </c>
      <c r="ND212" s="191"/>
      <c r="NE212" s="191"/>
      <c r="NF212" s="191"/>
      <c r="NG212" s="191">
        <v>50</v>
      </c>
      <c r="NH212" s="191"/>
      <c r="NI212" s="191"/>
      <c r="NJ212" s="191">
        <v>10</v>
      </c>
      <c r="NK212" s="191"/>
      <c r="NL212" s="191"/>
      <c r="NM212" s="191"/>
      <c r="NN212" s="191">
        <v>50</v>
      </c>
      <c r="NO212" s="191"/>
      <c r="NP212" s="191"/>
      <c r="NQ212" s="191"/>
      <c r="NR212" s="191"/>
      <c r="NS212" s="191"/>
      <c r="NT212" s="191"/>
      <c r="NU212" s="191">
        <v>10</v>
      </c>
      <c r="NV212" s="191"/>
      <c r="NW212" s="192"/>
      <c r="NX212" s="190">
        <v>10</v>
      </c>
      <c r="NY212" s="191"/>
      <c r="NZ212" s="191"/>
      <c r="OA212" s="191"/>
      <c r="OB212" s="191">
        <v>10</v>
      </c>
      <c r="OC212" s="191"/>
      <c r="OD212" s="191"/>
      <c r="OE212" s="191">
        <v>10</v>
      </c>
      <c r="OF212" s="191"/>
      <c r="OG212" s="191"/>
      <c r="OH212" s="191"/>
      <c r="OI212" s="191">
        <v>50</v>
      </c>
      <c r="OJ212" s="191"/>
      <c r="OK212" s="191"/>
      <c r="OL212" s="191"/>
      <c r="OM212" s="191"/>
      <c r="ON212" s="191"/>
      <c r="OO212" s="191"/>
      <c r="OP212" s="191"/>
      <c r="OQ212" s="191"/>
      <c r="OR212" s="191"/>
      <c r="OS212" s="191"/>
      <c r="OT212" s="191"/>
      <c r="OU212" s="191"/>
      <c r="OV212" s="191"/>
      <c r="OW212" s="191"/>
      <c r="OX212" s="191"/>
      <c r="OY212" s="191"/>
      <c r="OZ212" s="191"/>
      <c r="PA212" s="191"/>
      <c r="PB212" s="193"/>
      <c r="PC212" s="47"/>
      <c r="PD212" s="154" t="s">
        <v>97</v>
      </c>
      <c r="PE212" s="155" t="s">
        <v>98</v>
      </c>
      <c r="PF212" s="155" t="s">
        <v>98</v>
      </c>
      <c r="PG212" s="155" t="s">
        <v>98</v>
      </c>
      <c r="PH212" s="155" t="s">
        <v>98</v>
      </c>
      <c r="PI212" s="155" t="s">
        <v>98</v>
      </c>
      <c r="PJ212" s="155" t="s">
        <v>98</v>
      </c>
      <c r="PK212" s="155" t="s">
        <v>98</v>
      </c>
      <c r="PL212" s="155" t="s">
        <v>98</v>
      </c>
      <c r="PM212" s="155" t="s">
        <v>98</v>
      </c>
      <c r="PN212" s="155" t="s">
        <v>98</v>
      </c>
      <c r="PO212" s="156"/>
      <c r="PP212" s="156"/>
      <c r="PQ212" s="156"/>
      <c r="PR212" s="156"/>
      <c r="PS212" s="156"/>
      <c r="PT212" s="156"/>
      <c r="PU212" s="156"/>
      <c r="PV212" s="156"/>
      <c r="PW212" s="156"/>
      <c r="PX212" s="195"/>
      <c r="PY212" s="1"/>
      <c r="PZ212" s="196">
        <f t="shared" si="179"/>
        <v>410</v>
      </c>
      <c r="QA212" s="218">
        <f t="shared" si="180"/>
        <v>3.4203720697422208E-3</v>
      </c>
      <c r="QB212" s="219" t="str">
        <f t="shared" ca="1" si="181"/>
        <v>Attente…</v>
      </c>
      <c r="QC212" s="197">
        <f t="shared" si="182"/>
        <v>240</v>
      </c>
      <c r="QD212" s="220">
        <f t="shared" si="183"/>
        <v>2.2471910112359553E-3</v>
      </c>
      <c r="QE212" s="221" t="str">
        <f t="shared" ca="1" si="184"/>
        <v>Attente…</v>
      </c>
      <c r="QF212" s="196">
        <f t="shared" si="185"/>
        <v>410</v>
      </c>
      <c r="QG212" s="218">
        <f t="shared" si="186"/>
        <v>3.2648510909380475E-3</v>
      </c>
      <c r="QH212" s="219" t="str">
        <f t="shared" ca="1" si="187"/>
        <v>Attente…</v>
      </c>
      <c r="QI212" s="197">
        <f t="shared" si="188"/>
        <v>270</v>
      </c>
      <c r="QJ212" s="220">
        <f t="shared" si="189"/>
        <v>1.8936737270304391E-3</v>
      </c>
      <c r="QK212" s="221" t="str">
        <f t="shared" ca="1" si="190"/>
        <v>Attente…</v>
      </c>
      <c r="QL212" s="196">
        <f t="shared" si="191"/>
        <v>310</v>
      </c>
      <c r="QM212" s="218">
        <f t="shared" si="192"/>
        <v>2.2680714076675447E-3</v>
      </c>
      <c r="QN212" s="219" t="str">
        <f t="shared" ca="1" si="193"/>
        <v>Attente…</v>
      </c>
      <c r="QO212" s="197">
        <f t="shared" si="194"/>
        <v>310</v>
      </c>
      <c r="QP212" s="220">
        <f t="shared" si="195"/>
        <v>2.4269944413998277E-3</v>
      </c>
      <c r="QQ212" s="221" t="str">
        <f t="shared" ca="1" si="196"/>
        <v>Attente…</v>
      </c>
      <c r="QR212" s="196">
        <f t="shared" si="197"/>
        <v>210</v>
      </c>
      <c r="QS212" s="218">
        <f t="shared" si="198"/>
        <v>1.5118246283431123E-3</v>
      </c>
      <c r="QT212" s="219" t="str">
        <f t="shared" ca="1" si="199"/>
        <v>Attente…</v>
      </c>
      <c r="QU212" s="197">
        <f t="shared" si="200"/>
        <v>500</v>
      </c>
      <c r="QV212" s="220">
        <f t="shared" si="201"/>
        <v>3.4473248758963046E-3</v>
      </c>
      <c r="QW212" s="221" t="str">
        <f t="shared" ca="1" si="202"/>
        <v>Attente…</v>
      </c>
      <c r="QX212" s="196">
        <f t="shared" si="203"/>
        <v>500</v>
      </c>
      <c r="QY212" s="218">
        <f t="shared" si="204"/>
        <v>3.6486762602527803E-3</v>
      </c>
      <c r="QZ212" s="219" t="str">
        <f t="shared" ca="1" si="205"/>
        <v>Attente…</v>
      </c>
      <c r="RA212" s="197">
        <f t="shared" si="206"/>
        <v>330</v>
      </c>
      <c r="RB212" s="220">
        <f t="shared" si="207"/>
        <v>2.5819575933025583E-3</v>
      </c>
      <c r="RC212" s="221" t="str">
        <f t="shared" ca="1" si="208"/>
        <v>Attente…</v>
      </c>
      <c r="RD212" s="196">
        <f t="shared" si="209"/>
        <v>140</v>
      </c>
      <c r="RE212" s="218">
        <f t="shared" si="210"/>
        <v>1.3949780789159027E-3</v>
      </c>
      <c r="RF212" s="219" t="str">
        <f t="shared" ca="1" si="211"/>
        <v>Attente…</v>
      </c>
      <c r="RG212" s="197">
        <f t="shared" si="212"/>
        <v>80</v>
      </c>
      <c r="RH212" s="220">
        <f t="shared" si="213"/>
        <v>1.4713996689350744E-3</v>
      </c>
      <c r="RI212" s="222" t="str">
        <f t="shared" ca="1" si="214"/>
        <v>Attente…</v>
      </c>
      <c r="RJ212" s="199">
        <f t="shared" si="215"/>
        <v>1060</v>
      </c>
      <c r="RK212" s="200" t="str">
        <f t="shared" ca="1" si="172"/>
        <v>Attente…</v>
      </c>
      <c r="RL212" s="199">
        <f t="shared" si="216"/>
        <v>890</v>
      </c>
      <c r="RM212" s="200" t="str">
        <f t="shared" ca="1" si="217"/>
        <v>Atttente…</v>
      </c>
      <c r="RN212" s="199">
        <f t="shared" si="218"/>
        <v>1210</v>
      </c>
      <c r="RO212" s="200" t="str">
        <f t="shared" ca="1" si="173"/>
        <v>Attente…</v>
      </c>
      <c r="RP212" s="199">
        <f t="shared" si="219"/>
        <v>550</v>
      </c>
      <c r="RQ212" s="200" t="str">
        <f t="shared" ca="1" si="174"/>
        <v>Attente…</v>
      </c>
      <c r="RR212" s="201">
        <f t="shared" si="220"/>
        <v>3710</v>
      </c>
      <c r="RS212" s="202" t="str">
        <f t="shared" ca="1" si="175"/>
        <v>Attente…</v>
      </c>
      <c r="RT212" s="103"/>
      <c r="RU212" s="203">
        <f t="shared" si="221"/>
        <v>0.25410958904109587</v>
      </c>
      <c r="RV212" s="204">
        <f t="shared" ref="RV212:RW228" si="224">K212</f>
        <v>1</v>
      </c>
      <c r="RW212" s="204">
        <f t="shared" si="224"/>
        <v>2</v>
      </c>
      <c r="RX212" s="204">
        <f t="shared" si="222"/>
        <v>73</v>
      </c>
      <c r="RY212" s="205" t="str">
        <f t="shared" si="223"/>
        <v>ROUEN - 2 rue du Loup</v>
      </c>
      <c r="RZ212" s="189" t="str">
        <f>IF(OR(RZ211="",RZ211="  &lt;/Document&gt;
&lt;/kml&gt;"),"",
IF(B212="","  &lt;/Document&gt;
&lt;/kml&gt;",
IF(TournéesCAV!Q212=""," ",
"    &lt;Placemark&gt;
      &lt;description&gt;&lt;![CDATA["&amp;B212&amp;"&lt;br&gt;&lt;br&gt;"&amp;RV212&amp;" CAV&lt;br&gt;&lt;br&gt;Présent sur "&amp;RW212&amp;" tournée(s)&lt;br&gt;&lt;br&gt;Taux de remplissage moyen "&amp;TEXT(RU212*1000,"0 %")&amp;"]]&gt;&lt;/description&gt;
      &lt;Style&gt;
        &lt;IconStyle&gt;
          &lt;color&gt;ff"&amp;
          DEC2HEX(0,2)&amp;
          DEC2HEX(
            IF(RU212&lt;=0.5,
               INT(255*(RU212*2)),
               255
            ),2)&amp;
          DEC2HEX(
            IF(RU212&lt;=0.5,
               255,
               INT(255*(1-(RU212-0.5)*2))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&lt;Point&gt;&lt;coordinates&gt;"&amp;R212&amp;","&amp;Q212&amp;",0&lt;/coordinates&gt;&lt;/Point&gt;
    &lt;/Placemark&gt;"
)))</f>
        <v xml:space="preserve">    &lt;Placemark&gt;
      &lt;description&gt;&lt;![CDATA[ROUEN - 2 rue du Loup&lt;br&gt;&lt;br&gt;1 CAV&lt;br&gt;&lt;br&gt;Présent sur 2 tournée(s)&lt;br&gt;&lt;br&gt;Taux de remplissage moyen 25%]]&gt;&lt;/description&gt;
      &lt;Style&gt;
        &lt;IconStyle&gt;
          &lt;color&gt;ff0081FF&lt;/color&gt;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&lt;Point&gt;&lt;coordinates&gt;1.05537,49.453197,0&lt;/coordinates&gt;&lt;/Point&gt;
    &lt;/Placemark&gt;</v>
      </c>
    </row>
    <row r="213" spans="1:494" ht="15" hidden="1" customHeight="1" x14ac:dyDescent="0.35">
      <c r="B213" s="153" t="str">
        <f t="shared" si="176"/>
        <v>DARNÉTAL - 2 rue Edouard Branly</v>
      </c>
      <c r="C213" s="154">
        <v>71</v>
      </c>
      <c r="D213" s="155"/>
      <c r="E213" s="155"/>
      <c r="F213" s="155"/>
      <c r="G213" s="155"/>
      <c r="H213" s="155"/>
      <c r="I213" s="155"/>
      <c r="J213" s="156"/>
      <c r="K213" s="157">
        <f t="shared" si="177"/>
        <v>1</v>
      </c>
      <c r="L213" s="157">
        <f t="shared" si="178"/>
        <v>1</v>
      </c>
      <c r="M213" s="209" t="s">
        <v>1153</v>
      </c>
      <c r="N213" s="159"/>
      <c r="O213" s="159">
        <v>76160</v>
      </c>
      <c r="P213" s="159" t="s">
        <v>15</v>
      </c>
      <c r="Q213" s="159" t="s">
        <v>1154</v>
      </c>
      <c r="R213" s="159" t="s">
        <v>1155</v>
      </c>
      <c r="S213" s="159" t="s">
        <v>93</v>
      </c>
      <c r="T213" s="159" t="s">
        <v>94</v>
      </c>
      <c r="U213" s="159" t="s">
        <v>1156</v>
      </c>
      <c r="V213" s="160" t="s">
        <v>96</v>
      </c>
      <c r="W213" s="161"/>
      <c r="X213" s="162"/>
      <c r="Y213" s="163"/>
      <c r="Z213" s="162"/>
      <c r="AA213" s="163"/>
      <c r="AB213" s="162"/>
      <c r="AC213" s="163"/>
      <c r="AD213" s="162">
        <v>17</v>
      </c>
      <c r="AE213" s="163"/>
      <c r="AF213" s="162"/>
      <c r="AG213" s="163"/>
      <c r="AH213" s="163"/>
      <c r="AI213" s="162"/>
      <c r="AJ213" s="163"/>
      <c r="AK213" s="162"/>
      <c r="AL213" s="163"/>
      <c r="AM213" s="162"/>
      <c r="AN213" s="163"/>
      <c r="AO213" s="162"/>
      <c r="AP213" s="164"/>
      <c r="AQ213" s="164"/>
      <c r="AR213" s="164"/>
      <c r="AS213" s="164"/>
      <c r="AT213" s="164"/>
      <c r="AU213" s="164"/>
      <c r="AV213" s="164"/>
      <c r="AW213" s="164"/>
      <c r="AX213" s="164"/>
      <c r="AY213" s="165"/>
      <c r="AZ213" s="41"/>
      <c r="BA213" s="190"/>
      <c r="BB213" s="191"/>
      <c r="BC213" s="191"/>
      <c r="BD213" s="191"/>
      <c r="BE213" s="191"/>
      <c r="BF213" s="191"/>
      <c r="BG213" s="191"/>
      <c r="BH213" s="191"/>
      <c r="BI213" s="191"/>
      <c r="BJ213" s="191"/>
      <c r="BK213" s="191"/>
      <c r="BL213" s="191"/>
      <c r="BM213" s="191">
        <v>100</v>
      </c>
      <c r="BN213" s="191"/>
      <c r="BO213" s="191"/>
      <c r="BP213" s="191"/>
      <c r="BQ213" s="191"/>
      <c r="BR213" s="191"/>
      <c r="BS213" s="191"/>
      <c r="BT213" s="191">
        <v>10</v>
      </c>
      <c r="BU213" s="191"/>
      <c r="BV213" s="191"/>
      <c r="BW213" s="191"/>
      <c r="BX213" s="191"/>
      <c r="BY213" s="191"/>
      <c r="BZ213" s="191"/>
      <c r="CA213" s="191">
        <v>50</v>
      </c>
      <c r="CB213" s="191"/>
      <c r="CC213" s="191"/>
      <c r="CD213" s="191"/>
      <c r="CE213" s="192"/>
      <c r="CF213" s="190"/>
      <c r="CG213" s="191"/>
      <c r="CH213" s="191">
        <v>10</v>
      </c>
      <c r="CI213" s="191"/>
      <c r="CJ213" s="191"/>
      <c r="CK213" s="191"/>
      <c r="CL213" s="191"/>
      <c r="CM213" s="191"/>
      <c r="CN213" s="191"/>
      <c r="CO213" s="191">
        <v>50</v>
      </c>
      <c r="CP213" s="191"/>
      <c r="CQ213" s="191"/>
      <c r="CR213" s="191"/>
      <c r="CS213" s="191"/>
      <c r="CT213" s="191"/>
      <c r="CU213" s="191"/>
      <c r="CV213" s="191">
        <v>50</v>
      </c>
      <c r="CW213" s="191"/>
      <c r="CX213" s="191"/>
      <c r="CY213" s="191"/>
      <c r="CZ213" s="191"/>
      <c r="DA213" s="191"/>
      <c r="DB213" s="191"/>
      <c r="DC213" s="191">
        <v>10</v>
      </c>
      <c r="DD213" s="191"/>
      <c r="DE213" s="191"/>
      <c r="DF213" s="191"/>
      <c r="DG213" s="191"/>
      <c r="DH213" s="193"/>
      <c r="DI213" s="194"/>
      <c r="DJ213" s="191"/>
      <c r="DK213" s="191">
        <v>50</v>
      </c>
      <c r="DL213" s="191"/>
      <c r="DM213" s="191"/>
      <c r="DN213" s="191"/>
      <c r="DO213" s="191"/>
      <c r="DP213" s="191"/>
      <c r="DQ213" s="191"/>
      <c r="DR213" s="191">
        <v>50</v>
      </c>
      <c r="DS213" s="191"/>
      <c r="DT213" s="191"/>
      <c r="DU213" s="191"/>
      <c r="DV213" s="191"/>
      <c r="DW213" s="191"/>
      <c r="DX213" s="191"/>
      <c r="DY213" s="191">
        <v>50</v>
      </c>
      <c r="DZ213" s="191"/>
      <c r="EA213" s="191"/>
      <c r="EB213" s="191"/>
      <c r="EC213" s="191"/>
      <c r="ED213" s="191"/>
      <c r="EE213" s="191"/>
      <c r="EF213" s="191">
        <v>50</v>
      </c>
      <c r="EG213" s="191"/>
      <c r="EH213" s="191"/>
      <c r="EI213" s="191"/>
      <c r="EJ213" s="191"/>
      <c r="EK213" s="191"/>
      <c r="EL213" s="191"/>
      <c r="EM213" s="192">
        <v>10</v>
      </c>
      <c r="EN213" s="190"/>
      <c r="EO213" s="191"/>
      <c r="EP213" s="191"/>
      <c r="EQ213" s="191"/>
      <c r="ER213" s="191"/>
      <c r="ES213" s="191"/>
      <c r="ET213" s="191">
        <v>100</v>
      </c>
      <c r="EU213" s="191"/>
      <c r="EV213" s="191"/>
      <c r="EW213" s="191"/>
      <c r="EX213" s="191"/>
      <c r="EY213" s="191"/>
      <c r="EZ213" s="191"/>
      <c r="FA213" s="191">
        <v>10</v>
      </c>
      <c r="FB213" s="191"/>
      <c r="FC213" s="191"/>
      <c r="FD213" s="191"/>
      <c r="FE213" s="191"/>
      <c r="FF213" s="191"/>
      <c r="FG213" s="191"/>
      <c r="FH213" s="191"/>
      <c r="FI213" s="191">
        <v>100</v>
      </c>
      <c r="FJ213" s="191"/>
      <c r="FK213" s="191"/>
      <c r="FL213" s="191"/>
      <c r="FM213" s="191"/>
      <c r="FN213" s="191"/>
      <c r="FO213" s="191">
        <v>10</v>
      </c>
      <c r="FP213" s="191"/>
      <c r="FQ213" s="193"/>
      <c r="FR213" s="194"/>
      <c r="FS213" s="191"/>
      <c r="FT213" s="191"/>
      <c r="FU213" s="191"/>
      <c r="FV213" s="191"/>
      <c r="FW213" s="191"/>
      <c r="FX213" s="191"/>
      <c r="FY213" s="191"/>
      <c r="FZ213" s="191"/>
      <c r="GA213" s="191"/>
      <c r="GB213" s="191"/>
      <c r="GC213" s="191">
        <v>100</v>
      </c>
      <c r="GD213" s="191"/>
      <c r="GE213" s="191"/>
      <c r="GF213" s="191"/>
      <c r="GG213" s="191"/>
      <c r="GH213" s="191"/>
      <c r="GI213" s="191"/>
      <c r="GJ213" s="191">
        <v>50</v>
      </c>
      <c r="GK213" s="191"/>
      <c r="GL213" s="191"/>
      <c r="GM213" s="191"/>
      <c r="GN213" s="191"/>
      <c r="GO213" s="191"/>
      <c r="GP213" s="191"/>
      <c r="GQ213" s="191">
        <v>10</v>
      </c>
      <c r="GR213" s="191"/>
      <c r="GS213" s="191"/>
      <c r="GT213" s="191"/>
      <c r="GU213" s="191"/>
      <c r="GV213" s="192"/>
      <c r="GW213" s="190"/>
      <c r="GX213" s="191">
        <v>50</v>
      </c>
      <c r="GY213" s="191"/>
      <c r="GZ213" s="191"/>
      <c r="HA213" s="191"/>
      <c r="HB213" s="191">
        <v>50</v>
      </c>
      <c r="HC213" s="191"/>
      <c r="HD213" s="191"/>
      <c r="HE213" s="191"/>
      <c r="HF213" s="191">
        <v>10</v>
      </c>
      <c r="HG213" s="191"/>
      <c r="HH213" s="191"/>
      <c r="HI213" s="191"/>
      <c r="HJ213" s="191"/>
      <c r="HK213" s="191"/>
      <c r="HL213" s="191">
        <v>100</v>
      </c>
      <c r="HM213" s="191"/>
      <c r="HN213" s="191"/>
      <c r="HO213" s="191"/>
      <c r="HP213" s="191"/>
      <c r="HQ213" s="191"/>
      <c r="HR213" s="191"/>
      <c r="HS213" s="191">
        <v>50</v>
      </c>
      <c r="HT213" s="191"/>
      <c r="HU213" s="191"/>
      <c r="HV213" s="191"/>
      <c r="HW213" s="191"/>
      <c r="HX213" s="191"/>
      <c r="HY213" s="191"/>
      <c r="HZ213" s="193">
        <v>50</v>
      </c>
      <c r="IA213" s="194"/>
      <c r="IB213" s="191"/>
      <c r="IC213" s="191"/>
      <c r="ID213" s="191"/>
      <c r="IE213" s="191"/>
      <c r="IF213" s="191"/>
      <c r="IG213" s="191">
        <v>50</v>
      </c>
      <c r="IH213" s="191"/>
      <c r="II213" s="191"/>
      <c r="IJ213" s="191"/>
      <c r="IK213" s="191"/>
      <c r="IL213" s="191"/>
      <c r="IM213" s="191"/>
      <c r="IN213" s="191">
        <v>10</v>
      </c>
      <c r="IO213" s="191"/>
      <c r="IP213" s="191"/>
      <c r="IQ213" s="191"/>
      <c r="IR213" s="191"/>
      <c r="IS213" s="191"/>
      <c r="IT213" s="191"/>
      <c r="IU213" s="191">
        <v>10</v>
      </c>
      <c r="IV213" s="191"/>
      <c r="IW213" s="191"/>
      <c r="IX213" s="191"/>
      <c r="IY213" s="191"/>
      <c r="IZ213" s="191"/>
      <c r="JA213" s="191"/>
      <c r="JB213" s="191">
        <v>10</v>
      </c>
      <c r="JC213" s="191"/>
      <c r="JD213" s="191"/>
      <c r="JE213" s="192"/>
      <c r="JF213" s="190"/>
      <c r="JG213" s="191"/>
      <c r="JH213" s="191"/>
      <c r="JI213" s="191">
        <v>10</v>
      </c>
      <c r="JJ213" s="191"/>
      <c r="JK213" s="191"/>
      <c r="JL213" s="191"/>
      <c r="JM213" s="191"/>
      <c r="JN213" s="191"/>
      <c r="JO213" s="191"/>
      <c r="JP213" s="191">
        <v>50</v>
      </c>
      <c r="JQ213" s="191"/>
      <c r="JR213" s="191"/>
      <c r="JS213" s="191"/>
      <c r="JT213" s="191">
        <v>50</v>
      </c>
      <c r="JU213" s="191"/>
      <c r="JV213" s="191"/>
      <c r="JW213" s="191"/>
      <c r="JX213" s="191">
        <v>50</v>
      </c>
      <c r="JY213" s="191"/>
      <c r="JZ213" s="191"/>
      <c r="KA213" s="191"/>
      <c r="KB213" s="191"/>
      <c r="KC213" s="191"/>
      <c r="KD213" s="191">
        <v>100</v>
      </c>
      <c r="KE213" s="191"/>
      <c r="KF213" s="191"/>
      <c r="KG213" s="191"/>
      <c r="KH213" s="191"/>
      <c r="KI213" s="191"/>
      <c r="KJ213" s="193"/>
      <c r="KK213" s="194">
        <v>150</v>
      </c>
      <c r="KL213" s="191"/>
      <c r="KM213" s="191"/>
      <c r="KN213" s="191"/>
      <c r="KO213" s="191"/>
      <c r="KP213" s="191"/>
      <c r="KQ213" s="191"/>
      <c r="KR213" s="191">
        <v>50</v>
      </c>
      <c r="KS213" s="191"/>
      <c r="KT213" s="191"/>
      <c r="KU213" s="191"/>
      <c r="KV213" s="191"/>
      <c r="KW213" s="191"/>
      <c r="KX213" s="191"/>
      <c r="KY213" s="191"/>
      <c r="KZ213" s="191"/>
      <c r="LA213" s="191"/>
      <c r="LB213" s="191"/>
      <c r="LC213" s="191"/>
      <c r="LD213" s="191"/>
      <c r="LE213" s="191"/>
      <c r="LF213" s="191">
        <v>10</v>
      </c>
      <c r="LG213" s="191"/>
      <c r="LH213" s="191"/>
      <c r="LI213" s="191"/>
      <c r="LJ213" s="191"/>
      <c r="LK213" s="191"/>
      <c r="LL213" s="191"/>
      <c r="LM213" s="191">
        <v>100</v>
      </c>
      <c r="LN213" s="192"/>
      <c r="LO213" s="190"/>
      <c r="LP213" s="191"/>
      <c r="LQ213" s="191"/>
      <c r="LR213" s="191"/>
      <c r="LS213" s="191"/>
      <c r="LT213" s="191">
        <v>50</v>
      </c>
      <c r="LU213" s="191"/>
      <c r="LV213" s="191"/>
      <c r="LW213" s="191"/>
      <c r="LX213" s="191"/>
      <c r="LY213" s="191"/>
      <c r="LZ213" s="191"/>
      <c r="MA213" s="191">
        <v>50</v>
      </c>
      <c r="MB213" s="191"/>
      <c r="MC213" s="191"/>
      <c r="MD213" s="191"/>
      <c r="ME213" s="191"/>
      <c r="MF213" s="191"/>
      <c r="MG213" s="191"/>
      <c r="MH213" s="191">
        <v>50</v>
      </c>
      <c r="MI213" s="191"/>
      <c r="MJ213" s="191"/>
      <c r="MK213" s="191"/>
      <c r="ML213" s="191"/>
      <c r="MM213" s="191"/>
      <c r="MN213" s="191"/>
      <c r="MO213" s="191">
        <v>100</v>
      </c>
      <c r="MP213" s="191"/>
      <c r="MQ213" s="191"/>
      <c r="MR213" s="191"/>
      <c r="MS213" s="193"/>
      <c r="MT213" s="194"/>
      <c r="MU213" s="191"/>
      <c r="MV213" s="191">
        <v>10</v>
      </c>
      <c r="MW213" s="191"/>
      <c r="MX213" s="191"/>
      <c r="MY213" s="191"/>
      <c r="MZ213" s="191"/>
      <c r="NA213" s="191"/>
      <c r="NB213" s="191"/>
      <c r="NC213" s="191">
        <v>50</v>
      </c>
      <c r="ND213" s="191"/>
      <c r="NE213" s="191"/>
      <c r="NF213" s="191"/>
      <c r="NG213" s="191"/>
      <c r="NH213" s="191"/>
      <c r="NI213" s="191"/>
      <c r="NJ213" s="191">
        <v>50</v>
      </c>
      <c r="NK213" s="191"/>
      <c r="NL213" s="191"/>
      <c r="NM213" s="191"/>
      <c r="NN213" s="191"/>
      <c r="NO213" s="191"/>
      <c r="NP213" s="191"/>
      <c r="NQ213" s="191">
        <v>10</v>
      </c>
      <c r="NR213" s="191"/>
      <c r="NS213" s="191"/>
      <c r="NT213" s="191"/>
      <c r="NU213" s="191"/>
      <c r="NV213" s="191"/>
      <c r="NW213" s="192"/>
      <c r="NX213" s="190">
        <v>10</v>
      </c>
      <c r="NY213" s="191"/>
      <c r="NZ213" s="191"/>
      <c r="OA213" s="191"/>
      <c r="OB213" s="191"/>
      <c r="OC213" s="191"/>
      <c r="OD213" s="191"/>
      <c r="OE213" s="191">
        <v>10</v>
      </c>
      <c r="OF213" s="191"/>
      <c r="OG213" s="191"/>
      <c r="OH213" s="191"/>
      <c r="OI213" s="191"/>
      <c r="OJ213" s="191"/>
      <c r="OK213" s="191"/>
      <c r="OL213" s="191"/>
      <c r="OM213" s="191"/>
      <c r="ON213" s="191"/>
      <c r="OO213" s="191"/>
      <c r="OP213" s="191"/>
      <c r="OQ213" s="191"/>
      <c r="OR213" s="191"/>
      <c r="OS213" s="191"/>
      <c r="OT213" s="191"/>
      <c r="OU213" s="191"/>
      <c r="OV213" s="191"/>
      <c r="OW213" s="191"/>
      <c r="OX213" s="191"/>
      <c r="OY213" s="191"/>
      <c r="OZ213" s="191"/>
      <c r="PA213" s="191"/>
      <c r="PB213" s="193"/>
      <c r="PC213" s="47"/>
      <c r="PD213" s="154" t="s">
        <v>97</v>
      </c>
      <c r="PE213" s="155" t="s">
        <v>98</v>
      </c>
      <c r="PF213" s="155" t="s">
        <v>98</v>
      </c>
      <c r="PG213" s="155" t="s">
        <v>98</v>
      </c>
      <c r="PH213" s="155" t="s">
        <v>98</v>
      </c>
      <c r="PI213" s="155" t="s">
        <v>98</v>
      </c>
      <c r="PJ213" s="155" t="s">
        <v>98</v>
      </c>
      <c r="PK213" s="155" t="s">
        <v>98</v>
      </c>
      <c r="PL213" s="155" t="s">
        <v>98</v>
      </c>
      <c r="PM213" s="155" t="s">
        <v>98</v>
      </c>
      <c r="PN213" s="155" t="s">
        <v>98</v>
      </c>
      <c r="PO213" s="156"/>
      <c r="PP213" s="156"/>
      <c r="PQ213" s="156"/>
      <c r="PR213" s="156"/>
      <c r="PS213" s="156"/>
      <c r="PT213" s="156"/>
      <c r="PU213" s="156"/>
      <c r="PV213" s="156"/>
      <c r="PW213" s="156"/>
      <c r="PX213" s="195"/>
      <c r="PY213" s="1"/>
      <c r="PZ213" s="196">
        <f t="shared" si="179"/>
        <v>160</v>
      </c>
      <c r="QA213" s="218">
        <f t="shared" si="180"/>
        <v>1.3347793442896471E-3</v>
      </c>
      <c r="QB213" s="219" t="str">
        <f t="shared" ca="1" si="181"/>
        <v>Attente…</v>
      </c>
      <c r="QC213" s="197">
        <f t="shared" si="182"/>
        <v>120</v>
      </c>
      <c r="QD213" s="220">
        <f t="shared" si="183"/>
        <v>1.1235955056179776E-3</v>
      </c>
      <c r="QE213" s="221" t="str">
        <f t="shared" ca="1" si="184"/>
        <v>Attente…</v>
      </c>
      <c r="QF213" s="196">
        <f t="shared" si="185"/>
        <v>210</v>
      </c>
      <c r="QG213" s="218">
        <f t="shared" si="186"/>
        <v>1.6722408026755853E-3</v>
      </c>
      <c r="QH213" s="219" t="str">
        <f t="shared" ca="1" si="187"/>
        <v>Attente…</v>
      </c>
      <c r="QI213" s="197">
        <f t="shared" si="188"/>
        <v>220</v>
      </c>
      <c r="QJ213" s="220">
        <f t="shared" si="189"/>
        <v>1.5429934072099874E-3</v>
      </c>
      <c r="QK213" s="221" t="str">
        <f t="shared" ca="1" si="190"/>
        <v>Attente…</v>
      </c>
      <c r="QL213" s="196">
        <f t="shared" si="191"/>
        <v>160</v>
      </c>
      <c r="QM213" s="218">
        <f t="shared" si="192"/>
        <v>1.1706175007316359E-3</v>
      </c>
      <c r="QN213" s="219" t="str">
        <f t="shared" ca="1" si="193"/>
        <v>Attente…</v>
      </c>
      <c r="QO213" s="197">
        <f t="shared" si="194"/>
        <v>310</v>
      </c>
      <c r="QP213" s="220">
        <f t="shared" si="195"/>
        <v>2.4269944413998277E-3</v>
      </c>
      <c r="QQ213" s="221" t="str">
        <f t="shared" ca="1" si="196"/>
        <v>Attente…</v>
      </c>
      <c r="QR213" s="196">
        <f t="shared" si="197"/>
        <v>80</v>
      </c>
      <c r="QS213" s="218">
        <f t="shared" si="198"/>
        <v>5.7593319174975707E-4</v>
      </c>
      <c r="QT213" s="219" t="str">
        <f t="shared" ca="1" si="199"/>
        <v>Attente…</v>
      </c>
      <c r="QU213" s="197">
        <f t="shared" si="200"/>
        <v>260</v>
      </c>
      <c r="QV213" s="220">
        <f t="shared" si="201"/>
        <v>1.7926089354660783E-3</v>
      </c>
      <c r="QW213" s="221" t="str">
        <f t="shared" ca="1" si="202"/>
        <v>Attente…</v>
      </c>
      <c r="QX213" s="196">
        <f t="shared" si="203"/>
        <v>310</v>
      </c>
      <c r="QY213" s="218">
        <f t="shared" si="204"/>
        <v>2.262179281356724E-3</v>
      </c>
      <c r="QZ213" s="219" t="str">
        <f t="shared" ca="1" si="205"/>
        <v>Attente…</v>
      </c>
      <c r="RA213" s="197">
        <f t="shared" si="206"/>
        <v>250</v>
      </c>
      <c r="RB213" s="220">
        <f t="shared" si="207"/>
        <v>1.9560284797746656E-3</v>
      </c>
      <c r="RC213" s="221" t="str">
        <f t="shared" ca="1" si="208"/>
        <v>Attente…</v>
      </c>
      <c r="RD213" s="196">
        <f t="shared" si="209"/>
        <v>120</v>
      </c>
      <c r="RE213" s="218">
        <f t="shared" si="210"/>
        <v>1.1956954962136308E-3</v>
      </c>
      <c r="RF213" s="219" t="str">
        <f t="shared" ca="1" si="211"/>
        <v>Attente…</v>
      </c>
      <c r="RG213" s="197">
        <f t="shared" si="212"/>
        <v>20</v>
      </c>
      <c r="RH213" s="220">
        <f t="shared" si="213"/>
        <v>3.678499172337686E-4</v>
      </c>
      <c r="RI213" s="222" t="str">
        <f t="shared" ca="1" si="214"/>
        <v>Attente…</v>
      </c>
      <c r="RJ213" s="199">
        <f t="shared" si="215"/>
        <v>490</v>
      </c>
      <c r="RK213" s="200" t="str">
        <f t="shared" ca="1" si="172"/>
        <v>Attente…</v>
      </c>
      <c r="RL213" s="199">
        <f t="shared" si="216"/>
        <v>690</v>
      </c>
      <c r="RM213" s="200" t="str">
        <f t="shared" ca="1" si="217"/>
        <v>Atttente…</v>
      </c>
      <c r="RN213" s="199">
        <f t="shared" si="218"/>
        <v>650</v>
      </c>
      <c r="RO213" s="200" t="str">
        <f t="shared" ca="1" si="173"/>
        <v>Attente…</v>
      </c>
      <c r="RP213" s="199">
        <f t="shared" si="219"/>
        <v>390</v>
      </c>
      <c r="RQ213" s="200" t="str">
        <f t="shared" ca="1" si="174"/>
        <v>Attente…</v>
      </c>
      <c r="RR213" s="201">
        <f t="shared" si="220"/>
        <v>2220</v>
      </c>
      <c r="RS213" s="202" t="str">
        <f t="shared" ca="1" si="175"/>
        <v>Attente…</v>
      </c>
      <c r="RT213" s="103"/>
      <c r="RU213" s="203">
        <f t="shared" si="221"/>
        <v>0.23125000000000001</v>
      </c>
      <c r="RV213" s="204">
        <f t="shared" si="224"/>
        <v>1</v>
      </c>
      <c r="RW213" s="204">
        <f t="shared" si="224"/>
        <v>1</v>
      </c>
      <c r="RX213" s="204">
        <f t="shared" si="222"/>
        <v>48</v>
      </c>
      <c r="RY213" s="205" t="str">
        <f t="shared" si="223"/>
        <v>DARNÉTAL - 2 rue Edouard Branly</v>
      </c>
      <c r="RZ213" s="189" t="str">
        <f>IF(OR(RZ212="",RZ212="  &lt;/Document&gt;
&lt;/kml&gt;"),"",
IF(B213="","  &lt;/Document&gt;
&lt;/kml&gt;",
IF(TournéesCAV!Q213=""," ",
"    &lt;Placemark&gt;
      &lt;description&gt;&lt;![CDATA["&amp;B213&amp;"&lt;br&gt;&lt;br&gt;"&amp;RV213&amp;" CAV&lt;br&gt;&lt;br&gt;Présent sur "&amp;RW213&amp;" tournée(s)&lt;br&gt;&lt;br&gt;Taux de remplissage moyen "&amp;TEXT(RU213*1000,"0 %")&amp;"]]&gt;&lt;/description&gt;
      &lt;Style&gt;
        &lt;IconStyle&gt;
          &lt;color&gt;ff"&amp;
          DEC2HEX(0,2)&amp;
          DEC2HEX(
            IF(RU213&lt;=0.5,
               INT(255*(RU213*2)),
               255
            ),2)&amp;
          DEC2HEX(
            IF(RU213&lt;=0.5,
               255,
               INT(255*(1-(RU213-0.5)*2))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&lt;Point&gt;&lt;coordinates&gt;"&amp;R213&amp;","&amp;Q213&amp;",0&lt;/coordinates&gt;&lt;/Point&gt;
    &lt;/Placemark&gt;"
)))</f>
        <v xml:space="preserve">    &lt;Placemark&gt;
      &lt;description&gt;&lt;![CDATA[DARNÉTAL - 2 rue Edouard Branly&lt;br&gt;&lt;br&gt;1 CAV&lt;br&gt;&lt;br&gt;Présent sur 1 tournée(s)&lt;br&gt;&lt;br&gt;Taux de remplissage moyen 23%]]&gt;&lt;/description&gt;
      &lt;Style&gt;
        &lt;IconStyle&gt;
          &lt;color&gt;ff0075FF&lt;/color&gt;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&lt;Point&gt;&lt;coordinates&gt;1.1414569,49.4412967,0&lt;/coordinates&gt;&lt;/Point&gt;
    &lt;/Placemark&gt;</v>
      </c>
    </row>
    <row r="214" spans="1:494" ht="15" customHeight="1" x14ac:dyDescent="0.35">
      <c r="B214" s="153" t="str">
        <f t="shared" si="176"/>
        <v>LE HOULME - 73 A rue du Général de Gaulle (Devant l'Association)</v>
      </c>
      <c r="C214" s="154">
        <v>23</v>
      </c>
      <c r="D214" s="155">
        <v>24</v>
      </c>
      <c r="E214" s="155"/>
      <c r="F214" s="155"/>
      <c r="G214" s="155"/>
      <c r="H214" s="155"/>
      <c r="I214" s="155"/>
      <c r="J214" s="156"/>
      <c r="K214" s="157">
        <f t="shared" si="177"/>
        <v>2</v>
      </c>
      <c r="L214" s="157">
        <f t="shared" si="178"/>
        <v>19</v>
      </c>
      <c r="M214" s="158" t="s">
        <v>1157</v>
      </c>
      <c r="N214" s="159" t="s">
        <v>1158</v>
      </c>
      <c r="O214" s="159">
        <v>76770</v>
      </c>
      <c r="P214" s="159" t="s">
        <v>1159</v>
      </c>
      <c r="Q214" s="159" t="s">
        <v>1160</v>
      </c>
      <c r="R214" s="159" t="s">
        <v>1161</v>
      </c>
      <c r="S214" s="159" t="s">
        <v>93</v>
      </c>
      <c r="T214" s="159" t="s">
        <v>94</v>
      </c>
      <c r="U214" s="159" t="s">
        <v>1162</v>
      </c>
      <c r="V214" s="160" t="s">
        <v>96</v>
      </c>
      <c r="W214" s="161">
        <v>99</v>
      </c>
      <c r="X214" s="162">
        <v>99</v>
      </c>
      <c r="Y214" s="163">
        <v>99</v>
      </c>
      <c r="Z214" s="162">
        <v>99</v>
      </c>
      <c r="AA214" s="163">
        <v>99</v>
      </c>
      <c r="AB214" s="162">
        <v>99</v>
      </c>
      <c r="AC214" s="163">
        <v>99</v>
      </c>
      <c r="AD214" s="162">
        <v>99</v>
      </c>
      <c r="AE214" s="163">
        <v>99</v>
      </c>
      <c r="AF214" s="162">
        <v>99</v>
      </c>
      <c r="AG214" s="163">
        <v>99</v>
      </c>
      <c r="AH214" s="163">
        <v>99</v>
      </c>
      <c r="AI214" s="162">
        <v>99</v>
      </c>
      <c r="AJ214" s="163">
        <v>99</v>
      </c>
      <c r="AK214" s="162">
        <v>99</v>
      </c>
      <c r="AL214" s="163">
        <v>99</v>
      </c>
      <c r="AM214" s="162">
        <v>99</v>
      </c>
      <c r="AN214" s="163">
        <v>99</v>
      </c>
      <c r="AO214" s="162">
        <v>99</v>
      </c>
      <c r="AP214" s="164"/>
      <c r="AQ214" s="164"/>
      <c r="AR214" s="164"/>
      <c r="AS214" s="164"/>
      <c r="AT214" s="164"/>
      <c r="AU214" s="164"/>
      <c r="AV214" s="164"/>
      <c r="AW214" s="164"/>
      <c r="AX214" s="164"/>
      <c r="AY214" s="165"/>
      <c r="AZ214" s="41"/>
      <c r="BA214" s="190"/>
      <c r="BB214" s="191"/>
      <c r="BC214" s="191"/>
      <c r="BD214" s="191"/>
      <c r="BE214" s="191"/>
      <c r="BF214" s="191"/>
      <c r="BG214" s="191">
        <v>400</v>
      </c>
      <c r="BH214" s="191"/>
      <c r="BI214" s="191"/>
      <c r="BJ214" s="191">
        <v>110</v>
      </c>
      <c r="BK214" s="191"/>
      <c r="BL214" s="191"/>
      <c r="BM214" s="191">
        <v>300</v>
      </c>
      <c r="BN214" s="191"/>
      <c r="BO214" s="191"/>
      <c r="BP214" s="191"/>
      <c r="BQ214" s="191">
        <v>350</v>
      </c>
      <c r="BR214" s="191"/>
      <c r="BS214" s="191"/>
      <c r="BT214" s="191">
        <v>200</v>
      </c>
      <c r="BU214" s="191"/>
      <c r="BV214" s="191"/>
      <c r="BW214" s="191"/>
      <c r="BX214" s="191">
        <v>100</v>
      </c>
      <c r="BY214" s="191"/>
      <c r="BZ214" s="191"/>
      <c r="CA214" s="191">
        <v>300</v>
      </c>
      <c r="CB214" s="191"/>
      <c r="CC214" s="191"/>
      <c r="CD214" s="191"/>
      <c r="CE214" s="192">
        <v>150</v>
      </c>
      <c r="CF214" s="190"/>
      <c r="CG214" s="191"/>
      <c r="CH214" s="191">
        <v>300</v>
      </c>
      <c r="CI214" s="191"/>
      <c r="CJ214" s="191"/>
      <c r="CK214" s="191"/>
      <c r="CL214" s="191">
        <v>100</v>
      </c>
      <c r="CM214" s="191"/>
      <c r="CN214" s="191"/>
      <c r="CO214" s="191">
        <v>150</v>
      </c>
      <c r="CP214" s="191"/>
      <c r="CQ214" s="191"/>
      <c r="CR214" s="191"/>
      <c r="CS214" s="191">
        <v>150</v>
      </c>
      <c r="CT214" s="191"/>
      <c r="CU214" s="191"/>
      <c r="CV214" s="191">
        <v>350</v>
      </c>
      <c r="CW214" s="191"/>
      <c r="CX214" s="191"/>
      <c r="CY214" s="191"/>
      <c r="CZ214" s="191">
        <v>200</v>
      </c>
      <c r="DA214" s="191"/>
      <c r="DB214" s="191"/>
      <c r="DC214" s="191">
        <v>200</v>
      </c>
      <c r="DD214" s="191"/>
      <c r="DE214" s="191"/>
      <c r="DF214" s="191"/>
      <c r="DG214" s="191"/>
      <c r="DH214" s="193"/>
      <c r="DI214" s="194"/>
      <c r="DJ214" s="191"/>
      <c r="DK214" s="191">
        <v>400</v>
      </c>
      <c r="DL214" s="191"/>
      <c r="DM214" s="191"/>
      <c r="DN214" s="191"/>
      <c r="DO214" s="191">
        <v>300</v>
      </c>
      <c r="DP214" s="191"/>
      <c r="DQ214" s="191"/>
      <c r="DR214" s="191">
        <v>250</v>
      </c>
      <c r="DS214" s="191"/>
      <c r="DT214" s="191"/>
      <c r="DU214" s="191"/>
      <c r="DV214" s="191">
        <v>200</v>
      </c>
      <c r="DW214" s="191"/>
      <c r="DX214" s="191"/>
      <c r="DY214" s="191"/>
      <c r="DZ214" s="191"/>
      <c r="EA214" s="191"/>
      <c r="EB214" s="191"/>
      <c r="EC214" s="191">
        <v>400</v>
      </c>
      <c r="ED214" s="191"/>
      <c r="EE214" s="191"/>
      <c r="EF214" s="191">
        <v>150</v>
      </c>
      <c r="EG214" s="191"/>
      <c r="EH214" s="191"/>
      <c r="EI214" s="191"/>
      <c r="EJ214" s="191">
        <v>350</v>
      </c>
      <c r="EK214" s="191"/>
      <c r="EL214" s="191"/>
      <c r="EM214" s="192"/>
      <c r="EN214" s="190"/>
      <c r="EO214" s="191"/>
      <c r="EP214" s="191"/>
      <c r="EQ214" s="191">
        <v>150</v>
      </c>
      <c r="ER214" s="191"/>
      <c r="ES214" s="191"/>
      <c r="ET214" s="191">
        <v>300</v>
      </c>
      <c r="EU214" s="191"/>
      <c r="EV214" s="191"/>
      <c r="EW214" s="191"/>
      <c r="EX214" s="191">
        <v>300</v>
      </c>
      <c r="EY214" s="191"/>
      <c r="EZ214" s="191"/>
      <c r="FA214" s="191"/>
      <c r="FB214" s="191"/>
      <c r="FC214" s="191"/>
      <c r="FD214" s="191">
        <v>250</v>
      </c>
      <c r="FE214" s="191">
        <v>250</v>
      </c>
      <c r="FF214" s="191"/>
      <c r="FG214" s="191"/>
      <c r="FH214" s="191"/>
      <c r="FI214" s="191"/>
      <c r="FJ214" s="191"/>
      <c r="FK214" s="191"/>
      <c r="FL214" s="191"/>
      <c r="FM214" s="191"/>
      <c r="FN214" s="191"/>
      <c r="FO214" s="191">
        <v>400</v>
      </c>
      <c r="FP214" s="191"/>
      <c r="FQ214" s="193"/>
      <c r="FR214" s="194"/>
      <c r="FS214" s="191">
        <v>200</v>
      </c>
      <c r="FT214" s="191"/>
      <c r="FU214" s="191"/>
      <c r="FV214" s="191">
        <v>400</v>
      </c>
      <c r="FW214" s="191"/>
      <c r="FX214" s="191"/>
      <c r="FY214" s="191"/>
      <c r="FZ214" s="191">
        <v>150</v>
      </c>
      <c r="GA214" s="191"/>
      <c r="GB214" s="191"/>
      <c r="GC214" s="191">
        <v>400</v>
      </c>
      <c r="GD214" s="191"/>
      <c r="GE214" s="191"/>
      <c r="GF214" s="191"/>
      <c r="GG214" s="191"/>
      <c r="GH214" s="191"/>
      <c r="GI214" s="191"/>
      <c r="GJ214" s="191">
        <v>150</v>
      </c>
      <c r="GK214" s="191"/>
      <c r="GL214" s="191"/>
      <c r="GM214" s="191"/>
      <c r="GN214" s="191"/>
      <c r="GO214" s="191"/>
      <c r="GP214" s="191"/>
      <c r="GQ214" s="191"/>
      <c r="GR214" s="191"/>
      <c r="GS214" s="191"/>
      <c r="GT214" s="191"/>
      <c r="GU214" s="191">
        <v>250</v>
      </c>
      <c r="GV214" s="192"/>
      <c r="GW214" s="190"/>
      <c r="GX214" s="191">
        <v>100</v>
      </c>
      <c r="GY214" s="191"/>
      <c r="GZ214" s="191"/>
      <c r="HA214" s="191"/>
      <c r="HB214" s="191">
        <v>250</v>
      </c>
      <c r="HC214" s="191"/>
      <c r="HD214" s="191"/>
      <c r="HE214" s="191"/>
      <c r="HF214" s="191">
        <v>250</v>
      </c>
      <c r="HG214" s="191"/>
      <c r="HH214" s="191">
        <v>200</v>
      </c>
      <c r="HI214" s="191">
        <v>20</v>
      </c>
      <c r="HJ214" s="191"/>
      <c r="HK214" s="191"/>
      <c r="HL214" s="191"/>
      <c r="HM214" s="191">
        <v>400</v>
      </c>
      <c r="HN214" s="191"/>
      <c r="HO214" s="191"/>
      <c r="HP214" s="191">
        <v>250</v>
      </c>
      <c r="HQ214" s="191"/>
      <c r="HR214" s="191"/>
      <c r="HS214" s="191">
        <v>100</v>
      </c>
      <c r="HT214" s="191"/>
      <c r="HU214" s="191"/>
      <c r="HV214" s="191"/>
      <c r="HW214" s="191"/>
      <c r="HX214" s="191"/>
      <c r="HY214" s="191"/>
      <c r="HZ214" s="193">
        <v>150</v>
      </c>
      <c r="IA214" s="194"/>
      <c r="IB214" s="191"/>
      <c r="IC214" s="191"/>
      <c r="ID214" s="191">
        <v>200</v>
      </c>
      <c r="IE214" s="191"/>
      <c r="IF214" s="191"/>
      <c r="IG214" s="191">
        <v>160</v>
      </c>
      <c r="IH214" s="191"/>
      <c r="II214" s="191"/>
      <c r="IJ214" s="191"/>
      <c r="IK214" s="191">
        <v>400</v>
      </c>
      <c r="IL214" s="191"/>
      <c r="IM214" s="191"/>
      <c r="IN214" s="191">
        <v>160</v>
      </c>
      <c r="IO214" s="191"/>
      <c r="IP214" s="191"/>
      <c r="IQ214" s="191"/>
      <c r="IR214" s="191">
        <v>210</v>
      </c>
      <c r="IS214" s="191"/>
      <c r="IT214" s="191"/>
      <c r="IU214" s="191">
        <v>210</v>
      </c>
      <c r="IV214" s="191"/>
      <c r="IW214" s="191"/>
      <c r="IX214" s="191"/>
      <c r="IY214" s="191">
        <v>250</v>
      </c>
      <c r="IZ214" s="191"/>
      <c r="JA214" s="191"/>
      <c r="JB214" s="191">
        <v>300</v>
      </c>
      <c r="JC214" s="191"/>
      <c r="JD214" s="191"/>
      <c r="JE214" s="192"/>
      <c r="JF214" s="190">
        <v>10</v>
      </c>
      <c r="JG214" s="191"/>
      <c r="JH214" s="191"/>
      <c r="JI214" s="191">
        <v>400</v>
      </c>
      <c r="JJ214" s="191"/>
      <c r="JK214" s="191"/>
      <c r="JL214" s="191"/>
      <c r="JM214" s="191">
        <v>250</v>
      </c>
      <c r="JN214" s="191"/>
      <c r="JO214" s="191"/>
      <c r="JP214" s="191">
        <v>300</v>
      </c>
      <c r="JQ214" s="191"/>
      <c r="JR214" s="191"/>
      <c r="JS214" s="191"/>
      <c r="JT214" s="191"/>
      <c r="JU214" s="191"/>
      <c r="JV214" s="191"/>
      <c r="JW214" s="191"/>
      <c r="JX214" s="191">
        <v>400</v>
      </c>
      <c r="JY214" s="191"/>
      <c r="JZ214" s="191"/>
      <c r="KA214" s="191">
        <v>300</v>
      </c>
      <c r="KB214" s="191"/>
      <c r="KC214" s="191"/>
      <c r="KD214" s="191">
        <v>400</v>
      </c>
      <c r="KE214" s="191"/>
      <c r="KF214" s="191"/>
      <c r="KG214" s="191"/>
      <c r="KH214" s="191">
        <v>300</v>
      </c>
      <c r="KI214" s="191"/>
      <c r="KJ214" s="193"/>
      <c r="KK214" s="194">
        <v>150</v>
      </c>
      <c r="KL214" s="191"/>
      <c r="KM214" s="191"/>
      <c r="KN214" s="191">
        <v>250</v>
      </c>
      <c r="KO214" s="191">
        <v>110</v>
      </c>
      <c r="KP214" s="191"/>
      <c r="KQ214" s="191"/>
      <c r="KR214" s="191">
        <v>250</v>
      </c>
      <c r="KS214" s="191"/>
      <c r="KT214" s="191"/>
      <c r="KU214" s="191"/>
      <c r="KV214" s="191"/>
      <c r="KW214" s="191"/>
      <c r="KX214" s="191"/>
      <c r="KY214" s="191"/>
      <c r="KZ214" s="191"/>
      <c r="LA214" s="191"/>
      <c r="LB214" s="191"/>
      <c r="LC214" s="191">
        <v>250</v>
      </c>
      <c r="LD214" s="191"/>
      <c r="LE214" s="191"/>
      <c r="LF214" s="191">
        <v>210</v>
      </c>
      <c r="LG214" s="191"/>
      <c r="LH214" s="191"/>
      <c r="LI214" s="191"/>
      <c r="LJ214" s="191">
        <v>200</v>
      </c>
      <c r="LK214" s="191"/>
      <c r="LL214" s="191"/>
      <c r="LM214" s="191"/>
      <c r="LN214" s="192"/>
      <c r="LO214" s="190"/>
      <c r="LP214" s="191"/>
      <c r="LQ214" s="191">
        <v>400</v>
      </c>
      <c r="LR214" s="191"/>
      <c r="LS214" s="191"/>
      <c r="LT214" s="191">
        <v>60</v>
      </c>
      <c r="LU214" s="191"/>
      <c r="LV214" s="191"/>
      <c r="LW214" s="191"/>
      <c r="LX214" s="191">
        <v>300</v>
      </c>
      <c r="LY214" s="191"/>
      <c r="LZ214" s="191"/>
      <c r="MA214" s="191">
        <v>100</v>
      </c>
      <c r="MB214" s="191"/>
      <c r="MC214" s="191"/>
      <c r="MD214" s="191"/>
      <c r="ME214" s="191">
        <v>100</v>
      </c>
      <c r="MF214" s="191"/>
      <c r="MG214" s="191"/>
      <c r="MH214" s="191">
        <v>100</v>
      </c>
      <c r="MI214" s="191"/>
      <c r="MJ214" s="191"/>
      <c r="MK214" s="191"/>
      <c r="ML214" s="191">
        <v>100</v>
      </c>
      <c r="MM214" s="191"/>
      <c r="MN214" s="191"/>
      <c r="MO214" s="191">
        <v>200</v>
      </c>
      <c r="MP214" s="191"/>
      <c r="MQ214" s="191"/>
      <c r="MR214" s="191"/>
      <c r="MS214" s="193">
        <v>400</v>
      </c>
      <c r="MT214" s="194"/>
      <c r="MU214" s="191"/>
      <c r="MV214" s="191">
        <v>300</v>
      </c>
      <c r="MW214" s="191"/>
      <c r="MX214" s="191"/>
      <c r="MY214" s="191"/>
      <c r="MZ214" s="191">
        <v>200</v>
      </c>
      <c r="NA214" s="191"/>
      <c r="NB214" s="191"/>
      <c r="NC214" s="191">
        <v>300</v>
      </c>
      <c r="ND214" s="191"/>
      <c r="NE214" s="191"/>
      <c r="NF214" s="191"/>
      <c r="NG214" s="191">
        <v>350</v>
      </c>
      <c r="NH214" s="191"/>
      <c r="NI214" s="191"/>
      <c r="NJ214" s="191">
        <v>110</v>
      </c>
      <c r="NK214" s="191"/>
      <c r="NL214" s="191"/>
      <c r="NM214" s="191"/>
      <c r="NN214" s="191">
        <v>100</v>
      </c>
      <c r="NO214" s="191"/>
      <c r="NP214" s="191"/>
      <c r="NQ214" s="191">
        <v>100</v>
      </c>
      <c r="NR214" s="191"/>
      <c r="NS214" s="191"/>
      <c r="NT214" s="191"/>
      <c r="NU214" s="191">
        <v>60</v>
      </c>
      <c r="NV214" s="191"/>
      <c r="NW214" s="192"/>
      <c r="NX214" s="190">
        <v>330</v>
      </c>
      <c r="NY214" s="191"/>
      <c r="NZ214" s="191">
        <v>200</v>
      </c>
      <c r="OA214" s="191"/>
      <c r="OB214" s="191">
        <v>0</v>
      </c>
      <c r="OC214" s="191"/>
      <c r="OD214" s="191"/>
      <c r="OE214" s="191">
        <v>250</v>
      </c>
      <c r="OF214" s="191">
        <v>150</v>
      </c>
      <c r="OG214" s="191"/>
      <c r="OH214" s="191"/>
      <c r="OI214" s="191"/>
      <c r="OJ214" s="191"/>
      <c r="OK214" s="191"/>
      <c r="OL214" s="191">
        <v>400</v>
      </c>
      <c r="OM214" s="191"/>
      <c r="ON214" s="191"/>
      <c r="OO214" s="191">
        <v>250</v>
      </c>
      <c r="OP214" s="191"/>
      <c r="OQ214" s="191"/>
      <c r="OR214" s="191"/>
      <c r="OS214" s="191"/>
      <c r="OT214" s="191"/>
      <c r="OU214" s="191"/>
      <c r="OV214" s="191"/>
      <c r="OW214" s="191"/>
      <c r="OX214" s="191"/>
      <c r="OY214" s="191"/>
      <c r="OZ214" s="191"/>
      <c r="PA214" s="191"/>
      <c r="PB214" s="193"/>
      <c r="PC214" s="47"/>
      <c r="PD214" s="154" t="s">
        <v>97</v>
      </c>
      <c r="PE214" s="155" t="s">
        <v>98</v>
      </c>
      <c r="PF214" s="155" t="s">
        <v>98</v>
      </c>
      <c r="PG214" s="155" t="s">
        <v>98</v>
      </c>
      <c r="PH214" s="155" t="s">
        <v>98</v>
      </c>
      <c r="PI214" s="155" t="s">
        <v>98</v>
      </c>
      <c r="PJ214" s="155" t="s">
        <v>98</v>
      </c>
      <c r="PK214" s="155" t="s">
        <v>98</v>
      </c>
      <c r="PL214" s="155" t="s">
        <v>98</v>
      </c>
      <c r="PM214" s="155" t="s">
        <v>98</v>
      </c>
      <c r="PN214" s="155" t="s">
        <v>98</v>
      </c>
      <c r="PO214" s="156"/>
      <c r="PP214" s="156"/>
      <c r="PQ214" s="156"/>
      <c r="PR214" s="156"/>
      <c r="PS214" s="156"/>
      <c r="PT214" s="156"/>
      <c r="PU214" s="156"/>
      <c r="PV214" s="156"/>
      <c r="PW214" s="156"/>
      <c r="PX214" s="195"/>
      <c r="PY214" s="1"/>
      <c r="PZ214" s="196">
        <f t="shared" si="179"/>
        <v>1910</v>
      </c>
      <c r="QA214" s="218">
        <f t="shared" si="180"/>
        <v>1.5933928422457663E-2</v>
      </c>
      <c r="QB214" s="219" t="str">
        <f t="shared" ca="1" si="181"/>
        <v>Attente…</v>
      </c>
      <c r="QC214" s="197">
        <f t="shared" si="182"/>
        <v>1450</v>
      </c>
      <c r="QD214" s="220">
        <f t="shared" si="183"/>
        <v>1.3576779026217229E-2</v>
      </c>
      <c r="QE214" s="221" t="str">
        <f t="shared" ca="1" si="184"/>
        <v>Attente…</v>
      </c>
      <c r="QF214" s="196">
        <f t="shared" si="185"/>
        <v>2050</v>
      </c>
      <c r="QG214" s="218">
        <f t="shared" si="186"/>
        <v>1.6324255454690236E-2</v>
      </c>
      <c r="QH214" s="219" t="str">
        <f t="shared" ca="1" si="187"/>
        <v>Attente…</v>
      </c>
      <c r="QI214" s="197">
        <f t="shared" si="188"/>
        <v>1650</v>
      </c>
      <c r="QJ214" s="220">
        <f t="shared" si="189"/>
        <v>1.1572450554074905E-2</v>
      </c>
      <c r="QK214" s="221" t="str">
        <f t="shared" ca="1" si="190"/>
        <v>Attente…</v>
      </c>
      <c r="QL214" s="196">
        <f t="shared" si="191"/>
        <v>1550</v>
      </c>
      <c r="QM214" s="218">
        <f t="shared" si="192"/>
        <v>1.1340357038337722E-2</v>
      </c>
      <c r="QN214" s="219" t="str">
        <f t="shared" ca="1" si="193"/>
        <v>Attente…</v>
      </c>
      <c r="QO214" s="197">
        <f t="shared" si="194"/>
        <v>1720</v>
      </c>
      <c r="QP214" s="220">
        <f t="shared" si="195"/>
        <v>1.3465904642605496E-2</v>
      </c>
      <c r="QQ214" s="221" t="str">
        <f t="shared" ca="1" si="196"/>
        <v>Attente…</v>
      </c>
      <c r="QR214" s="196">
        <f t="shared" si="197"/>
        <v>1890</v>
      </c>
      <c r="QS214" s="218">
        <f t="shared" si="198"/>
        <v>1.360642165508801E-2</v>
      </c>
      <c r="QT214" s="219" t="str">
        <f t="shared" ca="1" si="199"/>
        <v>Attente…</v>
      </c>
      <c r="QU214" s="197">
        <f t="shared" si="200"/>
        <v>2360</v>
      </c>
      <c r="QV214" s="220">
        <f t="shared" si="201"/>
        <v>1.6271373414230558E-2</v>
      </c>
      <c r="QW214" s="221" t="str">
        <f t="shared" ca="1" si="202"/>
        <v>Attente…</v>
      </c>
      <c r="QX214" s="196">
        <f t="shared" si="203"/>
        <v>1420</v>
      </c>
      <c r="QY214" s="218">
        <f t="shared" si="204"/>
        <v>1.0362240579117896E-2</v>
      </c>
      <c r="QZ214" s="219" t="str">
        <f t="shared" ca="1" si="205"/>
        <v>Attente…</v>
      </c>
      <c r="RA214" s="197">
        <f t="shared" si="206"/>
        <v>1760</v>
      </c>
      <c r="RB214" s="220">
        <f t="shared" si="207"/>
        <v>1.3770440497613645E-2</v>
      </c>
      <c r="RC214" s="221" t="str">
        <f t="shared" ca="1" si="208"/>
        <v>Attente…</v>
      </c>
      <c r="RD214" s="196">
        <f t="shared" si="209"/>
        <v>1520</v>
      </c>
      <c r="RE214" s="218">
        <f t="shared" si="210"/>
        <v>1.5145476285372659E-2</v>
      </c>
      <c r="RF214" s="219" t="str">
        <f t="shared" ca="1" si="211"/>
        <v>Attente…</v>
      </c>
      <c r="RG214" s="197">
        <f t="shared" si="212"/>
        <v>1580</v>
      </c>
      <c r="RH214" s="220">
        <f t="shared" si="213"/>
        <v>2.9060143461467722E-2</v>
      </c>
      <c r="RI214" s="222" t="str">
        <f t="shared" ca="1" si="214"/>
        <v>Attente…</v>
      </c>
      <c r="RJ214" s="199">
        <f t="shared" si="215"/>
        <v>5410</v>
      </c>
      <c r="RK214" s="200" t="str">
        <f t="shared" ca="1" si="172"/>
        <v>Attente…</v>
      </c>
      <c r="RL214" s="199">
        <f t="shared" si="216"/>
        <v>4920</v>
      </c>
      <c r="RM214" s="200" t="str">
        <f t="shared" ca="1" si="217"/>
        <v>Atttente…</v>
      </c>
      <c r="RN214" s="199">
        <f t="shared" si="218"/>
        <v>5670</v>
      </c>
      <c r="RO214" s="200" t="str">
        <f t="shared" ca="1" si="173"/>
        <v>Attente…</v>
      </c>
      <c r="RP214" s="199">
        <f t="shared" si="219"/>
        <v>4860</v>
      </c>
      <c r="RQ214" s="200" t="str">
        <f t="shared" ca="1" si="174"/>
        <v>Attente…</v>
      </c>
      <c r="RR214" s="201">
        <f t="shared" si="220"/>
        <v>20860</v>
      </c>
      <c r="RS214" s="202" t="str">
        <f t="shared" ca="1" si="175"/>
        <v>Attente…</v>
      </c>
      <c r="RT214" s="103"/>
      <c r="RU214" s="203">
        <f t="shared" si="221"/>
        <v>0.57944444444444443</v>
      </c>
      <c r="RV214" s="204">
        <f t="shared" si="224"/>
        <v>2</v>
      </c>
      <c r="RW214" s="204">
        <f t="shared" si="224"/>
        <v>19</v>
      </c>
      <c r="RX214" s="204">
        <f t="shared" si="222"/>
        <v>90</v>
      </c>
      <c r="RY214" s="205" t="str">
        <f t="shared" si="223"/>
        <v>LE HOULME - 73 A rue du Général de Gaulle (Devant l'Association)</v>
      </c>
      <c r="RZ214" s="189" t="str">
        <f>IF(OR(RZ213="",RZ213="  &lt;/Document&gt;
&lt;/kml&gt;"),"",
IF(B214="","  &lt;/Document&gt;
&lt;/kml&gt;",
IF(TournéesCAV!Q214=""," ",
"    &lt;Placemark&gt;
      &lt;description&gt;&lt;![CDATA["&amp;B214&amp;"&lt;br&gt;&lt;br&gt;"&amp;RV214&amp;" CAV&lt;br&gt;&lt;br&gt;Présent sur "&amp;RW214&amp;" tournée(s)&lt;br&gt;&lt;br&gt;Taux de remplissage moyen "&amp;TEXT(RU214*1000,"0 %")&amp;"]]&gt;&lt;/description&gt;
      &lt;Style&gt;
        &lt;IconStyle&gt;
          &lt;color&gt;ff"&amp;
          DEC2HEX(0,2)&amp;
          DEC2HEX(
            IF(RU214&lt;=0.5,
               INT(255*(RU214*2)),
               255
            ),2)&amp;
          DEC2HEX(
            IF(RU214&lt;=0.5,
               255,
               INT(255*(1-(RU214-0.5)*2))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&lt;Point&gt;&lt;coordinates&gt;"&amp;R214&amp;","&amp;Q214&amp;",0&lt;/coordinates&gt;&lt;/Point&gt;
    &lt;/Placemark&gt;"
)))</f>
        <v xml:space="preserve">    &lt;Placemark&gt;
      &lt;description&gt;&lt;![CDATA[LE HOULME - 73 A rue du Général de Gaulle (Devant l'Association)&lt;br&gt;&lt;br&gt;2 CAV&lt;br&gt;&lt;br&gt;Présent sur 19 tournée(s)&lt;br&gt;&lt;br&gt;Taux de remplissage moyen 58%]]&gt;&lt;/description&gt;
      &lt;Style&gt;
        &lt;IconStyle&gt;
          &lt;color&gt;ff00FFD6&lt;/color&gt;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&lt;Point&gt;&lt;coordinates&gt;1.042073,49.501335,0&lt;/coordinates&gt;&lt;/Point&gt;
    &lt;/Placemark&gt;</v>
      </c>
    </row>
    <row r="215" spans="1:494" ht="15" customHeight="1" x14ac:dyDescent="0.35">
      <c r="B215" s="223"/>
      <c r="C215" s="154"/>
      <c r="D215" s="155"/>
      <c r="E215" s="155"/>
      <c r="F215" s="155"/>
      <c r="G215" s="155"/>
      <c r="H215" s="155"/>
      <c r="I215" s="155"/>
      <c r="J215" s="156"/>
      <c r="K215" s="157"/>
      <c r="L215" s="157"/>
      <c r="M215" s="158"/>
      <c r="N215" s="159"/>
      <c r="O215" s="159"/>
      <c r="P215" s="159"/>
      <c r="Q215" s="159"/>
      <c r="R215" s="159"/>
      <c r="S215" s="159"/>
      <c r="T215" s="159"/>
      <c r="U215" s="159"/>
      <c r="V215" s="160"/>
      <c r="W215" s="161"/>
      <c r="X215" s="162"/>
      <c r="Y215" s="163"/>
      <c r="Z215" s="162"/>
      <c r="AA215" s="163"/>
      <c r="AB215" s="162"/>
      <c r="AC215" s="163"/>
      <c r="AD215" s="162"/>
      <c r="AE215" s="163"/>
      <c r="AF215" s="162"/>
      <c r="AG215" s="163"/>
      <c r="AH215" s="163"/>
      <c r="AI215" s="162"/>
      <c r="AJ215" s="163"/>
      <c r="AK215" s="162"/>
      <c r="AL215" s="163"/>
      <c r="AM215" s="162"/>
      <c r="AN215" s="163"/>
      <c r="AO215" s="162"/>
      <c r="AP215" s="164"/>
      <c r="AQ215" s="164"/>
      <c r="AR215" s="164"/>
      <c r="AS215" s="164"/>
      <c r="AT215" s="164"/>
      <c r="AU215" s="164"/>
      <c r="AV215" s="164"/>
      <c r="AW215" s="164"/>
      <c r="AX215" s="164"/>
      <c r="AY215" s="165"/>
      <c r="AZ215" s="41"/>
      <c r="BA215" s="190"/>
      <c r="BB215" s="191"/>
      <c r="BC215" s="191"/>
      <c r="BD215" s="191"/>
      <c r="BE215" s="191"/>
      <c r="BF215" s="191"/>
      <c r="BG215" s="191"/>
      <c r="BH215" s="191"/>
      <c r="BI215" s="191"/>
      <c r="BJ215" s="191"/>
      <c r="BK215" s="191"/>
      <c r="BL215" s="191"/>
      <c r="BM215" s="191"/>
      <c r="BN215" s="191"/>
      <c r="BO215" s="191"/>
      <c r="BP215" s="191"/>
      <c r="BQ215" s="191"/>
      <c r="BR215" s="191"/>
      <c r="BS215" s="191"/>
      <c r="BT215" s="191"/>
      <c r="BU215" s="191"/>
      <c r="BV215" s="191"/>
      <c r="BW215" s="191"/>
      <c r="BX215" s="191"/>
      <c r="BY215" s="191"/>
      <c r="BZ215" s="191"/>
      <c r="CA215" s="191"/>
      <c r="CB215" s="191"/>
      <c r="CC215" s="191"/>
      <c r="CD215" s="191"/>
      <c r="CE215" s="192"/>
      <c r="CF215" s="190"/>
      <c r="CG215" s="191"/>
      <c r="CH215" s="191"/>
      <c r="CI215" s="191"/>
      <c r="CJ215" s="191"/>
      <c r="CK215" s="191"/>
      <c r="CL215" s="191"/>
      <c r="CM215" s="191"/>
      <c r="CN215" s="191"/>
      <c r="CO215" s="191"/>
      <c r="CP215" s="191"/>
      <c r="CQ215" s="191"/>
      <c r="CR215" s="191"/>
      <c r="CS215" s="191"/>
      <c r="CT215" s="191"/>
      <c r="CU215" s="191"/>
      <c r="CV215" s="191"/>
      <c r="CW215" s="191"/>
      <c r="CX215" s="191"/>
      <c r="CY215" s="191"/>
      <c r="CZ215" s="191"/>
      <c r="DA215" s="191"/>
      <c r="DB215" s="191"/>
      <c r="DC215" s="191"/>
      <c r="DD215" s="191"/>
      <c r="DE215" s="191"/>
      <c r="DF215" s="191"/>
      <c r="DG215" s="191"/>
      <c r="DH215" s="193"/>
      <c r="DI215" s="194"/>
      <c r="DJ215" s="191"/>
      <c r="DK215" s="191"/>
      <c r="DL215" s="191"/>
      <c r="DM215" s="191"/>
      <c r="DN215" s="191"/>
      <c r="DO215" s="191"/>
      <c r="DP215" s="191"/>
      <c r="DQ215" s="191"/>
      <c r="DR215" s="191"/>
      <c r="DS215" s="191"/>
      <c r="DT215" s="191"/>
      <c r="DU215" s="191"/>
      <c r="DV215" s="191"/>
      <c r="DW215" s="191"/>
      <c r="DX215" s="191"/>
      <c r="DY215" s="191"/>
      <c r="DZ215" s="191"/>
      <c r="EA215" s="191"/>
      <c r="EB215" s="191"/>
      <c r="EC215" s="191"/>
      <c r="ED215" s="191"/>
      <c r="EE215" s="191"/>
      <c r="EF215" s="191"/>
      <c r="EG215" s="191"/>
      <c r="EH215" s="191"/>
      <c r="EI215" s="191"/>
      <c r="EJ215" s="191"/>
      <c r="EK215" s="191"/>
      <c r="EL215" s="191"/>
      <c r="EM215" s="192"/>
      <c r="EN215" s="190"/>
      <c r="EO215" s="191"/>
      <c r="EP215" s="191"/>
      <c r="EQ215" s="191"/>
      <c r="ER215" s="191"/>
      <c r="ES215" s="191"/>
      <c r="ET215" s="191"/>
      <c r="EU215" s="191"/>
      <c r="EV215" s="191"/>
      <c r="EW215" s="191"/>
      <c r="EX215" s="191"/>
      <c r="EY215" s="191"/>
      <c r="EZ215" s="191"/>
      <c r="FA215" s="191"/>
      <c r="FB215" s="191"/>
      <c r="FC215" s="191"/>
      <c r="FD215" s="191"/>
      <c r="FE215" s="191"/>
      <c r="FF215" s="191"/>
      <c r="FG215" s="191"/>
      <c r="FH215" s="191"/>
      <c r="FI215" s="191"/>
      <c r="FJ215" s="191"/>
      <c r="FK215" s="191"/>
      <c r="FL215" s="191"/>
      <c r="FM215" s="191"/>
      <c r="FN215" s="191"/>
      <c r="FO215" s="191"/>
      <c r="FP215" s="191"/>
      <c r="FQ215" s="193"/>
      <c r="FR215" s="194"/>
      <c r="FS215" s="191"/>
      <c r="FT215" s="191"/>
      <c r="FU215" s="191"/>
      <c r="FV215" s="191"/>
      <c r="FW215" s="191"/>
      <c r="FX215" s="191"/>
      <c r="FY215" s="191"/>
      <c r="FZ215" s="191"/>
      <c r="GA215" s="191"/>
      <c r="GB215" s="191"/>
      <c r="GC215" s="191"/>
      <c r="GD215" s="191"/>
      <c r="GE215" s="191"/>
      <c r="GF215" s="191"/>
      <c r="GG215" s="191"/>
      <c r="GH215" s="191"/>
      <c r="GI215" s="191"/>
      <c r="GJ215" s="191"/>
      <c r="GK215" s="191"/>
      <c r="GL215" s="191"/>
      <c r="GM215" s="191"/>
      <c r="GN215" s="191"/>
      <c r="GO215" s="191"/>
      <c r="GP215" s="191"/>
      <c r="GQ215" s="191"/>
      <c r="GR215" s="191"/>
      <c r="GS215" s="191"/>
      <c r="GT215" s="191"/>
      <c r="GU215" s="191"/>
      <c r="GV215" s="192"/>
      <c r="GW215" s="190"/>
      <c r="GX215" s="191"/>
      <c r="GY215" s="191"/>
      <c r="GZ215" s="191"/>
      <c r="HA215" s="191"/>
      <c r="HB215" s="191"/>
      <c r="HC215" s="191"/>
      <c r="HD215" s="191"/>
      <c r="HE215" s="191"/>
      <c r="HF215" s="191"/>
      <c r="HG215" s="191"/>
      <c r="HH215" s="191"/>
      <c r="HI215" s="191"/>
      <c r="HJ215" s="191"/>
      <c r="HK215" s="191"/>
      <c r="HL215" s="191"/>
      <c r="HM215" s="191"/>
      <c r="HN215" s="191"/>
      <c r="HO215" s="191"/>
      <c r="HP215" s="191"/>
      <c r="HQ215" s="191"/>
      <c r="HR215" s="191"/>
      <c r="HS215" s="191"/>
      <c r="HT215" s="191"/>
      <c r="HU215" s="191"/>
      <c r="HV215" s="191"/>
      <c r="HW215" s="191"/>
      <c r="HX215" s="191"/>
      <c r="HY215" s="191"/>
      <c r="HZ215" s="193"/>
      <c r="IA215" s="194"/>
      <c r="IB215" s="191"/>
      <c r="IC215" s="191"/>
      <c r="ID215" s="191"/>
      <c r="IE215" s="191"/>
      <c r="IF215" s="191"/>
      <c r="IG215" s="191"/>
      <c r="IH215" s="191"/>
      <c r="II215" s="191"/>
      <c r="IJ215" s="191"/>
      <c r="IK215" s="191"/>
      <c r="IL215" s="191"/>
      <c r="IM215" s="191"/>
      <c r="IN215" s="191"/>
      <c r="IO215" s="191"/>
      <c r="IP215" s="191"/>
      <c r="IQ215" s="191"/>
      <c r="IR215" s="191"/>
      <c r="IS215" s="191"/>
      <c r="IT215" s="191"/>
      <c r="IU215" s="191"/>
      <c r="IV215" s="191"/>
      <c r="IW215" s="191"/>
      <c r="IX215" s="191"/>
      <c r="IY215" s="191"/>
      <c r="IZ215" s="191"/>
      <c r="JA215" s="191"/>
      <c r="JB215" s="191"/>
      <c r="JC215" s="191"/>
      <c r="JD215" s="191"/>
      <c r="JE215" s="192"/>
      <c r="JF215" s="190"/>
      <c r="JG215" s="191"/>
      <c r="JH215" s="191"/>
      <c r="JI215" s="191"/>
      <c r="JJ215" s="191"/>
      <c r="JK215" s="191"/>
      <c r="JL215" s="191"/>
      <c r="JM215" s="191"/>
      <c r="JN215" s="191"/>
      <c r="JO215" s="191"/>
      <c r="JP215" s="191"/>
      <c r="JQ215" s="191"/>
      <c r="JR215" s="191"/>
      <c r="JS215" s="191"/>
      <c r="JT215" s="191"/>
      <c r="JU215" s="191"/>
      <c r="JV215" s="191"/>
      <c r="JW215" s="191"/>
      <c r="JX215" s="191"/>
      <c r="JY215" s="191"/>
      <c r="JZ215" s="191"/>
      <c r="KA215" s="191"/>
      <c r="KB215" s="191"/>
      <c r="KC215" s="191"/>
      <c r="KD215" s="191"/>
      <c r="KE215" s="191"/>
      <c r="KF215" s="191"/>
      <c r="KG215" s="191"/>
      <c r="KH215" s="191"/>
      <c r="KI215" s="191"/>
      <c r="KJ215" s="193"/>
      <c r="KK215" s="194"/>
      <c r="KL215" s="191"/>
      <c r="KM215" s="191"/>
      <c r="KN215" s="191"/>
      <c r="KO215" s="191"/>
      <c r="KP215" s="191"/>
      <c r="KQ215" s="191"/>
      <c r="KR215" s="191"/>
      <c r="KS215" s="191"/>
      <c r="KT215" s="191"/>
      <c r="KU215" s="191"/>
      <c r="KV215" s="191"/>
      <c r="KW215" s="191"/>
      <c r="KX215" s="191"/>
      <c r="KY215" s="191"/>
      <c r="KZ215" s="191"/>
      <c r="LA215" s="191"/>
      <c r="LB215" s="191"/>
      <c r="LC215" s="191"/>
      <c r="LD215" s="191"/>
      <c r="LE215" s="191"/>
      <c r="LF215" s="191"/>
      <c r="LG215" s="191"/>
      <c r="LH215" s="191"/>
      <c r="LI215" s="191"/>
      <c r="LJ215" s="191"/>
      <c r="LK215" s="191"/>
      <c r="LL215" s="191"/>
      <c r="LM215" s="191"/>
      <c r="LN215" s="192"/>
      <c r="LO215" s="190"/>
      <c r="LP215" s="191"/>
      <c r="LQ215" s="191"/>
      <c r="LR215" s="191"/>
      <c r="LS215" s="191"/>
      <c r="LT215" s="191"/>
      <c r="LU215" s="191"/>
      <c r="LV215" s="191"/>
      <c r="LW215" s="191"/>
      <c r="LX215" s="191"/>
      <c r="LY215" s="191"/>
      <c r="LZ215" s="191"/>
      <c r="MA215" s="191"/>
      <c r="MB215" s="191"/>
      <c r="MC215" s="191"/>
      <c r="MD215" s="191"/>
      <c r="ME215" s="191"/>
      <c r="MF215" s="191"/>
      <c r="MG215" s="191"/>
      <c r="MH215" s="191"/>
      <c r="MI215" s="191"/>
      <c r="MJ215" s="191"/>
      <c r="MK215" s="191"/>
      <c r="ML215" s="191"/>
      <c r="MM215" s="191"/>
      <c r="MN215" s="191"/>
      <c r="MO215" s="191"/>
      <c r="MP215" s="191"/>
      <c r="MQ215" s="191"/>
      <c r="MR215" s="191"/>
      <c r="MS215" s="193"/>
      <c r="MT215" s="194"/>
      <c r="MU215" s="191"/>
      <c r="MV215" s="191"/>
      <c r="MW215" s="191"/>
      <c r="MX215" s="191"/>
      <c r="MY215" s="191"/>
      <c r="MZ215" s="191"/>
      <c r="NA215" s="191"/>
      <c r="NB215" s="191"/>
      <c r="NC215" s="191"/>
      <c r="ND215" s="191"/>
      <c r="NE215" s="191"/>
      <c r="NF215" s="191"/>
      <c r="NG215" s="191"/>
      <c r="NH215" s="191"/>
      <c r="NI215" s="191"/>
      <c r="NJ215" s="191"/>
      <c r="NK215" s="191"/>
      <c r="NL215" s="191"/>
      <c r="NM215" s="191"/>
      <c r="NN215" s="191"/>
      <c r="NO215" s="191"/>
      <c r="NP215" s="191"/>
      <c r="NQ215" s="191"/>
      <c r="NR215" s="191"/>
      <c r="NS215" s="191"/>
      <c r="NT215" s="191"/>
      <c r="NU215" s="191"/>
      <c r="NV215" s="191"/>
      <c r="NW215" s="192"/>
      <c r="NX215" s="190"/>
      <c r="NY215" s="191"/>
      <c r="NZ215" s="191"/>
      <c r="OA215" s="191"/>
      <c r="OB215" s="191"/>
      <c r="OC215" s="191"/>
      <c r="OD215" s="191"/>
      <c r="OE215" s="191"/>
      <c r="OF215" s="191"/>
      <c r="OG215" s="191"/>
      <c r="OH215" s="191"/>
      <c r="OI215" s="191"/>
      <c r="OJ215" s="191"/>
      <c r="OK215" s="191"/>
      <c r="OL215" s="191"/>
      <c r="OM215" s="191"/>
      <c r="ON215" s="191"/>
      <c r="OO215" s="191"/>
      <c r="OP215" s="191"/>
      <c r="OQ215" s="191"/>
      <c r="OR215" s="191"/>
      <c r="OS215" s="191"/>
      <c r="OT215" s="191"/>
      <c r="OU215" s="191"/>
      <c r="OV215" s="191"/>
      <c r="OW215" s="191"/>
      <c r="OX215" s="191"/>
      <c r="OY215" s="191"/>
      <c r="OZ215" s="191"/>
      <c r="PA215" s="191"/>
      <c r="PB215" s="193"/>
      <c r="PC215" s="47"/>
      <c r="PD215" s="154"/>
      <c r="PE215" s="155"/>
      <c r="PF215" s="155"/>
      <c r="PG215" s="155"/>
      <c r="PH215" s="155"/>
      <c r="PI215" s="155"/>
      <c r="PJ215" s="155"/>
      <c r="PK215" s="155"/>
      <c r="PL215" s="155"/>
      <c r="PM215" s="155"/>
      <c r="PN215" s="155"/>
      <c r="PO215" s="156"/>
      <c r="PP215" s="156"/>
      <c r="PQ215" s="156"/>
      <c r="PR215" s="156"/>
      <c r="PS215" s="156"/>
      <c r="PT215" s="156"/>
      <c r="PU215" s="156"/>
      <c r="PV215" s="156"/>
      <c r="PW215" s="156"/>
      <c r="PX215" s="195"/>
      <c r="PY215" s="1"/>
      <c r="PZ215" s="196">
        <f t="shared" ref="PZ215:PZ217" si="225">SUM(BA215:CE215)</f>
        <v>0</v>
      </c>
      <c r="QA215" s="218">
        <f t="shared" si="180"/>
        <v>0</v>
      </c>
      <c r="QB215" s="219" t="str">
        <f t="shared" ca="1" si="181"/>
        <v>Attente…</v>
      </c>
      <c r="QC215" s="197">
        <f t="shared" si="182"/>
        <v>0</v>
      </c>
      <c r="QD215" s="220">
        <f t="shared" si="183"/>
        <v>0</v>
      </c>
      <c r="QE215" s="221" t="str">
        <f t="shared" ca="1" si="184"/>
        <v>Attente…</v>
      </c>
      <c r="QF215" s="196">
        <f t="shared" si="185"/>
        <v>0</v>
      </c>
      <c r="QG215" s="218">
        <f t="shared" si="186"/>
        <v>0</v>
      </c>
      <c r="QH215" s="219" t="str">
        <f t="shared" ca="1" si="187"/>
        <v>Attente…</v>
      </c>
      <c r="QI215" s="197">
        <f t="shared" si="188"/>
        <v>0</v>
      </c>
      <c r="QJ215" s="220">
        <f t="shared" si="189"/>
        <v>0</v>
      </c>
      <c r="QK215" s="221" t="str">
        <f t="shared" ca="1" si="190"/>
        <v>Attente…</v>
      </c>
      <c r="QL215" s="196">
        <f t="shared" si="191"/>
        <v>0</v>
      </c>
      <c r="QM215" s="218">
        <f t="shared" si="192"/>
        <v>0</v>
      </c>
      <c r="QN215" s="219" t="str">
        <f t="shared" ca="1" si="193"/>
        <v>Attente…</v>
      </c>
      <c r="QO215" s="197">
        <f t="shared" si="194"/>
        <v>0</v>
      </c>
      <c r="QP215" s="220">
        <f t="shared" si="195"/>
        <v>0</v>
      </c>
      <c r="QQ215" s="221" t="str">
        <f t="shared" ca="1" si="196"/>
        <v>Attente…</v>
      </c>
      <c r="QR215" s="196">
        <f t="shared" si="197"/>
        <v>0</v>
      </c>
      <c r="QS215" s="218">
        <f t="shared" si="198"/>
        <v>0</v>
      </c>
      <c r="QT215" s="219" t="str">
        <f t="shared" ca="1" si="199"/>
        <v>Attente…</v>
      </c>
      <c r="QU215" s="197">
        <f t="shared" si="200"/>
        <v>0</v>
      </c>
      <c r="QV215" s="220">
        <f t="shared" si="201"/>
        <v>0</v>
      </c>
      <c r="QW215" s="221" t="str">
        <f t="shared" ca="1" si="202"/>
        <v>Attente…</v>
      </c>
      <c r="QX215" s="196">
        <f t="shared" si="203"/>
        <v>0</v>
      </c>
      <c r="QY215" s="218">
        <f t="shared" si="204"/>
        <v>0</v>
      </c>
      <c r="QZ215" s="219" t="str">
        <f t="shared" ca="1" si="205"/>
        <v>Attente…</v>
      </c>
      <c r="RA215" s="197">
        <f t="shared" si="206"/>
        <v>0</v>
      </c>
      <c r="RB215" s="220">
        <f t="shared" si="207"/>
        <v>0</v>
      </c>
      <c r="RC215" s="221" t="str">
        <f t="shared" ca="1" si="208"/>
        <v>Attente…</v>
      </c>
      <c r="RD215" s="196">
        <f t="shared" si="209"/>
        <v>0</v>
      </c>
      <c r="RE215" s="218">
        <f t="shared" si="210"/>
        <v>0</v>
      </c>
      <c r="RF215" s="219" t="str">
        <f t="shared" ca="1" si="211"/>
        <v>Attente…</v>
      </c>
      <c r="RG215" s="197">
        <f t="shared" si="212"/>
        <v>0</v>
      </c>
      <c r="RH215" s="220">
        <f t="shared" si="213"/>
        <v>0</v>
      </c>
      <c r="RI215" s="222" t="str">
        <f t="shared" ca="1" si="214"/>
        <v>Attente…</v>
      </c>
      <c r="RJ215" s="199">
        <f t="shared" si="215"/>
        <v>0</v>
      </c>
      <c r="RK215" s="200" t="str">
        <f t="shared" ca="1" si="172"/>
        <v>Attente…</v>
      </c>
      <c r="RL215" s="199">
        <f t="shared" si="216"/>
        <v>0</v>
      </c>
      <c r="RM215" s="200" t="str">
        <f t="shared" ca="1" si="217"/>
        <v>Atttente…</v>
      </c>
      <c r="RN215" s="199">
        <f t="shared" si="218"/>
        <v>0</v>
      </c>
      <c r="RO215" s="200" t="str">
        <f t="shared" ca="1" si="173"/>
        <v>Attente…</v>
      </c>
      <c r="RP215" s="199">
        <f t="shared" si="219"/>
        <v>0</v>
      </c>
      <c r="RQ215" s="200" t="str">
        <f t="shared" ca="1" si="174"/>
        <v>Attente…</v>
      </c>
      <c r="RR215" s="201">
        <f t="shared" si="220"/>
        <v>0</v>
      </c>
      <c r="RS215" s="202" t="str">
        <f t="shared" ca="1" si="175"/>
        <v>Attente…</v>
      </c>
      <c r="RT215" s="103"/>
      <c r="RU215" s="203" t="str">
        <f t="shared" si="221"/>
        <v/>
      </c>
      <c r="RV215" s="204">
        <f t="shared" si="224"/>
        <v>0</v>
      </c>
      <c r="RW215" s="204">
        <f t="shared" si="224"/>
        <v>0</v>
      </c>
      <c r="RX215" s="204">
        <f t="shared" si="222"/>
        <v>0</v>
      </c>
      <c r="RY215" s="205" t="str">
        <f t="shared" si="223"/>
        <v/>
      </c>
      <c r="RZ215" s="189" t="str">
        <f>IF(OR(RZ214="",RZ214="  &lt;/Document&gt;
&lt;/kml&gt;"),"",
IF(B215="","  &lt;/Document&gt;
&lt;/kml&gt;",
IF(TournéesCAV!Q215=""," ",
"    &lt;Placemark&gt;
      &lt;description&gt;&lt;![CDATA["&amp;B215&amp;"&lt;br&gt;&lt;br&gt;"&amp;RV215&amp;" CAV&lt;br&gt;&lt;br&gt;Présent sur "&amp;RW215&amp;" tournée(s)&lt;br&gt;&lt;br&gt;Taux de remplissage moyen "&amp;TEXT(RU215*1000,"0 %")&amp;"]]&gt;&lt;/description&gt;
      &lt;Style&gt;
        &lt;IconStyle&gt;
          &lt;color&gt;ff"&amp;
          DEC2HEX(0,2)&amp;
          DEC2HEX(
            IF(RU215&lt;=0.5,
               INT(255*(RU215*2)),
               255
            ),2)&amp;
          DEC2HEX(
            IF(RU215&lt;=0.5,
               255,
               INT(255*(1-(RU215-0.5)*2))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&lt;Point&gt;&lt;coordinates&gt;"&amp;R215&amp;","&amp;Q215&amp;",0&lt;/coordinates&gt;&lt;/Point&gt;
    &lt;/Placemark&gt;"
)))</f>
        <v xml:space="preserve">  &lt;/Document&gt;
&lt;/kml&gt;</v>
      </c>
    </row>
    <row r="216" spans="1:494" ht="15" customHeight="1" x14ac:dyDescent="0.35">
      <c r="B216" s="223"/>
      <c r="C216" s="154"/>
      <c r="D216" s="155"/>
      <c r="E216" s="155"/>
      <c r="F216" s="155"/>
      <c r="G216" s="155"/>
      <c r="H216" s="155"/>
      <c r="I216" s="155"/>
      <c r="J216" s="156"/>
      <c r="K216" s="157"/>
      <c r="L216" s="157"/>
      <c r="M216" s="158"/>
      <c r="N216" s="159"/>
      <c r="O216" s="159"/>
      <c r="P216" s="159"/>
      <c r="Q216" s="159"/>
      <c r="R216" s="159"/>
      <c r="S216" s="159"/>
      <c r="T216" s="159"/>
      <c r="U216" s="159"/>
      <c r="V216" s="160"/>
      <c r="W216" s="161"/>
      <c r="X216" s="162"/>
      <c r="Y216" s="163"/>
      <c r="Z216" s="162"/>
      <c r="AA216" s="163"/>
      <c r="AB216" s="162"/>
      <c r="AC216" s="163"/>
      <c r="AD216" s="162"/>
      <c r="AE216" s="163"/>
      <c r="AF216" s="162"/>
      <c r="AG216" s="163"/>
      <c r="AH216" s="163"/>
      <c r="AI216" s="162"/>
      <c r="AJ216" s="163"/>
      <c r="AK216" s="162"/>
      <c r="AL216" s="163"/>
      <c r="AM216" s="162"/>
      <c r="AN216" s="163"/>
      <c r="AO216" s="162"/>
      <c r="AP216" s="164"/>
      <c r="AQ216" s="164"/>
      <c r="AR216" s="164"/>
      <c r="AS216" s="164"/>
      <c r="AT216" s="164"/>
      <c r="AU216" s="164"/>
      <c r="AV216" s="164"/>
      <c r="AW216" s="164"/>
      <c r="AX216" s="164"/>
      <c r="AY216" s="165"/>
      <c r="AZ216" s="41"/>
      <c r="BA216" s="190"/>
      <c r="BB216" s="191"/>
      <c r="BC216" s="191"/>
      <c r="BD216" s="191"/>
      <c r="BE216" s="191"/>
      <c r="BF216" s="191"/>
      <c r="BG216" s="191"/>
      <c r="BH216" s="191"/>
      <c r="BI216" s="191"/>
      <c r="BJ216" s="191"/>
      <c r="BK216" s="191"/>
      <c r="BL216" s="191"/>
      <c r="BM216" s="191"/>
      <c r="BN216" s="191"/>
      <c r="BO216" s="191"/>
      <c r="BP216" s="191"/>
      <c r="BQ216" s="191"/>
      <c r="BR216" s="191"/>
      <c r="BS216" s="191"/>
      <c r="BT216" s="191"/>
      <c r="BU216" s="191"/>
      <c r="BV216" s="191"/>
      <c r="BW216" s="191"/>
      <c r="BX216" s="191"/>
      <c r="BY216" s="191"/>
      <c r="BZ216" s="191"/>
      <c r="CA216" s="191"/>
      <c r="CB216" s="191"/>
      <c r="CC216" s="191"/>
      <c r="CD216" s="191"/>
      <c r="CE216" s="192"/>
      <c r="CF216" s="190"/>
      <c r="CG216" s="191"/>
      <c r="CH216" s="191"/>
      <c r="CI216" s="191"/>
      <c r="CJ216" s="191"/>
      <c r="CK216" s="191"/>
      <c r="CL216" s="191"/>
      <c r="CM216" s="191"/>
      <c r="CN216" s="191"/>
      <c r="CO216" s="191"/>
      <c r="CP216" s="191"/>
      <c r="CQ216" s="191"/>
      <c r="CR216" s="191"/>
      <c r="CS216" s="191"/>
      <c r="CT216" s="191"/>
      <c r="CU216" s="191"/>
      <c r="CV216" s="191"/>
      <c r="CW216" s="191"/>
      <c r="CX216" s="191"/>
      <c r="CY216" s="191"/>
      <c r="CZ216" s="191"/>
      <c r="DA216" s="191"/>
      <c r="DB216" s="191"/>
      <c r="DC216" s="191"/>
      <c r="DD216" s="191"/>
      <c r="DE216" s="191"/>
      <c r="DF216" s="191"/>
      <c r="DG216" s="191"/>
      <c r="DH216" s="193"/>
      <c r="DI216" s="194"/>
      <c r="DJ216" s="191"/>
      <c r="DK216" s="191"/>
      <c r="DL216" s="191"/>
      <c r="DM216" s="191"/>
      <c r="DN216" s="191"/>
      <c r="DO216" s="191"/>
      <c r="DP216" s="191"/>
      <c r="DQ216" s="191"/>
      <c r="DR216" s="191"/>
      <c r="DS216" s="191"/>
      <c r="DT216" s="191"/>
      <c r="DU216" s="191"/>
      <c r="DV216" s="191"/>
      <c r="DW216" s="191"/>
      <c r="DX216" s="191"/>
      <c r="DY216" s="191"/>
      <c r="DZ216" s="191"/>
      <c r="EA216" s="191"/>
      <c r="EB216" s="191"/>
      <c r="EC216" s="191"/>
      <c r="ED216" s="191"/>
      <c r="EE216" s="191"/>
      <c r="EF216" s="191"/>
      <c r="EG216" s="191"/>
      <c r="EH216" s="191"/>
      <c r="EI216" s="191"/>
      <c r="EJ216" s="191"/>
      <c r="EK216" s="191"/>
      <c r="EL216" s="191"/>
      <c r="EM216" s="192"/>
      <c r="EN216" s="190"/>
      <c r="EO216" s="191"/>
      <c r="EP216" s="191"/>
      <c r="EQ216" s="191"/>
      <c r="ER216" s="191"/>
      <c r="ES216" s="191"/>
      <c r="ET216" s="191"/>
      <c r="EU216" s="191"/>
      <c r="EV216" s="191"/>
      <c r="EW216" s="191"/>
      <c r="EX216" s="191"/>
      <c r="EY216" s="191"/>
      <c r="EZ216" s="191"/>
      <c r="FA216" s="191"/>
      <c r="FB216" s="191"/>
      <c r="FC216" s="191"/>
      <c r="FD216" s="191"/>
      <c r="FE216" s="191"/>
      <c r="FF216" s="191"/>
      <c r="FG216" s="191"/>
      <c r="FH216" s="191"/>
      <c r="FI216" s="191"/>
      <c r="FJ216" s="191"/>
      <c r="FK216" s="191"/>
      <c r="FL216" s="191"/>
      <c r="FM216" s="191"/>
      <c r="FN216" s="191"/>
      <c r="FO216" s="191"/>
      <c r="FP216" s="191"/>
      <c r="FQ216" s="193"/>
      <c r="FR216" s="194"/>
      <c r="FS216" s="191"/>
      <c r="FT216" s="191"/>
      <c r="FU216" s="191"/>
      <c r="FV216" s="191"/>
      <c r="FW216" s="191"/>
      <c r="FX216" s="191"/>
      <c r="FY216" s="191"/>
      <c r="FZ216" s="191"/>
      <c r="GA216" s="191"/>
      <c r="GB216" s="191"/>
      <c r="GC216" s="191"/>
      <c r="GD216" s="191"/>
      <c r="GE216" s="191"/>
      <c r="GF216" s="191"/>
      <c r="GG216" s="191"/>
      <c r="GH216" s="191"/>
      <c r="GI216" s="191"/>
      <c r="GJ216" s="191"/>
      <c r="GK216" s="191"/>
      <c r="GL216" s="191"/>
      <c r="GM216" s="191"/>
      <c r="GN216" s="191"/>
      <c r="GO216" s="191"/>
      <c r="GP216" s="191"/>
      <c r="GQ216" s="191"/>
      <c r="GR216" s="191"/>
      <c r="GS216" s="191"/>
      <c r="GT216" s="191"/>
      <c r="GU216" s="191"/>
      <c r="GV216" s="192"/>
      <c r="GW216" s="190"/>
      <c r="GX216" s="191"/>
      <c r="GY216" s="191"/>
      <c r="GZ216" s="191"/>
      <c r="HA216" s="191"/>
      <c r="HB216" s="191"/>
      <c r="HC216" s="191"/>
      <c r="HD216" s="191"/>
      <c r="HE216" s="191"/>
      <c r="HF216" s="191"/>
      <c r="HG216" s="191"/>
      <c r="HH216" s="191"/>
      <c r="HI216" s="191"/>
      <c r="HJ216" s="191"/>
      <c r="HK216" s="191"/>
      <c r="HL216" s="191"/>
      <c r="HM216" s="191"/>
      <c r="HN216" s="191"/>
      <c r="HO216" s="191"/>
      <c r="HP216" s="191"/>
      <c r="HQ216" s="191"/>
      <c r="HR216" s="191"/>
      <c r="HS216" s="191"/>
      <c r="HT216" s="191"/>
      <c r="HU216" s="191"/>
      <c r="HV216" s="191"/>
      <c r="HW216" s="191"/>
      <c r="HX216" s="191"/>
      <c r="HY216" s="191"/>
      <c r="HZ216" s="193"/>
      <c r="IA216" s="194"/>
      <c r="IB216" s="191"/>
      <c r="IC216" s="191"/>
      <c r="ID216" s="191"/>
      <c r="IE216" s="191"/>
      <c r="IF216" s="191"/>
      <c r="IG216" s="191"/>
      <c r="IH216" s="191"/>
      <c r="II216" s="191"/>
      <c r="IJ216" s="191"/>
      <c r="IK216" s="191"/>
      <c r="IL216" s="191"/>
      <c r="IM216" s="191"/>
      <c r="IN216" s="191"/>
      <c r="IO216" s="191"/>
      <c r="IP216" s="191"/>
      <c r="IQ216" s="191"/>
      <c r="IR216" s="191"/>
      <c r="IS216" s="191"/>
      <c r="IT216" s="191"/>
      <c r="IU216" s="191"/>
      <c r="IV216" s="191"/>
      <c r="IW216" s="191"/>
      <c r="IX216" s="191"/>
      <c r="IY216" s="191"/>
      <c r="IZ216" s="191"/>
      <c r="JA216" s="191"/>
      <c r="JB216" s="191"/>
      <c r="JC216" s="191"/>
      <c r="JD216" s="191"/>
      <c r="JE216" s="192"/>
      <c r="JF216" s="190"/>
      <c r="JG216" s="191"/>
      <c r="JH216" s="191"/>
      <c r="JI216" s="191"/>
      <c r="JJ216" s="191"/>
      <c r="JK216" s="191"/>
      <c r="JL216" s="191"/>
      <c r="JM216" s="191"/>
      <c r="JN216" s="191"/>
      <c r="JO216" s="191"/>
      <c r="JP216" s="191"/>
      <c r="JQ216" s="191"/>
      <c r="JR216" s="191"/>
      <c r="JS216" s="191"/>
      <c r="JT216" s="191"/>
      <c r="JU216" s="191"/>
      <c r="JV216" s="191"/>
      <c r="JW216" s="191"/>
      <c r="JX216" s="191"/>
      <c r="JY216" s="191"/>
      <c r="JZ216" s="191"/>
      <c r="KA216" s="191"/>
      <c r="KB216" s="191"/>
      <c r="KC216" s="191"/>
      <c r="KD216" s="191"/>
      <c r="KE216" s="191"/>
      <c r="KF216" s="191"/>
      <c r="KG216" s="191"/>
      <c r="KH216" s="191"/>
      <c r="KI216" s="191"/>
      <c r="KJ216" s="193"/>
      <c r="KK216" s="194"/>
      <c r="KL216" s="191"/>
      <c r="KM216" s="191"/>
      <c r="KN216" s="191"/>
      <c r="KO216" s="191"/>
      <c r="KP216" s="191"/>
      <c r="KQ216" s="191"/>
      <c r="KR216" s="191"/>
      <c r="KS216" s="191"/>
      <c r="KT216" s="191"/>
      <c r="KU216" s="191"/>
      <c r="KV216" s="191"/>
      <c r="KW216" s="191"/>
      <c r="KX216" s="191"/>
      <c r="KY216" s="191"/>
      <c r="KZ216" s="191"/>
      <c r="LA216" s="191"/>
      <c r="LB216" s="191"/>
      <c r="LC216" s="191"/>
      <c r="LD216" s="191"/>
      <c r="LE216" s="191"/>
      <c r="LF216" s="191"/>
      <c r="LG216" s="191"/>
      <c r="LH216" s="191"/>
      <c r="LI216" s="191"/>
      <c r="LJ216" s="191"/>
      <c r="LK216" s="191"/>
      <c r="LL216" s="191"/>
      <c r="LM216" s="191"/>
      <c r="LN216" s="192"/>
      <c r="LO216" s="190"/>
      <c r="LP216" s="191"/>
      <c r="LQ216" s="191"/>
      <c r="LR216" s="191"/>
      <c r="LS216" s="191"/>
      <c r="LT216" s="191"/>
      <c r="LU216" s="191"/>
      <c r="LV216" s="191"/>
      <c r="LW216" s="191"/>
      <c r="LX216" s="191"/>
      <c r="LY216" s="191"/>
      <c r="LZ216" s="191"/>
      <c r="MA216" s="191"/>
      <c r="MB216" s="191"/>
      <c r="MC216" s="191"/>
      <c r="MD216" s="191"/>
      <c r="ME216" s="191"/>
      <c r="MF216" s="191"/>
      <c r="MG216" s="191"/>
      <c r="MH216" s="191"/>
      <c r="MI216" s="191"/>
      <c r="MJ216" s="191"/>
      <c r="MK216" s="191"/>
      <c r="ML216" s="191"/>
      <c r="MM216" s="191"/>
      <c r="MN216" s="191"/>
      <c r="MO216" s="191"/>
      <c r="MP216" s="191"/>
      <c r="MQ216" s="191"/>
      <c r="MR216" s="191"/>
      <c r="MS216" s="193"/>
      <c r="MT216" s="194"/>
      <c r="MU216" s="191"/>
      <c r="MV216" s="191"/>
      <c r="MW216" s="191"/>
      <c r="MX216" s="191"/>
      <c r="MY216" s="191"/>
      <c r="MZ216" s="191"/>
      <c r="NA216" s="191"/>
      <c r="NB216" s="191"/>
      <c r="NC216" s="191"/>
      <c r="ND216" s="191"/>
      <c r="NE216" s="191"/>
      <c r="NF216" s="191"/>
      <c r="NG216" s="191"/>
      <c r="NH216" s="191"/>
      <c r="NI216" s="191"/>
      <c r="NJ216" s="191"/>
      <c r="NK216" s="191"/>
      <c r="NL216" s="191"/>
      <c r="NM216" s="191"/>
      <c r="NN216" s="191"/>
      <c r="NO216" s="191"/>
      <c r="NP216" s="191"/>
      <c r="NQ216" s="191"/>
      <c r="NR216" s="191"/>
      <c r="NS216" s="191"/>
      <c r="NT216" s="191"/>
      <c r="NU216" s="191"/>
      <c r="NV216" s="191"/>
      <c r="NW216" s="192"/>
      <c r="NX216" s="190"/>
      <c r="NY216" s="191"/>
      <c r="NZ216" s="191"/>
      <c r="OA216" s="191"/>
      <c r="OB216" s="191"/>
      <c r="OC216" s="191"/>
      <c r="OD216" s="191"/>
      <c r="OE216" s="191"/>
      <c r="OF216" s="191"/>
      <c r="OG216" s="191"/>
      <c r="OH216" s="191"/>
      <c r="OI216" s="191"/>
      <c r="OJ216" s="191"/>
      <c r="OK216" s="191"/>
      <c r="OL216" s="191"/>
      <c r="OM216" s="191"/>
      <c r="ON216" s="191"/>
      <c r="OO216" s="191"/>
      <c r="OP216" s="191"/>
      <c r="OQ216" s="191"/>
      <c r="OR216" s="191"/>
      <c r="OS216" s="191"/>
      <c r="OT216" s="191"/>
      <c r="OU216" s="191"/>
      <c r="OV216" s="191"/>
      <c r="OW216" s="191"/>
      <c r="OX216" s="191"/>
      <c r="OY216" s="191"/>
      <c r="OZ216" s="191"/>
      <c r="PA216" s="191"/>
      <c r="PB216" s="193"/>
      <c r="PC216" s="47"/>
      <c r="PD216" s="154"/>
      <c r="PE216" s="155"/>
      <c r="PF216" s="155"/>
      <c r="PG216" s="155"/>
      <c r="PH216" s="155"/>
      <c r="PI216" s="155"/>
      <c r="PJ216" s="155"/>
      <c r="PK216" s="155"/>
      <c r="PL216" s="155"/>
      <c r="PM216" s="155"/>
      <c r="PN216" s="155"/>
      <c r="PO216" s="156"/>
      <c r="PP216" s="156"/>
      <c r="PQ216" s="156"/>
      <c r="PR216" s="156"/>
      <c r="PS216" s="156"/>
      <c r="PT216" s="156"/>
      <c r="PU216" s="156"/>
      <c r="PV216" s="156"/>
      <c r="PW216" s="156"/>
      <c r="PX216" s="195"/>
      <c r="PY216" s="1"/>
      <c r="PZ216" s="196">
        <f t="shared" si="225"/>
        <v>0</v>
      </c>
      <c r="QA216" s="218">
        <f t="shared" si="180"/>
        <v>0</v>
      </c>
      <c r="QB216" s="219" t="str">
        <f t="shared" ca="1" si="181"/>
        <v>Attente…</v>
      </c>
      <c r="QC216" s="197">
        <f t="shared" si="182"/>
        <v>0</v>
      </c>
      <c r="QD216" s="220">
        <f t="shared" si="183"/>
        <v>0</v>
      </c>
      <c r="QE216" s="221" t="str">
        <f t="shared" ca="1" si="184"/>
        <v>Attente…</v>
      </c>
      <c r="QF216" s="196">
        <f t="shared" si="185"/>
        <v>0</v>
      </c>
      <c r="QG216" s="218">
        <f t="shared" si="186"/>
        <v>0</v>
      </c>
      <c r="QH216" s="219" t="str">
        <f t="shared" ca="1" si="187"/>
        <v>Attente…</v>
      </c>
      <c r="QI216" s="197">
        <f t="shared" si="188"/>
        <v>0</v>
      </c>
      <c r="QJ216" s="220">
        <f t="shared" si="189"/>
        <v>0</v>
      </c>
      <c r="QK216" s="221" t="str">
        <f t="shared" ca="1" si="190"/>
        <v>Attente…</v>
      </c>
      <c r="QL216" s="196">
        <f t="shared" si="191"/>
        <v>0</v>
      </c>
      <c r="QM216" s="218">
        <f t="shared" si="192"/>
        <v>0</v>
      </c>
      <c r="QN216" s="219" t="str">
        <f t="shared" ca="1" si="193"/>
        <v>Attente…</v>
      </c>
      <c r="QO216" s="197">
        <f t="shared" si="194"/>
        <v>0</v>
      </c>
      <c r="QP216" s="220">
        <f t="shared" si="195"/>
        <v>0</v>
      </c>
      <c r="QQ216" s="221" t="str">
        <f t="shared" ca="1" si="196"/>
        <v>Attente…</v>
      </c>
      <c r="QR216" s="196">
        <f t="shared" si="197"/>
        <v>0</v>
      </c>
      <c r="QS216" s="218">
        <f t="shared" si="198"/>
        <v>0</v>
      </c>
      <c r="QT216" s="219" t="str">
        <f t="shared" ca="1" si="199"/>
        <v>Attente…</v>
      </c>
      <c r="QU216" s="197">
        <f t="shared" si="200"/>
        <v>0</v>
      </c>
      <c r="QV216" s="220">
        <f t="shared" si="201"/>
        <v>0</v>
      </c>
      <c r="QW216" s="221" t="str">
        <f t="shared" ca="1" si="202"/>
        <v>Attente…</v>
      </c>
      <c r="QX216" s="196">
        <f t="shared" si="203"/>
        <v>0</v>
      </c>
      <c r="QY216" s="218">
        <f t="shared" si="204"/>
        <v>0</v>
      </c>
      <c r="QZ216" s="219" t="str">
        <f t="shared" ca="1" si="205"/>
        <v>Attente…</v>
      </c>
      <c r="RA216" s="197">
        <f t="shared" si="206"/>
        <v>0</v>
      </c>
      <c r="RB216" s="220">
        <f t="shared" si="207"/>
        <v>0</v>
      </c>
      <c r="RC216" s="221" t="str">
        <f t="shared" ca="1" si="208"/>
        <v>Attente…</v>
      </c>
      <c r="RD216" s="196">
        <f t="shared" si="209"/>
        <v>0</v>
      </c>
      <c r="RE216" s="218">
        <f t="shared" si="210"/>
        <v>0</v>
      </c>
      <c r="RF216" s="219" t="str">
        <f t="shared" ca="1" si="211"/>
        <v>Attente…</v>
      </c>
      <c r="RG216" s="197">
        <f t="shared" si="212"/>
        <v>0</v>
      </c>
      <c r="RH216" s="220">
        <f t="shared" si="213"/>
        <v>0</v>
      </c>
      <c r="RI216" s="222" t="str">
        <f t="shared" ca="1" si="214"/>
        <v>Attente…</v>
      </c>
      <c r="RJ216" s="199">
        <f t="shared" si="215"/>
        <v>0</v>
      </c>
      <c r="RK216" s="200" t="str">
        <f t="shared" ca="1" si="172"/>
        <v>Attente…</v>
      </c>
      <c r="RL216" s="199">
        <f t="shared" si="216"/>
        <v>0</v>
      </c>
      <c r="RM216" s="200" t="str">
        <f t="shared" ca="1" si="217"/>
        <v>Atttente…</v>
      </c>
      <c r="RN216" s="199">
        <f t="shared" si="218"/>
        <v>0</v>
      </c>
      <c r="RO216" s="200" t="str">
        <f t="shared" ca="1" si="173"/>
        <v>Attente…</v>
      </c>
      <c r="RP216" s="199">
        <f t="shared" si="219"/>
        <v>0</v>
      </c>
      <c r="RQ216" s="200" t="str">
        <f t="shared" ca="1" si="174"/>
        <v>Attente…</v>
      </c>
      <c r="RR216" s="201">
        <f t="shared" si="220"/>
        <v>0</v>
      </c>
      <c r="RS216" s="202" t="str">
        <f t="shared" ca="1" si="175"/>
        <v>Attente…</v>
      </c>
      <c r="RT216" s="103"/>
      <c r="RU216" s="203" t="str">
        <f t="shared" si="221"/>
        <v/>
      </c>
      <c r="RV216" s="204">
        <f t="shared" si="224"/>
        <v>0</v>
      </c>
      <c r="RW216" s="204">
        <f t="shared" si="224"/>
        <v>0</v>
      </c>
      <c r="RX216" s="204">
        <f t="shared" si="222"/>
        <v>0</v>
      </c>
      <c r="RY216" s="205" t="str">
        <f t="shared" si="223"/>
        <v/>
      </c>
      <c r="RZ216" s="189" t="str">
        <f>IF(OR(RZ215="",RZ215="  &lt;/Document&gt;
&lt;/kml&gt;"),"",
IF(B216="","  &lt;/Document&gt;
&lt;/kml&gt;",
IF(TournéesCAV!Q216=""," ",
"    &lt;Placemark&gt;
      &lt;description&gt;&lt;![CDATA["&amp;B216&amp;"&lt;br&gt;&lt;br&gt;"&amp;RV216&amp;" CAV&lt;br&gt;&lt;br&gt;Présent sur "&amp;RW216&amp;" tournée(s)&lt;br&gt;&lt;br&gt;Taux de remplissage moyen "&amp;TEXT(RU216*1000,"0 %")&amp;"]]&gt;&lt;/description&gt;
      &lt;Style&gt;
        &lt;IconStyle&gt;
          &lt;color&gt;ff"&amp;
          DEC2HEX(0,2)&amp;
          DEC2HEX(
            IF(RU216&lt;=0.5,
               INT(255*(RU216*2)),
               255
            ),2)&amp;
          DEC2HEX(
            IF(RU216&lt;=0.5,
               255,
               INT(255*(1-(RU216-0.5)*2))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&lt;Point&gt;&lt;coordinates&gt;"&amp;R216&amp;","&amp;Q216&amp;",0&lt;/coordinates&gt;&lt;/Point&gt;
    &lt;/Placemark&gt;"
)))</f>
        <v/>
      </c>
    </row>
    <row r="217" spans="1:494" ht="15" customHeight="1" thickBot="1" x14ac:dyDescent="0.4">
      <c r="B217" s="224"/>
      <c r="C217" s="225"/>
      <c r="D217" s="226"/>
      <c r="E217" s="226"/>
      <c r="F217" s="226"/>
      <c r="G217" s="226"/>
      <c r="H217" s="226"/>
      <c r="I217" s="226"/>
      <c r="J217" s="227"/>
      <c r="K217" s="228"/>
      <c r="L217" s="228"/>
      <c r="M217" s="229"/>
      <c r="N217" s="230"/>
      <c r="O217" s="230"/>
      <c r="P217" s="230"/>
      <c r="Q217" s="230"/>
      <c r="R217" s="230"/>
      <c r="S217" s="230"/>
      <c r="T217" s="230"/>
      <c r="U217" s="230"/>
      <c r="V217" s="231"/>
      <c r="W217" s="232"/>
      <c r="X217" s="233"/>
      <c r="Y217" s="233"/>
      <c r="Z217" s="233"/>
      <c r="AA217" s="233"/>
      <c r="AB217" s="233"/>
      <c r="AC217" s="233"/>
      <c r="AD217" s="233"/>
      <c r="AE217" s="233"/>
      <c r="AF217" s="233"/>
      <c r="AG217" s="233"/>
      <c r="AH217" s="233"/>
      <c r="AI217" s="233"/>
      <c r="AJ217" s="233"/>
      <c r="AK217" s="233"/>
      <c r="AL217" s="233"/>
      <c r="AM217" s="233"/>
      <c r="AN217" s="233"/>
      <c r="AO217" s="233"/>
      <c r="AP217" s="234"/>
      <c r="AQ217" s="234"/>
      <c r="AR217" s="234"/>
      <c r="AS217" s="234"/>
      <c r="AT217" s="234"/>
      <c r="AU217" s="234"/>
      <c r="AV217" s="234"/>
      <c r="AW217" s="234"/>
      <c r="AX217" s="234"/>
      <c r="AY217" s="235"/>
      <c r="AZ217" s="41"/>
      <c r="BA217" s="236"/>
      <c r="BB217" s="237"/>
      <c r="BC217" s="237"/>
      <c r="BD217" s="237"/>
      <c r="BE217" s="237"/>
      <c r="BF217" s="237"/>
      <c r="BG217" s="237"/>
      <c r="BH217" s="237"/>
      <c r="BI217" s="237"/>
      <c r="BJ217" s="237"/>
      <c r="BK217" s="237"/>
      <c r="BL217" s="237"/>
      <c r="BM217" s="237"/>
      <c r="BN217" s="237"/>
      <c r="BO217" s="237"/>
      <c r="BP217" s="237"/>
      <c r="BQ217" s="237"/>
      <c r="BR217" s="237"/>
      <c r="BS217" s="237"/>
      <c r="BT217" s="237"/>
      <c r="BU217" s="237"/>
      <c r="BV217" s="237"/>
      <c r="BW217" s="237"/>
      <c r="BX217" s="237"/>
      <c r="BY217" s="237"/>
      <c r="BZ217" s="237"/>
      <c r="CA217" s="237"/>
      <c r="CB217" s="237"/>
      <c r="CC217" s="237"/>
      <c r="CD217" s="237"/>
      <c r="CE217" s="238"/>
      <c r="CF217" s="236"/>
      <c r="CG217" s="237"/>
      <c r="CH217" s="237"/>
      <c r="CI217" s="237"/>
      <c r="CJ217" s="237"/>
      <c r="CK217" s="237"/>
      <c r="CL217" s="237"/>
      <c r="CM217" s="237"/>
      <c r="CN217" s="237"/>
      <c r="CO217" s="237"/>
      <c r="CP217" s="237"/>
      <c r="CQ217" s="237"/>
      <c r="CR217" s="237"/>
      <c r="CS217" s="237"/>
      <c r="CT217" s="237"/>
      <c r="CU217" s="237"/>
      <c r="CV217" s="237"/>
      <c r="CW217" s="237"/>
      <c r="CX217" s="237"/>
      <c r="CY217" s="237"/>
      <c r="CZ217" s="237"/>
      <c r="DA217" s="237"/>
      <c r="DB217" s="237"/>
      <c r="DC217" s="237"/>
      <c r="DD217" s="237"/>
      <c r="DE217" s="237"/>
      <c r="DF217" s="237"/>
      <c r="DG217" s="237"/>
      <c r="DH217" s="239"/>
      <c r="DI217" s="240"/>
      <c r="DJ217" s="237"/>
      <c r="DK217" s="237"/>
      <c r="DL217" s="237"/>
      <c r="DM217" s="237"/>
      <c r="DN217" s="237"/>
      <c r="DO217" s="237"/>
      <c r="DP217" s="237"/>
      <c r="DQ217" s="237"/>
      <c r="DR217" s="237"/>
      <c r="DS217" s="237"/>
      <c r="DT217" s="237"/>
      <c r="DU217" s="237"/>
      <c r="DV217" s="237"/>
      <c r="DW217" s="237"/>
      <c r="DX217" s="237"/>
      <c r="DY217" s="237"/>
      <c r="DZ217" s="237"/>
      <c r="EA217" s="237"/>
      <c r="EB217" s="237"/>
      <c r="EC217" s="237"/>
      <c r="ED217" s="237"/>
      <c r="EE217" s="237"/>
      <c r="EF217" s="237"/>
      <c r="EG217" s="237"/>
      <c r="EH217" s="237"/>
      <c r="EI217" s="237"/>
      <c r="EJ217" s="237"/>
      <c r="EK217" s="237"/>
      <c r="EL217" s="237"/>
      <c r="EM217" s="238"/>
      <c r="EN217" s="236"/>
      <c r="EO217" s="237"/>
      <c r="EP217" s="237"/>
      <c r="EQ217" s="237"/>
      <c r="ER217" s="237"/>
      <c r="ES217" s="237"/>
      <c r="ET217" s="237"/>
      <c r="EU217" s="237"/>
      <c r="EV217" s="237"/>
      <c r="EW217" s="237"/>
      <c r="EX217" s="237"/>
      <c r="EY217" s="237"/>
      <c r="EZ217" s="237"/>
      <c r="FA217" s="237"/>
      <c r="FB217" s="237"/>
      <c r="FC217" s="237"/>
      <c r="FD217" s="237"/>
      <c r="FE217" s="237"/>
      <c r="FF217" s="237"/>
      <c r="FG217" s="237"/>
      <c r="FH217" s="237"/>
      <c r="FI217" s="237"/>
      <c r="FJ217" s="237"/>
      <c r="FK217" s="237"/>
      <c r="FL217" s="237"/>
      <c r="FM217" s="237"/>
      <c r="FN217" s="237"/>
      <c r="FO217" s="237"/>
      <c r="FP217" s="237"/>
      <c r="FQ217" s="239"/>
      <c r="FR217" s="240"/>
      <c r="FS217" s="237"/>
      <c r="FT217" s="237"/>
      <c r="FU217" s="237"/>
      <c r="FV217" s="237"/>
      <c r="FW217" s="237"/>
      <c r="FX217" s="237"/>
      <c r="FY217" s="237"/>
      <c r="FZ217" s="237"/>
      <c r="GA217" s="237"/>
      <c r="GB217" s="237"/>
      <c r="GC217" s="237"/>
      <c r="GD217" s="237"/>
      <c r="GE217" s="237"/>
      <c r="GF217" s="237"/>
      <c r="GG217" s="237"/>
      <c r="GH217" s="237"/>
      <c r="GI217" s="237"/>
      <c r="GJ217" s="237"/>
      <c r="GK217" s="237"/>
      <c r="GL217" s="237"/>
      <c r="GM217" s="237"/>
      <c r="GN217" s="237"/>
      <c r="GO217" s="237"/>
      <c r="GP217" s="237"/>
      <c r="GQ217" s="237"/>
      <c r="GR217" s="237"/>
      <c r="GS217" s="237"/>
      <c r="GT217" s="237"/>
      <c r="GU217" s="237"/>
      <c r="GV217" s="238"/>
      <c r="GW217" s="236"/>
      <c r="GX217" s="237"/>
      <c r="GY217" s="237"/>
      <c r="GZ217" s="237"/>
      <c r="HA217" s="237"/>
      <c r="HB217" s="237"/>
      <c r="HC217" s="237"/>
      <c r="HD217" s="237"/>
      <c r="HE217" s="237"/>
      <c r="HF217" s="237"/>
      <c r="HG217" s="237"/>
      <c r="HH217" s="237"/>
      <c r="HI217" s="237"/>
      <c r="HJ217" s="237"/>
      <c r="HK217" s="237"/>
      <c r="HL217" s="237"/>
      <c r="HM217" s="237"/>
      <c r="HN217" s="237"/>
      <c r="HO217" s="237"/>
      <c r="HP217" s="237"/>
      <c r="HQ217" s="237"/>
      <c r="HR217" s="237"/>
      <c r="HS217" s="237"/>
      <c r="HT217" s="237"/>
      <c r="HU217" s="237"/>
      <c r="HV217" s="237"/>
      <c r="HW217" s="237"/>
      <c r="HX217" s="237"/>
      <c r="HY217" s="237"/>
      <c r="HZ217" s="239"/>
      <c r="IA217" s="240"/>
      <c r="IB217" s="237"/>
      <c r="IC217" s="237"/>
      <c r="ID217" s="237"/>
      <c r="IE217" s="237"/>
      <c r="IF217" s="237"/>
      <c r="IG217" s="237"/>
      <c r="IH217" s="237"/>
      <c r="II217" s="237"/>
      <c r="IJ217" s="237"/>
      <c r="IK217" s="237"/>
      <c r="IL217" s="237"/>
      <c r="IM217" s="237"/>
      <c r="IN217" s="237"/>
      <c r="IO217" s="237"/>
      <c r="IP217" s="237"/>
      <c r="IQ217" s="237"/>
      <c r="IR217" s="237"/>
      <c r="IS217" s="237"/>
      <c r="IT217" s="237"/>
      <c r="IU217" s="237"/>
      <c r="IV217" s="237"/>
      <c r="IW217" s="237"/>
      <c r="IX217" s="237"/>
      <c r="IY217" s="237"/>
      <c r="IZ217" s="237"/>
      <c r="JA217" s="237"/>
      <c r="JB217" s="237"/>
      <c r="JC217" s="237"/>
      <c r="JD217" s="237"/>
      <c r="JE217" s="238"/>
      <c r="JF217" s="236"/>
      <c r="JG217" s="237"/>
      <c r="JH217" s="237"/>
      <c r="JI217" s="237"/>
      <c r="JJ217" s="237"/>
      <c r="JK217" s="237"/>
      <c r="JL217" s="237"/>
      <c r="JM217" s="237"/>
      <c r="JN217" s="237"/>
      <c r="JO217" s="237"/>
      <c r="JP217" s="237"/>
      <c r="JQ217" s="237"/>
      <c r="JR217" s="237"/>
      <c r="JS217" s="237"/>
      <c r="JT217" s="237"/>
      <c r="JU217" s="237"/>
      <c r="JV217" s="237"/>
      <c r="JW217" s="237"/>
      <c r="JX217" s="237"/>
      <c r="JY217" s="237"/>
      <c r="JZ217" s="237"/>
      <c r="KA217" s="237"/>
      <c r="KB217" s="237"/>
      <c r="KC217" s="237"/>
      <c r="KD217" s="237"/>
      <c r="KE217" s="237"/>
      <c r="KF217" s="237"/>
      <c r="KG217" s="237"/>
      <c r="KH217" s="237"/>
      <c r="KI217" s="237"/>
      <c r="KJ217" s="239"/>
      <c r="KK217" s="240"/>
      <c r="KL217" s="237"/>
      <c r="KM217" s="237"/>
      <c r="KN217" s="237"/>
      <c r="KO217" s="237"/>
      <c r="KP217" s="237"/>
      <c r="KQ217" s="237"/>
      <c r="KR217" s="237"/>
      <c r="KS217" s="237"/>
      <c r="KT217" s="237"/>
      <c r="KU217" s="237"/>
      <c r="KV217" s="237"/>
      <c r="KW217" s="237"/>
      <c r="KX217" s="237"/>
      <c r="KY217" s="237"/>
      <c r="KZ217" s="237"/>
      <c r="LA217" s="237"/>
      <c r="LB217" s="237"/>
      <c r="LC217" s="237"/>
      <c r="LD217" s="237"/>
      <c r="LE217" s="237"/>
      <c r="LF217" s="237"/>
      <c r="LG217" s="237"/>
      <c r="LH217" s="237"/>
      <c r="LI217" s="237"/>
      <c r="LJ217" s="237"/>
      <c r="LK217" s="237"/>
      <c r="LL217" s="237"/>
      <c r="LM217" s="237"/>
      <c r="LN217" s="238"/>
      <c r="LO217" s="236"/>
      <c r="LP217" s="237"/>
      <c r="LQ217" s="237"/>
      <c r="LR217" s="237"/>
      <c r="LS217" s="237"/>
      <c r="LT217" s="237"/>
      <c r="LU217" s="237"/>
      <c r="LV217" s="237"/>
      <c r="LW217" s="237"/>
      <c r="LX217" s="237"/>
      <c r="LY217" s="237"/>
      <c r="LZ217" s="237"/>
      <c r="MA217" s="237"/>
      <c r="MB217" s="237"/>
      <c r="MC217" s="237"/>
      <c r="MD217" s="237"/>
      <c r="ME217" s="237"/>
      <c r="MF217" s="237"/>
      <c r="MG217" s="237"/>
      <c r="MH217" s="237"/>
      <c r="MI217" s="237"/>
      <c r="MJ217" s="237"/>
      <c r="MK217" s="237"/>
      <c r="ML217" s="237"/>
      <c r="MM217" s="237"/>
      <c r="MN217" s="237"/>
      <c r="MO217" s="237"/>
      <c r="MP217" s="237"/>
      <c r="MQ217" s="237"/>
      <c r="MR217" s="237"/>
      <c r="MS217" s="239"/>
      <c r="MT217" s="194"/>
      <c r="MU217" s="191"/>
      <c r="MV217" s="191"/>
      <c r="MW217" s="191"/>
      <c r="MX217" s="191"/>
      <c r="MY217" s="191"/>
      <c r="MZ217" s="191"/>
      <c r="NA217" s="191"/>
      <c r="NB217" s="191"/>
      <c r="NC217" s="191"/>
      <c r="ND217" s="191"/>
      <c r="NE217" s="191"/>
      <c r="NF217" s="191"/>
      <c r="NG217" s="191"/>
      <c r="NH217" s="191"/>
      <c r="NI217" s="191"/>
      <c r="NJ217" s="191"/>
      <c r="NK217" s="191"/>
      <c r="NL217" s="191"/>
      <c r="NM217" s="191"/>
      <c r="NN217" s="191"/>
      <c r="NO217" s="191"/>
      <c r="NP217" s="191"/>
      <c r="NQ217" s="191"/>
      <c r="NR217" s="191"/>
      <c r="NS217" s="191"/>
      <c r="NT217" s="191"/>
      <c r="NU217" s="191"/>
      <c r="NV217" s="191"/>
      <c r="NW217" s="192"/>
      <c r="NX217" s="236"/>
      <c r="NY217" s="237"/>
      <c r="NZ217" s="237"/>
      <c r="OA217" s="237"/>
      <c r="OB217" s="237"/>
      <c r="OC217" s="237"/>
      <c r="OD217" s="237"/>
      <c r="OE217" s="237"/>
      <c r="OF217" s="237"/>
      <c r="OG217" s="237"/>
      <c r="OH217" s="237"/>
      <c r="OI217" s="237"/>
      <c r="OJ217" s="237"/>
      <c r="OK217" s="237"/>
      <c r="OL217" s="237"/>
      <c r="OM217" s="237"/>
      <c r="ON217" s="237"/>
      <c r="OO217" s="237"/>
      <c r="OP217" s="237"/>
      <c r="OQ217" s="237"/>
      <c r="OR217" s="237"/>
      <c r="OS217" s="237"/>
      <c r="OT217" s="237"/>
      <c r="OU217" s="237"/>
      <c r="OV217" s="237"/>
      <c r="OW217" s="237"/>
      <c r="OX217" s="237"/>
      <c r="OY217" s="237"/>
      <c r="OZ217" s="237"/>
      <c r="PA217" s="237"/>
      <c r="PB217" s="239"/>
      <c r="PC217" s="47"/>
      <c r="PD217" s="225"/>
      <c r="PE217" s="226"/>
      <c r="PF217" s="226"/>
      <c r="PG217" s="226"/>
      <c r="PH217" s="226"/>
      <c r="PI217" s="226"/>
      <c r="PJ217" s="226"/>
      <c r="PK217" s="226"/>
      <c r="PL217" s="226"/>
      <c r="PM217" s="226"/>
      <c r="PN217" s="226"/>
      <c r="PO217" s="227"/>
      <c r="PP217" s="227"/>
      <c r="PQ217" s="227"/>
      <c r="PR217" s="227"/>
      <c r="PS217" s="227"/>
      <c r="PT217" s="227"/>
      <c r="PU217" s="227"/>
      <c r="PV217" s="227"/>
      <c r="PW217" s="227"/>
      <c r="PX217" s="241"/>
      <c r="PY217" s="1"/>
      <c r="PZ217" s="242">
        <f t="shared" si="225"/>
        <v>0</v>
      </c>
      <c r="QA217" s="243">
        <f t="shared" si="180"/>
        <v>0</v>
      </c>
      <c r="QB217" s="244" t="str">
        <f t="shared" ca="1" si="181"/>
        <v>Attente…</v>
      </c>
      <c r="QC217" s="245">
        <f t="shared" si="182"/>
        <v>0</v>
      </c>
      <c r="QD217" s="246">
        <f t="shared" si="183"/>
        <v>0</v>
      </c>
      <c r="QE217" s="247" t="str">
        <f t="shared" ca="1" si="184"/>
        <v>Attente…</v>
      </c>
      <c r="QF217" s="242">
        <f t="shared" si="185"/>
        <v>0</v>
      </c>
      <c r="QG217" s="243">
        <f t="shared" si="186"/>
        <v>0</v>
      </c>
      <c r="QH217" s="244" t="str">
        <f t="shared" ca="1" si="187"/>
        <v>Attente…</v>
      </c>
      <c r="QI217" s="245">
        <f t="shared" si="188"/>
        <v>0</v>
      </c>
      <c r="QJ217" s="246">
        <f t="shared" si="189"/>
        <v>0</v>
      </c>
      <c r="QK217" s="247" t="str">
        <f t="shared" ca="1" si="190"/>
        <v>Attente…</v>
      </c>
      <c r="QL217" s="242">
        <f t="shared" si="191"/>
        <v>0</v>
      </c>
      <c r="QM217" s="243">
        <f t="shared" si="192"/>
        <v>0</v>
      </c>
      <c r="QN217" s="244" t="str">
        <f t="shared" ca="1" si="193"/>
        <v>Attente…</v>
      </c>
      <c r="QO217" s="245">
        <f t="shared" si="194"/>
        <v>0</v>
      </c>
      <c r="QP217" s="246">
        <f t="shared" si="195"/>
        <v>0</v>
      </c>
      <c r="QQ217" s="247" t="str">
        <f t="shared" ca="1" si="196"/>
        <v>Attente…</v>
      </c>
      <c r="QR217" s="242">
        <f t="shared" si="197"/>
        <v>0</v>
      </c>
      <c r="QS217" s="243">
        <f t="shared" si="198"/>
        <v>0</v>
      </c>
      <c r="QT217" s="244" t="str">
        <f t="shared" ca="1" si="199"/>
        <v>Attente…</v>
      </c>
      <c r="QU217" s="245">
        <f t="shared" si="200"/>
        <v>0</v>
      </c>
      <c r="QV217" s="246">
        <f t="shared" si="201"/>
        <v>0</v>
      </c>
      <c r="QW217" s="247" t="str">
        <f t="shared" ca="1" si="202"/>
        <v>Attente…</v>
      </c>
      <c r="QX217" s="242">
        <f t="shared" si="203"/>
        <v>0</v>
      </c>
      <c r="QY217" s="243">
        <f t="shared" si="204"/>
        <v>0</v>
      </c>
      <c r="QZ217" s="244" t="str">
        <f t="shared" ca="1" si="205"/>
        <v>Attente…</v>
      </c>
      <c r="RA217" s="245">
        <f t="shared" si="206"/>
        <v>0</v>
      </c>
      <c r="RB217" s="246">
        <f t="shared" si="207"/>
        <v>0</v>
      </c>
      <c r="RC217" s="247" t="str">
        <f t="shared" ca="1" si="208"/>
        <v>Attente…</v>
      </c>
      <c r="RD217" s="242">
        <f t="shared" si="209"/>
        <v>0</v>
      </c>
      <c r="RE217" s="243">
        <f t="shared" si="210"/>
        <v>0</v>
      </c>
      <c r="RF217" s="244" t="str">
        <f t="shared" ca="1" si="211"/>
        <v>Attente…</v>
      </c>
      <c r="RG217" s="245">
        <f t="shared" si="212"/>
        <v>0</v>
      </c>
      <c r="RH217" s="246">
        <f t="shared" si="213"/>
        <v>0</v>
      </c>
      <c r="RI217" s="248" t="str">
        <f t="shared" ca="1" si="214"/>
        <v>Attente…</v>
      </c>
      <c r="RJ217" s="249">
        <f t="shared" si="215"/>
        <v>0</v>
      </c>
      <c r="RK217" s="250" t="str">
        <f t="shared" ca="1" si="172"/>
        <v>Attente…</v>
      </c>
      <c r="RL217" s="249">
        <f t="shared" si="216"/>
        <v>0</v>
      </c>
      <c r="RM217" s="250" t="str">
        <f t="shared" ca="1" si="217"/>
        <v>Atttente…</v>
      </c>
      <c r="RN217" s="249">
        <f t="shared" si="218"/>
        <v>0</v>
      </c>
      <c r="RO217" s="250" t="str">
        <f t="shared" ca="1" si="173"/>
        <v>Attente…</v>
      </c>
      <c r="RP217" s="249">
        <f t="shared" si="219"/>
        <v>0</v>
      </c>
      <c r="RQ217" s="250" t="str">
        <f t="shared" ca="1" si="174"/>
        <v>Attente…</v>
      </c>
      <c r="RR217" s="251">
        <f t="shared" si="220"/>
        <v>0</v>
      </c>
      <c r="RS217" s="252" t="str">
        <f t="shared" ca="1" si="175"/>
        <v>Attente…</v>
      </c>
      <c r="RT217" s="103"/>
      <c r="RU217" s="253" t="str">
        <f t="shared" si="221"/>
        <v/>
      </c>
      <c r="RV217" s="254">
        <f t="shared" si="224"/>
        <v>0</v>
      </c>
      <c r="RW217" s="254">
        <f t="shared" si="224"/>
        <v>0</v>
      </c>
      <c r="RX217" s="254">
        <f t="shared" si="222"/>
        <v>0</v>
      </c>
      <c r="RY217" s="255" t="str">
        <f t="shared" si="223"/>
        <v/>
      </c>
      <c r="RZ217" s="189" t="str">
        <f>IF(OR(RZ216="",RZ216="  &lt;/Document&gt;
&lt;/kml&gt;"),"",
IF(B217="","  &lt;/Document&gt;
&lt;/kml&gt;",
IF(TournéesCAV!Q217=""," ",
"    &lt;Placemark&gt;
      &lt;description&gt;&lt;![CDATA["&amp;B217&amp;"&lt;br&gt;&lt;br&gt;"&amp;RV217&amp;" CAV&lt;br&gt;&lt;br&gt;Présent sur "&amp;RW217&amp;" tournée(s)&lt;br&gt;&lt;br&gt;Taux de remplissage moyen "&amp;TEXT(RU217*1000,"0 %")&amp;"]]&gt;&lt;/description&gt;
      &lt;Style&gt;
        &lt;IconStyle&gt;
          &lt;color&gt;ff"&amp;
          DEC2HEX(0,2)&amp;
          DEC2HEX(
            IF(RU217&lt;=0.5,
               INT(255*(RU217*2)),
               255
            ),2)&amp;
          DEC2HEX(
            IF(RU217&lt;=0.5,
               255,
               INT(255*(1-(RU217-0.5)*2))
            ),2)&amp;
          "&lt;/color&gt;
          &lt;scale&gt;1.1&lt;/scale&gt;
          &lt;Icon&gt;
            &lt;href&gt;http://maps.google.com/mapfiles/kml/paddle/wht-blank.png&lt;/href&gt;
          &lt;/Icon&gt;
        &lt;/IconStyle&gt;
      &lt;/Style&gt;
      &lt;Point&gt;&lt;coordinates&gt;"&amp;R217&amp;","&amp;Q217&amp;",0&lt;/coordinates&gt;&lt;/Point&gt;
    &lt;/Placemark&gt;"
)))</f>
        <v/>
      </c>
    </row>
    <row r="218" spans="1:494" s="1" customFormat="1" ht="15" customHeight="1" x14ac:dyDescent="0.35">
      <c r="L218" s="15"/>
      <c r="W218"/>
      <c r="PD218" s="15"/>
      <c r="PE218" s="15"/>
      <c r="PF218" s="15"/>
      <c r="PG218" s="15"/>
      <c r="PH218" s="15"/>
      <c r="PI218" s="15"/>
      <c r="PJ218" s="15"/>
      <c r="PK218" s="15"/>
      <c r="PL218" s="15"/>
      <c r="PM218" s="15"/>
      <c r="PN218" s="15"/>
      <c r="PO218" s="15"/>
      <c r="PP218" s="15"/>
      <c r="PQ218" s="15"/>
      <c r="PR218" s="15"/>
      <c r="PS218" s="15"/>
      <c r="PT218" s="15"/>
      <c r="PU218" s="15"/>
      <c r="PV218" s="15"/>
      <c r="PW218" s="15"/>
      <c r="PX218" s="15"/>
      <c r="QA218" s="16"/>
      <c r="QD218" s="16"/>
      <c r="QG218" s="16"/>
      <c r="QJ218" s="16"/>
      <c r="QM218" s="16"/>
      <c r="QP218" s="16"/>
      <c r="QS218" s="16"/>
      <c r="QV218" s="16"/>
      <c r="QY218" s="16"/>
      <c r="RB218" s="16"/>
      <c r="RE218" s="16"/>
      <c r="RH218" s="16"/>
    </row>
    <row r="219" spans="1:494" s="1" customFormat="1" ht="15" customHeight="1" thickBot="1" x14ac:dyDescent="0.4">
      <c r="L219" s="15"/>
      <c r="W219"/>
      <c r="PD219" s="15"/>
      <c r="PE219" s="15"/>
      <c r="PF219" s="15"/>
      <c r="PG219" s="15"/>
      <c r="PH219" s="15"/>
      <c r="PI219" s="15"/>
      <c r="PJ219" s="15"/>
      <c r="PK219" s="15"/>
      <c r="PL219" s="15"/>
      <c r="PM219" s="15"/>
      <c r="PN219" s="15"/>
      <c r="PO219" s="15"/>
      <c r="PP219" s="15"/>
      <c r="PQ219" s="15"/>
      <c r="PR219" s="15"/>
      <c r="PS219" s="15"/>
      <c r="PT219" s="15"/>
      <c r="PU219" s="15"/>
      <c r="PV219" s="15"/>
      <c r="PW219" s="15"/>
      <c r="PX219" s="15"/>
      <c r="QA219" s="16"/>
      <c r="QD219" s="16"/>
      <c r="QG219" s="16"/>
      <c r="QJ219" s="16"/>
      <c r="QM219" s="16"/>
      <c r="QP219" s="16"/>
      <c r="QS219" s="16"/>
      <c r="QV219" s="16"/>
      <c r="QY219" s="16"/>
      <c r="RB219" s="16"/>
      <c r="RE219" s="16"/>
      <c r="RH219" s="16"/>
    </row>
    <row r="220" spans="1:494" s="258" customFormat="1" ht="15" thickBot="1" x14ac:dyDescent="0.4">
      <c r="A220" s="256"/>
      <c r="B220" s="256"/>
      <c r="C220" s="256"/>
      <c r="D220" s="256"/>
      <c r="E220" s="256"/>
      <c r="F220" s="256"/>
      <c r="G220" s="256"/>
      <c r="H220" s="256"/>
      <c r="I220" s="256"/>
      <c r="J220" s="256"/>
      <c r="K220" s="256"/>
      <c r="L220" s="257"/>
      <c r="M220" s="256"/>
      <c r="N220" s="256"/>
      <c r="O220" s="256"/>
      <c r="P220" s="256"/>
      <c r="Q220" s="256"/>
      <c r="R220" s="256"/>
      <c r="S220" s="256"/>
      <c r="T220" s="256"/>
      <c r="U220" s="256"/>
      <c r="V220" s="256"/>
      <c r="W220" s="256"/>
      <c r="X220" s="256"/>
      <c r="Y220" s="256"/>
      <c r="Z220" s="256"/>
      <c r="AA220" s="256"/>
      <c r="AB220" s="256"/>
      <c r="AC220" s="256"/>
      <c r="AD220" s="256"/>
      <c r="AE220" s="256"/>
      <c r="AF220" s="256"/>
      <c r="AG220" s="256"/>
      <c r="AH220" s="256"/>
      <c r="AI220" s="256"/>
      <c r="AJ220" s="256"/>
      <c r="AK220" s="256"/>
      <c r="AL220" s="256"/>
      <c r="AM220" s="256"/>
      <c r="AN220" s="256"/>
      <c r="AO220" s="256"/>
      <c r="AP220" s="256"/>
      <c r="AQ220" s="256"/>
      <c r="AR220" s="256"/>
      <c r="AS220" s="256"/>
      <c r="AT220" s="256"/>
      <c r="AU220" s="256"/>
      <c r="AV220" s="256"/>
      <c r="AW220" s="256"/>
      <c r="AX220" s="256"/>
      <c r="AY220" s="256"/>
      <c r="AZ220" s="256"/>
      <c r="PC220" s="259" t="s">
        <v>1163</v>
      </c>
      <c r="PD220" s="259" t="s">
        <v>1164</v>
      </c>
      <c r="PE220" s="259" t="s">
        <v>1165</v>
      </c>
      <c r="PF220" s="259" t="s">
        <v>1166</v>
      </c>
      <c r="PG220" s="259" t="s">
        <v>1167</v>
      </c>
      <c r="PH220" s="259" t="s">
        <v>1168</v>
      </c>
      <c r="PI220" s="259" t="s">
        <v>1169</v>
      </c>
      <c r="PJ220" s="259" t="s">
        <v>1170</v>
      </c>
      <c r="PK220" s="259" t="s">
        <v>1171</v>
      </c>
      <c r="PL220" s="259" t="s">
        <v>1172</v>
      </c>
      <c r="PM220" s="259" t="s">
        <v>1173</v>
      </c>
      <c r="PN220" s="259" t="s">
        <v>1174</v>
      </c>
      <c r="PO220" s="259" t="s">
        <v>1175</v>
      </c>
      <c r="PP220" s="259" t="s">
        <v>1176</v>
      </c>
      <c r="PQ220" s="259" t="s">
        <v>1177</v>
      </c>
      <c r="PR220" s="259" t="s">
        <v>1178</v>
      </c>
      <c r="PS220" s="259" t="s">
        <v>1179</v>
      </c>
      <c r="PT220" s="259" t="s">
        <v>1180</v>
      </c>
      <c r="PU220" s="259" t="s">
        <v>1181</v>
      </c>
      <c r="PV220" s="259" t="s">
        <v>1182</v>
      </c>
      <c r="PW220" s="259" t="s">
        <v>1183</v>
      </c>
      <c r="PX220" s="259" t="s">
        <v>1184</v>
      </c>
      <c r="PY220" s="260" t="s">
        <v>1185</v>
      </c>
      <c r="PZ220" s="261" t="s">
        <v>1186</v>
      </c>
      <c r="QA220" s="262" t="s">
        <v>1187</v>
      </c>
      <c r="QB220" s="263" t="s">
        <v>1188</v>
      </c>
      <c r="QC220" s="264" t="s">
        <v>1189</v>
      </c>
      <c r="QD220" s="262" t="s">
        <v>1190</v>
      </c>
      <c r="QE220" s="263" t="s">
        <v>1191</v>
      </c>
      <c r="QF220" s="264" t="s">
        <v>1192</v>
      </c>
      <c r="QG220" s="262" t="s">
        <v>1193</v>
      </c>
      <c r="QH220" s="263" t="s">
        <v>1194</v>
      </c>
      <c r="QI220" s="264" t="s">
        <v>1195</v>
      </c>
      <c r="QJ220" s="262" t="s">
        <v>1196</v>
      </c>
      <c r="QK220" s="263" t="s">
        <v>1197</v>
      </c>
      <c r="QL220" s="264" t="s">
        <v>1198</v>
      </c>
      <c r="QM220" s="262" t="s">
        <v>1199</v>
      </c>
      <c r="QN220" s="263" t="s">
        <v>1200</v>
      </c>
      <c r="QO220" s="264" t="s">
        <v>1201</v>
      </c>
      <c r="QP220" s="262" t="s">
        <v>1202</v>
      </c>
      <c r="QQ220" s="263" t="s">
        <v>1203</v>
      </c>
      <c r="QR220" s="264" t="s">
        <v>1204</v>
      </c>
      <c r="QS220" s="262" t="s">
        <v>1205</v>
      </c>
      <c r="QT220" s="263" t="s">
        <v>1206</v>
      </c>
      <c r="QU220" s="264" t="s">
        <v>1207</v>
      </c>
      <c r="QV220" s="262" t="s">
        <v>1208</v>
      </c>
      <c r="QW220" s="263" t="s">
        <v>1209</v>
      </c>
      <c r="QX220" s="264" t="s">
        <v>1210</v>
      </c>
      <c r="QY220" s="262" t="s">
        <v>1211</v>
      </c>
      <c r="QZ220" s="263" t="s">
        <v>1212</v>
      </c>
      <c r="RA220" s="264" t="s">
        <v>1213</v>
      </c>
      <c r="RB220" s="262" t="s">
        <v>1214</v>
      </c>
      <c r="RC220" s="263" t="s">
        <v>1215</v>
      </c>
      <c r="RD220" s="264" t="s">
        <v>1216</v>
      </c>
      <c r="RE220" s="262" t="s">
        <v>1217</v>
      </c>
      <c r="RF220" s="263" t="s">
        <v>1218</v>
      </c>
      <c r="RG220" s="264" t="s">
        <v>1219</v>
      </c>
      <c r="RH220" s="262" t="s">
        <v>1220</v>
      </c>
      <c r="RI220" s="265" t="s">
        <v>1221</v>
      </c>
      <c r="RJ220" s="264" t="s">
        <v>1222</v>
      </c>
      <c r="RK220" s="266" t="s">
        <v>1223</v>
      </c>
      <c r="RL220" s="264" t="s">
        <v>1224</v>
      </c>
      <c r="RM220" s="266" t="s">
        <v>1225</v>
      </c>
      <c r="RN220" s="264" t="s">
        <v>1226</v>
      </c>
      <c r="RO220" s="266" t="s">
        <v>1227</v>
      </c>
      <c r="RP220" s="264" t="s">
        <v>1228</v>
      </c>
      <c r="RQ220" s="266" t="s">
        <v>1229</v>
      </c>
      <c r="RR220" s="264" t="s">
        <v>1230</v>
      </c>
      <c r="RS220" s="267" t="s">
        <v>1231</v>
      </c>
      <c r="RT220" s="268"/>
      <c r="RU220" s="256"/>
      <c r="RV220" s="256"/>
      <c r="RW220" s="256"/>
      <c r="RX220" s="256"/>
    </row>
    <row r="221" spans="1:494" x14ac:dyDescent="0.35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5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PC221" s="269"/>
      <c r="PD221" s="269"/>
      <c r="PE221" s="269"/>
      <c r="PF221" s="269"/>
      <c r="PG221" s="269"/>
      <c r="PH221" s="269"/>
      <c r="PI221" s="269"/>
      <c r="PJ221" s="269"/>
      <c r="PK221" s="269"/>
      <c r="PL221" s="269"/>
      <c r="PM221" s="269"/>
      <c r="PN221" s="269"/>
      <c r="PO221" s="269"/>
      <c r="PP221" s="269"/>
      <c r="PQ221" s="269"/>
      <c r="PR221" s="269"/>
      <c r="PS221" s="269"/>
      <c r="PT221" s="269"/>
      <c r="PU221" s="269"/>
      <c r="PV221" s="269"/>
      <c r="PW221" s="269"/>
      <c r="PX221" s="269"/>
      <c r="PY221" s="270" t="str">
        <f>PD3</f>
        <v>Métropole (public+privé)</v>
      </c>
      <c r="PZ221" s="271">
        <f t="shared" ref="PZ221:RS221" si="226">SUMIF($PD$6:$PD$217,"OUI",PZ6:PZ217)</f>
        <v>103720</v>
      </c>
      <c r="QA221" s="272">
        <f t="shared" si="226"/>
        <v>0.86527070993576383</v>
      </c>
      <c r="QB221" s="273">
        <f t="shared" ca="1" si="226"/>
        <v>0</v>
      </c>
      <c r="QC221" s="274">
        <f t="shared" si="226"/>
        <v>93720</v>
      </c>
      <c r="QD221" s="272">
        <f t="shared" si="226"/>
        <v>0.87752808988763975</v>
      </c>
      <c r="QE221" s="273">
        <f t="shared" ca="1" si="226"/>
        <v>0</v>
      </c>
      <c r="QF221" s="274">
        <f t="shared" si="226"/>
        <v>109190</v>
      </c>
      <c r="QG221" s="272">
        <f t="shared" si="226"/>
        <v>0.86948558687689137</v>
      </c>
      <c r="QH221" s="273">
        <f t="shared" ca="1" si="226"/>
        <v>0</v>
      </c>
      <c r="QI221" s="274">
        <f t="shared" si="226"/>
        <v>126260</v>
      </c>
      <c r="QJ221" s="272">
        <f t="shared" si="226"/>
        <v>0.88553794361060478</v>
      </c>
      <c r="QK221" s="273">
        <f t="shared" ca="1" si="226"/>
        <v>0</v>
      </c>
      <c r="QL221" s="274">
        <f t="shared" si="226"/>
        <v>120870</v>
      </c>
      <c r="QM221" s="272">
        <f t="shared" si="226"/>
        <v>0.88432835820895528</v>
      </c>
      <c r="QN221" s="273">
        <f t="shared" ca="1" si="226"/>
        <v>0</v>
      </c>
      <c r="QO221" s="274">
        <f t="shared" si="226"/>
        <v>111350</v>
      </c>
      <c r="QP221" s="272">
        <f t="shared" si="226"/>
        <v>0.87176074532216385</v>
      </c>
      <c r="QQ221" s="273">
        <f t="shared" ca="1" si="226"/>
        <v>0</v>
      </c>
      <c r="QR221" s="274">
        <f t="shared" si="226"/>
        <v>123375</v>
      </c>
      <c r="QS221" s="272">
        <f t="shared" si="226"/>
        <v>0.88819696915157842</v>
      </c>
      <c r="QT221" s="273">
        <f t="shared" ca="1" si="226"/>
        <v>0</v>
      </c>
      <c r="QU221" s="274">
        <f t="shared" si="226"/>
        <v>125230</v>
      </c>
      <c r="QV221" s="272">
        <f t="shared" si="226"/>
        <v>0.86341698841698877</v>
      </c>
      <c r="QW221" s="273">
        <f t="shared" ca="1" si="226"/>
        <v>0</v>
      </c>
      <c r="QX221" s="274">
        <f t="shared" si="226"/>
        <v>117856</v>
      </c>
      <c r="QY221" s="272">
        <f t="shared" si="226"/>
        <v>0.86003677865670414</v>
      </c>
      <c r="QZ221" s="273">
        <f t="shared" ca="1" si="226"/>
        <v>0</v>
      </c>
      <c r="RA221" s="274">
        <f t="shared" si="226"/>
        <v>111150</v>
      </c>
      <c r="RB221" s="272">
        <f t="shared" si="226"/>
        <v>0.86965026210781693</v>
      </c>
      <c r="RC221" s="273">
        <f t="shared" ca="1" si="226"/>
        <v>0</v>
      </c>
      <c r="RD221" s="274">
        <f t="shared" si="226"/>
        <v>89170</v>
      </c>
      <c r="RE221" s="272">
        <f t="shared" si="226"/>
        <v>0.88850139497807867</v>
      </c>
      <c r="RF221" s="273">
        <f t="shared" ca="1" si="226"/>
        <v>0</v>
      </c>
      <c r="RG221" s="274">
        <f t="shared" si="226"/>
        <v>48190</v>
      </c>
      <c r="RH221" s="272">
        <f t="shared" si="226"/>
        <v>0.88633437557476558</v>
      </c>
      <c r="RI221" s="275">
        <f t="shared" ca="1" si="226"/>
        <v>0</v>
      </c>
      <c r="RJ221" s="276">
        <f t="shared" si="226"/>
        <v>306630</v>
      </c>
      <c r="RK221" s="273">
        <f t="shared" ca="1" si="226"/>
        <v>0</v>
      </c>
      <c r="RL221" s="276">
        <f t="shared" si="226"/>
        <v>358480</v>
      </c>
      <c r="RM221" s="273">
        <f t="shared" ca="1" si="226"/>
        <v>0</v>
      </c>
      <c r="RN221" s="276">
        <f t="shared" si="226"/>
        <v>366461</v>
      </c>
      <c r="RO221" s="273">
        <f t="shared" ca="1" si="226"/>
        <v>0</v>
      </c>
      <c r="RP221" s="276">
        <f t="shared" si="226"/>
        <v>248510</v>
      </c>
      <c r="RQ221" s="273">
        <f t="shared" ca="1" si="226"/>
        <v>0</v>
      </c>
      <c r="RR221" s="276">
        <f t="shared" si="226"/>
        <v>1280081</v>
      </c>
      <c r="RS221" s="275">
        <f t="shared" ca="1" si="226"/>
        <v>0</v>
      </c>
      <c r="RT221" s="277"/>
      <c r="RU221" s="1"/>
      <c r="RV221" s="1"/>
      <c r="RW221" s="1"/>
      <c r="RX221" s="1"/>
    </row>
    <row r="222" spans="1:494" x14ac:dyDescent="0.35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5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PC222" s="278"/>
      <c r="PD222" s="278"/>
      <c r="PE222" s="278"/>
      <c r="PF222" s="278"/>
      <c r="PG222" s="278"/>
      <c r="PH222" s="278"/>
      <c r="PI222" s="278"/>
      <c r="PJ222" s="278"/>
      <c r="PK222" s="278"/>
      <c r="PL222" s="278"/>
      <c r="PM222" s="278"/>
      <c r="PN222" s="278"/>
      <c r="PO222" s="278"/>
      <c r="PP222" s="278"/>
      <c r="PQ222" s="278"/>
      <c r="PR222" s="278"/>
      <c r="PS222" s="278"/>
      <c r="PT222" s="278"/>
      <c r="PU222" s="278"/>
      <c r="PV222" s="278"/>
      <c r="PW222" s="278"/>
      <c r="PX222" s="278"/>
      <c r="PY222" s="279" t="str">
        <f>PE3</f>
        <v>Métropole déchetteries</v>
      </c>
      <c r="PZ222" s="280">
        <f t="shared" ref="PZ222:RS222" si="227">SUMIF($PE$6:$PE$217,"OUI",PZ6:PZ217)</f>
        <v>9490</v>
      </c>
      <c r="QA222" s="281">
        <f t="shared" si="227"/>
        <v>7.9169099858179715E-2</v>
      </c>
      <c r="QB222" s="282">
        <f t="shared" ca="1" si="227"/>
        <v>0</v>
      </c>
      <c r="QC222" s="283">
        <f t="shared" si="227"/>
        <v>9650</v>
      </c>
      <c r="QD222" s="281">
        <f t="shared" si="227"/>
        <v>9.0355805243445692E-2</v>
      </c>
      <c r="QE222" s="282">
        <f t="shared" ca="1" si="227"/>
        <v>0</v>
      </c>
      <c r="QF222" s="283">
        <f t="shared" si="227"/>
        <v>10740</v>
      </c>
      <c r="QG222" s="281">
        <f t="shared" si="227"/>
        <v>8.5523172479694251E-2</v>
      </c>
      <c r="QH222" s="282">
        <f t="shared" ca="1" si="227"/>
        <v>0</v>
      </c>
      <c r="QI222" s="283">
        <f t="shared" si="227"/>
        <v>10270</v>
      </c>
      <c r="QJ222" s="281">
        <f t="shared" si="227"/>
        <v>7.2029737691120768E-2</v>
      </c>
      <c r="QK222" s="282">
        <f t="shared" ca="1" si="227"/>
        <v>0</v>
      </c>
      <c r="QL222" s="283">
        <f t="shared" si="227"/>
        <v>11900</v>
      </c>
      <c r="QM222" s="281">
        <f t="shared" si="227"/>
        <v>8.7064676616915429E-2</v>
      </c>
      <c r="QN222" s="282">
        <f t="shared" ca="1" si="227"/>
        <v>0</v>
      </c>
      <c r="QO222" s="283">
        <f t="shared" si="227"/>
        <v>10900</v>
      </c>
      <c r="QP222" s="281">
        <f t="shared" si="227"/>
        <v>8.5336256165348789E-2</v>
      </c>
      <c r="QQ222" s="282">
        <f t="shared" ca="1" si="227"/>
        <v>0</v>
      </c>
      <c r="QR222" s="283">
        <f t="shared" si="227"/>
        <v>11890</v>
      </c>
      <c r="QS222" s="281">
        <f t="shared" si="227"/>
        <v>8.5598070623807629E-2</v>
      </c>
      <c r="QT222" s="282">
        <f t="shared" ca="1" si="227"/>
        <v>0</v>
      </c>
      <c r="QU222" s="283">
        <f t="shared" si="227"/>
        <v>12980</v>
      </c>
      <c r="QV222" s="281">
        <f t="shared" si="227"/>
        <v>8.9492553778268064E-2</v>
      </c>
      <c r="QW222" s="282">
        <f t="shared" ca="1" si="227"/>
        <v>0</v>
      </c>
      <c r="QX222" s="283">
        <f t="shared" si="227"/>
        <v>10990</v>
      </c>
      <c r="QY222" s="281">
        <f t="shared" si="227"/>
        <v>8.0197904200356107E-2</v>
      </c>
      <c r="QZ222" s="282">
        <f t="shared" ca="1" si="227"/>
        <v>0</v>
      </c>
      <c r="RA222" s="283">
        <f t="shared" si="227"/>
        <v>11250</v>
      </c>
      <c r="RB222" s="281">
        <f t="shared" si="227"/>
        <v>8.8021281589859945E-2</v>
      </c>
      <c r="RC222" s="282">
        <f t="shared" ca="1" si="227"/>
        <v>0</v>
      </c>
      <c r="RD222" s="283">
        <f t="shared" si="227"/>
        <v>9930</v>
      </c>
      <c r="RE222" s="281">
        <f t="shared" si="227"/>
        <v>9.8943802311677972E-2</v>
      </c>
      <c r="RF222" s="282">
        <f t="shared" ca="1" si="227"/>
        <v>0</v>
      </c>
      <c r="RG222" s="283">
        <f t="shared" si="227"/>
        <v>5460</v>
      </c>
      <c r="RH222" s="281">
        <f t="shared" si="227"/>
        <v>0.10042302740481883</v>
      </c>
      <c r="RI222" s="284">
        <f t="shared" ca="1" si="227"/>
        <v>0</v>
      </c>
      <c r="RJ222" s="285">
        <f t="shared" si="227"/>
        <v>29880</v>
      </c>
      <c r="RK222" s="282">
        <f t="shared" ca="1" si="227"/>
        <v>0</v>
      </c>
      <c r="RL222" s="285">
        <f t="shared" si="227"/>
        <v>33070</v>
      </c>
      <c r="RM222" s="282">
        <f t="shared" ca="1" si="227"/>
        <v>0</v>
      </c>
      <c r="RN222" s="285">
        <f t="shared" si="227"/>
        <v>35860</v>
      </c>
      <c r="RO222" s="282">
        <f t="shared" ca="1" si="227"/>
        <v>0</v>
      </c>
      <c r="RP222" s="285">
        <f t="shared" si="227"/>
        <v>26640</v>
      </c>
      <c r="RQ222" s="282">
        <f t="shared" ca="1" si="227"/>
        <v>0</v>
      </c>
      <c r="RR222" s="285">
        <f t="shared" si="227"/>
        <v>125450</v>
      </c>
      <c r="RS222" s="284">
        <f t="shared" ca="1" si="227"/>
        <v>0</v>
      </c>
      <c r="RT222" s="103"/>
      <c r="RU222" s="1"/>
      <c r="RV222" s="1"/>
      <c r="RW222" s="1"/>
      <c r="RX222" s="1"/>
    </row>
    <row r="223" spans="1:494" x14ac:dyDescent="0.35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5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PC223" s="278"/>
      <c r="PD223" s="278"/>
      <c r="PE223" s="278"/>
      <c r="PF223" s="278"/>
      <c r="PG223" s="278"/>
      <c r="PH223" s="278"/>
      <c r="PI223" s="278"/>
      <c r="PJ223" s="278"/>
      <c r="PK223" s="278"/>
      <c r="PL223" s="278"/>
      <c r="PM223" s="278"/>
      <c r="PN223" s="278"/>
      <c r="PO223" s="278"/>
      <c r="PP223" s="278"/>
      <c r="PQ223" s="278"/>
      <c r="PR223" s="278"/>
      <c r="PS223" s="278"/>
      <c r="PT223" s="278"/>
      <c r="PU223" s="278"/>
      <c r="PV223" s="278"/>
      <c r="PW223" s="278"/>
      <c r="PX223" s="278"/>
      <c r="PY223" s="279" t="str">
        <f>PF3</f>
        <v>Métropole 
Habitat 76</v>
      </c>
      <c r="PZ223" s="280">
        <f t="shared" ref="PZ223:RS223" si="228">SUMIF($PF$6:$PF$217,"OUI",PZ6:PZ217)</f>
        <v>4370</v>
      </c>
      <c r="QA223" s="281">
        <f t="shared" si="228"/>
        <v>3.6456160840910988E-2</v>
      </c>
      <c r="QB223" s="282">
        <f t="shared" ca="1" si="228"/>
        <v>0</v>
      </c>
      <c r="QC223" s="283">
        <f t="shared" si="228"/>
        <v>3580</v>
      </c>
      <c r="QD223" s="281">
        <f t="shared" si="228"/>
        <v>3.3520599250936332E-2</v>
      </c>
      <c r="QE223" s="282">
        <f t="shared" ca="1" si="228"/>
        <v>0</v>
      </c>
      <c r="QF223" s="283">
        <f t="shared" si="228"/>
        <v>3530</v>
      </c>
      <c r="QG223" s="281">
        <f t="shared" si="228"/>
        <v>2.8109571587832456E-2</v>
      </c>
      <c r="QH223" s="282">
        <f t="shared" ca="1" si="228"/>
        <v>0</v>
      </c>
      <c r="QI223" s="283">
        <f t="shared" si="228"/>
        <v>5250</v>
      </c>
      <c r="QJ223" s="281">
        <f t="shared" si="228"/>
        <v>3.6821433581147429E-2</v>
      </c>
      <c r="QK223" s="282">
        <f t="shared" ca="1" si="228"/>
        <v>0</v>
      </c>
      <c r="QL223" s="283">
        <f t="shared" si="228"/>
        <v>5060</v>
      </c>
      <c r="QM223" s="281">
        <f t="shared" si="228"/>
        <v>3.702077846063799E-2</v>
      </c>
      <c r="QN223" s="282">
        <f t="shared" ca="1" si="228"/>
        <v>0</v>
      </c>
      <c r="QO223" s="283">
        <f t="shared" si="228"/>
        <v>4550</v>
      </c>
      <c r="QP223" s="281">
        <f t="shared" si="228"/>
        <v>3.5622015188287795E-2</v>
      </c>
      <c r="QQ223" s="282">
        <f t="shared" ca="1" si="228"/>
        <v>0</v>
      </c>
      <c r="QR223" s="283">
        <f t="shared" si="228"/>
        <v>4600</v>
      </c>
      <c r="QS223" s="281">
        <f t="shared" si="228"/>
        <v>3.3116158525611027E-2</v>
      </c>
      <c r="QT223" s="282">
        <f t="shared" ca="1" si="228"/>
        <v>0</v>
      </c>
      <c r="QU223" s="283">
        <f t="shared" si="228"/>
        <v>4500</v>
      </c>
      <c r="QV223" s="281">
        <f t="shared" si="228"/>
        <v>3.1025923883066738E-2</v>
      </c>
      <c r="QW223" s="282">
        <f t="shared" ca="1" si="228"/>
        <v>0</v>
      </c>
      <c r="QX223" s="283">
        <f t="shared" si="228"/>
        <v>4160</v>
      </c>
      <c r="QY223" s="281">
        <f t="shared" si="228"/>
        <v>3.0356986485303133E-2</v>
      </c>
      <c r="QZ223" s="282">
        <f t="shared" ca="1" si="228"/>
        <v>0</v>
      </c>
      <c r="RA223" s="283">
        <f t="shared" si="228"/>
        <v>3370</v>
      </c>
      <c r="RB223" s="281">
        <f t="shared" si="228"/>
        <v>2.6367263907362493E-2</v>
      </c>
      <c r="RC223" s="282">
        <f t="shared" ca="1" si="228"/>
        <v>0</v>
      </c>
      <c r="RD223" s="283">
        <f t="shared" si="228"/>
        <v>2240</v>
      </c>
      <c r="RE223" s="281">
        <f t="shared" si="228"/>
        <v>2.231964926265444E-2</v>
      </c>
      <c r="RF223" s="282">
        <f t="shared" ca="1" si="228"/>
        <v>0</v>
      </c>
      <c r="RG223" s="283">
        <f t="shared" si="228"/>
        <v>1080</v>
      </c>
      <c r="RH223" s="281">
        <f t="shared" si="228"/>
        <v>1.9863895530623503E-2</v>
      </c>
      <c r="RI223" s="284">
        <f t="shared" ca="1" si="228"/>
        <v>0</v>
      </c>
      <c r="RJ223" s="285">
        <f t="shared" si="228"/>
        <v>11480</v>
      </c>
      <c r="RK223" s="282">
        <f t="shared" ca="1" si="228"/>
        <v>0</v>
      </c>
      <c r="RL223" s="285">
        <f t="shared" si="228"/>
        <v>14860</v>
      </c>
      <c r="RM223" s="282">
        <f t="shared" ca="1" si="228"/>
        <v>0</v>
      </c>
      <c r="RN223" s="285">
        <f t="shared" si="228"/>
        <v>13260</v>
      </c>
      <c r="RO223" s="282">
        <f t="shared" ca="1" si="228"/>
        <v>0</v>
      </c>
      <c r="RP223" s="285">
        <f t="shared" si="228"/>
        <v>6690</v>
      </c>
      <c r="RQ223" s="282">
        <f t="shared" ca="1" si="228"/>
        <v>0</v>
      </c>
      <c r="RR223" s="285">
        <f t="shared" si="228"/>
        <v>46290</v>
      </c>
      <c r="RS223" s="284">
        <f t="shared" ca="1" si="228"/>
        <v>0</v>
      </c>
      <c r="RT223" s="103"/>
      <c r="RU223" s="1"/>
      <c r="RV223" s="1"/>
      <c r="RW223" s="1"/>
      <c r="RX223" s="1"/>
    </row>
    <row r="224" spans="1:494" x14ac:dyDescent="0.35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5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PC224" s="278"/>
      <c r="PD224" s="278"/>
      <c r="PE224" s="278"/>
      <c r="PF224" s="278"/>
      <c r="PG224" s="278"/>
      <c r="PH224" s="278"/>
      <c r="PI224" s="278"/>
      <c r="PJ224" s="278"/>
      <c r="PK224" s="278"/>
      <c r="PL224" s="278"/>
      <c r="PM224" s="278"/>
      <c r="PN224" s="278"/>
      <c r="PO224" s="278"/>
      <c r="PP224" s="278"/>
      <c r="PQ224" s="278"/>
      <c r="PR224" s="278"/>
      <c r="PS224" s="278"/>
      <c r="PT224" s="278"/>
      <c r="PU224" s="278"/>
      <c r="PV224" s="278"/>
      <c r="PW224" s="278"/>
      <c r="PX224" s="278"/>
      <c r="PY224" s="286" t="str">
        <f>PG3</f>
        <v>Métropole 
Lions Club</v>
      </c>
      <c r="PZ224" s="287">
        <f t="shared" ref="PZ224:RS224" si="229">SUMIF($PG$6:$PG$217,"OUI",PZ6:PZ217)</f>
        <v>10310</v>
      </c>
      <c r="QA224" s="288">
        <f t="shared" si="229"/>
        <v>8.600984399766412E-2</v>
      </c>
      <c r="QB224" s="289">
        <f t="shared" ca="1" si="229"/>
        <v>0</v>
      </c>
      <c r="QC224" s="290">
        <f t="shared" si="229"/>
        <v>10060</v>
      </c>
      <c r="QD224" s="288">
        <f t="shared" si="229"/>
        <v>9.4194756554307119E-2</v>
      </c>
      <c r="QE224" s="289">
        <f t="shared" ca="1" si="229"/>
        <v>0</v>
      </c>
      <c r="QF224" s="290">
        <f t="shared" si="229"/>
        <v>11170</v>
      </c>
      <c r="QG224" s="288">
        <f t="shared" si="229"/>
        <v>8.8947284599458526E-2</v>
      </c>
      <c r="QH224" s="289">
        <f t="shared" ca="1" si="229"/>
        <v>0</v>
      </c>
      <c r="QI224" s="290">
        <f t="shared" si="229"/>
        <v>16410</v>
      </c>
      <c r="QJ224" s="288">
        <f t="shared" si="229"/>
        <v>0.11509328096507225</v>
      </c>
      <c r="QK224" s="289">
        <f t="shared" ca="1" si="229"/>
        <v>0</v>
      </c>
      <c r="QL224" s="290">
        <f t="shared" si="229"/>
        <v>12340</v>
      </c>
      <c r="QM224" s="288">
        <f t="shared" si="229"/>
        <v>9.0283874743927434E-2</v>
      </c>
      <c r="QN224" s="289">
        <f t="shared" ca="1" si="229"/>
        <v>0</v>
      </c>
      <c r="QO224" s="290">
        <f t="shared" si="229"/>
        <v>11180</v>
      </c>
      <c r="QP224" s="288">
        <f t="shared" si="229"/>
        <v>8.7528380176935705E-2</v>
      </c>
      <c r="QQ224" s="289">
        <f t="shared" ca="1" si="229"/>
        <v>0</v>
      </c>
      <c r="QR224" s="290">
        <f t="shared" si="229"/>
        <v>15040</v>
      </c>
      <c r="QS224" s="288">
        <f t="shared" si="229"/>
        <v>0.10827544004895434</v>
      </c>
      <c r="QT224" s="289">
        <f t="shared" ca="1" si="229"/>
        <v>0</v>
      </c>
      <c r="QU224" s="290">
        <f t="shared" si="229"/>
        <v>12320</v>
      </c>
      <c r="QV224" s="288">
        <f t="shared" si="229"/>
        <v>8.4942084942084925E-2</v>
      </c>
      <c r="QW224" s="289">
        <f t="shared" ca="1" si="229"/>
        <v>0</v>
      </c>
      <c r="QX224" s="290">
        <f t="shared" si="229"/>
        <v>13260</v>
      </c>
      <c r="QY224" s="288">
        <f t="shared" si="229"/>
        <v>9.6762894421903736E-2</v>
      </c>
      <c r="QZ224" s="289">
        <f t="shared" ca="1" si="229"/>
        <v>0</v>
      </c>
      <c r="RA224" s="290">
        <f t="shared" si="229"/>
        <v>10140</v>
      </c>
      <c r="RB224" s="288">
        <f t="shared" si="229"/>
        <v>7.9336515139660418E-2</v>
      </c>
      <c r="RC224" s="289">
        <f t="shared" ca="1" si="229"/>
        <v>0</v>
      </c>
      <c r="RD224" s="290">
        <f t="shared" si="229"/>
        <v>10650</v>
      </c>
      <c r="RE224" s="288">
        <f t="shared" si="229"/>
        <v>0.10611797528895972</v>
      </c>
      <c r="RF224" s="289">
        <f t="shared" ca="1" si="229"/>
        <v>0</v>
      </c>
      <c r="RG224" s="290">
        <f t="shared" si="229"/>
        <v>7090</v>
      </c>
      <c r="RH224" s="288">
        <f t="shared" si="229"/>
        <v>0.13040279565937096</v>
      </c>
      <c r="RI224" s="291">
        <f t="shared" ca="1" si="229"/>
        <v>0</v>
      </c>
      <c r="RJ224" s="292">
        <f t="shared" si="229"/>
        <v>31540</v>
      </c>
      <c r="RK224" s="289">
        <f t="shared" ca="1" si="229"/>
        <v>0</v>
      </c>
      <c r="RL224" s="292">
        <f t="shared" si="229"/>
        <v>39930</v>
      </c>
      <c r="RM224" s="289">
        <f t="shared" ca="1" si="229"/>
        <v>0</v>
      </c>
      <c r="RN224" s="292">
        <f t="shared" si="229"/>
        <v>40620</v>
      </c>
      <c r="RO224" s="289">
        <f t="shared" ca="1" si="229"/>
        <v>0</v>
      </c>
      <c r="RP224" s="292">
        <f t="shared" si="229"/>
        <v>27880</v>
      </c>
      <c r="RQ224" s="289">
        <f t="shared" ca="1" si="229"/>
        <v>0</v>
      </c>
      <c r="RR224" s="292">
        <f t="shared" si="229"/>
        <v>139970</v>
      </c>
      <c r="RS224" s="291">
        <f t="shared" ca="1" si="229"/>
        <v>0</v>
      </c>
      <c r="RT224" s="293"/>
      <c r="RU224" s="1"/>
      <c r="RV224" s="1"/>
      <c r="RW224" s="1"/>
      <c r="RX224" s="1"/>
    </row>
    <row r="225" spans="1:492" s="296" customFormat="1" x14ac:dyDescent="0.35">
      <c r="A225" s="294"/>
      <c r="B225" s="294"/>
      <c r="C225" s="294"/>
      <c r="D225" s="294"/>
      <c r="E225" s="294"/>
      <c r="F225" s="294"/>
      <c r="G225" s="294"/>
      <c r="H225" s="294"/>
      <c r="I225" s="294"/>
      <c r="J225" s="294"/>
      <c r="K225" s="294"/>
      <c r="L225" s="295"/>
      <c r="M225" s="294"/>
      <c r="N225" s="294"/>
      <c r="O225" s="294"/>
      <c r="P225" s="294"/>
      <c r="Q225" s="294"/>
      <c r="R225" s="294"/>
      <c r="S225" s="294"/>
      <c r="T225" s="294"/>
      <c r="U225" s="294"/>
      <c r="V225" s="294"/>
      <c r="W225" s="294"/>
      <c r="X225" s="294"/>
      <c r="Y225" s="294"/>
      <c r="Z225" s="294"/>
      <c r="AA225" s="294"/>
      <c r="AB225" s="294"/>
      <c r="AC225" s="294"/>
      <c r="AD225" s="294"/>
      <c r="AE225" s="294"/>
      <c r="AF225" s="294"/>
      <c r="AG225" s="294"/>
      <c r="AH225" s="294"/>
      <c r="AI225" s="294"/>
      <c r="AJ225" s="294"/>
      <c r="AK225" s="294"/>
      <c r="AL225" s="294"/>
      <c r="AM225" s="294"/>
      <c r="AN225" s="294"/>
      <c r="AO225" s="294"/>
      <c r="AP225" s="294"/>
      <c r="AQ225" s="294"/>
      <c r="AR225" s="294"/>
      <c r="AS225" s="294"/>
      <c r="AT225" s="294"/>
      <c r="AU225" s="294"/>
      <c r="AV225" s="294"/>
      <c r="AW225" s="294"/>
      <c r="AX225" s="294"/>
      <c r="AY225" s="294"/>
      <c r="AZ225" s="294"/>
      <c r="PC225" s="297"/>
      <c r="PD225" s="297"/>
      <c r="PE225" s="297"/>
      <c r="PF225" s="297"/>
      <c r="PG225" s="297"/>
      <c r="PH225" s="297"/>
      <c r="PI225" s="297"/>
      <c r="PJ225" s="297"/>
      <c r="PK225" s="297"/>
      <c r="PL225" s="297"/>
      <c r="PM225" s="297"/>
      <c r="PN225" s="297"/>
      <c r="PO225" s="297"/>
      <c r="PP225" s="297"/>
      <c r="PQ225" s="297"/>
      <c r="PR225" s="297"/>
      <c r="PS225" s="297"/>
      <c r="PT225" s="297"/>
      <c r="PU225" s="297"/>
      <c r="PV225" s="297"/>
      <c r="PW225" s="297"/>
      <c r="PX225" s="297"/>
      <c r="PY225" s="298" t="str">
        <f>PH3</f>
        <v>Lions Club 
Hors Métropole</v>
      </c>
      <c r="PZ225" s="299">
        <f t="shared" ref="PZ225:RS225" si="230">SUMIF($PH$6:$PH$217,"OUI",PZ6:PZ217)</f>
        <v>2850</v>
      </c>
      <c r="QA225" s="300">
        <f t="shared" si="230"/>
        <v>2.3775757070159338E-2</v>
      </c>
      <c r="QB225" s="301">
        <f t="shared" ca="1" si="230"/>
        <v>0</v>
      </c>
      <c r="QC225" s="302">
        <f t="shared" si="230"/>
        <v>2150</v>
      </c>
      <c r="QD225" s="300">
        <f t="shared" si="230"/>
        <v>2.0131086142322098E-2</v>
      </c>
      <c r="QE225" s="301">
        <f t="shared" ca="1" si="230"/>
        <v>0</v>
      </c>
      <c r="QF225" s="302">
        <f t="shared" si="230"/>
        <v>1650</v>
      </c>
      <c r="QG225" s="300">
        <f t="shared" si="230"/>
        <v>1.3139034878165314E-2</v>
      </c>
      <c r="QH225" s="301">
        <f t="shared" ca="1" si="230"/>
        <v>0</v>
      </c>
      <c r="QI225" s="302">
        <f t="shared" si="230"/>
        <v>2360</v>
      </c>
      <c r="QJ225" s="300">
        <f t="shared" si="230"/>
        <v>1.6552111095525318E-2</v>
      </c>
      <c r="QK225" s="301">
        <f t="shared" ca="1" si="230"/>
        <v>0</v>
      </c>
      <c r="QL225" s="302">
        <f t="shared" si="230"/>
        <v>2310</v>
      </c>
      <c r="QM225" s="300">
        <f t="shared" si="230"/>
        <v>1.6900790166812993E-2</v>
      </c>
      <c r="QN225" s="301">
        <f t="shared" ca="1" si="230"/>
        <v>0</v>
      </c>
      <c r="QO225" s="302">
        <f t="shared" si="230"/>
        <v>1960</v>
      </c>
      <c r="QP225" s="300">
        <f t="shared" si="230"/>
        <v>1.534486808110859E-2</v>
      </c>
      <c r="QQ225" s="301">
        <f t="shared" ca="1" si="230"/>
        <v>0</v>
      </c>
      <c r="QR225" s="302">
        <f t="shared" si="230"/>
        <v>3050</v>
      </c>
      <c r="QS225" s="300">
        <f t="shared" si="230"/>
        <v>2.1957452935459486E-2</v>
      </c>
      <c r="QT225" s="301">
        <f t="shared" ca="1" si="230"/>
        <v>0</v>
      </c>
      <c r="QU225" s="302">
        <f t="shared" si="230"/>
        <v>2550</v>
      </c>
      <c r="QV225" s="300">
        <f t="shared" si="230"/>
        <v>1.7581356867071154E-2</v>
      </c>
      <c r="QW225" s="301">
        <f t="shared" ca="1" si="230"/>
        <v>0</v>
      </c>
      <c r="QX225" s="302">
        <f t="shared" si="230"/>
        <v>3250</v>
      </c>
      <c r="QY225" s="300">
        <f t="shared" si="230"/>
        <v>2.3716395691643074E-2</v>
      </c>
      <c r="QZ225" s="301">
        <f t="shared" ca="1" si="230"/>
        <v>0</v>
      </c>
      <c r="RA225" s="302">
        <f t="shared" si="230"/>
        <v>2200</v>
      </c>
      <c r="RB225" s="300">
        <f t="shared" si="230"/>
        <v>1.7213050622017056E-2</v>
      </c>
      <c r="RC225" s="301">
        <f t="shared" ca="1" si="230"/>
        <v>0</v>
      </c>
      <c r="RD225" s="302">
        <f t="shared" si="230"/>
        <v>1510</v>
      </c>
      <c r="RE225" s="300">
        <f t="shared" si="230"/>
        <v>1.5045834994021524E-2</v>
      </c>
      <c r="RF225" s="301">
        <f t="shared" ca="1" si="230"/>
        <v>0</v>
      </c>
      <c r="RG225" s="302">
        <f t="shared" si="230"/>
        <v>1310</v>
      </c>
      <c r="RH225" s="300">
        <f t="shared" si="230"/>
        <v>2.4094169578811841E-2</v>
      </c>
      <c r="RI225" s="303">
        <f t="shared" ca="1" si="230"/>
        <v>0</v>
      </c>
      <c r="RJ225" s="304">
        <f t="shared" si="230"/>
        <v>6650</v>
      </c>
      <c r="RK225" s="301">
        <f t="shared" ca="1" si="230"/>
        <v>0</v>
      </c>
      <c r="RL225" s="304">
        <f t="shared" si="230"/>
        <v>6630</v>
      </c>
      <c r="RM225" s="301">
        <f t="shared" ca="1" si="230"/>
        <v>0</v>
      </c>
      <c r="RN225" s="304">
        <f t="shared" si="230"/>
        <v>8850</v>
      </c>
      <c r="RO225" s="301">
        <f t="shared" ca="1" si="230"/>
        <v>0</v>
      </c>
      <c r="RP225" s="304">
        <f t="shared" si="230"/>
        <v>5020</v>
      </c>
      <c r="RQ225" s="301">
        <f t="shared" ca="1" si="230"/>
        <v>0</v>
      </c>
      <c r="RR225" s="304">
        <f t="shared" si="230"/>
        <v>27150</v>
      </c>
      <c r="RS225" s="303">
        <f t="shared" ca="1" si="230"/>
        <v>0</v>
      </c>
      <c r="RT225" s="293"/>
      <c r="RU225" s="294"/>
      <c r="RV225" s="294"/>
      <c r="RW225" s="294"/>
      <c r="RX225" s="294"/>
    </row>
    <row r="226" spans="1:492" s="307" customFormat="1" x14ac:dyDescent="0.35">
      <c r="A226" s="305"/>
      <c r="B226" s="305"/>
      <c r="C226" s="305"/>
      <c r="D226" s="305"/>
      <c r="E226" s="305"/>
      <c r="F226" s="305"/>
      <c r="G226" s="305"/>
      <c r="H226" s="305"/>
      <c r="I226" s="305"/>
      <c r="J226" s="305"/>
      <c r="K226" s="305"/>
      <c r="L226" s="306"/>
      <c r="M226" s="305"/>
      <c r="N226" s="305"/>
      <c r="O226" s="305"/>
      <c r="P226" s="305"/>
      <c r="Q226" s="305"/>
      <c r="R226" s="305"/>
      <c r="S226" s="305"/>
      <c r="T226" s="305"/>
      <c r="U226" s="305"/>
      <c r="V226" s="305"/>
      <c r="W226" s="305"/>
      <c r="X226" s="305"/>
      <c r="Y226" s="305"/>
      <c r="Z226" s="305"/>
      <c r="AA226" s="305"/>
      <c r="AB226" s="305"/>
      <c r="AC226" s="305"/>
      <c r="AD226" s="305"/>
      <c r="AE226" s="305"/>
      <c r="AF226" s="305"/>
      <c r="AG226" s="305"/>
      <c r="AH226" s="305"/>
      <c r="AI226" s="305"/>
      <c r="AJ226" s="305"/>
      <c r="AK226" s="305"/>
      <c r="AL226" s="305"/>
      <c r="AM226" s="305"/>
      <c r="AN226" s="305"/>
      <c r="AO226" s="305"/>
      <c r="AP226" s="305"/>
      <c r="AQ226" s="305"/>
      <c r="AR226" s="305"/>
      <c r="AS226" s="305"/>
      <c r="AT226" s="305"/>
      <c r="AU226" s="305"/>
      <c r="AV226" s="305"/>
      <c r="AW226" s="305"/>
      <c r="AX226" s="305"/>
      <c r="AY226" s="305"/>
      <c r="AZ226" s="305"/>
      <c r="PC226" s="308"/>
      <c r="PD226" s="308"/>
      <c r="PE226" s="308"/>
      <c r="PF226" s="308"/>
      <c r="PG226" s="308"/>
      <c r="PH226" s="308"/>
      <c r="PI226" s="308"/>
      <c r="PJ226" s="308"/>
      <c r="PK226" s="308"/>
      <c r="PL226" s="308"/>
      <c r="PM226" s="308"/>
      <c r="PN226" s="308"/>
      <c r="PO226" s="308"/>
      <c r="PP226" s="308"/>
      <c r="PQ226" s="308"/>
      <c r="PR226" s="308"/>
      <c r="PS226" s="308"/>
      <c r="PT226" s="308"/>
      <c r="PU226" s="308"/>
      <c r="PV226" s="308"/>
      <c r="PW226" s="308"/>
      <c r="PX226" s="308"/>
      <c r="PY226" s="309" t="str">
        <f>PI3</f>
        <v>Lions Club Louviers</v>
      </c>
      <c r="PZ226" s="310">
        <f t="shared" ref="PZ226:RS226" si="231">SUMIF($PI$6:$PI$217,"OUI",PZ6:PZ217)</f>
        <v>4070</v>
      </c>
      <c r="QA226" s="311">
        <f t="shared" si="231"/>
        <v>3.3953449570367902E-2</v>
      </c>
      <c r="QB226" s="312">
        <f t="shared" ca="1" si="231"/>
        <v>0</v>
      </c>
      <c r="QC226" s="313">
        <f t="shared" si="231"/>
        <v>3220</v>
      </c>
      <c r="QD226" s="311">
        <f t="shared" si="231"/>
        <v>3.0149812734082397E-2</v>
      </c>
      <c r="QE226" s="312">
        <f t="shared" ca="1" si="231"/>
        <v>0</v>
      </c>
      <c r="QF226" s="313">
        <f t="shared" si="231"/>
        <v>3130</v>
      </c>
      <c r="QG226" s="311">
        <f t="shared" si="231"/>
        <v>2.4924351011307536E-2</v>
      </c>
      <c r="QH226" s="312">
        <f t="shared" ca="1" si="231"/>
        <v>0</v>
      </c>
      <c r="QI226" s="313">
        <f t="shared" si="231"/>
        <v>4560</v>
      </c>
      <c r="QJ226" s="311">
        <f t="shared" si="231"/>
        <v>3.1982045167625192E-2</v>
      </c>
      <c r="QK226" s="312">
        <f t="shared" ca="1" si="231"/>
        <v>0</v>
      </c>
      <c r="QL226" s="313">
        <f t="shared" si="231"/>
        <v>3670</v>
      </c>
      <c r="QM226" s="311">
        <f t="shared" si="231"/>
        <v>2.6851038923031895E-2</v>
      </c>
      <c r="QN226" s="312">
        <f t="shared" ca="1" si="231"/>
        <v>0</v>
      </c>
      <c r="QO226" s="313">
        <f t="shared" si="231"/>
        <v>2800</v>
      </c>
      <c r="QP226" s="311">
        <f t="shared" si="231"/>
        <v>2.1921240115869413E-2</v>
      </c>
      <c r="QQ226" s="312">
        <f t="shared" ca="1" si="231"/>
        <v>0</v>
      </c>
      <c r="QR226" s="313">
        <f t="shared" si="231"/>
        <v>3950</v>
      </c>
      <c r="QS226" s="311">
        <f t="shared" si="231"/>
        <v>2.8436701342644255E-2</v>
      </c>
      <c r="QT226" s="312">
        <f t="shared" ca="1" si="231"/>
        <v>0</v>
      </c>
      <c r="QU226" s="313">
        <f t="shared" si="231"/>
        <v>4270</v>
      </c>
      <c r="QV226" s="311">
        <f t="shared" si="231"/>
        <v>2.9440154440154444E-2</v>
      </c>
      <c r="QW226" s="312">
        <f t="shared" ca="1" si="231"/>
        <v>0</v>
      </c>
      <c r="QX226" s="313">
        <f t="shared" si="231"/>
        <v>4300</v>
      </c>
      <c r="QY226" s="311">
        <f t="shared" si="231"/>
        <v>3.1378615838173911E-2</v>
      </c>
      <c r="QZ226" s="312">
        <f t="shared" ca="1" si="231"/>
        <v>0</v>
      </c>
      <c r="RA226" s="313">
        <f t="shared" si="231"/>
        <v>4500</v>
      </c>
      <c r="RB226" s="311">
        <f t="shared" si="231"/>
        <v>3.5208512635943975E-2</v>
      </c>
      <c r="RC226" s="312">
        <f t="shared" ca="1" si="231"/>
        <v>0</v>
      </c>
      <c r="RD226" s="313">
        <f t="shared" si="231"/>
        <v>2790</v>
      </c>
      <c r="RE226" s="311">
        <f t="shared" si="231"/>
        <v>2.7799920286966918E-2</v>
      </c>
      <c r="RF226" s="312">
        <f t="shared" ca="1" si="231"/>
        <v>0</v>
      </c>
      <c r="RG226" s="313">
        <f t="shared" si="231"/>
        <v>2110</v>
      </c>
      <c r="RH226" s="311">
        <f t="shared" si="231"/>
        <v>3.8808166268162594E-2</v>
      </c>
      <c r="RI226" s="314">
        <f t="shared" ca="1" si="231"/>
        <v>0</v>
      </c>
      <c r="RJ226" s="315">
        <f t="shared" si="231"/>
        <v>10420</v>
      </c>
      <c r="RK226" s="312">
        <f t="shared" ca="1" si="231"/>
        <v>0</v>
      </c>
      <c r="RL226" s="315">
        <f t="shared" si="231"/>
        <v>11030</v>
      </c>
      <c r="RM226" s="312">
        <f t="shared" ca="1" si="231"/>
        <v>0</v>
      </c>
      <c r="RN226" s="315">
        <f t="shared" si="231"/>
        <v>12520</v>
      </c>
      <c r="RO226" s="312">
        <f t="shared" ca="1" si="231"/>
        <v>0</v>
      </c>
      <c r="RP226" s="315">
        <f t="shared" si="231"/>
        <v>9400</v>
      </c>
      <c r="RQ226" s="312">
        <f t="shared" ca="1" si="231"/>
        <v>0</v>
      </c>
      <c r="RR226" s="315">
        <f t="shared" si="231"/>
        <v>43370</v>
      </c>
      <c r="RS226" s="314">
        <f t="shared" ca="1" si="231"/>
        <v>0</v>
      </c>
      <c r="RT226" s="316"/>
      <c r="RU226" s="305"/>
      <c r="RV226" s="305"/>
      <c r="RW226" s="305"/>
      <c r="RX226" s="305"/>
    </row>
    <row r="227" spans="1:492" x14ac:dyDescent="0.35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5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PC227" s="317"/>
      <c r="PD227" s="317"/>
      <c r="PE227" s="317"/>
      <c r="PF227" s="317"/>
      <c r="PG227" s="317"/>
      <c r="PH227" s="317"/>
      <c r="PI227" s="317"/>
      <c r="PJ227" s="317"/>
      <c r="PK227" s="317"/>
      <c r="PL227" s="317"/>
      <c r="PM227" s="317"/>
      <c r="PN227" s="317"/>
      <c r="PO227" s="317"/>
      <c r="PP227" s="317"/>
      <c r="PQ227" s="317"/>
      <c r="PR227" s="317"/>
      <c r="PS227" s="317"/>
      <c r="PT227" s="317"/>
      <c r="PU227" s="317"/>
      <c r="PV227" s="317"/>
      <c r="PW227" s="317"/>
      <c r="PX227" s="317"/>
      <c r="PY227" s="318" t="s">
        <v>1232</v>
      </c>
      <c r="PZ227" s="319">
        <f>PZ224+PZ225</f>
        <v>13160</v>
      </c>
      <c r="QA227" s="320">
        <f>QA224+QA225</f>
        <v>0.10978560106782345</v>
      </c>
      <c r="QB227" s="321">
        <f ca="1">QB224+QB225</f>
        <v>0</v>
      </c>
      <c r="QC227" s="322">
        <f t="shared" ref="QC227:RS227" si="232">QC224+QC225</f>
        <v>12210</v>
      </c>
      <c r="QD227" s="320">
        <f t="shared" si="232"/>
        <v>0.11432584269662921</v>
      </c>
      <c r="QE227" s="321">
        <f t="shared" ca="1" si="232"/>
        <v>0</v>
      </c>
      <c r="QF227" s="322">
        <f t="shared" si="232"/>
        <v>12820</v>
      </c>
      <c r="QG227" s="320">
        <f t="shared" si="232"/>
        <v>0.10208631947762384</v>
      </c>
      <c r="QH227" s="321">
        <f t="shared" ca="1" si="232"/>
        <v>0</v>
      </c>
      <c r="QI227" s="322">
        <f t="shared" si="232"/>
        <v>18770</v>
      </c>
      <c r="QJ227" s="320">
        <f t="shared" si="232"/>
        <v>0.13164539206059755</v>
      </c>
      <c r="QK227" s="321">
        <f t="shared" ca="1" si="232"/>
        <v>0</v>
      </c>
      <c r="QL227" s="322">
        <f t="shared" si="232"/>
        <v>14650</v>
      </c>
      <c r="QM227" s="320">
        <f t="shared" si="232"/>
        <v>0.10718466491074043</v>
      </c>
      <c r="QN227" s="321">
        <f t="shared" ca="1" si="232"/>
        <v>0</v>
      </c>
      <c r="QO227" s="322">
        <f t="shared" si="232"/>
        <v>13140</v>
      </c>
      <c r="QP227" s="320">
        <f t="shared" si="232"/>
        <v>0.10287324825804429</v>
      </c>
      <c r="QQ227" s="321">
        <f t="shared" ca="1" si="232"/>
        <v>0</v>
      </c>
      <c r="QR227" s="322">
        <f t="shared" si="232"/>
        <v>18090</v>
      </c>
      <c r="QS227" s="320">
        <f t="shared" si="232"/>
        <v>0.13023289298441382</v>
      </c>
      <c r="QT227" s="321">
        <f t="shared" ca="1" si="232"/>
        <v>0</v>
      </c>
      <c r="QU227" s="322">
        <f t="shared" si="232"/>
        <v>14870</v>
      </c>
      <c r="QV227" s="320">
        <f t="shared" si="232"/>
        <v>0.10252344180915608</v>
      </c>
      <c r="QW227" s="321">
        <f t="shared" ca="1" si="232"/>
        <v>0</v>
      </c>
      <c r="QX227" s="322">
        <f t="shared" si="232"/>
        <v>16510</v>
      </c>
      <c r="QY227" s="320">
        <f t="shared" si="232"/>
        <v>0.12047929011354681</v>
      </c>
      <c r="QZ227" s="321">
        <f t="shared" ca="1" si="232"/>
        <v>0</v>
      </c>
      <c r="RA227" s="322">
        <f t="shared" si="232"/>
        <v>12340</v>
      </c>
      <c r="RB227" s="320">
        <f t="shared" si="232"/>
        <v>9.6549565761677475E-2</v>
      </c>
      <c r="RC227" s="321">
        <f t="shared" ca="1" si="232"/>
        <v>0</v>
      </c>
      <c r="RD227" s="322">
        <f t="shared" si="232"/>
        <v>12160</v>
      </c>
      <c r="RE227" s="320">
        <f t="shared" si="232"/>
        <v>0.12116381028298125</v>
      </c>
      <c r="RF227" s="321">
        <f t="shared" ca="1" si="232"/>
        <v>0</v>
      </c>
      <c r="RG227" s="322">
        <f t="shared" si="232"/>
        <v>8400</v>
      </c>
      <c r="RH227" s="320">
        <f t="shared" si="232"/>
        <v>0.15449696523818279</v>
      </c>
      <c r="RI227" s="323">
        <f t="shared" ca="1" si="232"/>
        <v>0</v>
      </c>
      <c r="RJ227" s="324">
        <f t="shared" si="232"/>
        <v>38190</v>
      </c>
      <c r="RK227" s="321">
        <f t="shared" ca="1" si="232"/>
        <v>0</v>
      </c>
      <c r="RL227" s="324">
        <f t="shared" si="232"/>
        <v>46560</v>
      </c>
      <c r="RM227" s="321">
        <f t="shared" ca="1" si="232"/>
        <v>0</v>
      </c>
      <c r="RN227" s="324">
        <f t="shared" si="232"/>
        <v>49470</v>
      </c>
      <c r="RO227" s="321">
        <f t="shared" ca="1" si="232"/>
        <v>0</v>
      </c>
      <c r="RP227" s="324">
        <f t="shared" si="232"/>
        <v>32900</v>
      </c>
      <c r="RQ227" s="321">
        <f t="shared" ca="1" si="232"/>
        <v>0</v>
      </c>
      <c r="RR227" s="324">
        <f t="shared" si="232"/>
        <v>167120</v>
      </c>
      <c r="RS227" s="323">
        <f t="shared" ca="1" si="232"/>
        <v>0</v>
      </c>
      <c r="RT227" s="325"/>
      <c r="RU227" s="1"/>
      <c r="RV227" s="1"/>
      <c r="RW227" s="1"/>
      <c r="RX227" s="1"/>
    </row>
    <row r="228" spans="1:492" x14ac:dyDescent="0.35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5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PC228" s="297"/>
      <c r="PD228" s="297"/>
      <c r="PE228" s="297"/>
      <c r="PF228" s="297"/>
      <c r="PG228" s="297"/>
      <c r="PH228" s="297"/>
      <c r="PI228" s="297"/>
      <c r="PJ228" s="297"/>
      <c r="PK228" s="297"/>
      <c r="PL228" s="297"/>
      <c r="PM228" s="297"/>
      <c r="PN228" s="297"/>
      <c r="PO228" s="297"/>
      <c r="PP228" s="297"/>
      <c r="PQ228" s="297"/>
      <c r="PR228" s="297"/>
      <c r="PS228" s="297"/>
      <c r="PT228" s="297"/>
      <c r="PU228" s="297"/>
      <c r="PV228" s="297"/>
      <c r="PW228" s="297"/>
      <c r="PX228" s="297"/>
      <c r="PY228" s="326" t="str">
        <f>PJ3</f>
        <v>BRAY-EAWY</v>
      </c>
      <c r="PZ228" s="327">
        <f t="shared" ref="PZ228:RS228" si="233">SUMIF($PJ$6:$PJ$217,"OUI",PZ6:PZ217)</f>
        <v>900</v>
      </c>
      <c r="QA228" s="328">
        <f t="shared" si="233"/>
        <v>7.5081338116292657E-3</v>
      </c>
      <c r="QB228" s="219">
        <f t="shared" ca="1" si="233"/>
        <v>0</v>
      </c>
      <c r="QC228" s="196">
        <f t="shared" si="233"/>
        <v>850</v>
      </c>
      <c r="QD228" s="328">
        <f t="shared" si="233"/>
        <v>7.9588014981273412E-3</v>
      </c>
      <c r="QE228" s="219">
        <f t="shared" ca="1" si="233"/>
        <v>0</v>
      </c>
      <c r="QF228" s="196">
        <f t="shared" si="233"/>
        <v>1530</v>
      </c>
      <c r="QG228" s="328">
        <f t="shared" si="233"/>
        <v>1.2183468705207838E-2</v>
      </c>
      <c r="QH228" s="219">
        <f t="shared" ca="1" si="233"/>
        <v>0</v>
      </c>
      <c r="QI228" s="196">
        <f t="shared" si="233"/>
        <v>750</v>
      </c>
      <c r="QJ228" s="328">
        <f t="shared" si="233"/>
        <v>5.2602047973067754E-3</v>
      </c>
      <c r="QK228" s="219">
        <f t="shared" ca="1" si="233"/>
        <v>0</v>
      </c>
      <c r="QL228" s="196">
        <f t="shared" si="233"/>
        <v>800</v>
      </c>
      <c r="QM228" s="328">
        <f t="shared" si="233"/>
        <v>5.8530875036581793E-3</v>
      </c>
      <c r="QN228" s="219">
        <f t="shared" ca="1" si="233"/>
        <v>0</v>
      </c>
      <c r="QO228" s="196">
        <f t="shared" si="233"/>
        <v>1610</v>
      </c>
      <c r="QP228" s="328">
        <f t="shared" si="233"/>
        <v>1.2604713066624912E-2</v>
      </c>
      <c r="QQ228" s="219">
        <f t="shared" ca="1" si="233"/>
        <v>0</v>
      </c>
      <c r="QR228" s="196">
        <f t="shared" si="233"/>
        <v>300</v>
      </c>
      <c r="QS228" s="328">
        <f t="shared" si="233"/>
        <v>2.1597494690615889E-3</v>
      </c>
      <c r="QT228" s="219">
        <f t="shared" ca="1" si="233"/>
        <v>0</v>
      </c>
      <c r="QU228" s="196">
        <f t="shared" si="233"/>
        <v>1690</v>
      </c>
      <c r="QV228" s="328">
        <f t="shared" si="233"/>
        <v>1.1651958080529511E-2</v>
      </c>
      <c r="QW228" s="219">
        <f t="shared" ca="1" si="233"/>
        <v>0</v>
      </c>
      <c r="QX228" s="196">
        <f t="shared" si="233"/>
        <v>1570</v>
      </c>
      <c r="QY228" s="328">
        <f t="shared" si="233"/>
        <v>1.1456843457193729E-2</v>
      </c>
      <c r="QZ228" s="219">
        <f t="shared" ca="1" si="233"/>
        <v>0</v>
      </c>
      <c r="RA228" s="196">
        <f t="shared" si="233"/>
        <v>920</v>
      </c>
      <c r="RB228" s="328">
        <f t="shared" si="233"/>
        <v>7.1981848055707679E-3</v>
      </c>
      <c r="RC228" s="219">
        <f t="shared" ca="1" si="233"/>
        <v>0</v>
      </c>
      <c r="RD228" s="196">
        <f t="shared" si="233"/>
        <v>1040</v>
      </c>
      <c r="RE228" s="328">
        <f t="shared" si="233"/>
        <v>1.0362694300518137E-2</v>
      </c>
      <c r="RF228" s="219">
        <f t="shared" ca="1" si="233"/>
        <v>0</v>
      </c>
      <c r="RG228" s="196">
        <f t="shared" si="233"/>
        <v>320</v>
      </c>
      <c r="RH228" s="328">
        <f t="shared" si="233"/>
        <v>5.8855986757402976E-3</v>
      </c>
      <c r="RI228" s="329">
        <f t="shared" ca="1" si="233"/>
        <v>0</v>
      </c>
      <c r="RJ228" s="330">
        <f t="shared" si="233"/>
        <v>3280</v>
      </c>
      <c r="RK228" s="219">
        <f t="shared" ca="1" si="233"/>
        <v>0</v>
      </c>
      <c r="RL228" s="330">
        <f t="shared" si="233"/>
        <v>3160</v>
      </c>
      <c r="RM228" s="219">
        <f t="shared" ca="1" si="233"/>
        <v>0</v>
      </c>
      <c r="RN228" s="330">
        <f t="shared" si="233"/>
        <v>3560</v>
      </c>
      <c r="RO228" s="219">
        <f t="shared" ca="1" si="233"/>
        <v>0</v>
      </c>
      <c r="RP228" s="330">
        <f t="shared" si="233"/>
        <v>2280</v>
      </c>
      <c r="RQ228" s="219">
        <f t="shared" ca="1" si="233"/>
        <v>0</v>
      </c>
      <c r="RR228" s="330">
        <f t="shared" si="233"/>
        <v>12280</v>
      </c>
      <c r="RS228" s="329">
        <f t="shared" ca="1" si="233"/>
        <v>0</v>
      </c>
      <c r="RT228" s="103"/>
      <c r="RU228" s="1"/>
      <c r="RV228" s="1"/>
      <c r="RW228" s="1"/>
      <c r="RX228" s="1"/>
    </row>
    <row r="229" spans="1:492" x14ac:dyDescent="0.35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5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PC229" s="297"/>
      <c r="PD229" s="297"/>
      <c r="PE229" s="297"/>
      <c r="PF229" s="297"/>
      <c r="PG229" s="297"/>
      <c r="PH229" s="297"/>
      <c r="PI229" s="297"/>
      <c r="PJ229" s="297"/>
      <c r="PK229" s="297"/>
      <c r="PL229" s="297"/>
      <c r="PM229" s="297"/>
      <c r="PN229" s="297"/>
      <c r="PO229" s="297"/>
      <c r="PP229" s="297"/>
      <c r="PQ229" s="297"/>
      <c r="PR229" s="297"/>
      <c r="PS229" s="297"/>
      <c r="PT229" s="297"/>
      <c r="PU229" s="297"/>
      <c r="PV229" s="297"/>
      <c r="PW229" s="297"/>
      <c r="PX229" s="297"/>
      <c r="PY229" s="326" t="str">
        <f>PK3</f>
        <v>Pl Caux Yerville Doudeville</v>
      </c>
      <c r="PZ229" s="327">
        <f t="shared" ref="PZ229:RS229" si="234">SUMIF($PK$6:$PK$217,"OUI",PZ6:PZ217)</f>
        <v>1350</v>
      </c>
      <c r="QA229" s="328">
        <f t="shared" si="234"/>
        <v>1.1262200717443898E-2</v>
      </c>
      <c r="QB229" s="219">
        <f t="shared" ca="1" si="234"/>
        <v>0</v>
      </c>
      <c r="QC229" s="196">
        <f t="shared" si="234"/>
        <v>1000</v>
      </c>
      <c r="QD229" s="328">
        <f t="shared" si="234"/>
        <v>9.3632958801498131E-3</v>
      </c>
      <c r="QE229" s="219">
        <f t="shared" ca="1" si="234"/>
        <v>0</v>
      </c>
      <c r="QF229" s="196">
        <f t="shared" si="234"/>
        <v>2420</v>
      </c>
      <c r="QG229" s="328">
        <f t="shared" si="234"/>
        <v>1.9270584487975792E-2</v>
      </c>
      <c r="QH229" s="219">
        <f t="shared" ca="1" si="234"/>
        <v>0</v>
      </c>
      <c r="QI229" s="196">
        <f t="shared" si="234"/>
        <v>510</v>
      </c>
      <c r="QJ229" s="328">
        <f t="shared" si="234"/>
        <v>3.576939262168607E-3</v>
      </c>
      <c r="QK229" s="219">
        <f t="shared" ca="1" si="234"/>
        <v>0</v>
      </c>
      <c r="QL229" s="196">
        <f t="shared" si="234"/>
        <v>1100</v>
      </c>
      <c r="QM229" s="328">
        <f t="shared" si="234"/>
        <v>8.0479953175299976E-3</v>
      </c>
      <c r="QN229" s="219">
        <f t="shared" ca="1" si="234"/>
        <v>0</v>
      </c>
      <c r="QO229" s="196">
        <f t="shared" si="234"/>
        <v>2350</v>
      </c>
      <c r="QP229" s="328">
        <f t="shared" si="234"/>
        <v>1.8398183668676113E-2</v>
      </c>
      <c r="QQ229" s="219">
        <f t="shared" ca="1" si="234"/>
        <v>0</v>
      </c>
      <c r="QR229" s="196">
        <f t="shared" si="234"/>
        <v>680</v>
      </c>
      <c r="QS229" s="328">
        <f t="shared" si="234"/>
        <v>4.8954321298729344E-3</v>
      </c>
      <c r="QT229" s="219">
        <f t="shared" ca="1" si="234"/>
        <v>0</v>
      </c>
      <c r="QU229" s="196">
        <f t="shared" si="234"/>
        <v>2450</v>
      </c>
      <c r="QV229" s="328">
        <f t="shared" si="234"/>
        <v>1.6891891891891889E-2</v>
      </c>
      <c r="QW229" s="219">
        <f t="shared" ca="1" si="234"/>
        <v>0</v>
      </c>
      <c r="QX229" s="196">
        <f t="shared" si="234"/>
        <v>3030</v>
      </c>
      <c r="QY229" s="328">
        <f t="shared" si="234"/>
        <v>2.2110978137131844E-2</v>
      </c>
      <c r="QZ229" s="219">
        <f t="shared" ca="1" si="234"/>
        <v>0</v>
      </c>
      <c r="RA229" s="196">
        <f t="shared" si="234"/>
        <v>1360</v>
      </c>
      <c r="RB229" s="328">
        <f t="shared" si="234"/>
        <v>1.064079492997418E-2</v>
      </c>
      <c r="RC229" s="219">
        <f t="shared" ca="1" si="234"/>
        <v>0</v>
      </c>
      <c r="RD229" s="196">
        <f t="shared" si="234"/>
        <v>1350</v>
      </c>
      <c r="RE229" s="328">
        <f t="shared" si="234"/>
        <v>1.3451574332403349E-2</v>
      </c>
      <c r="RF229" s="219">
        <f t="shared" ca="1" si="234"/>
        <v>0</v>
      </c>
      <c r="RG229" s="196">
        <f t="shared" si="234"/>
        <v>280</v>
      </c>
      <c r="RH229" s="328">
        <f t="shared" si="234"/>
        <v>5.1498988412727606E-3</v>
      </c>
      <c r="RI229" s="329">
        <f t="shared" ca="1" si="234"/>
        <v>0</v>
      </c>
      <c r="RJ229" s="330">
        <f t="shared" si="234"/>
        <v>4770</v>
      </c>
      <c r="RK229" s="219">
        <f t="shared" ca="1" si="234"/>
        <v>0</v>
      </c>
      <c r="RL229" s="330">
        <f t="shared" si="234"/>
        <v>3960</v>
      </c>
      <c r="RM229" s="219">
        <f t="shared" ca="1" si="234"/>
        <v>0</v>
      </c>
      <c r="RN229" s="330">
        <f t="shared" si="234"/>
        <v>6160</v>
      </c>
      <c r="RO229" s="219">
        <f t="shared" ca="1" si="234"/>
        <v>0</v>
      </c>
      <c r="RP229" s="330">
        <f t="shared" si="234"/>
        <v>2990</v>
      </c>
      <c r="RQ229" s="219">
        <f t="shared" ca="1" si="234"/>
        <v>0</v>
      </c>
      <c r="RR229" s="330">
        <f t="shared" si="234"/>
        <v>17880</v>
      </c>
      <c r="RS229" s="329">
        <f t="shared" ca="1" si="234"/>
        <v>0</v>
      </c>
      <c r="RT229" s="103"/>
      <c r="RU229" s="1"/>
      <c r="RV229" s="1"/>
      <c r="RW229" s="1"/>
      <c r="RX229" s="1"/>
    </row>
    <row r="230" spans="1:492" x14ac:dyDescent="0.35"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5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PC230" s="297"/>
      <c r="PD230" s="297"/>
      <c r="PE230" s="297"/>
      <c r="PF230" s="297"/>
      <c r="PG230" s="297"/>
      <c r="PH230" s="297"/>
      <c r="PI230" s="297"/>
      <c r="PJ230" s="297"/>
      <c r="PK230" s="297"/>
      <c r="PL230" s="297"/>
      <c r="PM230" s="297"/>
      <c r="PN230" s="297"/>
      <c r="PO230" s="297"/>
      <c r="PP230" s="297"/>
      <c r="PQ230" s="297"/>
      <c r="PR230" s="297"/>
      <c r="PS230" s="297"/>
      <c r="PT230" s="297"/>
      <c r="PU230" s="297"/>
      <c r="PV230" s="297"/>
      <c r="PW230" s="297"/>
      <c r="PX230" s="297"/>
      <c r="PY230" s="326" t="str">
        <f>PL3</f>
        <v>Intercaux Vexin</v>
      </c>
      <c r="PZ230" s="327">
        <f t="shared" ref="PZ230:RS230" si="235">SUMIF($PL$6:$PL$217,"OUI",PZ6:PZ217)</f>
        <v>4660</v>
      </c>
      <c r="QA230" s="328">
        <f t="shared" si="235"/>
        <v>3.887544840243598E-2</v>
      </c>
      <c r="QB230" s="219">
        <f t="shared" ca="1" si="235"/>
        <v>0</v>
      </c>
      <c r="QC230" s="196">
        <f t="shared" si="235"/>
        <v>3970</v>
      </c>
      <c r="QD230" s="328">
        <f t="shared" si="235"/>
        <v>3.717228464419476E-2</v>
      </c>
      <c r="QE230" s="219">
        <f t="shared" ca="1" si="235"/>
        <v>0</v>
      </c>
      <c r="QF230" s="196">
        <f t="shared" si="235"/>
        <v>5710</v>
      </c>
      <c r="QG230" s="328">
        <f t="shared" si="235"/>
        <v>4.5469023729893296E-2</v>
      </c>
      <c r="QH230" s="219">
        <f t="shared" ca="1" si="235"/>
        <v>0</v>
      </c>
      <c r="QI230" s="196">
        <f t="shared" si="235"/>
        <v>5230</v>
      </c>
      <c r="QJ230" s="328">
        <f t="shared" si="235"/>
        <v>3.6681161453219244E-2</v>
      </c>
      <c r="QK230" s="219">
        <f t="shared" ca="1" si="235"/>
        <v>0</v>
      </c>
      <c r="QL230" s="196">
        <f t="shared" si="235"/>
        <v>4680</v>
      </c>
      <c r="QM230" s="328">
        <f t="shared" si="235"/>
        <v>3.4240561896400359E-2</v>
      </c>
      <c r="QN230" s="219">
        <f t="shared" ca="1" si="235"/>
        <v>0</v>
      </c>
      <c r="QO230" s="196">
        <f t="shared" si="235"/>
        <v>4970</v>
      </c>
      <c r="QP230" s="328">
        <f t="shared" si="235"/>
        <v>3.8910201205668203E-2</v>
      </c>
      <c r="QQ230" s="219">
        <f t="shared" ca="1" si="235"/>
        <v>0</v>
      </c>
      <c r="QR230" s="196">
        <f t="shared" si="235"/>
        <v>5010</v>
      </c>
      <c r="QS230" s="328">
        <f t="shared" si="235"/>
        <v>3.6067816133328531E-2</v>
      </c>
      <c r="QT230" s="219">
        <f t="shared" ca="1" si="235"/>
        <v>0</v>
      </c>
      <c r="QU230" s="196">
        <f t="shared" si="235"/>
        <v>5620</v>
      </c>
      <c r="QV230" s="328">
        <f t="shared" si="235"/>
        <v>3.8747931605074462E-2</v>
      </c>
      <c r="QW230" s="219">
        <f t="shared" ca="1" si="235"/>
        <v>0</v>
      </c>
      <c r="QX230" s="196">
        <f t="shared" si="235"/>
        <v>4670</v>
      </c>
      <c r="QY230" s="328">
        <f t="shared" si="235"/>
        <v>3.4078636270760972E-2</v>
      </c>
      <c r="QZ230" s="219">
        <f t="shared" ca="1" si="235"/>
        <v>0</v>
      </c>
      <c r="RA230" s="196">
        <f t="shared" si="235"/>
        <v>4560</v>
      </c>
      <c r="RB230" s="328">
        <f t="shared" si="235"/>
        <v>3.5677959471089898E-2</v>
      </c>
      <c r="RC230" s="219">
        <f t="shared" ca="1" si="235"/>
        <v>0</v>
      </c>
      <c r="RD230" s="196">
        <f t="shared" si="235"/>
        <v>2490</v>
      </c>
      <c r="RE230" s="328">
        <f t="shared" si="235"/>
        <v>2.4810681546432841E-2</v>
      </c>
      <c r="RF230" s="219">
        <f t="shared" ca="1" si="235"/>
        <v>0</v>
      </c>
      <c r="RG230" s="196">
        <f t="shared" si="235"/>
        <v>1390</v>
      </c>
      <c r="RH230" s="328">
        <f t="shared" si="235"/>
        <v>2.556556924774692E-2</v>
      </c>
      <c r="RI230" s="329">
        <f t="shared" ca="1" si="235"/>
        <v>0</v>
      </c>
      <c r="RJ230" s="330">
        <f t="shared" si="235"/>
        <v>14340</v>
      </c>
      <c r="RK230" s="219">
        <f t="shared" ca="1" si="235"/>
        <v>0</v>
      </c>
      <c r="RL230" s="330">
        <f t="shared" si="235"/>
        <v>14880</v>
      </c>
      <c r="RM230" s="219">
        <f t="shared" ca="1" si="235"/>
        <v>0</v>
      </c>
      <c r="RN230" s="330">
        <f t="shared" si="235"/>
        <v>15300</v>
      </c>
      <c r="RO230" s="219">
        <f t="shared" ca="1" si="235"/>
        <v>0</v>
      </c>
      <c r="RP230" s="330">
        <f t="shared" si="235"/>
        <v>8440</v>
      </c>
      <c r="RQ230" s="219">
        <f t="shared" ca="1" si="235"/>
        <v>0</v>
      </c>
      <c r="RR230" s="330">
        <f t="shared" si="235"/>
        <v>52960</v>
      </c>
      <c r="RS230" s="329">
        <f t="shared" ca="1" si="235"/>
        <v>0</v>
      </c>
      <c r="RT230" s="103"/>
      <c r="RU230" s="1"/>
      <c r="RV230" s="1"/>
      <c r="RW230" s="1"/>
      <c r="RX230" s="1"/>
    </row>
    <row r="231" spans="1:492" x14ac:dyDescent="0.35"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5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PC231" s="297"/>
      <c r="PD231" s="297"/>
      <c r="PE231" s="297"/>
      <c r="PF231" s="297"/>
      <c r="PG231" s="297"/>
      <c r="PH231" s="297"/>
      <c r="PI231" s="297"/>
      <c r="PJ231" s="297"/>
      <c r="PK231" s="297"/>
      <c r="PL231" s="297"/>
      <c r="PM231" s="297"/>
      <c r="PN231" s="297"/>
      <c r="PO231" s="297"/>
      <c r="PP231" s="297"/>
      <c r="PQ231" s="297"/>
      <c r="PR231" s="297"/>
      <c r="PS231" s="297"/>
      <c r="PT231" s="297"/>
      <c r="PU231" s="297"/>
      <c r="PV231" s="297"/>
      <c r="PW231" s="297"/>
      <c r="PX231" s="297"/>
      <c r="PY231" s="326" t="str">
        <f>PM3</f>
        <v>Barentin</v>
      </c>
      <c r="PZ231" s="327">
        <f t="shared" ref="PZ231:RS231" si="236">SUMIF($PM$6:$PM$217,"OUI",PZ6:PZ217)</f>
        <v>2320</v>
      </c>
      <c r="QA231" s="328">
        <f t="shared" si="236"/>
        <v>1.9354300492199883E-2</v>
      </c>
      <c r="QB231" s="219">
        <f t="shared" ca="1" si="236"/>
        <v>0</v>
      </c>
      <c r="QC231" s="196">
        <f t="shared" si="236"/>
        <v>1890</v>
      </c>
      <c r="QD231" s="328">
        <f t="shared" si="236"/>
        <v>1.7696629213483146E-2</v>
      </c>
      <c r="QE231" s="219">
        <f t="shared" ca="1" si="236"/>
        <v>0</v>
      </c>
      <c r="QF231" s="196">
        <f t="shared" si="236"/>
        <v>1950</v>
      </c>
      <c r="QG231" s="328">
        <f t="shared" si="236"/>
        <v>1.5527950310559006E-2</v>
      </c>
      <c r="QH231" s="219">
        <f t="shared" ca="1" si="236"/>
        <v>0</v>
      </c>
      <c r="QI231" s="196">
        <f t="shared" si="236"/>
        <v>2910</v>
      </c>
      <c r="QJ231" s="328">
        <f t="shared" si="236"/>
        <v>2.0409594613550287E-2</v>
      </c>
      <c r="QK231" s="219">
        <f t="shared" ca="1" si="236"/>
        <v>0</v>
      </c>
      <c r="QL231" s="196">
        <f t="shared" si="236"/>
        <v>3250</v>
      </c>
      <c r="QM231" s="328">
        <f t="shared" si="236"/>
        <v>2.3778167983611355E-2</v>
      </c>
      <c r="QN231" s="219">
        <f t="shared" ca="1" si="236"/>
        <v>0</v>
      </c>
      <c r="QO231" s="196">
        <f t="shared" si="236"/>
        <v>2690</v>
      </c>
      <c r="QP231" s="328">
        <f t="shared" si="236"/>
        <v>2.1060048539888829E-2</v>
      </c>
      <c r="QQ231" s="219">
        <f t="shared" ca="1" si="236"/>
        <v>0</v>
      </c>
      <c r="QR231" s="196">
        <f t="shared" si="236"/>
        <v>2540</v>
      </c>
      <c r="QS231" s="328">
        <f t="shared" si="236"/>
        <v>1.8285878838054787E-2</v>
      </c>
      <c r="QT231" s="219">
        <f t="shared" ca="1" si="236"/>
        <v>0</v>
      </c>
      <c r="QU231" s="196">
        <f t="shared" si="236"/>
        <v>3230</v>
      </c>
      <c r="QV231" s="328">
        <f t="shared" si="236"/>
        <v>2.2269718698290128E-2</v>
      </c>
      <c r="QW231" s="219">
        <f t="shared" ca="1" si="236"/>
        <v>0</v>
      </c>
      <c r="QX231" s="196">
        <f t="shared" si="236"/>
        <v>2360</v>
      </c>
      <c r="QY231" s="328">
        <f t="shared" si="236"/>
        <v>1.7221751948393121E-2</v>
      </c>
      <c r="QZ231" s="219">
        <f t="shared" ca="1" si="236"/>
        <v>0</v>
      </c>
      <c r="RA231" s="196">
        <f t="shared" si="236"/>
        <v>3120</v>
      </c>
      <c r="RB231" s="328">
        <f t="shared" si="236"/>
        <v>2.4411235427587826E-2</v>
      </c>
      <c r="RC231" s="219">
        <f t="shared" ca="1" si="236"/>
        <v>0</v>
      </c>
      <c r="RD231" s="196">
        <f t="shared" si="236"/>
        <v>2010</v>
      </c>
      <c r="RE231" s="328">
        <f t="shared" si="236"/>
        <v>2.0027899561578317E-2</v>
      </c>
      <c r="RF231" s="219">
        <f t="shared" ca="1" si="236"/>
        <v>0</v>
      </c>
      <c r="RG231" s="196">
        <f t="shared" si="236"/>
        <v>770</v>
      </c>
      <c r="RH231" s="328">
        <f t="shared" si="236"/>
        <v>1.4162221813500093E-2</v>
      </c>
      <c r="RI231" s="329">
        <f t="shared" ca="1" si="236"/>
        <v>0</v>
      </c>
      <c r="RJ231" s="330">
        <f t="shared" si="236"/>
        <v>6160</v>
      </c>
      <c r="RK231" s="219">
        <f t="shared" ca="1" si="236"/>
        <v>0</v>
      </c>
      <c r="RL231" s="330">
        <f t="shared" si="236"/>
        <v>8850</v>
      </c>
      <c r="RM231" s="219">
        <f t="shared" ca="1" si="236"/>
        <v>0</v>
      </c>
      <c r="RN231" s="330">
        <f t="shared" si="236"/>
        <v>8130</v>
      </c>
      <c r="RO231" s="219">
        <f t="shared" ca="1" si="236"/>
        <v>0</v>
      </c>
      <c r="RP231" s="330">
        <f t="shared" si="236"/>
        <v>5900</v>
      </c>
      <c r="RQ231" s="219">
        <f t="shared" ca="1" si="236"/>
        <v>0</v>
      </c>
      <c r="RR231" s="330">
        <f t="shared" si="236"/>
        <v>29040</v>
      </c>
      <c r="RS231" s="329">
        <f t="shared" ca="1" si="236"/>
        <v>0</v>
      </c>
      <c r="RT231" s="103"/>
      <c r="RU231" s="1"/>
      <c r="RV231" s="1"/>
      <c r="RW231" s="1"/>
      <c r="RX231" s="1"/>
    </row>
    <row r="232" spans="1:492" s="333" customFormat="1" x14ac:dyDescent="0.35">
      <c r="A232" s="331"/>
      <c r="B232" s="331"/>
      <c r="C232" s="331"/>
      <c r="D232" s="331"/>
      <c r="E232" s="331"/>
      <c r="F232" s="331"/>
      <c r="G232" s="331"/>
      <c r="H232" s="331"/>
      <c r="I232" s="331"/>
      <c r="J232" s="331"/>
      <c r="K232" s="331"/>
      <c r="L232" s="332"/>
      <c r="M232" s="331"/>
      <c r="N232" s="331"/>
      <c r="O232" s="331"/>
      <c r="P232" s="331"/>
      <c r="Q232" s="331"/>
      <c r="R232" s="331"/>
      <c r="S232" s="331"/>
      <c r="T232" s="331"/>
      <c r="U232" s="331"/>
      <c r="V232" s="331"/>
      <c r="W232" s="331"/>
      <c r="X232" s="331"/>
      <c r="Y232" s="331"/>
      <c r="Z232" s="331"/>
      <c r="AA232" s="331"/>
      <c r="AB232" s="331"/>
      <c r="AC232" s="331"/>
      <c r="AD232" s="331"/>
      <c r="AE232" s="331"/>
      <c r="AF232" s="331"/>
      <c r="AG232" s="331"/>
      <c r="AH232" s="331"/>
      <c r="AI232" s="331"/>
      <c r="AJ232" s="331"/>
      <c r="AK232" s="331"/>
      <c r="AL232" s="331"/>
      <c r="AM232" s="331"/>
      <c r="AN232" s="331"/>
      <c r="AO232" s="331"/>
      <c r="AP232" s="331"/>
      <c r="AQ232" s="331"/>
      <c r="AR232" s="331"/>
      <c r="AS232" s="331"/>
      <c r="AT232" s="331"/>
      <c r="AU232" s="331"/>
      <c r="AV232" s="331"/>
      <c r="AW232" s="331"/>
      <c r="AX232" s="331"/>
      <c r="AY232" s="331"/>
      <c r="AZ232" s="331"/>
      <c r="PC232" s="334"/>
      <c r="PD232" s="334"/>
      <c r="PE232" s="334"/>
      <c r="PF232" s="334"/>
      <c r="PG232" s="334"/>
      <c r="PH232" s="334"/>
      <c r="PI232" s="334"/>
      <c r="PJ232" s="334"/>
      <c r="PK232" s="334"/>
      <c r="PL232" s="334"/>
      <c r="PM232" s="334"/>
      <c r="PN232" s="334"/>
      <c r="PO232" s="334"/>
      <c r="PP232" s="334"/>
      <c r="PQ232" s="334"/>
      <c r="PR232" s="334"/>
      <c r="PS232" s="334"/>
      <c r="PT232" s="334"/>
      <c r="PU232" s="334"/>
      <c r="PV232" s="334"/>
      <c r="PW232" s="334"/>
      <c r="PX232" s="334"/>
      <c r="PY232" s="335" t="str">
        <f>PN3</f>
        <v>Hors-Métropole 
Privé</v>
      </c>
      <c r="PZ232" s="327">
        <f t="shared" ref="PZ232:RS232" si="237">SUMIF($PN$6:$PN$217,"OUI",PZ6:PZ217)</f>
        <v>0</v>
      </c>
      <c r="QA232" s="328">
        <f t="shared" si="237"/>
        <v>0</v>
      </c>
      <c r="QB232" s="219">
        <f t="shared" si="237"/>
        <v>0</v>
      </c>
      <c r="QC232" s="196">
        <f t="shared" si="237"/>
        <v>0</v>
      </c>
      <c r="QD232" s="328">
        <f t="shared" si="237"/>
        <v>0</v>
      </c>
      <c r="QE232" s="219">
        <f t="shared" si="237"/>
        <v>0</v>
      </c>
      <c r="QF232" s="196">
        <f t="shared" si="237"/>
        <v>0</v>
      </c>
      <c r="QG232" s="328">
        <f t="shared" si="237"/>
        <v>0</v>
      </c>
      <c r="QH232" s="219">
        <f t="shared" si="237"/>
        <v>0</v>
      </c>
      <c r="QI232" s="196">
        <f t="shared" si="237"/>
        <v>0</v>
      </c>
      <c r="QJ232" s="328">
        <f t="shared" si="237"/>
        <v>0</v>
      </c>
      <c r="QK232" s="219">
        <f t="shared" si="237"/>
        <v>0</v>
      </c>
      <c r="QL232" s="196">
        <f t="shared" si="237"/>
        <v>0</v>
      </c>
      <c r="QM232" s="328">
        <f t="shared" si="237"/>
        <v>0</v>
      </c>
      <c r="QN232" s="219">
        <f t="shared" si="237"/>
        <v>0</v>
      </c>
      <c r="QO232" s="196">
        <f t="shared" si="237"/>
        <v>0</v>
      </c>
      <c r="QP232" s="328">
        <f t="shared" si="237"/>
        <v>0</v>
      </c>
      <c r="QQ232" s="219">
        <f t="shared" si="237"/>
        <v>0</v>
      </c>
      <c r="QR232" s="196">
        <f t="shared" si="237"/>
        <v>0</v>
      </c>
      <c r="QS232" s="328">
        <f t="shared" si="237"/>
        <v>0</v>
      </c>
      <c r="QT232" s="219">
        <f t="shared" si="237"/>
        <v>0</v>
      </c>
      <c r="QU232" s="196">
        <f t="shared" si="237"/>
        <v>0</v>
      </c>
      <c r="QV232" s="328">
        <f t="shared" si="237"/>
        <v>0</v>
      </c>
      <c r="QW232" s="219">
        <f t="shared" si="237"/>
        <v>0</v>
      </c>
      <c r="QX232" s="196">
        <f t="shared" si="237"/>
        <v>0</v>
      </c>
      <c r="QY232" s="328">
        <f t="shared" si="237"/>
        <v>0</v>
      </c>
      <c r="QZ232" s="219">
        <f t="shared" si="237"/>
        <v>0</v>
      </c>
      <c r="RA232" s="196">
        <f t="shared" si="237"/>
        <v>0</v>
      </c>
      <c r="RB232" s="328">
        <f t="shared" si="237"/>
        <v>0</v>
      </c>
      <c r="RC232" s="219">
        <f t="shared" si="237"/>
        <v>0</v>
      </c>
      <c r="RD232" s="196">
        <f t="shared" si="237"/>
        <v>0</v>
      </c>
      <c r="RE232" s="328">
        <f t="shared" si="237"/>
        <v>0</v>
      </c>
      <c r="RF232" s="219">
        <f t="shared" si="237"/>
        <v>0</v>
      </c>
      <c r="RG232" s="196">
        <f t="shared" si="237"/>
        <v>0</v>
      </c>
      <c r="RH232" s="328">
        <f t="shared" si="237"/>
        <v>0</v>
      </c>
      <c r="RI232" s="329">
        <f t="shared" si="237"/>
        <v>0</v>
      </c>
      <c r="RJ232" s="330">
        <f t="shared" si="237"/>
        <v>0</v>
      </c>
      <c r="RK232" s="219">
        <f t="shared" si="237"/>
        <v>0</v>
      </c>
      <c r="RL232" s="330">
        <f t="shared" si="237"/>
        <v>0</v>
      </c>
      <c r="RM232" s="219">
        <f t="shared" si="237"/>
        <v>0</v>
      </c>
      <c r="RN232" s="330">
        <f t="shared" si="237"/>
        <v>0</v>
      </c>
      <c r="RO232" s="219">
        <f t="shared" si="237"/>
        <v>0</v>
      </c>
      <c r="RP232" s="330">
        <f t="shared" si="237"/>
        <v>0</v>
      </c>
      <c r="RQ232" s="219">
        <f t="shared" si="237"/>
        <v>0</v>
      </c>
      <c r="RR232" s="330">
        <f t="shared" si="237"/>
        <v>0</v>
      </c>
      <c r="RS232" s="329">
        <f t="shared" si="237"/>
        <v>0</v>
      </c>
      <c r="RT232" s="103"/>
      <c r="RU232" s="331"/>
      <c r="RV232" s="331"/>
      <c r="RW232" s="331"/>
      <c r="RX232" s="331"/>
    </row>
    <row r="233" spans="1:492" s="333" customFormat="1" x14ac:dyDescent="0.35">
      <c r="A233" s="331"/>
      <c r="B233" s="331"/>
      <c r="C233" s="331"/>
      <c r="D233" s="331"/>
      <c r="E233" s="331"/>
      <c r="F233" s="331"/>
      <c r="G233" s="331"/>
      <c r="H233" s="331"/>
      <c r="I233" s="331"/>
      <c r="J233" s="331"/>
      <c r="K233" s="331"/>
      <c r="L233" s="332"/>
      <c r="M233" s="331"/>
      <c r="N233" s="331"/>
      <c r="O233" s="331"/>
      <c r="P233" s="331"/>
      <c r="Q233" s="331"/>
      <c r="R233" s="331"/>
      <c r="S233" s="331"/>
      <c r="T233" s="331"/>
      <c r="U233" s="331"/>
      <c r="V233" s="331"/>
      <c r="W233" s="331"/>
      <c r="X233" s="331"/>
      <c r="Y233" s="331"/>
      <c r="Z233" s="331"/>
      <c r="AA233" s="331"/>
      <c r="AB233" s="331"/>
      <c r="AC233" s="331"/>
      <c r="AD233" s="331"/>
      <c r="AE233" s="331"/>
      <c r="AF233" s="331"/>
      <c r="AG233" s="331"/>
      <c r="AH233" s="331"/>
      <c r="AI233" s="331"/>
      <c r="AJ233" s="331"/>
      <c r="AK233" s="331"/>
      <c r="AL233" s="331"/>
      <c r="AM233" s="331"/>
      <c r="AN233" s="331"/>
      <c r="AO233" s="331"/>
      <c r="AP233" s="331"/>
      <c r="AQ233" s="331"/>
      <c r="AR233" s="331"/>
      <c r="AS233" s="331"/>
      <c r="AT233" s="331"/>
      <c r="AU233" s="331"/>
      <c r="AV233" s="331"/>
      <c r="AW233" s="331"/>
      <c r="AX233" s="331"/>
      <c r="AY233" s="331"/>
      <c r="AZ233" s="331"/>
      <c r="PC233" s="336"/>
      <c r="PD233" s="336"/>
      <c r="PE233" s="336"/>
      <c r="PF233" s="336"/>
      <c r="PG233" s="336"/>
      <c r="PH233" s="336"/>
      <c r="PI233" s="336"/>
      <c r="PJ233" s="336"/>
      <c r="PK233" s="336"/>
      <c r="PL233" s="336"/>
      <c r="PM233" s="336"/>
      <c r="PN233" s="336"/>
      <c r="PO233" s="336"/>
      <c r="PP233" s="336"/>
      <c r="PQ233" s="336"/>
      <c r="PR233" s="336"/>
      <c r="PS233" s="336"/>
      <c r="PT233" s="336"/>
      <c r="PU233" s="336"/>
      <c r="PV233" s="336"/>
      <c r="PW233" s="336"/>
      <c r="PX233" s="336"/>
      <c r="PY233" s="337" t="s">
        <v>1233</v>
      </c>
      <c r="PZ233" s="338">
        <f>SUM(PZ228:PZ232)+SUM(PZ225:PZ226)</f>
        <v>16150</v>
      </c>
      <c r="QA233" s="339">
        <f t="shared" ref="QA233:RS233" si="238">SUM(QA228:QA232)+SUM(QA225:QA226)</f>
        <v>0.13472929006423626</v>
      </c>
      <c r="QB233" s="340">
        <f t="shared" ca="1" si="238"/>
        <v>0</v>
      </c>
      <c r="QC233" s="341">
        <f t="shared" si="238"/>
        <v>13080</v>
      </c>
      <c r="QD233" s="339">
        <f t="shared" si="238"/>
        <v>0.12247191011235956</v>
      </c>
      <c r="QE233" s="340">
        <f t="shared" ca="1" si="238"/>
        <v>0</v>
      </c>
      <c r="QF233" s="341">
        <f t="shared" si="238"/>
        <v>16390</v>
      </c>
      <c r="QG233" s="339">
        <f t="shared" si="238"/>
        <v>0.1305144131231088</v>
      </c>
      <c r="QH233" s="340">
        <f t="shared" ca="1" si="238"/>
        <v>0</v>
      </c>
      <c r="QI233" s="341">
        <f t="shared" si="238"/>
        <v>16320</v>
      </c>
      <c r="QJ233" s="339">
        <f t="shared" si="238"/>
        <v>0.11446205638939543</v>
      </c>
      <c r="QK233" s="340">
        <f t="shared" ca="1" si="238"/>
        <v>0</v>
      </c>
      <c r="QL233" s="341">
        <f t="shared" si="238"/>
        <v>15810</v>
      </c>
      <c r="QM233" s="339">
        <f t="shared" si="238"/>
        <v>0.11567164179104478</v>
      </c>
      <c r="QN233" s="340">
        <f t="shared" ca="1" si="238"/>
        <v>0</v>
      </c>
      <c r="QO233" s="341">
        <f t="shared" si="238"/>
        <v>16380</v>
      </c>
      <c r="QP233" s="339">
        <f t="shared" si="238"/>
        <v>0.12823925467783606</v>
      </c>
      <c r="QQ233" s="340">
        <f t="shared" ca="1" si="238"/>
        <v>0</v>
      </c>
      <c r="QR233" s="341">
        <f t="shared" si="238"/>
        <v>15530</v>
      </c>
      <c r="QS233" s="339">
        <f t="shared" si="238"/>
        <v>0.11180303084842158</v>
      </c>
      <c r="QT233" s="340">
        <f t="shared" ca="1" si="238"/>
        <v>0</v>
      </c>
      <c r="QU233" s="341">
        <f t="shared" si="238"/>
        <v>19810</v>
      </c>
      <c r="QV233" s="339">
        <f t="shared" si="238"/>
        <v>0.13658301158301159</v>
      </c>
      <c r="QW233" s="340">
        <f t="shared" ca="1" si="238"/>
        <v>0</v>
      </c>
      <c r="QX233" s="341">
        <f t="shared" si="238"/>
        <v>19180</v>
      </c>
      <c r="QY233" s="339">
        <f t="shared" si="238"/>
        <v>0.13996322134329664</v>
      </c>
      <c r="QZ233" s="340">
        <f t="shared" ca="1" si="238"/>
        <v>0</v>
      </c>
      <c r="RA233" s="341">
        <f t="shared" si="238"/>
        <v>16660</v>
      </c>
      <c r="RB233" s="339">
        <f t="shared" si="238"/>
        <v>0.13034973789218371</v>
      </c>
      <c r="RC233" s="340">
        <f t="shared" ca="1" si="238"/>
        <v>0</v>
      </c>
      <c r="RD233" s="341">
        <f t="shared" si="238"/>
        <v>11190</v>
      </c>
      <c r="RE233" s="339">
        <f t="shared" si="238"/>
        <v>0.11149860502192108</v>
      </c>
      <c r="RF233" s="340">
        <f t="shared" ca="1" si="238"/>
        <v>0</v>
      </c>
      <c r="RG233" s="341">
        <f t="shared" si="238"/>
        <v>6180</v>
      </c>
      <c r="RH233" s="339">
        <f t="shared" si="238"/>
        <v>0.11366562442523451</v>
      </c>
      <c r="RI233" s="342">
        <f t="shared" ca="1" si="238"/>
        <v>0</v>
      </c>
      <c r="RJ233" s="343">
        <f t="shared" si="238"/>
        <v>45620</v>
      </c>
      <c r="RK233" s="340">
        <f t="shared" ca="1" si="238"/>
        <v>0</v>
      </c>
      <c r="RL233" s="343">
        <f t="shared" si="238"/>
        <v>48510</v>
      </c>
      <c r="RM233" s="340">
        <f t="shared" ca="1" si="238"/>
        <v>0</v>
      </c>
      <c r="RN233" s="343">
        <f t="shared" si="238"/>
        <v>54520</v>
      </c>
      <c r="RO233" s="340">
        <f t="shared" ca="1" si="238"/>
        <v>0</v>
      </c>
      <c r="RP233" s="343">
        <f t="shared" si="238"/>
        <v>34030</v>
      </c>
      <c r="RQ233" s="340">
        <f t="shared" ca="1" si="238"/>
        <v>0</v>
      </c>
      <c r="RR233" s="343">
        <f t="shared" si="238"/>
        <v>182680</v>
      </c>
      <c r="RS233" s="342">
        <f t="shared" ca="1" si="238"/>
        <v>0</v>
      </c>
      <c r="RT233" s="344"/>
      <c r="RU233" s="331"/>
      <c r="RV233" s="331"/>
      <c r="RW233" s="331"/>
      <c r="RX233" s="331"/>
    </row>
    <row r="234" spans="1:492" s="333" customFormat="1" x14ac:dyDescent="0.35">
      <c r="A234" s="331"/>
      <c r="B234" s="331"/>
      <c r="C234" s="331"/>
      <c r="D234" s="331"/>
      <c r="E234" s="331"/>
      <c r="F234" s="331"/>
      <c r="G234" s="331"/>
      <c r="H234" s="331"/>
      <c r="I234" s="331"/>
      <c r="J234" s="331"/>
      <c r="K234" s="331"/>
      <c r="L234" s="332"/>
      <c r="M234" s="331"/>
      <c r="N234" s="331"/>
      <c r="O234" s="331"/>
      <c r="P234" s="331"/>
      <c r="Q234" s="331"/>
      <c r="R234" s="331"/>
      <c r="S234" s="331"/>
      <c r="T234" s="331"/>
      <c r="U234" s="331"/>
      <c r="V234" s="331"/>
      <c r="W234" s="331"/>
      <c r="X234" s="331"/>
      <c r="Y234" s="331"/>
      <c r="Z234" s="331"/>
      <c r="AA234" s="331"/>
      <c r="AB234" s="331"/>
      <c r="AC234" s="331"/>
      <c r="AD234" s="331"/>
      <c r="AE234" s="331"/>
      <c r="AF234" s="331"/>
      <c r="AG234" s="331"/>
      <c r="AH234" s="331"/>
      <c r="AI234" s="331"/>
      <c r="AJ234" s="331"/>
      <c r="AK234" s="331"/>
      <c r="AL234" s="331"/>
      <c r="AM234" s="331"/>
      <c r="AN234" s="331"/>
      <c r="AO234" s="331"/>
      <c r="AP234" s="331"/>
      <c r="AQ234" s="331"/>
      <c r="AR234" s="331"/>
      <c r="AS234" s="331"/>
      <c r="AT234" s="331"/>
      <c r="AU234" s="331"/>
      <c r="AV234" s="331"/>
      <c r="AW234" s="331"/>
      <c r="AX234" s="331"/>
      <c r="AY234" s="331"/>
      <c r="AZ234" s="331"/>
      <c r="PC234" s="345"/>
      <c r="PD234" s="345"/>
      <c r="PE234" s="345"/>
      <c r="PF234" s="345"/>
      <c r="PG234" s="345"/>
      <c r="PH234" s="345"/>
      <c r="PI234" s="345"/>
      <c r="PJ234" s="345"/>
      <c r="PK234" s="345"/>
      <c r="PL234" s="345"/>
      <c r="PM234" s="345"/>
      <c r="PN234" s="345"/>
      <c r="PO234" s="345"/>
      <c r="PP234" s="345"/>
      <c r="PQ234" s="345"/>
      <c r="PR234" s="345"/>
      <c r="PS234" s="345"/>
      <c r="PT234" s="345"/>
      <c r="PU234" s="345"/>
      <c r="PV234" s="345"/>
      <c r="PW234" s="345"/>
      <c r="PX234" s="345"/>
      <c r="PY234" s="346" t="s">
        <v>1234</v>
      </c>
      <c r="PZ234" s="347">
        <f>PZ227+PZ226</f>
        <v>17230</v>
      </c>
      <c r="QA234" s="348">
        <f t="shared" ref="QA234:RS234" si="239">QA227+QA226</f>
        <v>0.14373905063819137</v>
      </c>
      <c r="QB234" s="349">
        <f t="shared" ca="1" si="239"/>
        <v>0</v>
      </c>
      <c r="QC234" s="349">
        <f t="shared" si="239"/>
        <v>15430</v>
      </c>
      <c r="QD234" s="350">
        <f t="shared" si="239"/>
        <v>0.14447565543071161</v>
      </c>
      <c r="QE234" s="351">
        <f t="shared" ca="1" si="239"/>
        <v>0</v>
      </c>
      <c r="QF234" s="349">
        <f t="shared" si="239"/>
        <v>15950</v>
      </c>
      <c r="QG234" s="350">
        <f t="shared" si="239"/>
        <v>0.12701067048893139</v>
      </c>
      <c r="QH234" s="351">
        <f t="shared" ca="1" si="239"/>
        <v>0</v>
      </c>
      <c r="QI234" s="349">
        <f t="shared" si="239"/>
        <v>23330</v>
      </c>
      <c r="QJ234" s="350">
        <f t="shared" si="239"/>
        <v>0.16362743722822276</v>
      </c>
      <c r="QK234" s="351">
        <f t="shared" ca="1" si="239"/>
        <v>0</v>
      </c>
      <c r="QL234" s="349">
        <f t="shared" si="239"/>
        <v>18320</v>
      </c>
      <c r="QM234" s="350">
        <f t="shared" si="239"/>
        <v>0.13403570383377233</v>
      </c>
      <c r="QN234" s="351">
        <f t="shared" ca="1" si="239"/>
        <v>0</v>
      </c>
      <c r="QO234" s="349">
        <f t="shared" si="239"/>
        <v>15940</v>
      </c>
      <c r="QP234" s="350">
        <f t="shared" si="239"/>
        <v>0.12479448837391371</v>
      </c>
      <c r="QQ234" s="351">
        <f t="shared" ca="1" si="239"/>
        <v>0</v>
      </c>
      <c r="QR234" s="349">
        <f t="shared" si="239"/>
        <v>22040</v>
      </c>
      <c r="QS234" s="350">
        <f t="shared" si="239"/>
        <v>0.15866959432705807</v>
      </c>
      <c r="QT234" s="351">
        <f t="shared" ca="1" si="239"/>
        <v>0</v>
      </c>
      <c r="QU234" s="349">
        <f t="shared" si="239"/>
        <v>19140</v>
      </c>
      <c r="QV234" s="350">
        <f t="shared" si="239"/>
        <v>0.13196359624931053</v>
      </c>
      <c r="QW234" s="351">
        <f t="shared" ca="1" si="239"/>
        <v>0</v>
      </c>
      <c r="QX234" s="349">
        <f t="shared" si="239"/>
        <v>20810</v>
      </c>
      <c r="QY234" s="350">
        <f t="shared" si="239"/>
        <v>0.15185790595172072</v>
      </c>
      <c r="QZ234" s="351">
        <f t="shared" ca="1" si="239"/>
        <v>0</v>
      </c>
      <c r="RA234" s="349">
        <f t="shared" si="239"/>
        <v>16840</v>
      </c>
      <c r="RB234" s="350">
        <f t="shared" si="239"/>
        <v>0.13175807839762144</v>
      </c>
      <c r="RC234" s="351">
        <f t="shared" ca="1" si="239"/>
        <v>0</v>
      </c>
      <c r="RD234" s="349">
        <f t="shared" si="239"/>
        <v>14950</v>
      </c>
      <c r="RE234" s="350">
        <f t="shared" si="239"/>
        <v>0.14896373056994816</v>
      </c>
      <c r="RF234" s="351">
        <f t="shared" ca="1" si="239"/>
        <v>0</v>
      </c>
      <c r="RG234" s="349">
        <f t="shared" si="239"/>
        <v>10510</v>
      </c>
      <c r="RH234" s="350">
        <f t="shared" si="239"/>
        <v>0.19330513150634537</v>
      </c>
      <c r="RI234" s="352">
        <f t="shared" ca="1" si="239"/>
        <v>0</v>
      </c>
      <c r="RJ234" s="353">
        <f t="shared" si="239"/>
        <v>48610</v>
      </c>
      <c r="RK234" s="351">
        <f t="shared" ca="1" si="239"/>
        <v>0</v>
      </c>
      <c r="RL234" s="353">
        <f t="shared" si="239"/>
        <v>57590</v>
      </c>
      <c r="RM234" s="351">
        <f t="shared" ca="1" si="239"/>
        <v>0</v>
      </c>
      <c r="RN234" s="353">
        <f t="shared" si="239"/>
        <v>61990</v>
      </c>
      <c r="RO234" s="351">
        <f t="shared" ca="1" si="239"/>
        <v>0</v>
      </c>
      <c r="RP234" s="353">
        <f t="shared" si="239"/>
        <v>42300</v>
      </c>
      <c r="RQ234" s="351">
        <f t="shared" ca="1" si="239"/>
        <v>0</v>
      </c>
      <c r="RR234" s="353">
        <f t="shared" si="239"/>
        <v>210490</v>
      </c>
      <c r="RS234" s="352">
        <f t="shared" ca="1" si="239"/>
        <v>0</v>
      </c>
      <c r="RT234" s="344"/>
      <c r="RU234" s="331"/>
      <c r="RV234" s="331"/>
      <c r="RW234" s="331"/>
      <c r="RX234" s="331"/>
    </row>
    <row r="235" spans="1:492" s="333" customFormat="1" x14ac:dyDescent="0.35">
      <c r="A235" s="331"/>
      <c r="B235" s="331"/>
      <c r="C235" s="331"/>
      <c r="D235" s="331"/>
      <c r="E235" s="331"/>
      <c r="F235" s="331"/>
      <c r="G235" s="331"/>
      <c r="H235" s="331"/>
      <c r="I235" s="331"/>
      <c r="J235" s="331"/>
      <c r="K235" s="331"/>
      <c r="L235" s="332"/>
      <c r="M235" s="331"/>
      <c r="N235" s="331"/>
      <c r="O235" s="331"/>
      <c r="P235" s="331"/>
      <c r="Q235" s="331"/>
      <c r="R235" s="331"/>
      <c r="S235" s="331"/>
      <c r="T235" s="331"/>
      <c r="U235" s="331"/>
      <c r="V235" s="331"/>
      <c r="W235" s="331"/>
      <c r="X235" s="331"/>
      <c r="Y235" s="331"/>
      <c r="Z235" s="331"/>
      <c r="AA235" s="331"/>
      <c r="AB235" s="331"/>
      <c r="AC235" s="331"/>
      <c r="AD235" s="331"/>
      <c r="AE235" s="331"/>
      <c r="AF235" s="331"/>
      <c r="AG235" s="331"/>
      <c r="AH235" s="331"/>
      <c r="AI235" s="331"/>
      <c r="AJ235" s="331"/>
      <c r="AK235" s="331"/>
      <c r="AL235" s="331"/>
      <c r="AM235" s="331"/>
      <c r="AN235" s="331"/>
      <c r="AO235" s="331"/>
      <c r="AP235" s="331"/>
      <c r="AQ235" s="331"/>
      <c r="AR235" s="331"/>
      <c r="AS235" s="331"/>
      <c r="AT235" s="331"/>
      <c r="AU235" s="331"/>
      <c r="AV235" s="331"/>
      <c r="AW235" s="331"/>
      <c r="AX235" s="331"/>
      <c r="AY235" s="331"/>
      <c r="AZ235" s="331"/>
      <c r="PC235" s="345"/>
      <c r="PD235" s="345"/>
      <c r="PE235" s="345"/>
      <c r="PF235" s="345"/>
      <c r="PG235" s="345"/>
      <c r="PH235" s="345"/>
      <c r="PI235" s="345"/>
      <c r="PJ235" s="345"/>
      <c r="PK235" s="345"/>
      <c r="PL235" s="345"/>
      <c r="PM235" s="345"/>
      <c r="PN235" s="345"/>
      <c r="PO235" s="345"/>
      <c r="PP235" s="345"/>
      <c r="PQ235" s="345"/>
      <c r="PR235" s="345"/>
      <c r="PS235" s="345"/>
      <c r="PT235" s="345"/>
      <c r="PU235" s="345"/>
      <c r="PV235" s="345"/>
      <c r="PW235" s="345"/>
      <c r="PX235" s="345"/>
      <c r="PY235" s="346" t="s">
        <v>1235</v>
      </c>
      <c r="PZ235" s="347">
        <f t="shared" ref="PZ235:RS235" si="240">PZ221+PZ233-PZ227-PZ226</f>
        <v>102640</v>
      </c>
      <c r="QA235" s="348">
        <f t="shared" si="240"/>
        <v>0.85626094936180863</v>
      </c>
      <c r="QB235" s="349">
        <f t="shared" ca="1" si="240"/>
        <v>0</v>
      </c>
      <c r="QC235" s="349">
        <f t="shared" si="240"/>
        <v>91370</v>
      </c>
      <c r="QD235" s="350">
        <f t="shared" si="240"/>
        <v>0.85552434456928783</v>
      </c>
      <c r="QE235" s="351">
        <f t="shared" ca="1" si="240"/>
        <v>0</v>
      </c>
      <c r="QF235" s="349">
        <f t="shared" si="240"/>
        <v>109630</v>
      </c>
      <c r="QG235" s="350">
        <f t="shared" si="240"/>
        <v>0.87298932951106889</v>
      </c>
      <c r="QH235" s="351">
        <f t="shared" ca="1" si="240"/>
        <v>0</v>
      </c>
      <c r="QI235" s="349">
        <f t="shared" si="240"/>
        <v>119250</v>
      </c>
      <c r="QJ235" s="350">
        <f t="shared" si="240"/>
        <v>0.83637256277177752</v>
      </c>
      <c r="QK235" s="351">
        <f t="shared" ca="1" si="240"/>
        <v>0</v>
      </c>
      <c r="QL235" s="349">
        <f t="shared" si="240"/>
        <v>118360</v>
      </c>
      <c r="QM235" s="350">
        <f t="shared" si="240"/>
        <v>0.86596429616622772</v>
      </c>
      <c r="QN235" s="351">
        <f t="shared" ca="1" si="240"/>
        <v>0</v>
      </c>
      <c r="QO235" s="349">
        <f t="shared" si="240"/>
        <v>111790</v>
      </c>
      <c r="QP235" s="350">
        <f t="shared" si="240"/>
        <v>0.87520551162608617</v>
      </c>
      <c r="QQ235" s="351">
        <f t="shared" ca="1" si="240"/>
        <v>0</v>
      </c>
      <c r="QR235" s="349">
        <f t="shared" si="240"/>
        <v>116865</v>
      </c>
      <c r="QS235" s="350">
        <f t="shared" si="240"/>
        <v>0.84133040567294182</v>
      </c>
      <c r="QT235" s="351">
        <f t="shared" ca="1" si="240"/>
        <v>0</v>
      </c>
      <c r="QU235" s="349">
        <f t="shared" si="240"/>
        <v>125900</v>
      </c>
      <c r="QV235" s="350">
        <f t="shared" si="240"/>
        <v>0.86803640375068991</v>
      </c>
      <c r="QW235" s="351">
        <f t="shared" ca="1" si="240"/>
        <v>0</v>
      </c>
      <c r="QX235" s="349">
        <f t="shared" si="240"/>
        <v>116226</v>
      </c>
      <c r="QY235" s="350">
        <f t="shared" si="240"/>
        <v>0.84814209404828012</v>
      </c>
      <c r="QZ235" s="351">
        <f t="shared" ca="1" si="240"/>
        <v>0</v>
      </c>
      <c r="RA235" s="349">
        <f t="shared" si="240"/>
        <v>110970</v>
      </c>
      <c r="RB235" s="350">
        <f t="shared" si="240"/>
        <v>0.86824192160237923</v>
      </c>
      <c r="RC235" s="351">
        <f t="shared" ca="1" si="240"/>
        <v>0</v>
      </c>
      <c r="RD235" s="349">
        <f t="shared" si="240"/>
        <v>85410</v>
      </c>
      <c r="RE235" s="350">
        <f t="shared" si="240"/>
        <v>0.85103626943005162</v>
      </c>
      <c r="RF235" s="351">
        <f t="shared" ca="1" si="240"/>
        <v>0</v>
      </c>
      <c r="RG235" s="349">
        <f t="shared" si="240"/>
        <v>43860</v>
      </c>
      <c r="RH235" s="350">
        <f t="shared" si="240"/>
        <v>0.80669486849365457</v>
      </c>
      <c r="RI235" s="352">
        <f t="shared" ca="1" si="240"/>
        <v>0</v>
      </c>
      <c r="RJ235" s="353">
        <f t="shared" si="240"/>
        <v>303640</v>
      </c>
      <c r="RK235" s="351">
        <f t="shared" ca="1" si="240"/>
        <v>0</v>
      </c>
      <c r="RL235" s="353">
        <f t="shared" si="240"/>
        <v>349400</v>
      </c>
      <c r="RM235" s="351">
        <f t="shared" ca="1" si="240"/>
        <v>0</v>
      </c>
      <c r="RN235" s="353">
        <f t="shared" si="240"/>
        <v>358991</v>
      </c>
      <c r="RO235" s="351">
        <f t="shared" ca="1" si="240"/>
        <v>0</v>
      </c>
      <c r="RP235" s="353">
        <f t="shared" si="240"/>
        <v>240240</v>
      </c>
      <c r="RQ235" s="351">
        <f t="shared" ca="1" si="240"/>
        <v>0</v>
      </c>
      <c r="RR235" s="353">
        <f t="shared" si="240"/>
        <v>1252271</v>
      </c>
      <c r="RS235" s="352">
        <f t="shared" ca="1" si="240"/>
        <v>0</v>
      </c>
      <c r="RT235" s="344"/>
      <c r="RU235" s="331"/>
      <c r="RV235" s="331"/>
      <c r="RW235" s="331"/>
      <c r="RX235" s="331"/>
    </row>
    <row r="236" spans="1:492" s="333" customFormat="1" x14ac:dyDescent="0.35">
      <c r="A236" s="331"/>
      <c r="B236" s="331"/>
      <c r="C236" s="331"/>
      <c r="D236" s="331"/>
      <c r="E236" s="331"/>
      <c r="F236" s="331"/>
      <c r="G236" s="331"/>
      <c r="H236" s="331"/>
      <c r="I236" s="331"/>
      <c r="J236" s="331"/>
      <c r="K236" s="331"/>
      <c r="L236" s="332"/>
      <c r="M236" s="331"/>
      <c r="N236" s="331"/>
      <c r="O236" s="331"/>
      <c r="P236" s="331"/>
      <c r="Q236" s="331"/>
      <c r="R236" s="331"/>
      <c r="S236" s="331"/>
      <c r="T236" s="331"/>
      <c r="U236" s="331"/>
      <c r="V236" s="331"/>
      <c r="W236" s="331"/>
      <c r="X236" s="331"/>
      <c r="Y236" s="331"/>
      <c r="Z236" s="331"/>
      <c r="AA236" s="331"/>
      <c r="AB236" s="331"/>
      <c r="AC236" s="331"/>
      <c r="AD236" s="331"/>
      <c r="AE236" s="331"/>
      <c r="AF236" s="331"/>
      <c r="AG236" s="331"/>
      <c r="AH236" s="331"/>
      <c r="AI236" s="331"/>
      <c r="AJ236" s="331"/>
      <c r="AK236" s="331"/>
      <c r="AL236" s="331"/>
      <c r="AM236" s="331"/>
      <c r="AN236" s="331"/>
      <c r="AO236" s="331"/>
      <c r="AP236" s="331"/>
      <c r="AQ236" s="331"/>
      <c r="AR236" s="331"/>
      <c r="AS236" s="331"/>
      <c r="AT236" s="331"/>
      <c r="AU236" s="331"/>
      <c r="AV236" s="331"/>
      <c r="AW236" s="331"/>
      <c r="AX236" s="331"/>
      <c r="AY236" s="331"/>
      <c r="AZ236" s="331"/>
      <c r="PC236" s="345"/>
      <c r="PD236" s="345"/>
      <c r="PE236" s="345"/>
      <c r="PF236" s="345"/>
      <c r="PG236" s="345"/>
      <c r="PH236" s="345"/>
      <c r="PI236" s="345"/>
      <c r="PJ236" s="345"/>
      <c r="PK236" s="345"/>
      <c r="PL236" s="345"/>
      <c r="PM236" s="345"/>
      <c r="PN236" s="345"/>
      <c r="PO236" s="345"/>
      <c r="PP236" s="345"/>
      <c r="PQ236" s="345"/>
      <c r="PR236" s="345"/>
      <c r="PS236" s="345"/>
      <c r="PT236" s="345"/>
      <c r="PU236" s="345"/>
      <c r="PV236" s="345"/>
      <c r="PW236" s="345"/>
      <c r="PX236" s="345"/>
      <c r="PY236" s="346"/>
      <c r="PZ236" s="347"/>
      <c r="QA236" s="350"/>
      <c r="QB236" s="351"/>
      <c r="QC236" s="349"/>
      <c r="QD236" s="350"/>
      <c r="QE236" s="351"/>
      <c r="QF236" s="349"/>
      <c r="QG236" s="350"/>
      <c r="QH236" s="351"/>
      <c r="QI236" s="349"/>
      <c r="QJ236" s="350"/>
      <c r="QK236" s="351"/>
      <c r="QL236" s="349"/>
      <c r="QM236" s="350"/>
      <c r="QN236" s="351"/>
      <c r="QO236" s="349"/>
      <c r="QP236" s="350"/>
      <c r="QQ236" s="351"/>
      <c r="QR236" s="349"/>
      <c r="QS236" s="350"/>
      <c r="QT236" s="351"/>
      <c r="QU236" s="349"/>
      <c r="QV236" s="350"/>
      <c r="QW236" s="351"/>
      <c r="QX236" s="349"/>
      <c r="QY236" s="350"/>
      <c r="QZ236" s="351"/>
      <c r="RA236" s="349"/>
      <c r="RB236" s="350"/>
      <c r="RC236" s="351"/>
      <c r="RD236" s="349"/>
      <c r="RE236" s="350"/>
      <c r="RF236" s="351"/>
      <c r="RG236" s="349"/>
      <c r="RH236" s="350"/>
      <c r="RI236" s="352"/>
      <c r="RJ236" s="353"/>
      <c r="RK236" s="351"/>
      <c r="RL236" s="353"/>
      <c r="RM236" s="351"/>
      <c r="RN236" s="353"/>
      <c r="RO236" s="351"/>
      <c r="RP236" s="353"/>
      <c r="RQ236" s="351"/>
      <c r="RR236" s="353"/>
      <c r="RS236" s="352"/>
      <c r="RT236" s="344"/>
      <c r="RU236" s="331"/>
      <c r="RV236" s="331"/>
      <c r="RW236" s="331"/>
      <c r="RX236" s="331"/>
    </row>
    <row r="237" spans="1:492" s="333" customFormat="1" x14ac:dyDescent="0.35">
      <c r="A237" s="331"/>
      <c r="B237" s="331"/>
      <c r="C237" s="331"/>
      <c r="D237" s="331"/>
      <c r="E237" s="331"/>
      <c r="F237" s="331"/>
      <c r="G237" s="331"/>
      <c r="H237" s="331"/>
      <c r="I237" s="331"/>
      <c r="J237" s="331"/>
      <c r="K237" s="331"/>
      <c r="L237" s="332"/>
      <c r="M237" s="331"/>
      <c r="N237" s="331"/>
      <c r="O237" s="331"/>
      <c r="P237" s="331"/>
      <c r="Q237" s="331"/>
      <c r="R237" s="331"/>
      <c r="S237" s="331"/>
      <c r="T237" s="331"/>
      <c r="U237" s="331"/>
      <c r="V237" s="331"/>
      <c r="W237" s="331"/>
      <c r="X237" s="331"/>
      <c r="Y237" s="331"/>
      <c r="Z237" s="331"/>
      <c r="AA237" s="331"/>
      <c r="AB237" s="331"/>
      <c r="AC237" s="331"/>
      <c r="AD237" s="331"/>
      <c r="AE237" s="331"/>
      <c r="AF237" s="331"/>
      <c r="AG237" s="331"/>
      <c r="AH237" s="331"/>
      <c r="AI237" s="331"/>
      <c r="AJ237" s="331"/>
      <c r="AK237" s="331"/>
      <c r="AL237" s="331"/>
      <c r="AM237" s="331"/>
      <c r="AN237" s="331"/>
      <c r="AO237" s="331"/>
      <c r="AP237" s="331"/>
      <c r="AQ237" s="331"/>
      <c r="AR237" s="331"/>
      <c r="AS237" s="331"/>
      <c r="AT237" s="331"/>
      <c r="AU237" s="331"/>
      <c r="AV237" s="331"/>
      <c r="AW237" s="331"/>
      <c r="AX237" s="331"/>
      <c r="AY237" s="331"/>
      <c r="AZ237" s="331"/>
      <c r="PC237" s="345"/>
      <c r="PD237" s="345"/>
      <c r="PE237" s="345"/>
      <c r="PF237" s="345"/>
      <c r="PG237" s="345"/>
      <c r="PH237" s="345"/>
      <c r="PI237" s="345"/>
      <c r="PJ237" s="345"/>
      <c r="PK237" s="345"/>
      <c r="PL237" s="345"/>
      <c r="PM237" s="345"/>
      <c r="PN237" s="345"/>
      <c r="PO237" s="345"/>
      <c r="PP237" s="345"/>
      <c r="PQ237" s="345"/>
      <c r="PR237" s="345"/>
      <c r="PS237" s="345"/>
      <c r="PT237" s="345"/>
      <c r="PU237" s="345"/>
      <c r="PV237" s="345"/>
      <c r="PW237" s="345"/>
      <c r="PX237" s="345"/>
      <c r="PY237" s="346"/>
      <c r="PZ237" s="347"/>
      <c r="QA237" s="350"/>
      <c r="QB237" s="351"/>
      <c r="QC237" s="349"/>
      <c r="QD237" s="350"/>
      <c r="QE237" s="351"/>
      <c r="QF237" s="349"/>
      <c r="QG237" s="350"/>
      <c r="QH237" s="351"/>
      <c r="QI237" s="349"/>
      <c r="QJ237" s="350"/>
      <c r="QK237" s="351"/>
      <c r="QL237" s="349"/>
      <c r="QM237" s="350"/>
      <c r="QN237" s="351"/>
      <c r="QO237" s="349"/>
      <c r="QP237" s="350"/>
      <c r="QQ237" s="351"/>
      <c r="QR237" s="349"/>
      <c r="QS237" s="350"/>
      <c r="QT237" s="351"/>
      <c r="QU237" s="349"/>
      <c r="QV237" s="350"/>
      <c r="QW237" s="351"/>
      <c r="QX237" s="349"/>
      <c r="QY237" s="350"/>
      <c r="QZ237" s="351"/>
      <c r="RA237" s="349"/>
      <c r="RB237" s="350"/>
      <c r="RC237" s="351"/>
      <c r="RD237" s="349"/>
      <c r="RE237" s="350"/>
      <c r="RF237" s="351"/>
      <c r="RG237" s="349"/>
      <c r="RH237" s="350"/>
      <c r="RI237" s="352"/>
      <c r="RJ237" s="353"/>
      <c r="RK237" s="351"/>
      <c r="RL237" s="353"/>
      <c r="RM237" s="351"/>
      <c r="RN237" s="353"/>
      <c r="RO237" s="351"/>
      <c r="RP237" s="353"/>
      <c r="RQ237" s="351"/>
      <c r="RR237" s="353"/>
      <c r="RS237" s="352"/>
      <c r="RT237" s="344"/>
      <c r="RU237" s="331"/>
      <c r="RV237" s="331"/>
      <c r="RW237" s="331"/>
      <c r="RX237" s="331"/>
    </row>
    <row r="238" spans="1:492" s="333" customFormat="1" x14ac:dyDescent="0.35">
      <c r="A238" s="331"/>
      <c r="B238" s="331"/>
      <c r="C238" s="331"/>
      <c r="D238" s="331"/>
      <c r="E238" s="331"/>
      <c r="F238" s="331"/>
      <c r="G238" s="331"/>
      <c r="H238" s="331"/>
      <c r="I238" s="331"/>
      <c r="J238" s="331"/>
      <c r="K238" s="331"/>
      <c r="L238" s="332"/>
      <c r="M238" s="331"/>
      <c r="N238" s="331"/>
      <c r="O238" s="331"/>
      <c r="P238" s="331"/>
      <c r="Q238" s="331"/>
      <c r="R238" s="331"/>
      <c r="S238" s="331"/>
      <c r="T238" s="331"/>
      <c r="U238" s="331"/>
      <c r="V238" s="331"/>
      <c r="W238" s="331"/>
      <c r="X238" s="331"/>
      <c r="Y238" s="331"/>
      <c r="Z238" s="331"/>
      <c r="AA238" s="331"/>
      <c r="AB238" s="331"/>
      <c r="AC238" s="331"/>
      <c r="AD238" s="331"/>
      <c r="AE238" s="331"/>
      <c r="AF238" s="331"/>
      <c r="AG238" s="331"/>
      <c r="AH238" s="331"/>
      <c r="AI238" s="331"/>
      <c r="AJ238" s="331"/>
      <c r="AK238" s="331"/>
      <c r="AL238" s="331"/>
      <c r="AM238" s="331"/>
      <c r="AN238" s="331"/>
      <c r="AO238" s="331"/>
      <c r="AP238" s="331"/>
      <c r="AQ238" s="331"/>
      <c r="AR238" s="331"/>
      <c r="AS238" s="331"/>
      <c r="AT238" s="331"/>
      <c r="AU238" s="331"/>
      <c r="AV238" s="331"/>
      <c r="AW238" s="331"/>
      <c r="AX238" s="331"/>
      <c r="AY238" s="331"/>
      <c r="AZ238" s="331"/>
      <c r="PC238" s="345"/>
      <c r="PD238" s="345"/>
      <c r="PE238" s="345"/>
      <c r="PF238" s="345"/>
      <c r="PG238" s="345"/>
      <c r="PH238" s="345"/>
      <c r="PI238" s="345"/>
      <c r="PJ238" s="345"/>
      <c r="PK238" s="345"/>
      <c r="PL238" s="345"/>
      <c r="PM238" s="345"/>
      <c r="PN238" s="345"/>
      <c r="PO238" s="345"/>
      <c r="PP238" s="345"/>
      <c r="PQ238" s="345"/>
      <c r="PR238" s="345"/>
      <c r="PS238" s="345"/>
      <c r="PT238" s="345"/>
      <c r="PU238" s="345"/>
      <c r="PV238" s="345"/>
      <c r="PW238" s="345"/>
      <c r="PX238" s="345"/>
      <c r="PY238" s="346"/>
      <c r="PZ238" s="347"/>
      <c r="QA238" s="350"/>
      <c r="QB238" s="351"/>
      <c r="QC238" s="349"/>
      <c r="QD238" s="350"/>
      <c r="QE238" s="351"/>
      <c r="QF238" s="349"/>
      <c r="QG238" s="350"/>
      <c r="QH238" s="351"/>
      <c r="QI238" s="349"/>
      <c r="QJ238" s="350"/>
      <c r="QK238" s="351"/>
      <c r="QL238" s="349"/>
      <c r="QM238" s="350"/>
      <c r="QN238" s="351"/>
      <c r="QO238" s="349"/>
      <c r="QP238" s="350"/>
      <c r="QQ238" s="351"/>
      <c r="QR238" s="349"/>
      <c r="QS238" s="350"/>
      <c r="QT238" s="351"/>
      <c r="QU238" s="349"/>
      <c r="QV238" s="350"/>
      <c r="QW238" s="351"/>
      <c r="QX238" s="349"/>
      <c r="QY238" s="350"/>
      <c r="QZ238" s="351"/>
      <c r="RA238" s="349"/>
      <c r="RB238" s="350"/>
      <c r="RC238" s="351"/>
      <c r="RD238" s="349"/>
      <c r="RE238" s="350"/>
      <c r="RF238" s="351"/>
      <c r="RG238" s="349"/>
      <c r="RH238" s="350"/>
      <c r="RI238" s="352"/>
      <c r="RJ238" s="353"/>
      <c r="RK238" s="351"/>
      <c r="RL238" s="353"/>
      <c r="RM238" s="351"/>
      <c r="RN238" s="353"/>
      <c r="RO238" s="351"/>
      <c r="RP238" s="353"/>
      <c r="RQ238" s="351"/>
      <c r="RR238" s="353"/>
      <c r="RS238" s="352"/>
      <c r="RT238" s="344"/>
      <c r="RU238" s="331"/>
      <c r="RV238" s="331"/>
      <c r="RW238" s="331"/>
      <c r="RX238" s="331"/>
    </row>
    <row r="239" spans="1:492" s="333" customFormat="1" x14ac:dyDescent="0.35">
      <c r="A239" s="331"/>
      <c r="B239" s="331"/>
      <c r="C239" s="331"/>
      <c r="D239" s="331"/>
      <c r="E239" s="331"/>
      <c r="F239" s="331"/>
      <c r="G239" s="331"/>
      <c r="H239" s="331"/>
      <c r="I239" s="331"/>
      <c r="J239" s="331"/>
      <c r="K239" s="331"/>
      <c r="L239" s="332"/>
      <c r="M239" s="331"/>
      <c r="N239" s="331"/>
      <c r="O239" s="331"/>
      <c r="P239" s="331"/>
      <c r="Q239" s="331"/>
      <c r="R239" s="331"/>
      <c r="S239" s="331"/>
      <c r="T239" s="331"/>
      <c r="U239" s="331"/>
      <c r="V239" s="331"/>
      <c r="W239" s="331"/>
      <c r="X239" s="331"/>
      <c r="Y239" s="331"/>
      <c r="Z239" s="331"/>
      <c r="AA239" s="331"/>
      <c r="AB239" s="331"/>
      <c r="AC239" s="331"/>
      <c r="AD239" s="331"/>
      <c r="AE239" s="331"/>
      <c r="AF239" s="331"/>
      <c r="AG239" s="331"/>
      <c r="AH239" s="331"/>
      <c r="AI239" s="331"/>
      <c r="AJ239" s="331"/>
      <c r="AK239" s="331"/>
      <c r="AL239" s="331"/>
      <c r="AM239" s="331"/>
      <c r="AN239" s="331"/>
      <c r="AO239" s="331"/>
      <c r="AP239" s="331"/>
      <c r="AQ239" s="331"/>
      <c r="AR239" s="331"/>
      <c r="AS239" s="331"/>
      <c r="AT239" s="331"/>
      <c r="AU239" s="331"/>
      <c r="AV239" s="331"/>
      <c r="AW239" s="331"/>
      <c r="AX239" s="331"/>
      <c r="AY239" s="331"/>
      <c r="AZ239" s="331"/>
      <c r="PC239" s="345"/>
      <c r="PD239" s="345"/>
      <c r="PE239" s="345"/>
      <c r="PF239" s="345"/>
      <c r="PG239" s="345"/>
      <c r="PH239" s="345"/>
      <c r="PI239" s="345"/>
      <c r="PJ239" s="345"/>
      <c r="PK239" s="345"/>
      <c r="PL239" s="345"/>
      <c r="PM239" s="345"/>
      <c r="PN239" s="345"/>
      <c r="PO239" s="345"/>
      <c r="PP239" s="345"/>
      <c r="PQ239" s="345"/>
      <c r="PR239" s="345"/>
      <c r="PS239" s="345"/>
      <c r="PT239" s="345"/>
      <c r="PU239" s="345"/>
      <c r="PV239" s="345"/>
      <c r="PW239" s="345"/>
      <c r="PX239" s="345"/>
      <c r="PY239" s="346"/>
      <c r="PZ239" s="347"/>
      <c r="QA239" s="350"/>
      <c r="QB239" s="351"/>
      <c r="QC239" s="349"/>
      <c r="QD239" s="350"/>
      <c r="QE239" s="351"/>
      <c r="QF239" s="349"/>
      <c r="QG239" s="350"/>
      <c r="QH239" s="351"/>
      <c r="QI239" s="349"/>
      <c r="QJ239" s="350"/>
      <c r="QK239" s="351"/>
      <c r="QL239" s="349"/>
      <c r="QM239" s="350"/>
      <c r="QN239" s="351"/>
      <c r="QO239" s="349"/>
      <c r="QP239" s="350"/>
      <c r="QQ239" s="351"/>
      <c r="QR239" s="349"/>
      <c r="QS239" s="350"/>
      <c r="QT239" s="351"/>
      <c r="QU239" s="349"/>
      <c r="QV239" s="350"/>
      <c r="QW239" s="351"/>
      <c r="QX239" s="349"/>
      <c r="QY239" s="350"/>
      <c r="QZ239" s="351"/>
      <c r="RA239" s="349"/>
      <c r="RB239" s="350"/>
      <c r="RC239" s="351"/>
      <c r="RD239" s="349"/>
      <c r="RE239" s="350"/>
      <c r="RF239" s="351"/>
      <c r="RG239" s="349"/>
      <c r="RH239" s="350"/>
      <c r="RI239" s="352"/>
      <c r="RJ239" s="353"/>
      <c r="RK239" s="351"/>
      <c r="RL239" s="353"/>
      <c r="RM239" s="351"/>
      <c r="RN239" s="353"/>
      <c r="RO239" s="351"/>
      <c r="RP239" s="353"/>
      <c r="RQ239" s="351"/>
      <c r="RR239" s="353"/>
      <c r="RS239" s="352"/>
      <c r="RT239" s="344"/>
      <c r="RU239" s="331"/>
      <c r="RV239" s="331"/>
      <c r="RW239" s="331"/>
      <c r="RX239" s="331"/>
    </row>
    <row r="240" spans="1:492" s="333" customFormat="1" x14ac:dyDescent="0.35">
      <c r="A240" s="331"/>
      <c r="B240" s="331"/>
      <c r="C240" s="331"/>
      <c r="D240" s="331"/>
      <c r="E240" s="331"/>
      <c r="F240" s="331"/>
      <c r="G240" s="331"/>
      <c r="H240" s="331"/>
      <c r="I240" s="331"/>
      <c r="J240" s="331"/>
      <c r="K240" s="331"/>
      <c r="L240" s="332"/>
      <c r="M240" s="331"/>
      <c r="N240" s="331"/>
      <c r="O240" s="331"/>
      <c r="P240" s="331"/>
      <c r="Q240" s="331"/>
      <c r="R240" s="331"/>
      <c r="S240" s="331"/>
      <c r="T240" s="331"/>
      <c r="U240" s="331"/>
      <c r="V240" s="331"/>
      <c r="W240" s="331"/>
      <c r="X240" s="331"/>
      <c r="Y240" s="331"/>
      <c r="Z240" s="331"/>
      <c r="AA240" s="331"/>
      <c r="AB240" s="331"/>
      <c r="AC240" s="331"/>
      <c r="AD240" s="331"/>
      <c r="AE240" s="331"/>
      <c r="AF240" s="331"/>
      <c r="AG240" s="331"/>
      <c r="AH240" s="331"/>
      <c r="AI240" s="331"/>
      <c r="AJ240" s="331"/>
      <c r="AK240" s="331"/>
      <c r="AL240" s="331"/>
      <c r="AM240" s="331"/>
      <c r="AN240" s="331"/>
      <c r="AO240" s="331"/>
      <c r="AP240" s="331"/>
      <c r="AQ240" s="331"/>
      <c r="AR240" s="331"/>
      <c r="AS240" s="331"/>
      <c r="AT240" s="331"/>
      <c r="AU240" s="331"/>
      <c r="AV240" s="331"/>
      <c r="AW240" s="331"/>
      <c r="AX240" s="331"/>
      <c r="AY240" s="331"/>
      <c r="AZ240" s="331"/>
      <c r="PC240" s="345"/>
      <c r="PD240" s="345"/>
      <c r="PE240" s="345"/>
      <c r="PF240" s="345"/>
      <c r="PG240" s="345"/>
      <c r="PH240" s="345"/>
      <c r="PI240" s="345"/>
      <c r="PJ240" s="345"/>
      <c r="PK240" s="345"/>
      <c r="PL240" s="345"/>
      <c r="PM240" s="345"/>
      <c r="PN240" s="345"/>
      <c r="PO240" s="345"/>
      <c r="PP240" s="345"/>
      <c r="PQ240" s="345"/>
      <c r="PR240" s="345"/>
      <c r="PS240" s="345"/>
      <c r="PT240" s="345"/>
      <c r="PU240" s="345"/>
      <c r="PV240" s="345"/>
      <c r="PW240" s="345"/>
      <c r="PX240" s="345"/>
      <c r="PY240" s="346"/>
      <c r="PZ240" s="347"/>
      <c r="QA240" s="350"/>
      <c r="QB240" s="351"/>
      <c r="QC240" s="349"/>
      <c r="QD240" s="350"/>
      <c r="QE240" s="351"/>
      <c r="QF240" s="349"/>
      <c r="QG240" s="350"/>
      <c r="QH240" s="351"/>
      <c r="QI240" s="349"/>
      <c r="QJ240" s="350"/>
      <c r="QK240" s="351"/>
      <c r="QL240" s="349"/>
      <c r="QM240" s="350"/>
      <c r="QN240" s="351"/>
      <c r="QO240" s="349"/>
      <c r="QP240" s="350"/>
      <c r="QQ240" s="351"/>
      <c r="QR240" s="349"/>
      <c r="QS240" s="350"/>
      <c r="QT240" s="351"/>
      <c r="QU240" s="349"/>
      <c r="QV240" s="350"/>
      <c r="QW240" s="351"/>
      <c r="QX240" s="349"/>
      <c r="QY240" s="350"/>
      <c r="QZ240" s="351"/>
      <c r="RA240" s="349"/>
      <c r="RB240" s="350"/>
      <c r="RC240" s="351"/>
      <c r="RD240" s="349"/>
      <c r="RE240" s="350"/>
      <c r="RF240" s="351"/>
      <c r="RG240" s="349"/>
      <c r="RH240" s="350"/>
      <c r="RI240" s="352"/>
      <c r="RJ240" s="353"/>
      <c r="RK240" s="351"/>
      <c r="RL240" s="353"/>
      <c r="RM240" s="351"/>
      <c r="RN240" s="353"/>
      <c r="RO240" s="351"/>
      <c r="RP240" s="353"/>
      <c r="RQ240" s="351"/>
      <c r="RR240" s="353"/>
      <c r="RS240" s="352"/>
      <c r="RT240" s="344"/>
      <c r="RU240" s="331"/>
      <c r="RV240" s="331"/>
      <c r="RW240" s="331"/>
      <c r="RX240" s="331"/>
    </row>
    <row r="241" spans="1:492" s="333" customFormat="1" x14ac:dyDescent="0.35">
      <c r="A241" s="331"/>
      <c r="B241" s="331"/>
      <c r="C241" s="331"/>
      <c r="D241" s="331"/>
      <c r="E241" s="331"/>
      <c r="F241" s="331"/>
      <c r="G241" s="331"/>
      <c r="H241" s="331"/>
      <c r="I241" s="331"/>
      <c r="J241" s="331"/>
      <c r="K241" s="331"/>
      <c r="L241" s="332"/>
      <c r="M241" s="331"/>
      <c r="N241" s="331"/>
      <c r="O241" s="331"/>
      <c r="P241" s="331"/>
      <c r="Q241" s="331"/>
      <c r="R241" s="331"/>
      <c r="S241" s="331"/>
      <c r="T241" s="331"/>
      <c r="U241" s="331"/>
      <c r="V241" s="331"/>
      <c r="W241" s="331"/>
      <c r="X241" s="331"/>
      <c r="Y241" s="331"/>
      <c r="Z241" s="331"/>
      <c r="AA241" s="331"/>
      <c r="AB241" s="331"/>
      <c r="AC241" s="331"/>
      <c r="AD241" s="331"/>
      <c r="AE241" s="331"/>
      <c r="AF241" s="331"/>
      <c r="AG241" s="331"/>
      <c r="AH241" s="331"/>
      <c r="AI241" s="331"/>
      <c r="AJ241" s="331"/>
      <c r="AK241" s="331"/>
      <c r="AL241" s="331"/>
      <c r="AM241" s="331"/>
      <c r="AN241" s="331"/>
      <c r="AO241" s="331"/>
      <c r="AP241" s="331"/>
      <c r="AQ241" s="331"/>
      <c r="AR241" s="331"/>
      <c r="AS241" s="331"/>
      <c r="AT241" s="331"/>
      <c r="AU241" s="331"/>
      <c r="AV241" s="331"/>
      <c r="AW241" s="331"/>
      <c r="AX241" s="331"/>
      <c r="AY241" s="331"/>
      <c r="AZ241" s="331"/>
      <c r="PC241" s="345"/>
      <c r="PD241" s="345"/>
      <c r="PE241" s="345"/>
      <c r="PF241" s="345"/>
      <c r="PG241" s="345"/>
      <c r="PH241" s="345"/>
      <c r="PI241" s="345"/>
      <c r="PJ241" s="345"/>
      <c r="PK241" s="345"/>
      <c r="PL241" s="345"/>
      <c r="PM241" s="345"/>
      <c r="PN241" s="345"/>
      <c r="PO241" s="345"/>
      <c r="PP241" s="345"/>
      <c r="PQ241" s="345"/>
      <c r="PR241" s="345"/>
      <c r="PS241" s="345"/>
      <c r="PT241" s="345"/>
      <c r="PU241" s="345"/>
      <c r="PV241" s="345"/>
      <c r="PW241" s="345"/>
      <c r="PX241" s="345"/>
      <c r="PY241" s="346"/>
      <c r="PZ241" s="347"/>
      <c r="QA241" s="350"/>
      <c r="QB241" s="351"/>
      <c r="QC241" s="349"/>
      <c r="QD241" s="350"/>
      <c r="QE241" s="351"/>
      <c r="QF241" s="349"/>
      <c r="QG241" s="350"/>
      <c r="QH241" s="351"/>
      <c r="QI241" s="349"/>
      <c r="QJ241" s="350"/>
      <c r="QK241" s="351"/>
      <c r="QL241" s="349"/>
      <c r="QM241" s="350"/>
      <c r="QN241" s="351"/>
      <c r="QO241" s="349"/>
      <c r="QP241" s="350"/>
      <c r="QQ241" s="351"/>
      <c r="QR241" s="349"/>
      <c r="QS241" s="350"/>
      <c r="QT241" s="351"/>
      <c r="QU241" s="349"/>
      <c r="QV241" s="350"/>
      <c r="QW241" s="351"/>
      <c r="QX241" s="349"/>
      <c r="QY241" s="350"/>
      <c r="QZ241" s="351"/>
      <c r="RA241" s="349"/>
      <c r="RB241" s="350"/>
      <c r="RC241" s="351"/>
      <c r="RD241" s="349"/>
      <c r="RE241" s="350"/>
      <c r="RF241" s="351"/>
      <c r="RG241" s="349"/>
      <c r="RH241" s="350"/>
      <c r="RI241" s="352"/>
      <c r="RJ241" s="353"/>
      <c r="RK241" s="351"/>
      <c r="RL241" s="353"/>
      <c r="RM241" s="351"/>
      <c r="RN241" s="353"/>
      <c r="RO241" s="351"/>
      <c r="RP241" s="353"/>
      <c r="RQ241" s="351"/>
      <c r="RR241" s="353"/>
      <c r="RS241" s="352"/>
      <c r="RT241" s="344"/>
      <c r="RU241" s="331"/>
      <c r="RV241" s="331"/>
      <c r="RW241" s="331"/>
      <c r="RX241" s="331"/>
    </row>
    <row r="242" spans="1:492" x14ac:dyDescent="0.35"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5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PC242" s="345"/>
      <c r="PD242" s="345"/>
      <c r="PE242" s="345"/>
      <c r="PF242" s="345"/>
      <c r="PG242" s="345"/>
      <c r="PH242" s="345"/>
      <c r="PI242" s="345"/>
      <c r="PJ242" s="345"/>
      <c r="PK242" s="345"/>
      <c r="PL242" s="345"/>
      <c r="PM242" s="345"/>
      <c r="PN242" s="345"/>
      <c r="PO242" s="345"/>
      <c r="PP242" s="345"/>
      <c r="PQ242" s="345"/>
      <c r="PR242" s="345"/>
      <c r="PS242" s="345"/>
      <c r="PT242" s="345"/>
      <c r="PU242" s="345"/>
      <c r="PV242" s="345"/>
      <c r="PW242" s="345"/>
      <c r="PX242" s="345"/>
      <c r="PY242" s="346"/>
      <c r="PZ242" s="347"/>
      <c r="QA242" s="350"/>
      <c r="QB242" s="351"/>
      <c r="QC242" s="349"/>
      <c r="QD242" s="350"/>
      <c r="QE242" s="351"/>
      <c r="QF242" s="349"/>
      <c r="QG242" s="350"/>
      <c r="QH242" s="351"/>
      <c r="QI242" s="349"/>
      <c r="QJ242" s="350"/>
      <c r="QK242" s="351"/>
      <c r="QL242" s="349"/>
      <c r="QM242" s="350"/>
      <c r="QN242" s="351"/>
      <c r="QO242" s="349"/>
      <c r="QP242" s="350"/>
      <c r="QQ242" s="351"/>
      <c r="QR242" s="349"/>
      <c r="QS242" s="350"/>
      <c r="QT242" s="351"/>
      <c r="QU242" s="349"/>
      <c r="QV242" s="350"/>
      <c r="QW242" s="351"/>
      <c r="QX242" s="349"/>
      <c r="QY242" s="350"/>
      <c r="QZ242" s="351"/>
      <c r="RA242" s="349"/>
      <c r="RB242" s="350"/>
      <c r="RC242" s="351"/>
      <c r="RD242" s="349"/>
      <c r="RE242" s="350"/>
      <c r="RF242" s="351"/>
      <c r="RG242" s="349"/>
      <c r="RH242" s="350"/>
      <c r="RI242" s="352"/>
      <c r="RJ242" s="353"/>
      <c r="RK242" s="351"/>
      <c r="RL242" s="353"/>
      <c r="RM242" s="351"/>
      <c r="RN242" s="353"/>
      <c r="RO242" s="351"/>
      <c r="RP242" s="353"/>
      <c r="RQ242" s="351"/>
      <c r="RR242" s="353"/>
      <c r="RS242" s="352"/>
      <c r="RT242" s="344"/>
      <c r="RU242" s="1"/>
      <c r="RV242" s="1"/>
      <c r="RW242" s="1"/>
      <c r="RX242" s="1"/>
    </row>
    <row r="243" spans="1:492" x14ac:dyDescent="0.35"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5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  <c r="IW243" s="1"/>
      <c r="IX243" s="1"/>
      <c r="IY243" s="1"/>
      <c r="IZ243" s="1"/>
      <c r="JA243" s="1"/>
      <c r="JB243" s="1"/>
      <c r="JC243" s="1"/>
      <c r="JD243" s="1"/>
      <c r="JE243" s="1"/>
      <c r="JF243" s="1"/>
      <c r="JG243" s="1"/>
      <c r="JH243" s="1"/>
      <c r="JI243" s="1"/>
      <c r="JJ243" s="1"/>
      <c r="JK243" s="1"/>
      <c r="JL243" s="1"/>
      <c r="JM243" s="1"/>
      <c r="JN243" s="1"/>
      <c r="JO243" s="1"/>
      <c r="JP243" s="1"/>
      <c r="JQ243" s="1"/>
      <c r="JR243" s="1"/>
      <c r="JS243" s="1"/>
      <c r="JT243" s="1"/>
      <c r="JU243" s="1"/>
      <c r="JV243" s="1"/>
      <c r="JW243" s="1"/>
      <c r="JX243" s="1"/>
      <c r="JY243" s="1"/>
      <c r="JZ243" s="1"/>
      <c r="KA243" s="1"/>
      <c r="KB243" s="1"/>
      <c r="KC243" s="1"/>
      <c r="KD243" s="1"/>
      <c r="KE243" s="1"/>
      <c r="KF243" s="1"/>
      <c r="KG243" s="1"/>
      <c r="KH243" s="1"/>
      <c r="KI243" s="1"/>
      <c r="KJ243" s="1"/>
      <c r="KK243" s="1"/>
      <c r="KL243" s="1"/>
      <c r="KM243" s="1"/>
      <c r="KN243" s="1"/>
      <c r="KO243" s="1"/>
      <c r="KP243" s="1"/>
      <c r="KQ243" s="1"/>
      <c r="KR243" s="1"/>
      <c r="KS243" s="1"/>
      <c r="KT243" s="1"/>
      <c r="KU243" s="1"/>
      <c r="KV243" s="1"/>
      <c r="KW243" s="1"/>
      <c r="KX243" s="1"/>
      <c r="KY243" s="1"/>
      <c r="KZ243" s="1"/>
      <c r="LA243" s="1"/>
      <c r="LB243" s="1"/>
      <c r="LC243" s="1"/>
      <c r="LD243" s="1"/>
      <c r="LE243" s="1"/>
      <c r="LF243" s="1"/>
      <c r="LG243" s="1"/>
      <c r="LH243" s="1"/>
      <c r="LI243" s="1"/>
      <c r="LJ243" s="1"/>
      <c r="LK243" s="1"/>
      <c r="LL243" s="1"/>
      <c r="LM243" s="1"/>
      <c r="LN243" s="1"/>
      <c r="LO243" s="1"/>
      <c r="LP243" s="1"/>
      <c r="LQ243" s="1"/>
      <c r="LR243" s="1"/>
      <c r="LS243" s="1"/>
      <c r="LT243" s="1"/>
      <c r="LU243" s="1"/>
      <c r="LV243" s="1"/>
      <c r="LW243" s="1"/>
      <c r="LX243" s="1"/>
      <c r="LY243" s="1"/>
      <c r="LZ243" s="1"/>
      <c r="MA243" s="1"/>
      <c r="MB243" s="1"/>
      <c r="MC243" s="1"/>
      <c r="MD243" s="1"/>
      <c r="ME243" s="1"/>
      <c r="MF243" s="1"/>
      <c r="MG243" s="1"/>
      <c r="MH243" s="1"/>
      <c r="MI243" s="1"/>
      <c r="MJ243" s="1"/>
      <c r="MK243" s="1"/>
      <c r="ML243" s="1"/>
      <c r="MM243" s="1"/>
      <c r="MN243" s="1"/>
      <c r="MO243" s="1"/>
      <c r="MP243" s="1"/>
      <c r="MQ243" s="1"/>
      <c r="MR243" s="1"/>
      <c r="MS243" s="1"/>
      <c r="MT243" s="1"/>
      <c r="MU243" s="1"/>
      <c r="MV243" s="1"/>
      <c r="MW243" s="1"/>
      <c r="MX243" s="1"/>
      <c r="MY243" s="1"/>
      <c r="MZ243" s="1"/>
      <c r="NA243" s="1"/>
      <c r="NB243" s="1"/>
      <c r="NC243" s="1"/>
      <c r="ND243" s="1"/>
      <c r="NE243" s="1"/>
      <c r="NF243" s="1"/>
      <c r="NG243" s="1"/>
      <c r="NH243" s="1"/>
      <c r="NI243" s="1"/>
      <c r="NJ243" s="1"/>
      <c r="NK243" s="1"/>
      <c r="NL243" s="1"/>
      <c r="NM243" s="1"/>
      <c r="NN243" s="1"/>
      <c r="NO243" s="1"/>
      <c r="NP243" s="1"/>
      <c r="NQ243" s="1"/>
      <c r="NR243" s="1"/>
      <c r="NS243" s="1"/>
      <c r="NT243" s="1"/>
      <c r="NU243" s="1"/>
      <c r="NV243" s="1"/>
      <c r="NW243" s="1"/>
      <c r="NX243" s="1"/>
      <c r="NY243" s="1"/>
      <c r="NZ243" s="1"/>
      <c r="OA243" s="1"/>
      <c r="OB243" s="1"/>
      <c r="OC243" s="1"/>
      <c r="OD243" s="1"/>
      <c r="OE243" s="1"/>
      <c r="OF243" s="1"/>
      <c r="OG243" s="1"/>
      <c r="OH243" s="1"/>
      <c r="OI243" s="1"/>
      <c r="OJ243" s="1"/>
      <c r="OK243" s="1"/>
      <c r="OL243" s="1"/>
      <c r="OM243" s="1"/>
      <c r="ON243" s="1"/>
      <c r="OO243" s="1"/>
      <c r="OP243" s="1"/>
      <c r="OQ243" s="1"/>
      <c r="OR243" s="1"/>
      <c r="OS243" s="1"/>
      <c r="OT243" s="1"/>
      <c r="OU243" s="1"/>
      <c r="OV243" s="1"/>
      <c r="OW243" s="1"/>
      <c r="OX243" s="1"/>
      <c r="OY243" s="1"/>
      <c r="OZ243" s="1"/>
      <c r="PA243" s="1"/>
      <c r="PB243" s="1"/>
      <c r="PC243" s="334"/>
      <c r="PD243" s="334"/>
      <c r="PE243" s="334"/>
      <c r="PF243" s="334"/>
      <c r="PG243" s="334"/>
      <c r="PH243" s="334"/>
      <c r="PI243" s="334"/>
      <c r="PJ243" s="334"/>
      <c r="PK243" s="334"/>
      <c r="PL243" s="334"/>
      <c r="PM243" s="334"/>
      <c r="PN243" s="334"/>
      <c r="PO243" s="334"/>
      <c r="PP243" s="334"/>
      <c r="PQ243" s="334"/>
      <c r="PR243" s="334"/>
      <c r="PS243" s="334"/>
      <c r="PT243" s="334"/>
      <c r="PU243" s="334"/>
      <c r="PV243" s="334"/>
      <c r="PW243" s="334"/>
      <c r="PX243" s="334"/>
      <c r="PY243" s="335"/>
      <c r="PZ243" s="354"/>
      <c r="QA243" s="355"/>
      <c r="QB243" s="356"/>
      <c r="QC243" s="357"/>
      <c r="QD243" s="355"/>
      <c r="QE243" s="356"/>
      <c r="QF243" s="357"/>
      <c r="QG243" s="355"/>
      <c r="QH243" s="356"/>
      <c r="QI243" s="357"/>
      <c r="QJ243" s="355"/>
      <c r="QK243" s="356"/>
      <c r="QL243" s="357"/>
      <c r="QM243" s="355"/>
      <c r="QN243" s="356"/>
      <c r="QO243" s="357"/>
      <c r="QP243" s="355"/>
      <c r="QQ243" s="356"/>
      <c r="QR243" s="357"/>
      <c r="QS243" s="355"/>
      <c r="QT243" s="356"/>
      <c r="QU243" s="357"/>
      <c r="QV243" s="355"/>
      <c r="QW243" s="356"/>
      <c r="QX243" s="357"/>
      <c r="QY243" s="355"/>
      <c r="QZ243" s="356"/>
      <c r="RA243" s="357"/>
      <c r="RB243" s="355"/>
      <c r="RC243" s="356"/>
      <c r="RD243" s="357"/>
      <c r="RE243" s="355"/>
      <c r="RF243" s="356"/>
      <c r="RG243" s="357"/>
      <c r="RH243" s="355"/>
      <c r="RI243" s="358"/>
      <c r="RJ243" s="359"/>
      <c r="RK243" s="356"/>
      <c r="RL243" s="359"/>
      <c r="RM243" s="356"/>
      <c r="RN243" s="359"/>
      <c r="RO243" s="356"/>
      <c r="RP243" s="359"/>
      <c r="RQ243" s="356"/>
      <c r="RR243" s="359"/>
      <c r="RS243" s="358"/>
      <c r="RT243" s="103"/>
      <c r="RU243" s="1"/>
      <c r="RV243" s="1"/>
      <c r="RW243" s="1"/>
      <c r="RX243" s="1"/>
    </row>
    <row r="244" spans="1:492" hidden="1" x14ac:dyDescent="0.35">
      <c r="PC244" s="1"/>
      <c r="PD244" s="15"/>
      <c r="PE244" s="15"/>
      <c r="PF244" s="15"/>
      <c r="PG244" s="15"/>
      <c r="PH244" s="15"/>
      <c r="PI244" s="15"/>
      <c r="PJ244" s="15"/>
      <c r="PK244" s="15"/>
      <c r="PL244" s="15"/>
      <c r="PM244" s="15"/>
      <c r="PN244" s="15"/>
      <c r="PO244" s="15"/>
      <c r="PP244" s="15"/>
      <c r="PQ244" s="15"/>
      <c r="PR244" s="15"/>
      <c r="PS244" s="15"/>
      <c r="PT244" s="15"/>
      <c r="PU244" s="15"/>
      <c r="PV244" s="15"/>
      <c r="PW244" s="15"/>
      <c r="PX244" s="15"/>
      <c r="PY244" s="1"/>
      <c r="PZ244" s="1"/>
      <c r="QA244" s="16"/>
      <c r="QB244" s="1"/>
      <c r="QC244" s="1"/>
      <c r="QD244" s="16"/>
      <c r="QE244" s="1"/>
      <c r="QF244" s="1"/>
      <c r="QG244" s="16"/>
      <c r="QH244" s="1"/>
      <c r="QI244" s="1"/>
      <c r="QJ244" s="16"/>
      <c r="QK244" s="1"/>
      <c r="QL244" s="1"/>
      <c r="QM244" s="16"/>
      <c r="QN244" s="1"/>
      <c r="QO244" s="1"/>
      <c r="QP244" s="16"/>
      <c r="QQ244" s="1"/>
      <c r="QR244" s="1"/>
      <c r="QS244" s="16"/>
      <c r="QT244" s="1"/>
      <c r="QU244" s="1"/>
      <c r="QV244" s="16"/>
      <c r="QW244" s="1"/>
      <c r="QX244" s="1"/>
      <c r="QY244" s="16"/>
      <c r="QZ244" s="1"/>
      <c r="RA244" s="1"/>
      <c r="RB244" s="16"/>
      <c r="RC244" s="1"/>
      <c r="RD244" s="1"/>
      <c r="RE244" s="16"/>
      <c r="RF244" s="1"/>
      <c r="RG244" s="1"/>
      <c r="RH244" s="16"/>
      <c r="RI244" s="1"/>
      <c r="RJ244" s="1"/>
      <c r="RK244" s="1"/>
      <c r="RL244" s="1"/>
      <c r="RM244" s="1"/>
      <c r="RN244" s="1"/>
      <c r="RO244" s="1"/>
      <c r="RP244" s="1"/>
      <c r="RQ244" s="1"/>
      <c r="RR244" s="1"/>
      <c r="RS244" s="1"/>
      <c r="RT244" s="1"/>
    </row>
  </sheetData>
  <autoFilter ref="B5:RZ214" xr:uid="{62DA5DFB-075E-4F77-9295-C79EF92915B0}">
    <filterColumn colId="21">
      <customFilters>
        <customFilter operator="notEqual" val=" "/>
      </customFilters>
    </filterColumn>
    <sortState xmlns:xlrd2="http://schemas.microsoft.com/office/spreadsheetml/2017/richdata2" ref="B121:RZ214">
      <sortCondition ref="W5:W215"/>
    </sortState>
  </autoFilter>
  <mergeCells count="38">
    <mergeCell ref="MT4:NW4"/>
    <mergeCell ref="NX4:PB4"/>
    <mergeCell ref="FR4:GV4"/>
    <mergeCell ref="GW4:HZ4"/>
    <mergeCell ref="IA4:JE4"/>
    <mergeCell ref="JF4:KJ4"/>
    <mergeCell ref="KK4:LN4"/>
    <mergeCell ref="LO4:MS4"/>
    <mergeCell ref="C4:J4"/>
    <mergeCell ref="M4:V4"/>
    <mergeCell ref="BA4:CE4"/>
    <mergeCell ref="CF4:DH4"/>
    <mergeCell ref="DI4:EM4"/>
    <mergeCell ref="EN4:FQ4"/>
    <mergeCell ref="RJ3:RK3"/>
    <mergeCell ref="RL3:RM3"/>
    <mergeCell ref="RN3:RO3"/>
    <mergeCell ref="RP3:RQ3"/>
    <mergeCell ref="RR3:RS3"/>
    <mergeCell ref="RU3:RZ3"/>
    <mergeCell ref="QR3:QT3"/>
    <mergeCell ref="QU3:QW3"/>
    <mergeCell ref="QX3:QZ3"/>
    <mergeCell ref="RA3:RC3"/>
    <mergeCell ref="RD3:RF3"/>
    <mergeCell ref="RG3:RI3"/>
    <mergeCell ref="PZ3:QB3"/>
    <mergeCell ref="QC3:QE3"/>
    <mergeCell ref="QF3:QH3"/>
    <mergeCell ref="QI3:QK3"/>
    <mergeCell ref="QL3:QN3"/>
    <mergeCell ref="QO3:QQ3"/>
    <mergeCell ref="B1:B2"/>
    <mergeCell ref="D1:G1"/>
    <mergeCell ref="H1:J1"/>
    <mergeCell ref="D2:J2"/>
    <mergeCell ref="AC2:AQ2"/>
    <mergeCell ref="PF2:PV2"/>
  </mergeCells>
  <conditionalFormatting sqref="W5:PB5">
    <cfRule type="containsText" dxfId="81" priority="8" operator="containsText" text="mer">
      <formula>NOT(ISERROR(SEARCH("mer",W5)))</formula>
    </cfRule>
    <cfRule type="containsText" dxfId="80" priority="9" operator="containsText" text="mar">
      <formula>NOT(ISERROR(SEARCH("mar",W5)))</formula>
    </cfRule>
    <cfRule type="containsText" dxfId="79" priority="10" operator="containsText" text="jeu">
      <formula>NOT(ISERROR(SEARCH("jeu",W5)))</formula>
    </cfRule>
    <cfRule type="containsText" dxfId="78" priority="11" operator="containsText" text="ven">
      <formula>NOT(ISERROR(SEARCH("ven",W5)))</formula>
    </cfRule>
    <cfRule type="containsText" dxfId="77" priority="12" operator="containsText" text="lun">
      <formula>NOT(ISERROR(SEARCH("lun",W5)))</formula>
    </cfRule>
  </conditionalFormatting>
  <conditionalFormatting sqref="W3:PB217">
    <cfRule type="expression" dxfId="76" priority="3">
      <formula>W$5="mer"</formula>
    </cfRule>
    <cfRule type="expression" dxfId="75" priority="4">
      <formula>W$5="mar"</formula>
    </cfRule>
    <cfRule type="expression" dxfId="74" priority="5">
      <formula>W$5="jeu"</formula>
    </cfRule>
    <cfRule type="expression" dxfId="73" priority="6">
      <formula>W$5="ven"</formula>
    </cfRule>
    <cfRule type="expression" dxfId="72" priority="7">
      <formula>W$5="lun"</formula>
    </cfRule>
  </conditionalFormatting>
  <conditionalFormatting sqref="RU6:RU2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iconSet" priority="2">
      <iconSet iconSet="3Symbols">
        <cfvo type="percent" val="0"/>
        <cfvo type="percent" val="33"/>
        <cfvo type="percent" val="67"/>
      </iconSet>
    </cfRule>
  </conditionalFormatting>
  <printOptions horizontalCentered="1"/>
  <pageMargins left="1.2204724409448819" right="3.937007874015748E-2" top="0.19685039370078741" bottom="0.19685039370078741" header="0.31496062992125984" footer="0.31496062992125984"/>
  <pageSetup paperSize="9" scale="14" fitToHeight="0" orientation="landscape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5D25A3C2B1B5D4089B44CA276A34A36" ma:contentTypeVersion="11" ma:contentTypeDescription="Crée un document." ma:contentTypeScope="" ma:versionID="7a3f86ba7c7f71137e2b7d265313e9eb">
  <xsd:schema xmlns:xsd="http://www.w3.org/2001/XMLSchema" xmlns:xs="http://www.w3.org/2001/XMLSchema" xmlns:p="http://schemas.microsoft.com/office/2006/metadata/properties" xmlns:ns2="bfb3f432-878f-40b7-a9c6-5eebb15c279a" xmlns:ns3="43d6646e-9d5d-4e3d-a78b-40907916a221" targetNamespace="http://schemas.microsoft.com/office/2006/metadata/properties" ma:root="true" ma:fieldsID="1a2662133611dafe6e6116d18f627594" ns2:_="" ns3:_="">
    <xsd:import namespace="bfb3f432-878f-40b7-a9c6-5eebb15c279a"/>
    <xsd:import namespace="43d6646e-9d5d-4e3d-a78b-40907916a2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b3f432-878f-40b7-a9c6-5eebb15c279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Balises d’images" ma:readOnly="false" ma:fieldId="{5cf76f15-5ced-4ddc-b409-7134ff3c332f}" ma:taxonomyMulti="true" ma:sspId="3f55e74a-e29e-401e-9a9f-f8d735d5e9c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d6646e-9d5d-4e3d-a78b-40907916a221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1742747-8033-4409-8635-1890c6d59bf8}" ma:internalName="TaxCatchAll" ma:showField="CatchAllData" ma:web="43d6646e-9d5d-4e3d-a78b-40907916a2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fb3f432-878f-40b7-a9c6-5eebb15c279a">
      <Terms xmlns="http://schemas.microsoft.com/office/infopath/2007/PartnerControls"/>
    </lcf76f155ced4ddcb4097134ff3c332f>
    <TaxCatchAll xmlns="43d6646e-9d5d-4e3d-a78b-40907916a221" xsi:nil="true"/>
  </documentManagement>
</p:properties>
</file>

<file path=customXml/itemProps1.xml><?xml version="1.0" encoding="utf-8"?>
<ds:datastoreItem xmlns:ds="http://schemas.openxmlformats.org/officeDocument/2006/customXml" ds:itemID="{488F34F8-EC0B-4166-BD8A-596CAE5F179C}"/>
</file>

<file path=customXml/itemProps2.xml><?xml version="1.0" encoding="utf-8"?>
<ds:datastoreItem xmlns:ds="http://schemas.openxmlformats.org/officeDocument/2006/customXml" ds:itemID="{39A175CA-0C98-4F10-8EEF-CE36AD99A251}"/>
</file>

<file path=customXml/itemProps3.xml><?xml version="1.0" encoding="utf-8"?>
<ds:datastoreItem xmlns:ds="http://schemas.openxmlformats.org/officeDocument/2006/customXml" ds:itemID="{959C6177-452B-4B0C-9434-B9FB4F7705CC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TournéesCAV</vt:lpstr>
      <vt:lpstr>TournéesCAV!Zone_d_impression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President</dc:creator>
  <cp:lastModifiedBy>President</cp:lastModifiedBy>
  <dcterms:created xsi:type="dcterms:W3CDTF">2026-02-28T14:17:15Z</dcterms:created>
  <dcterms:modified xsi:type="dcterms:W3CDTF">2026-02-28T14:17:28Z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0x01010045D25A3C2B1B5D4089B44CA276A34A36</vt:lpwstr>
  </property>
</Properties>
</file>